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60e0c3020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7c0474d01494409"/>
    <x:sheet xmlns:r="http://schemas.openxmlformats.org/officeDocument/2006/relationships" name="01_INPUT_COMPANIES" sheetId="2" r:id="R425a54b335114675"/>
    <x:sheet xmlns:r="http://schemas.openxmlformats.org/officeDocument/2006/relationships" name="02_INPUT_ECON_BASES" sheetId="3" r:id="R5c5587e4a1cf4c20"/>
    <x:sheet xmlns:r="http://schemas.openxmlformats.org/officeDocument/2006/relationships" name="03_COMPARE_2" sheetId="4" r:id="Rf08475200c5a4743"/>
    <x:sheet xmlns:r="http://schemas.openxmlformats.org/officeDocument/2006/relationships" name="04_COMPARE_N" sheetId="5" r:id="R63f860805c8444ff"/>
    <x:sheet xmlns:r="http://schemas.openxmlformats.org/officeDocument/2006/relationships" name="05_ECON_INTERPRET" sheetId="6" r:id="R14dfe03e6fb641d6"/>
    <x:sheet xmlns:r="http://schemas.openxmlformats.org/officeDocument/2006/relationships" name="06_SENSITIVITY" sheetId="7" r:id="Rb3809fbc5b084456"/>
    <x:sheet xmlns:r="http://schemas.openxmlformats.org/officeDocument/2006/relationships" name="07_INPUT_PROVENANCE" sheetId="8" r:id="R29b7b672704f4b79"/>
    <x:sheet xmlns:r="http://schemas.openxmlformats.org/officeDocument/2006/relationships" name="90_CALC_FEATURES" sheetId="9" r:id="R1c29042ea7e64052"/>
    <x:sheet xmlns:r="http://schemas.openxmlformats.org/officeDocument/2006/relationships" name="91_CALC_SCORES" sheetId="10" r:id="R10f0dc0da7604167"/>
    <x:sheet xmlns:r="http://schemas.openxmlformats.org/officeDocument/2006/relationships" name="92_REF_VARIABLES" sheetId="11" r:id="R342050bc84ea4b8e"/>
    <x:sheet xmlns:r="http://schemas.openxmlformats.org/officeDocument/2006/relationships" name="93_REF_ANCHORS" sheetId="12" r:id="R24d757a8ad8d498c"/>
    <x:sheet xmlns:r="http://schemas.openxmlformats.org/officeDocument/2006/relationships" name="94_EXPECTED_OUTPUTS" sheetId="13" r:id="Rdc3dadc84f4c47b9"/>
    <x:sheet xmlns:r="http://schemas.openxmlformats.org/officeDocument/2006/relationships" name="99_QA_AUDIT" sheetId="14" r:id="R84c18b340e2a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%"/>
    <x:numFmt numFmtId="201" formatCode="0.000000"/>
    <x:numFmt numFmtId="202" formatCode="#,##0;[Red]-#,##0"/>
    <x:numFmt numFmtId="203" formatCode="0.000000000000"/>
    <x:numFmt numFmtId="204" formatCode="#,##0.000000"/>
    <x:numFmt numFmtId="205" formatCode="0.0000000000"/>
    <x:numFmt numFmtId="206" formatCode="0.00;[Red]-0.00"/>
    <x:numFmt numFmtId="207" formatCode="0.0000;[Red]-0.0000"/>
    <x:numFmt numFmtId="208" formatCode="0.00"/>
    <x:numFmt numFmtId="209" formatCode="0.000000;[Red]-0.00000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991B1B"/>
      <x:name val="Carlito"/>
    </x:font>
    <x:font>
      <x:b/>
      <x:sz val="11"/>
      <x:color rgb="FFFFFFFF"/>
      <x:name val="Carlito"/>
    </x:font>
    <x:font>
      <x:b/>
      <x:sz val="11"/>
      <x:color rgb="FF991B1B"/>
      <x:name val="Carlito"/>
    </x:font>
    <x:font>
      <x:b/>
      <x:sz val="11"/>
      <x:name val="Carlito"/>
    </x:font>
    <x:font>
      <x:sz val="11"/>
      <x:color rgb="FF991B1B"/>
      <x:name val="Carlito"/>
    </x:font>
    <x:font>
      <x:sz val="9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4CC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DDF4EF"/>
      </x:patternFill>
    </x:fill>
    <x:fill>
      <x:patternFill patternType="solid">
        <x:fgColor rgb="FFFDE2E2"/>
      </x:patternFill>
    </x:fill>
    <x:fill>
      <x:patternFill patternType="solid">
        <x:fgColor rgb="FFE8F1FB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vertical="center"/>
    </x:xf>
    <x:xf numFmtId="201" fontId="0" fillId="8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202" fontId="0" fillId="8" borderId="1" xfId="0" applyNumberFormat="1" applyFont="1" applyFill="1" applyBorder="1" applyAlignment="1">
      <x:alignment vertical="center"/>
    </x:xf>
    <x:xf numFmtId="200" fontId="0" fillId="8" borderId="1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vertical="center" wrapText="1"/>
    </x:xf>
    <x:xf numFmtId="203" fontId="0" fillId="9" borderId="1" xfId="0" applyNumberFormat="1" applyFont="1" applyFill="1" applyBorder="1" applyAlignment="1">
      <x:alignment vertical="center"/>
    </x:xf>
    <x:xf numFmtId="201" fontId="0" fillId="9" borderId="1" xfId="0" applyNumberFormat="1" applyFont="1" applyFill="1" applyBorder="1" applyAlignment="1">
      <x:alignment vertical="center"/>
    </x:xf>
    <x:xf numFmtId="204" fontId="0" fillId="9" borderId="1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5" fontId="0" fillId="9" borderId="1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/>
    <x:xf numFmtId="206" fontId="0" fillId="5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207" fontId="0" fillId="5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center"/>
    </x:xf>
    <x:xf numFmtId="205" fontId="0" fillId="6" borderId="1" xfId="0" applyNumberFormat="1" applyFont="1" applyFill="1" applyBorder="1" applyAlignment="1">
      <x:alignment vertical="center"/>
    </x:xf>
    <x:xf numFmtId="208" fontId="0" fillId="9" borderId="1" xfId="0" applyNumberFormat="1" applyFont="1" applyFill="1" applyBorder="1" applyAlignment="1">
      <x:alignment vertical="center"/>
    </x:xf>
    <x:xf numFmtId="206" fontId="0" fillId="9" borderId="1" xfId="0" applyNumberFormat="1" applyFont="1" applyFill="1" applyBorder="1" applyAlignment="1">
      <x:alignment vertical="center"/>
    </x:xf>
    <x:xf numFmtId="208" fontId="0" fillId="9" borderId="1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/>
    <x:xf numFmtId="209" fontId="0" fillId="5" borderId="1" xfId="0" applyNumberFormat="1" applyFont="1" applyFill="1" applyBorder="1" applyAlignment="1">
      <x:alignment vertical="center"/>
    </x:xf>
    <x:xf numFmtId="202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209" fontId="0" fillId="5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203" fontId="0" fillId="9" borderId="1" xfId="0" applyNumberFormat="1" applyFont="1" applyFill="1" applyBorder="1" applyAlignment="1">
      <x:alignment vertical="center" wrapText="1"/>
    </x:xf>
    <x:xf numFmtId="200" fontId="0" fillId="9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5">
    <x:dxf>
      <x:font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FF4CC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5dea927bb540f6" /><Relationship Type="http://schemas.openxmlformats.org/officeDocument/2006/relationships/theme" Target="/xl/theme/theme1.xml" Id="R0d4df87a122a40a7" /><Relationship Type="http://schemas.openxmlformats.org/officeDocument/2006/relationships/sharedStrings" Target="/xl/sharedStrings.xml" Id="R8027913aca4043cd" /><Relationship Type="http://schemas.openxmlformats.org/officeDocument/2006/relationships/worksheet" Target="/xl/worksheets/sheet1.xml" Id="R77c0474d01494409" /><Relationship Type="http://schemas.openxmlformats.org/officeDocument/2006/relationships/worksheet" Target="/xl/worksheets/sheet2.xml" Id="R425a54b335114675" /><Relationship Type="http://schemas.openxmlformats.org/officeDocument/2006/relationships/worksheet" Target="/xl/worksheets/sheet3.xml" Id="R5c5587e4a1cf4c20" /><Relationship Type="http://schemas.openxmlformats.org/officeDocument/2006/relationships/worksheet" Target="/xl/worksheets/sheet4.xml" Id="Rf08475200c5a4743" /><Relationship Type="http://schemas.openxmlformats.org/officeDocument/2006/relationships/worksheet" Target="/xl/worksheets/sheet5.xml" Id="R63f860805c8444ff" /><Relationship Type="http://schemas.openxmlformats.org/officeDocument/2006/relationships/worksheet" Target="/xl/worksheets/sheet6.xml" Id="R14dfe03e6fb641d6" /><Relationship Type="http://schemas.openxmlformats.org/officeDocument/2006/relationships/worksheet" Target="/xl/worksheets/sheet7.xml" Id="Rb3809fbc5b084456" /><Relationship Type="http://schemas.openxmlformats.org/officeDocument/2006/relationships/worksheet" Target="/xl/worksheets/sheet8.xml" Id="R29b7b672704f4b79" /><Relationship Type="http://schemas.openxmlformats.org/officeDocument/2006/relationships/worksheet" Target="/xl/worksheets/sheet9.xml" Id="R1c29042ea7e64052" /><Relationship Type="http://schemas.openxmlformats.org/officeDocument/2006/relationships/worksheet" Target="/xl/worksheets/sheet10.xml" Id="R10f0dc0da7604167" /><Relationship Type="http://schemas.openxmlformats.org/officeDocument/2006/relationships/worksheet" Target="/xl/worksheets/sheet11.xml" Id="R342050bc84ea4b8e" /><Relationship Type="http://schemas.openxmlformats.org/officeDocument/2006/relationships/worksheet" Target="/xl/worksheets/sheet12.xml" Id="R24d757a8ad8d498c" /><Relationship Type="http://schemas.openxmlformats.org/officeDocument/2006/relationships/worksheet" Target="/xl/worksheets/sheet13.xml" Id="Rdc3dadc84f4c47b9" /><Relationship Type="http://schemas.openxmlformats.org/officeDocument/2006/relationships/worksheet" Target="/xl/worksheets/sheet14.xml" Id="R84c18b340e2a44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dc173b6fdb4ab3" /><Relationship Type="http://schemas.openxmlformats.org/officeDocument/2006/relationships/chart" Target="/xl/drawings/charts/chart2.xml" Id="R31cafd1055c440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Feature별 ΔCPII 기여도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기여도</c:v>
          </c:tx>
          <c:cat>
            <c:strRef>
              <c:f>'03_COMPARE_2'!$K$33:$K$42</c:f>
              <c:strCache>
                <c:ptCount val="0"/>
              </c:strCache>
            </c:strRef>
          </c:cat>
          <c:val>
            <c:numRef>
              <c:f>'03_COMPARE_2'!$L$33:$L$42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CPII 및 하위지수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</c:v>
          </c:tx>
          <c:cat>
            <c:strRef>
              <c:f>'03_COMPARE_2'!$K$46:$K$49</c:f>
              <c:strCache>
                <c:ptCount val="0"/>
              </c:strCache>
            </c:strRef>
          </c:cat>
          <c:val>
            <c:numRef>
              <c:f>'03_COMPARE_2'!$L$46:$L$49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</c:v>
          </c:tx>
          <c:cat>
            <c:strRef>
              <c:f>'03_COMPARE_2'!$K$46:$K$49</c:f>
              <c:strCache>
                <c:ptCount val="0"/>
              </c:strCache>
            </c:strRef>
          </c:cat>
          <c:val>
            <c:numRef>
              <c:f>'03_COMPARE_2'!$M$46:$M$49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c173b6fdb4ab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cafd1055c440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putCompaniesTable" displayName="InputCompaniesTable" ref="A6:AC106" headerRowCount="1" totalsRowCount="0" totalsRowShown="0">
  <x:tableColumns count="29">
    <x:tableColumn id="1" name="관측 ID"/>
    <x:tableColumn id="2" name="회사명"/>
    <x:tableColumn id="3" name="그룹"/>
    <x:tableColumn id="4" name="산업"/>
    <x:tableColumn id="5" name="서비스"/>
    <x:tableColumn id="6" name="시장"/>
    <x:tableColumn id="7" name="기간"/>
    <x:tableColumn id="8" name="Benchmark ID"/>
    <x:tableColumn id="9" name="통화"/>
    <x:tableColumn id="10" name="가격연도"/>
    <x:tableColumn id="11" name="품질"/>
    <x:tableColumn id="12" name="합성"/>
    <x:tableColumn id="13" name="구축방식"/>
    <x:tableColumn id="14" name="출처 ID"/>
    <x:tableColumn id="15" name="출처일"/>
    <x:tableColumn id="16" name="이월분기"/>
    <x:tableColumn id="17" name="시장공통값 보정"/>
    <x:tableColumn id="18" name="회사노출계수"/>
    <x:tableColumn id="19" name="메모"/>
    <x:tableColumn id="20" name="유효세율 격차"/>
    <x:tableColumn id="21" name="인프라 비용·해외의존 결합비율"/>
    <x:tableColumn id="22" name="네트워크 비용률"/>
    <x:tableColumn id="23" name="세전이익 기반 회수 대리값"/>
    <x:tableColumn id="24" name="자금조달비용 스프레드"/>
    <x:tableColumn id="25" name="투자 회수율"/>
    <x:tableColumn id="26" name="IP 자산화 결손"/>
    <x:tableColumn id="27" name="시장간 전이 대리지수"/>
    <x:tableColumn id="28" name="해외의존비율"/>
    <x:tableColumn id="29" name="비용 대비 설비투자 압박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EconomicBasesTable" displayName="InputEconomicBasesTable" ref="A6:Z106" headerRowCount="1" totalsRowCount="0" totalsRowShown="0">
  <x:tableColumns count="26">
    <x:tableColumn id="1" name="관측 ID"/>
    <x:tableColumn id="2" name="통화"/>
    <x:tableColumn id="3" name="가격연도"/>
    <x:tableColumn id="4" name="노출기간"/>
    <x:tableColumn id="5" name="연환산계수"/>
    <x:tableColumn id="6" name="매출 Low"/>
    <x:tableColumn id="7" name="매출 Base"/>
    <x:tableColumn id="8" name="매출 High"/>
    <x:tableColumn id="9" name="양(+) 세전이익 Low"/>
    <x:tableColumn id="10" name="양(+) 세전이익 Base"/>
    <x:tableColumn id="11" name="양(+) 세전이익 High"/>
    <x:tableColumn id="12" name="평균 이자부부채 Low"/>
    <x:tableColumn id="13" name="평균 이자부부채 Base"/>
    <x:tableColumn id="14" name="평균 이자부부채 High"/>
    <x:tableColumn id="15" name="콘텐츠투자 Low"/>
    <x:tableColumn id="16" name="콘텐츠투자 Base"/>
    <x:tableColumn id="17" name="콘텐츠투자 High"/>
    <x:tableColumn id="18" name="전이대상매출 Low"/>
    <x:tableColumn id="19" name="전이대상매출 Base"/>
    <x:tableColumn id="20" name="전이대상매출 High"/>
    <x:tableColumn id="21" name="전환율 Low"/>
    <x:tableColumn id="22" name="전환율 Base"/>
    <x:tableColumn id="23" name="전환율 High"/>
    <x:tableColumn id="24" name="출처 ID"/>
    <x:tableColumn id="25" name="품질"/>
    <x:tableColumn id="26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utFeatureProvenanceTable" displayName="InputFeatureProvenanceTable" ref="A6:J1006" headerRowCount="1" totalsRowCount="0" totalsRowShown="0">
  <x:tableColumns count="10">
    <x:tableColumn id="1" name="관측 ID"/>
    <x:tableColumn id="2" name="변수"/>
    <x:tableColumn id="3" name="출처 ID"/>
    <x:tableColumn id="4" name="기준일"/>
    <x:tableColumn id="5" name="품질"/>
    <x:tableColumn id="6" name="구축방식"/>
    <x:tableColumn id="7" name="이월분기"/>
    <x:tableColumn id="8" name="Benchmark ID"/>
    <x:tableColumn id="9" name="산식·가정"/>
    <x:tableColumn id="10" name="합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ozenAnchorRankKeysTable" displayName="FrozenAnchorRankKeysTable" ref="A6:C766" headerRowCount="1" totalsRowCount="0" totalsRowShown="0">
  <x:tableColumns count="3">
    <x:tableColumn id="1" name="변수"/>
    <x:tableColumn id="2" name="참조 순서"/>
    <x:tableColumn id="3" name="Directed rank ke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2675aa61084a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764b7d693f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956060e351d41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97f48980ec3b430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4.xml" Id="Rc74f7ca3cec745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CPII 회사 입력형 비교 도구 v2</x:v>
      </x:c>
      <x:c r="B1" s="3"/>
      <x:c r="C1" s="3"/>
      <x:c r="D1" s="3"/>
      <x:c r="E1" s="3"/>
      <x:c r="F1" s="3"/>
      <x:c r="G1" s="3"/>
      <x:c r="H1" s="3"/>
    </x:row>
    <x:row r="2" ht="24" customHeight="1">
      <x:c r="A2" s="7" t="str">
        <x:v>이 파일은 방법론 설명·탐색용 베타입니다. 차별·위법성·손해·인과효과를 판정하지 않으며, 10개 변수 결합 기준표본은 159행 중 2행뿐입니다.</x:v>
      </x:c>
      <x:c r="B2" s="7"/>
      <x:c r="C2" s="7"/>
      <x:c r="D2" s="7"/>
      <x:c r="E2" s="7"/>
      <x:c r="F2" s="7"/>
      <x:c r="G2" s="7"/>
      <x:c r="H2" s="7"/>
    </x:row>
    <x:row r="3" ht="24" customHeight="1">
      <x:c r="A3" s="7"/>
      <x:c r="B3" s="7"/>
      <x:c r="C3" s="7"/>
      <x:c r="D3" s="7"/>
      <x:c r="E3" s="7"/>
      <x:c r="F3" s="7"/>
      <x:c r="G3" s="7"/>
      <x:c r="H3" s="7"/>
    </x:row>
    <x:row r="5">
      <x:c r="A5" s="13" t="str">
        <x:v>빠른 시작</x:v>
      </x:c>
      <x:c r="B5" s="13"/>
      <x:c r="C5" s="13"/>
      <x:c r="D5" s="13"/>
      <x:c r="E5" s="13"/>
      <x:c r="F5" s="13"/>
      <x:c r="G5" s="13"/>
      <x:c r="H5" s="13"/>
    </x:row>
    <x:row r="6">
      <x:c r="A6" s="14" t="str">
        <x:v>1</x:v>
      </x:c>
      <x:c r="B6" s="17" t="str">
        <x:v>01_INPUT_COMPANIES</x:v>
      </x:c>
      <x:c r="C6" s="17" t="str">
        <x:v>파란 셀에 회사별 feature와 비교 메타데이터를 입력합니다.</x:v>
      </x:c>
      <x:c r="D6" s="17"/>
      <x:c r="E6" s="17"/>
      <x:c r="F6" s="17"/>
      <x:c r="G6" s="17"/>
      <x:c r="H6" s="17"/>
    </x:row>
    <x:row r="7">
      <x:c r="A7" s="14" t="str">
        <x:v>2</x:v>
      </x:c>
      <x:c r="B7" s="17" t="str">
        <x:v>02_INPUT_ECON_BASES</x:v>
      </x:c>
      <x:c r="C7" s="17" t="str">
        <x:v>금액 해석이 필요할 때만 노출액 low/base/high를 입력합니다. 비워도 CPII 점수는 계산됩니다.</x:v>
      </x:c>
      <x:c r="D7" s="17"/>
      <x:c r="E7" s="17"/>
      <x:c r="F7" s="17"/>
      <x:c r="G7" s="17"/>
      <x:c r="H7" s="17"/>
    </x:row>
    <x:row r="8">
      <x:c r="A8" s="14" t="str">
        <x:v>3</x:v>
      </x:c>
      <x:c r="B8" s="17" t="str">
        <x:v>03_COMPARE_2 / 04_COMPARE_N</x:v>
      </x:c>
      <x:c r="C8" s="17" t="str">
        <x:v>두 회사 상세 또는 최대 100개 cohort별 순위를 확인합니다. pair matrix 화면은 30개까지입니다.</x:v>
      </x:c>
      <x:c r="D8" s="17"/>
      <x:c r="E8" s="17"/>
      <x:c r="F8" s="17"/>
      <x:c r="G8" s="17"/>
      <x:c r="H8" s="17"/>
    </x:row>
    <x:row r="9">
      <x:c r="A9" s="14" t="str">
        <x:v>4</x:v>
      </x:c>
      <x:c r="B9" s="17" t="str">
        <x:v>05_ECON_INTERPRET</x:v>
      </x:c>
      <x:c r="C9" s="17" t="str">
        <x:v>금액은 채널별 조건부 상당액/시나리오입니다. overlap family가 있어 합계를 제공하지 않습니다.</x:v>
      </x:c>
      <x:c r="D9" s="17"/>
      <x:c r="E9" s="17"/>
      <x:c r="F9" s="17"/>
      <x:c r="G9" s="17"/>
      <x:c r="H9" s="17"/>
    </x:row>
    <x:row r="10">
      <x:c r="A10" s="14" t="str">
        <x:v>5</x:v>
      </x:c>
      <x:c r="B10" s="17" t="str">
        <x:v>06_SENSITIVITY / 99_QA_AUDIT</x:v>
      </x:c>
      <x:c r="C10" s="17" t="str">
        <x:v>대체사양·저지원·중복채널과 Python 기준값 일치를 확인합니다.</x:v>
      </x:c>
      <x:c r="D10" s="17"/>
      <x:c r="E10" s="17"/>
      <x:c r="F10" s="17"/>
      <x:c r="G10" s="17"/>
      <x:c r="H10" s="17"/>
    </x:row>
    <x:row r="12">
      <x:c r="A12" s="13" t="str">
        <x:v>0.1점은 무엇을 뜻하나</x:v>
      </x:c>
      <x:c r="B12" s="13"/>
      <x:c r="C12" s="13"/>
      <x:c r="D12" s="13"/>
      <x:c r="E12" s="13"/>
      <x:c r="F12" s="13"/>
      <x:c r="G12" s="13"/>
      <x:c r="H12" s="13"/>
    </x:row>
    <x:row r="13">
      <x:c r="A13" s="20" t="str">
        <x:v>ΔCPII 0.10점은 feature별 기준분포 위치 차이의 가중합이 0.001이라는 뜻입니다. 비용·매출 0.1% 또는 기업 백분위 0.1%가 아닙니다. 다른 9개 변수가 같다면 규제/시장 feature 하나의 약 0.9%p 위치 차이 또는 위험 feature 하나의 약 1.2%p 위치 차이가 0.10점을 만들 수 있지만, 실제로는 양·음 기여도가 상쇄될 수도 있습니다.</x:v>
      </x:c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8">
      <x:c r="A18" s="13" t="str">
        <x:v>항목</x:v>
      </x:c>
      <x:c r="B18" s="13" t="str">
        <x:v>값</x:v>
      </x:c>
      <x:c r="C18" s="13" t="str">
        <x:v>항목</x:v>
      </x:c>
      <x:c r="D18" s="13" t="str">
        <x:v>값</x:v>
      </x:c>
    </x:row>
    <x:row r="19">
      <x:c r="A19" s="17" t="str">
        <x:v>Workbook version</x:v>
      </x:c>
      <x:c r="B19" s="17" t="str">
        <x:v>CPII_COMPARATOR_XLSX_V2.0.0</x:v>
      </x:c>
      <x:c r="C19" s="17" t="str">
        <x:v>Method version</x:v>
      </x:c>
      <x:c r="D19" s="17" t="str">
        <x:v>CPII_FIRM_INPUT_EQW_V1</x:v>
      </x:c>
    </x:row>
    <x:row r="20">
      <x:c r="A20" s="17" t="str">
        <x:v>Anchor version</x:v>
      </x:c>
      <x:c r="B20" s="17" t="str">
        <x:v>POOL_SCQ_P01_P99_EMP_RANK_V1</x:v>
      </x:c>
      <x:c r="C20" s="17" t="str">
        <x:v>Release status</x:v>
      </x:c>
      <x:c r="D20" s="17" t="str">
        <x:v>research_beta_due_to_low_support_active_features</x:v>
      </x:c>
    </x:row>
    <x:row r="21">
      <x:c r="A21" s="17" t="str">
        <x:v>기준분포 행</x:v>
      </x:c>
      <x:c r="B21" s="17" t="n">
        <x:v>159</x:v>
      </x:c>
      <x:c r="C21" s="17" t="str">
        <x:v>10변수 결합완전 행</x:v>
      </x:c>
      <x:c r="D21" s="17" t="n">
        <x:v>2</x:v>
      </x:c>
    </x:row>
    <x:row r="22">
      <x:c r="A22" s="17" t="str">
        <x:v>결합지지 상태</x:v>
      </x:c>
      <x:c r="B22" s="17" t="str">
        <x:v>insufficient_joint_reference_support</x:v>
      </x:c>
      <x:c r="C22" s="17" t="str">
        <x:v>저지원 가중치</x:v>
      </x:c>
      <x:c r="D22" s="21" t="n">
        <x:v>0.2222222222222222</x:v>
      </x:c>
    </x:row>
    <x:row r="23">
      <x:c r="A23" s="17" t="str">
        <x:v>회사 입력 한도</x:v>
      </x:c>
      <x:c r="B23" s="17" t="n">
        <x:v>100</x:v>
      </x:c>
      <x:c r="C23" s="17" t="str">
        <x:v>화면 pair matrix 한도</x:v>
      </x:c>
      <x:c r="D23" s="17" t="n">
        <x:v>30</x:v>
      </x:c>
    </x:row>
    <x:row r="24">
      <x:c r="A24" s="17" t="str">
        <x:v>점수 의미</x:v>
      </x:c>
      <x:c r="B24" s="17" t="str">
        <x:v>feature별 주변분포 위치의 가중평균</x:v>
      </x:c>
      <x:c r="C24" s="17" t="str">
        <x:v>기업 백분위</x:v>
      </x:c>
      <x:c r="D24" s="17" t="str">
        <x:v>제공하지 않음</x:v>
      </x:c>
    </x:row>
    <x:row r="25">
      <x:c r="A25" s="17" t="str">
        <x:v>금액 총합</x:v>
      </x:c>
      <x:c r="B25" s="17" t="str">
        <x:v>제공하지 않음</x:v>
      </x:c>
      <x:c r="C25" s="17" t="str">
        <x:v>low/base/high</x:v>
      </x:c>
      <x:c r="D25" s="17" t="str">
        <x:v>민감도 범위(신뢰구간 아님)</x:v>
      </x:c>
    </x:row>
    <x:row r="27">
      <x:c r="A27" s="24" t="str">
        <x:v>용어 규칙: 국내기업과 해외기업이 동일 산업·서비스·시장·기간·등록 benchmark로 비교되고 품질 게이트를 통과한 경우에도 ‘역차별 가설 관련 구조적 부담격차’라고만 표시합니다. 이 지표만으로 차별 여부를 단정할 수 없습니다.</x:v>
      </x:c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1">
      <x:c r="A31" s="13" t="str">
        <x:v>v2 검증 보강 · 점수 산식과 고정 기준분포 유지</x:v>
      </x:c>
      <x:c r="B31" s="13"/>
      <x:c r="C31" s="13"/>
      <x:c r="D31" s="13"/>
      <x:c r="E31" s="13"/>
      <x:c r="F31" s="13"/>
      <x:c r="G31" s="13"/>
      <x:c r="H31" s="13"/>
    </x:row>
    <x:row r="32" ht="27" customHeight="1">
      <x:c r="A32" s="27" t="str">
        <x:v>인프라 결합 검사: 인프라 결합값 = 망비용률 × 해외의존비율. v1의 열 참조 오류 수정.</x:v>
      </x:c>
      <x:c r="B32" s="27"/>
      <x:c r="C32" s="27"/>
      <x:c r="D32" s="27"/>
      <x:c r="E32" s="27"/>
      <x:c r="F32" s="27"/>
      <x:c r="G32" s="27"/>
      <x:c r="H32" s="27"/>
    </x:row>
    <x:row r="33" ht="27" customHeight="1">
      <x:c r="A33" s="27" t="str">
        <x:v>예시 입력 수정 후에도 정상 입력의 비교 허용. 원래 10개 값과 일치할 때만 합성 예시 기대점수 대조.</x:v>
      </x:c>
      <x:c r="B33" s="27"/>
      <x:c r="C33" s="27"/>
      <x:c r="D33" s="27"/>
      <x:c r="E33" s="27"/>
      <x:c r="F33" s="27"/>
      <x:c r="G33" s="27"/>
      <x:c r="H33" s="27"/>
    </x:row>
    <x:row r="34" ht="27" customHeight="1">
      <x:c r="A34" s="27" t="str">
        <x:v>관측 ID는 영문 대문자·숫자·하이픈·밑줄·마침표 1~64자. 회사명은 한국어 등 자유 입력.</x:v>
      </x:c>
      <x:c r="B34" s="27"/>
      <x:c r="C34" s="27"/>
      <x:c r="D34" s="27"/>
      <x:c r="E34" s="27"/>
      <x:c r="F34" s="27"/>
      <x:c r="G34" s="27"/>
      <x:c r="H34" s="27"/>
    </x:row>
    <x:row r="35" ht="27" customHeight="1">
      <x:c r="A35" s="27" t="str">
        <x:v>출처일은 2000~2100년의 실제 날짜를 YYYY-MM-DD 텍스트로 입력. 비교집단 필드의 앞뒤 공백 금지.</x:v>
      </x:c>
      <x:c r="B35" s="27"/>
      <x:c r="C35" s="27"/>
      <x:c r="D35" s="27"/>
      <x:c r="E35" s="27"/>
      <x:c r="F35" s="27"/>
      <x:c r="G35" s="27"/>
      <x:c r="H35" s="27"/>
    </x:row>
    <x:row r="36" ht="27" customHeight="1">
      <x:c r="A36" s="27" t="str">
        <x:v>산업·서비스·시장·분기·기준 ID의 대소문자까지 일치한 관측끼리 비교. 통제항목은 지정값 그대로 입력.</x:v>
      </x:c>
      <x:c r="B36" s="27"/>
      <x:c r="C36" s="27"/>
      <x:c r="D36" s="27"/>
      <x:c r="E36" s="27"/>
      <x:c r="F36" s="27"/>
      <x:c r="G36" s="27"/>
      <x:c r="H36" s="27"/>
    </x:row>
    <x:row r="37" ht="27" customHeight="1">
      <x:c r="A37" s="27" t="str">
        <x:v>양의 A−B는 A의 부담지수가 더 높다는 뜻. 기준−개선후로 정의한 정책 점수 감소량과 부호 기준 구별.</x:v>
      </x:c>
      <x:c r="B37" s="27"/>
      <x:c r="C37" s="27"/>
      <x:c r="D37" s="27"/>
      <x:c r="E37" s="27"/>
      <x:c r="F37" s="27"/>
      <x:c r="G37" s="27"/>
      <x:c r="H37" s="27"/>
    </x:row>
    <x:row r="38" ht="27" customHeight="1">
      <x:c r="A38" s="27" t="str">
        <x:v>노출계수는 입력값에 이미 반영한 조정의 기록이며 자동 승산 없음. 출처 시트 기록은 외부 사실 검증의 대체 불가.</x:v>
      </x:c>
      <x:c r="B38" s="27"/>
      <x:c r="C38" s="27"/>
      <x:c r="D38" s="27"/>
      <x:c r="E38" s="27"/>
      <x:c r="F38" s="27"/>
      <x:c r="G38" s="27"/>
      <x:c r="H38" s="27"/>
    </x:row>
    <x:row r="39" ht="27" customHeight="1">
      <x:c r="A39" s="27" t="str">
        <x:v>동봉 비교기준은 합성 예시 전용 1건. 실제 기업 비교 전에는 실제 비교군·산식·원천 해시의 등록과 통합문서 재생성 필요.</x:v>
      </x:c>
      <x:c r="B39" s="27"/>
      <x:c r="C39" s="27"/>
      <x:c r="D39" s="27"/>
      <x:c r="E39" s="27"/>
      <x:c r="F39" s="27"/>
      <x:c r="G39" s="27"/>
      <x:c r="H39" s="27"/>
    </x:row>
  </x:sheetData>
  <x:mergeCells>
    <x:mergeCell ref="A1:H1"/>
    <x:mergeCell ref="A2:H3"/>
    <x:mergeCell ref="A5:H5"/>
    <x:mergeCell ref="A12:H12"/>
    <x:mergeCell ref="A13:H16"/>
    <x:mergeCell ref="A27:H29"/>
    <x:mergeCell ref="A31:H31"/>
    <x:mergeCell ref="A32:H32"/>
    <x:mergeCell ref="A33:H33"/>
    <x:mergeCell ref="A34:H34"/>
    <x:mergeCell ref="A35:H35"/>
    <x:mergeCell ref="A36:H36"/>
    <x:mergeCell ref="A37:H37"/>
    <x:mergeCell ref="A38:H38"/>
    <x:mergeCell ref="A39:H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6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31" hidden="0" customWidth="1"/>
  </x:cols>
  <x:sheetData>
    <x:row r="1" ht="30" customHeight="1">
      <x:c r="A1" s="3" t="str">
        <x:v>01 | 회사·Feature 입력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24" customHeight="1">
      <x:c r="A2" s="7" t="str">
        <x:v>파란 셀만 편집하십시오. 한 행은 하나의 회사-시장-기간 관측입니다. 입력 검증이 PASS/READY인 서로 다른 관측만 비교됩니다.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</x:row>
    <x:row r="6" ht="42" hidden="0" customHeight="1">
      <x:c r="A6" s="13" t="str">
        <x:v>관측 ID</x:v>
      </x:c>
      <x:c r="B6" s="13" t="str">
        <x:v>회사명</x:v>
      </x:c>
      <x:c r="C6" s="13" t="str">
        <x:v>그룹</x:v>
      </x:c>
      <x:c r="D6" s="13" t="str">
        <x:v>산업</x:v>
      </x:c>
      <x:c r="E6" s="13" t="str">
        <x:v>서비스</x:v>
      </x:c>
      <x:c r="F6" s="13" t="str">
        <x:v>시장</x:v>
      </x:c>
      <x:c r="G6" s="13" t="str">
        <x:v>기간</x:v>
      </x:c>
      <x:c r="H6" s="13" t="str">
        <x:v>Benchmark ID</x:v>
      </x:c>
      <x:c r="I6" s="13" t="str">
        <x:v>통화</x:v>
      </x:c>
      <x:c r="J6" s="13" t="str">
        <x:v>가격연도</x:v>
      </x:c>
      <x:c r="K6" s="13" t="str">
        <x:v>품질</x:v>
      </x:c>
      <x:c r="L6" s="13" t="str">
        <x:v>합성</x:v>
      </x:c>
      <x:c r="M6" s="13" t="str">
        <x:v>구축방식</x:v>
      </x:c>
      <x:c r="N6" s="13" t="str">
        <x:v>출처 ID</x:v>
      </x:c>
      <x:c r="O6" s="13" t="str">
        <x:v>출처일</x:v>
      </x:c>
      <x:c r="P6" s="13" t="str">
        <x:v>이월분기</x:v>
      </x:c>
      <x:c r="Q6" s="13" t="str">
        <x:v>시장공통값 보정</x:v>
      </x:c>
      <x:c r="R6" s="13" t="str">
        <x:v>회사노출계수</x:v>
      </x:c>
      <x:c r="S6" s="13" t="str">
        <x:v>메모</x:v>
      </x:c>
      <x:c r="T6" s="13" t="str">
        <x:v>유효세율 격차</x:v>
      </x:c>
      <x:c r="U6" s="13" t="str">
        <x:v>인프라 비용·해외의존 결합비율</x:v>
      </x:c>
      <x:c r="V6" s="13" t="str">
        <x:v>네트워크 비용률</x:v>
      </x:c>
      <x:c r="W6" s="13" t="str">
        <x:v>세전이익 기반 회수 대리값</x:v>
      </x:c>
      <x:c r="X6" s="13" t="str">
        <x:v>자금조달비용 스프레드</x:v>
      </x:c>
      <x:c r="Y6" s="13" t="str">
        <x:v>투자 회수율</x:v>
      </x:c>
      <x:c r="Z6" s="13" t="str">
        <x:v>IP 자산화 결손</x:v>
      </x:c>
      <x:c r="AA6" s="13" t="str">
        <x:v>시장간 전이 대리지수</x:v>
      </x:c>
      <x:c r="AB6" s="13" t="str">
        <x:v>해외의존비율</x:v>
      </x:c>
      <x:c r="AC6" s="13" t="str">
        <x:v>비용 대비 설비투자 압박률</x:v>
      </x:c>
      <x:c r="AD6" s="13" t="str">
        <x:v>입력 검증</x:v>
      </x:c>
    </x:row>
    <x:row r="7" ht="15" hidden="0" customHeight="1">
      <x:c r="A7" s="35" t="str">
        <x:v>SYN-A</x:v>
      </x:c>
      <x:c r="B7" s="35" t="str">
        <x:v>가온 콘텐츠</x:v>
      </x:c>
      <x:c r="C7" s="35" t="str">
        <x:v>domestic</x:v>
      </x:c>
      <x:c r="D7" s="35" t="str">
        <x:v>digital_content</x:v>
      </x:c>
      <x:c r="E7" s="35" t="str">
        <x:v>integrated_content</x:v>
      </x:c>
      <x:c r="F7" s="35" t="str">
        <x:v>Korea</x:v>
      </x:c>
      <x:c r="G7" s="35" t="str">
        <x:v>2025Q4</x:v>
      </x:c>
      <x:c r="H7" s="35" t="str">
        <x:v>BM-DIGITAL-CONTENT-2025Q4</x:v>
      </x:c>
      <x:c r="I7" s="35" t="str">
        <x:v>KRW</x:v>
      </x:c>
      <x:c r="J7" s="35" t="n">
        <x:v>2025</x:v>
      </x:c>
      <x:c r="K7" s="35" t="str">
        <x:v>SYNTHETIC</x:v>
      </x:c>
      <x:c r="L7" s="35" t="str">
        <x:v>yes</x:v>
      </x:c>
      <x:c r="M7" s="35" t="str">
        <x:v>derived</x:v>
      </x:c>
      <x:c r="N7" s="35" t="str">
        <x:v>SYNTHETIC-METHOD-DEMO</x:v>
      </x:c>
      <x:c r="O7" s="35" t="str">
        <x:v>2025-12-31</x:v>
      </x:c>
      <x:c r="P7" s="35" t="n">
        <x:v>0</x:v>
      </x:c>
      <x:c r="Q7" s="35" t="str">
        <x:v>yes</x:v>
      </x:c>
      <x:c r="R7" s="35" t="n">
        <x:v>0.82</x:v>
      </x:c>
      <x:c r="S7" s="35" t="str">
        <x:v>방법론 설명용 합성자료; 실제 기업 추정이 아님</x:v>
      </x:c>
      <x:c r="T7" s="36" t="n">
        <x:v>-0.02</x:v>
      </x:c>
      <x:c r="U7" s="36" t="n">
        <x:v>0.1332</x:v>
      </x:c>
      <x:c r="V7" s="36" t="n">
        <x:v>0.18</x:v>
      </x:c>
      <x:c r="W7" s="36" t="n">
        <x:v>0.42</x:v>
      </x:c>
      <x:c r="X7" s="36" t="n">
        <x:v>0.012</x:v>
      </x:c>
      <x:c r="Y7" s="36" t="n">
        <x:v>3.2</x:v>
      </x:c>
      <x:c r="Z7" s="36" t="n">
        <x:v>0.08</x:v>
      </x:c>
      <x:c r="AA7" s="36" t="n">
        <x:v>0.28</x:v>
      </x:c>
      <x:c r="AB7" s="36" t="n">
        <x:v>0.74</x:v>
      </x:c>
      <x:c r="AC7" s="36" t="n">
        <x:v>8.5</x:v>
      </x:c>
      <x:c r="AD7" s="37" t="str">
        <x:f>IF(A7="","",'91_CALC_SCORES'!$AB$7)</x:f>
        <x:v>PASS</x:v>
      </x:c>
    </x:row>
    <x:row r="8" ht="15" hidden="0" customHeight="1">
      <x:c r="A8" s="35" t="str">
        <x:v>SYN-B</x:v>
      </x:c>
      <x:c r="B8" s="35" t="str">
        <x:v>누리 미디어</x:v>
      </x:c>
      <x:c r="C8" s="35" t="str">
        <x:v>foreign</x:v>
      </x:c>
      <x:c r="D8" s="35" t="str">
        <x:v>digital_content</x:v>
      </x:c>
      <x:c r="E8" s="35" t="str">
        <x:v>integrated_content</x:v>
      </x:c>
      <x:c r="F8" s="35" t="str">
        <x:v>Korea</x:v>
      </x:c>
      <x:c r="G8" s="35" t="str">
        <x:v>2025Q4</x:v>
      </x:c>
      <x:c r="H8" s="35" t="str">
        <x:v>BM-DIGITAL-CONTENT-2025Q4</x:v>
      </x:c>
      <x:c r="I8" s="35" t="str">
        <x:v>KRW</x:v>
      </x:c>
      <x:c r="J8" s="35" t="n">
        <x:v>2025</x:v>
      </x:c>
      <x:c r="K8" s="35" t="str">
        <x:v>SYNTHETIC</x:v>
      </x:c>
      <x:c r="L8" s="35" t="str">
        <x:v>yes</x:v>
      </x:c>
      <x:c r="M8" s="35" t="str">
        <x:v>derived</x:v>
      </x:c>
      <x:c r="N8" s="35" t="str">
        <x:v>SYNTHETIC-METHOD-DEMO</x:v>
      </x:c>
      <x:c r="O8" s="35" t="str">
        <x:v>2025-12-31</x:v>
      </x:c>
      <x:c r="P8" s="35" t="n">
        <x:v>0</x:v>
      </x:c>
      <x:c r="Q8" s="35" t="str">
        <x:v>yes</x:v>
      </x:c>
      <x:c r="R8" s="35" t="n">
        <x:v>0.7</x:v>
      </x:c>
      <x:c r="S8" s="35" t="str">
        <x:v>방법론 설명용 합성자료; 실제 기업 추정이 아님</x:v>
      </x:c>
      <x:c r="T8" s="36" t="n">
        <x:v>-0.055</x:v>
      </x:c>
      <x:c r="U8" s="36" t="n">
        <x:v>0.06405</x:v>
      </x:c>
      <x:c r="V8" s="36" t="n">
        <x:v>0.105</x:v>
      </x:c>
      <x:c r="W8" s="36" t="n">
        <x:v>0.73</x:v>
      </x:c>
      <x:c r="X8" s="36" t="n">
        <x:v>0.004</x:v>
      </x:c>
      <x:c r="Y8" s="36" t="n">
        <x:v>4.1</x:v>
      </x:c>
      <x:c r="Z8" s="36" t="n">
        <x:v>0.025</x:v>
      </x:c>
      <x:c r="AA8" s="36" t="n">
        <x:v>0.16</x:v>
      </x:c>
      <x:c r="AB8" s="36" t="n">
        <x:v>0.61</x:v>
      </x:c>
      <x:c r="AC8" s="36" t="n">
        <x:v>4</x:v>
      </x:c>
      <x:c r="AD8" s="37" t="str">
        <x:f>IF(A8="","",'91_CALC_SCORES'!$AB$8)</x:f>
        <x:v>PASS</x:v>
      </x:c>
    </x:row>
    <x:row r="9" ht="15" hidden="0" customHeight="1">
      <x:c r="A9" s="35" t="str">
        <x:v>SYN-C</x:v>
      </x:c>
      <x:c r="B9" s="35" t="str">
        <x:v>다온 스토리</x:v>
      </x:c>
      <x:c r="C9" s="35" t="str">
        <x:v>foreign</x:v>
      </x:c>
      <x:c r="D9" s="35" t="str">
        <x:v>digital_content</x:v>
      </x:c>
      <x:c r="E9" s="35" t="str">
        <x:v>integrated_content</x:v>
      </x:c>
      <x:c r="F9" s="35" t="str">
        <x:v>Korea</x:v>
      </x:c>
      <x:c r="G9" s="35" t="str">
        <x:v>2025Q4</x:v>
      </x:c>
      <x:c r="H9" s="35" t="str">
        <x:v>BM-DIGITAL-CONTENT-2025Q4</x:v>
      </x:c>
      <x:c r="I9" s="35" t="str">
        <x:v>KRW</x:v>
      </x:c>
      <x:c r="J9" s="35" t="n">
        <x:v>2025</x:v>
      </x:c>
      <x:c r="K9" s="35" t="str">
        <x:v>SYNTHETIC</x:v>
      </x:c>
      <x:c r="L9" s="35" t="str">
        <x:v>yes</x:v>
      </x:c>
      <x:c r="M9" s="35" t="str">
        <x:v>derived</x:v>
      </x:c>
      <x:c r="N9" s="35" t="str">
        <x:v>SYNTHETIC-METHOD-DEMO</x:v>
      </x:c>
      <x:c r="O9" s="35" t="str">
        <x:v>2025-12-31</x:v>
      </x:c>
      <x:c r="P9" s="35" t="n">
        <x:v>0</x:v>
      </x:c>
      <x:c r="Q9" s="35" t="str">
        <x:v>yes</x:v>
      </x:c>
      <x:c r="R9" s="35" t="n">
        <x:v>0.64</x:v>
      </x:c>
      <x:c r="S9" s="35" t="str">
        <x:v>방법론 설명용 합성자료; 실제 기업 추정이 아님</x:v>
      </x:c>
      <x:c r="T9" s="36" t="n">
        <x:v>0.01</x:v>
      </x:c>
      <x:c r="U9" s="36" t="n">
        <x:v>0.0986</x:v>
      </x:c>
      <x:c r="V9" s="36" t="n">
        <x:v>0.145</x:v>
      </x:c>
      <x:c r="W9" s="36" t="n">
        <x:v>0.18</x:v>
      </x:c>
      <x:c r="X9" s="36" t="n">
        <x:v>0.018</x:v>
      </x:c>
      <x:c r="Y9" s="36" t="n">
        <x:v>2.65</x:v>
      </x:c>
      <x:c r="Z9" s="36" t="n">
        <x:v>0.11</x:v>
      </x:c>
      <x:c r="AA9" s="36" t="n">
        <x:v>0.34</x:v>
      </x:c>
      <x:c r="AB9" s="36" t="n">
        <x:v>0.68</x:v>
      </x:c>
      <x:c r="AC9" s="36" t="n">
        <x:v>6.8</x:v>
      </x:c>
      <x:c r="AD9" s="37" t="str">
        <x:f>IF(A9="","",'91_CALC_SCORES'!$AB$9)</x:f>
        <x:v>PASS</x:v>
      </x:c>
    </x:row>
    <x:row r="10" ht="15" hidden="0" customHeight="1">
      <x:c r="A10" s="35" t="str">
        <x:v>SYN-D</x:v>
      </x:c>
      <x:c r="B10" s="35" t="str">
        <x:v>라온 플레이</x:v>
      </x:c>
      <x:c r="C10" s="35" t="str">
        <x:v>domestic</x:v>
      </x:c>
      <x:c r="D10" s="35" t="str">
        <x:v>digital_content</x:v>
      </x:c>
      <x:c r="E10" s="35" t="str">
        <x:v>integrated_content</x:v>
      </x:c>
      <x:c r="F10" s="35" t="str">
        <x:v>Korea</x:v>
      </x:c>
      <x:c r="G10" s="35" t="str">
        <x:v>2025Q4</x:v>
      </x:c>
      <x:c r="H10" s="35" t="str">
        <x:v>BM-DIGITAL-CONTENT-2025Q4</x:v>
      </x:c>
      <x:c r="I10" s="35" t="str">
        <x:v>KRW</x:v>
      </x:c>
      <x:c r="J10" s="35" t="n">
        <x:v>2025</x:v>
      </x:c>
      <x:c r="K10" s="35" t="str">
        <x:v>SYNTHETIC</x:v>
      </x:c>
      <x:c r="L10" s="35" t="str">
        <x:v>yes</x:v>
      </x:c>
      <x:c r="M10" s="35" t="str">
        <x:v>derived</x:v>
      </x:c>
      <x:c r="N10" s="35" t="str">
        <x:v>SYNTHETIC-METHOD-DEMO</x:v>
      </x:c>
      <x:c r="O10" s="35" t="str">
        <x:v>2025-12-31</x:v>
      </x:c>
      <x:c r="P10" s="35" t="n">
        <x:v>0</x:v>
      </x:c>
      <x:c r="Q10" s="35" t="str">
        <x:v>yes</x:v>
      </x:c>
      <x:c r="R10" s="35" t="n">
        <x:v>0.77</x:v>
      </x:c>
      <x:c r="S10" s="35" t="str">
        <x:v>방법론 설명용 합성자료; 실제 기업 추정이 아님</x:v>
      </x:c>
      <x:c r="T10" s="36" t="n">
        <x:v>-0.005</x:v>
      </x:c>
      <x:c r="U10" s="36" t="n">
        <x:v>0.1136</x:v>
      </x:c>
      <x:c r="V10" s="36" t="n">
        <x:v>0.16</x:v>
      </x:c>
      <x:c r="W10" s="36" t="n">
        <x:v>0.51</x:v>
      </x:c>
      <x:c r="X10" s="36" t="n">
        <x:v>0.009</x:v>
      </x:c>
      <x:c r="Y10" s="36" t="n">
        <x:v>3.55</x:v>
      </x:c>
      <x:c r="Z10" s="36" t="n">
        <x:v>0.065</x:v>
      </x:c>
      <x:c r="AA10" s="36" t="n">
        <x:v>0.24</x:v>
      </x:c>
      <x:c r="AB10" s="36" t="n">
        <x:v>0.71</x:v>
      </x:c>
      <x:c r="AC10" s="36" t="n">
        <x:v>7.4</x:v>
      </x:c>
      <x:c r="AD10" s="37" t="str">
        <x:f>IF(A10="","",'91_CALC_SCORES'!$AB$10)</x:f>
        <x:v>PASS</x:v>
      </x:c>
    </x:row>
    <x:row r="11" ht="15" hidden="0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6"/>
      <x:c r="U11" s="36"/>
      <x:c r="V11" s="36"/>
      <x:c r="W11" s="36"/>
      <x:c r="X11" s="36"/>
      <x:c r="Y11" s="36"/>
      <x:c r="Z11" s="36"/>
      <x:c r="AA11" s="36"/>
      <x:c r="AB11" s="36"/>
      <x:c r="AC11" s="36"/>
      <x:c r="AD11" s="37" t="str">
        <x:f>IF(A11="","",'91_CALC_SCORES'!$AB$11)</x:f>
      </x:c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6"/>
      <x:c r="U12" s="36"/>
      <x:c r="V12" s="36"/>
      <x:c r="W12" s="36"/>
      <x:c r="X12" s="36"/>
      <x:c r="Y12" s="36"/>
      <x:c r="Z12" s="36"/>
      <x:c r="AA12" s="36"/>
      <x:c r="AB12" s="36"/>
      <x:c r="AC12" s="36"/>
      <x:c r="AD12" s="37" t="str">
        <x:f>IF(A12="","",'91_CALC_SCORES'!$AB$12)</x:f>
      </x:c>
    </x:row>
    <x:row r="13" ht="15" hidden="0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6"/>
      <x:c r="U13" s="36"/>
      <x:c r="V13" s="36"/>
      <x:c r="W13" s="36"/>
      <x:c r="X13" s="36"/>
      <x:c r="Y13" s="36"/>
      <x:c r="Z13" s="36"/>
      <x:c r="AA13" s="36"/>
      <x:c r="AB13" s="36"/>
      <x:c r="AC13" s="36"/>
      <x:c r="AD13" s="37" t="str">
        <x:f>IF(A13="","",'91_CALC_SCORES'!$AB$13)</x:f>
      </x:c>
    </x:row>
    <x:row r="14" ht="15" hidden="0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7" t="str">
        <x:f>IF(A14="","",'91_CALC_SCORES'!$AB$14)</x:f>
      </x:c>
    </x:row>
    <x:row r="15" ht="15" hidden="0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6"/>
      <x:c r="U15" s="36"/>
      <x:c r="V15" s="36"/>
      <x:c r="W15" s="36"/>
      <x:c r="X15" s="36"/>
      <x:c r="Y15" s="36"/>
      <x:c r="Z15" s="36"/>
      <x:c r="AA15" s="36"/>
      <x:c r="AB15" s="36"/>
      <x:c r="AC15" s="36"/>
      <x:c r="AD15" s="37" t="str">
        <x:f>IF(A15="","",'91_CALC_SCORES'!$AB$15)</x:f>
      </x:c>
    </x:row>
    <x:row r="16" ht="15" hidden="0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6"/>
      <x:c r="U16" s="36"/>
      <x:c r="V16" s="36"/>
      <x:c r="W16" s="36"/>
      <x:c r="X16" s="36"/>
      <x:c r="Y16" s="36"/>
      <x:c r="Z16" s="36"/>
      <x:c r="AA16" s="36"/>
      <x:c r="AB16" s="36"/>
      <x:c r="AC16" s="36"/>
      <x:c r="AD16" s="37" t="str">
        <x:f>IF(A16="","",'91_CALC_SCORES'!$AB$16)</x:f>
      </x:c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4" t="str">
        <x:f>IF(A17="","",'91_CALC_SCORES'!$AB$17)</x:f>
      </x:c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1"/>
      <x:c r="U18" s="31"/>
      <x:c r="V18" s="31"/>
      <x:c r="W18" s="31"/>
      <x:c r="X18" s="31"/>
      <x:c r="Y18" s="31"/>
      <x:c r="Z18" s="31"/>
      <x:c r="AA18" s="31"/>
      <x:c r="AB18" s="31"/>
      <x:c r="AC18" s="31"/>
      <x:c r="AD18" s="34" t="str">
        <x:f>IF(A18="","",'91_CALC_SCORES'!$AB$18)</x:f>
      </x:c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1"/>
      <x:c r="U19" s="31"/>
      <x:c r="V19" s="31"/>
      <x:c r="W19" s="31"/>
      <x:c r="X19" s="31"/>
      <x:c r="Y19" s="31"/>
      <x:c r="Z19" s="31"/>
      <x:c r="AA19" s="31"/>
      <x:c r="AB19" s="31"/>
      <x:c r="AC19" s="31"/>
      <x:c r="AD19" s="34" t="str">
        <x:f>IF(A19="","",'91_CALC_SCORES'!$AB$19)</x:f>
      </x:c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4" t="str">
        <x:f>IF(A20="","",'91_CALC_SCORES'!$AB$20)</x:f>
      </x:c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4" t="str">
        <x:f>IF(A21="","",'91_CALC_SCORES'!$AB$21)</x:f>
      </x:c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4" t="str">
        <x:f>IF(A22="","",'91_CALC_SCORES'!$AB$22)</x:f>
      </x:c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1"/>
      <x:c r="U23" s="31"/>
      <x:c r="V23" s="31"/>
      <x:c r="W23" s="31"/>
      <x:c r="X23" s="31"/>
      <x:c r="Y23" s="31"/>
      <x:c r="Z23" s="31"/>
      <x:c r="AA23" s="31"/>
      <x:c r="AB23" s="31"/>
      <x:c r="AC23" s="31"/>
      <x:c r="AD23" s="34" t="str">
        <x:f>IF(A23="","",'91_CALC_SCORES'!$AB$23)</x:f>
      </x:c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1"/>
      <x:c r="U24" s="31"/>
      <x:c r="V24" s="31"/>
      <x:c r="W24" s="31"/>
      <x:c r="X24" s="31"/>
      <x:c r="Y24" s="31"/>
      <x:c r="Z24" s="31"/>
      <x:c r="AA24" s="31"/>
      <x:c r="AB24" s="31"/>
      <x:c r="AC24" s="31"/>
      <x:c r="AD24" s="34" t="str">
        <x:f>IF(A24="","",'91_CALC_SCORES'!$AB$24)</x:f>
      </x:c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4" t="str">
        <x:f>IF(A25="","",'91_CALC_SCORES'!$AB$25)</x:f>
      </x:c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4" t="str">
        <x:f>IF(A26="","",'91_CALC_SCORES'!$AB$26)</x:f>
      </x:c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4" t="str">
        <x:f>IF(A27="","",'91_CALC_SCORES'!$AB$27)</x:f>
      </x:c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4" t="str">
        <x:f>IF(A28="","",'91_CALC_SCORES'!$AB$28)</x:f>
      </x:c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1"/>
      <x:c r="U29" s="31"/>
      <x:c r="V29" s="31"/>
      <x:c r="W29" s="31"/>
      <x:c r="X29" s="31"/>
      <x:c r="Y29" s="31"/>
      <x:c r="Z29" s="31"/>
      <x:c r="AA29" s="31"/>
      <x:c r="AB29" s="31"/>
      <x:c r="AC29" s="31"/>
      <x:c r="AD29" s="34" t="str">
        <x:f>IF(A29="","",'91_CALC_SCORES'!$AB$29)</x:f>
      </x:c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1"/>
      <x:c r="U30" s="31"/>
      <x:c r="V30" s="31"/>
      <x:c r="W30" s="31"/>
      <x:c r="X30" s="31"/>
      <x:c r="Y30" s="31"/>
      <x:c r="Z30" s="31"/>
      <x:c r="AA30" s="31"/>
      <x:c r="AB30" s="31"/>
      <x:c r="AC30" s="31"/>
      <x:c r="AD30" s="34" t="str">
        <x:f>IF(A30="","",'91_CALC_SCORES'!$AB$30)</x:f>
      </x:c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1"/>
      <x:c r="U31" s="31"/>
      <x:c r="V31" s="31"/>
      <x:c r="W31" s="31"/>
      <x:c r="X31" s="31"/>
      <x:c r="Y31" s="31"/>
      <x:c r="Z31" s="31"/>
      <x:c r="AA31" s="31"/>
      <x:c r="AB31" s="31"/>
      <x:c r="AC31" s="31"/>
      <x:c r="AD31" s="34" t="str">
        <x:f>IF(A31="","",'91_CALC_SCORES'!$AB$31)</x:f>
      </x:c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1"/>
      <x:c r="U32" s="31"/>
      <x:c r="V32" s="31"/>
      <x:c r="W32" s="31"/>
      <x:c r="X32" s="31"/>
      <x:c r="Y32" s="31"/>
      <x:c r="Z32" s="31"/>
      <x:c r="AA32" s="31"/>
      <x:c r="AB32" s="31"/>
      <x:c r="AC32" s="31"/>
      <x:c r="AD32" s="34" t="str">
        <x:f>IF(A32="","",'91_CALC_SCORES'!$AB$32)</x:f>
      </x:c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1"/>
      <x:c r="U33" s="31"/>
      <x:c r="V33" s="31"/>
      <x:c r="W33" s="31"/>
      <x:c r="X33" s="31"/>
      <x:c r="Y33" s="31"/>
      <x:c r="Z33" s="31"/>
      <x:c r="AA33" s="31"/>
      <x:c r="AB33" s="31"/>
      <x:c r="AC33" s="31"/>
      <x:c r="AD33" s="34" t="str">
        <x:f>IF(A33="","",'91_CALC_SCORES'!$AB$33)</x:f>
      </x:c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1"/>
      <x:c r="U34" s="31"/>
      <x:c r="V34" s="31"/>
      <x:c r="W34" s="31"/>
      <x:c r="X34" s="31"/>
      <x:c r="Y34" s="31"/>
      <x:c r="Z34" s="31"/>
      <x:c r="AA34" s="31"/>
      <x:c r="AB34" s="31"/>
      <x:c r="AC34" s="31"/>
      <x:c r="AD34" s="34" t="str">
        <x:f>IF(A34="","",'91_CALC_SCORES'!$AB$34)</x:f>
      </x:c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1"/>
      <x:c r="U35" s="31"/>
      <x:c r="V35" s="31"/>
      <x:c r="W35" s="31"/>
      <x:c r="X35" s="31"/>
      <x:c r="Y35" s="31"/>
      <x:c r="Z35" s="31"/>
      <x:c r="AA35" s="31"/>
      <x:c r="AB35" s="31"/>
      <x:c r="AC35" s="31"/>
      <x:c r="AD35" s="34" t="str">
        <x:f>IF(A35="","",'91_CALC_SCORES'!$AB$35)</x:f>
      </x:c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1"/>
      <x:c r="U36" s="31"/>
      <x:c r="V36" s="31"/>
      <x:c r="W36" s="31"/>
      <x:c r="X36" s="31"/>
      <x:c r="Y36" s="31"/>
      <x:c r="Z36" s="31"/>
      <x:c r="AA36" s="31"/>
      <x:c r="AB36" s="31"/>
      <x:c r="AC36" s="31"/>
      <x:c r="AD36" s="34" t="str">
        <x:f>IF(A36="","",'91_CALC_SCORES'!$AB$36)</x:f>
      </x:c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1"/>
      <x:c r="U37" s="31"/>
      <x:c r="V37" s="31"/>
      <x:c r="W37" s="31"/>
      <x:c r="X37" s="31"/>
      <x:c r="Y37" s="31"/>
      <x:c r="Z37" s="31"/>
      <x:c r="AA37" s="31"/>
      <x:c r="AB37" s="31"/>
      <x:c r="AC37" s="31"/>
      <x:c r="AD37" s="34" t="str">
        <x:f>IF(A37="","",'91_CALC_SCORES'!$AB$37)</x:f>
      </x:c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1"/>
      <x:c r="U38" s="31"/>
      <x:c r="V38" s="31"/>
      <x:c r="W38" s="31"/>
      <x:c r="X38" s="31"/>
      <x:c r="Y38" s="31"/>
      <x:c r="Z38" s="31"/>
      <x:c r="AA38" s="31"/>
      <x:c r="AB38" s="31"/>
      <x:c r="AC38" s="31"/>
      <x:c r="AD38" s="34" t="str">
        <x:f>IF(A38="","",'91_CALC_SCORES'!$AB$38)</x:f>
      </x:c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1"/>
      <x:c r="U39" s="31"/>
      <x:c r="V39" s="31"/>
      <x:c r="W39" s="31"/>
      <x:c r="X39" s="31"/>
      <x:c r="Y39" s="31"/>
      <x:c r="Z39" s="31"/>
      <x:c r="AA39" s="31"/>
      <x:c r="AB39" s="31"/>
      <x:c r="AC39" s="31"/>
      <x:c r="AD39" s="34" t="str">
        <x:f>IF(A39="","",'91_CALC_SCORES'!$AB$39)</x:f>
      </x:c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1"/>
      <x:c r="U40" s="31"/>
      <x:c r="V40" s="31"/>
      <x:c r="W40" s="31"/>
      <x:c r="X40" s="31"/>
      <x:c r="Y40" s="31"/>
      <x:c r="Z40" s="31"/>
      <x:c r="AA40" s="31"/>
      <x:c r="AB40" s="31"/>
      <x:c r="AC40" s="31"/>
      <x:c r="AD40" s="34" t="str">
        <x:f>IF(A40="","",'91_CALC_SCORES'!$AB$40)</x:f>
      </x:c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1"/>
      <x:c r="U41" s="31"/>
      <x:c r="V41" s="31"/>
      <x:c r="W41" s="31"/>
      <x:c r="X41" s="31"/>
      <x:c r="Y41" s="31"/>
      <x:c r="Z41" s="31"/>
      <x:c r="AA41" s="31"/>
      <x:c r="AB41" s="31"/>
      <x:c r="AC41" s="31"/>
      <x:c r="AD41" s="34" t="str">
        <x:f>IF(A41="","",'91_CALC_SCORES'!$AB$41)</x:f>
      </x:c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1"/>
      <x:c r="U42" s="31"/>
      <x:c r="V42" s="31"/>
      <x:c r="W42" s="31"/>
      <x:c r="X42" s="31"/>
      <x:c r="Y42" s="31"/>
      <x:c r="Z42" s="31"/>
      <x:c r="AA42" s="31"/>
      <x:c r="AB42" s="31"/>
      <x:c r="AC42" s="31"/>
      <x:c r="AD42" s="34" t="str">
        <x:f>IF(A42="","",'91_CALC_SCORES'!$AB$42)</x:f>
      </x:c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1"/>
      <x:c r="U43" s="31"/>
      <x:c r="V43" s="31"/>
      <x:c r="W43" s="31"/>
      <x:c r="X43" s="31"/>
      <x:c r="Y43" s="31"/>
      <x:c r="Z43" s="31"/>
      <x:c r="AA43" s="31"/>
      <x:c r="AB43" s="31"/>
      <x:c r="AC43" s="31"/>
      <x:c r="AD43" s="34" t="str">
        <x:f>IF(A43="","",'91_CALC_SCORES'!$AB$43)</x:f>
      </x:c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1"/>
      <x:c r="U44" s="31"/>
      <x:c r="V44" s="31"/>
      <x:c r="W44" s="31"/>
      <x:c r="X44" s="31"/>
      <x:c r="Y44" s="31"/>
      <x:c r="Z44" s="31"/>
      <x:c r="AA44" s="31"/>
      <x:c r="AB44" s="31"/>
      <x:c r="AC44" s="31"/>
      <x:c r="AD44" s="34" t="str">
        <x:f>IF(A44="","",'91_CALC_SCORES'!$AB$44)</x:f>
      </x:c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1"/>
      <x:c r="U45" s="31"/>
      <x:c r="V45" s="31"/>
      <x:c r="W45" s="31"/>
      <x:c r="X45" s="31"/>
      <x:c r="Y45" s="31"/>
      <x:c r="Z45" s="31"/>
      <x:c r="AA45" s="31"/>
      <x:c r="AB45" s="31"/>
      <x:c r="AC45" s="31"/>
      <x:c r="AD45" s="34" t="str">
        <x:f>IF(A45="","",'91_CALC_SCORES'!$AB$45)</x:f>
      </x:c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1"/>
      <x:c r="U46" s="31"/>
      <x:c r="V46" s="31"/>
      <x:c r="W46" s="31"/>
      <x:c r="X46" s="31"/>
      <x:c r="Y46" s="31"/>
      <x:c r="Z46" s="31"/>
      <x:c r="AA46" s="31"/>
      <x:c r="AB46" s="31"/>
      <x:c r="AC46" s="31"/>
      <x:c r="AD46" s="34" t="str">
        <x:f>IF(A46="","",'91_CALC_SCORES'!$AB$46)</x:f>
      </x:c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1"/>
      <x:c r="U47" s="31"/>
      <x:c r="V47" s="31"/>
      <x:c r="W47" s="31"/>
      <x:c r="X47" s="31"/>
      <x:c r="Y47" s="31"/>
      <x:c r="Z47" s="31"/>
      <x:c r="AA47" s="31"/>
      <x:c r="AB47" s="31"/>
      <x:c r="AC47" s="31"/>
      <x:c r="AD47" s="34" t="str">
        <x:f>IF(A47="","",'91_CALC_SCORES'!$AB$47)</x:f>
      </x:c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1"/>
      <x:c r="U48" s="31"/>
      <x:c r="V48" s="31"/>
      <x:c r="W48" s="31"/>
      <x:c r="X48" s="31"/>
      <x:c r="Y48" s="31"/>
      <x:c r="Z48" s="31"/>
      <x:c r="AA48" s="31"/>
      <x:c r="AB48" s="31"/>
      <x:c r="AC48" s="31"/>
      <x:c r="AD48" s="34" t="str">
        <x:f>IF(A48="","",'91_CALC_SCORES'!$AB$48)</x:f>
      </x:c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1"/>
      <x:c r="U49" s="31"/>
      <x:c r="V49" s="31"/>
      <x:c r="W49" s="31"/>
      <x:c r="X49" s="31"/>
      <x:c r="Y49" s="31"/>
      <x:c r="Z49" s="31"/>
      <x:c r="AA49" s="31"/>
      <x:c r="AB49" s="31"/>
      <x:c r="AC49" s="31"/>
      <x:c r="AD49" s="34" t="str">
        <x:f>IF(A49="","",'91_CALC_SCORES'!$AB$49)</x:f>
      </x:c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1"/>
      <x:c r="U50" s="31"/>
      <x:c r="V50" s="31"/>
      <x:c r="W50" s="31"/>
      <x:c r="X50" s="31"/>
      <x:c r="Y50" s="31"/>
      <x:c r="Z50" s="31"/>
      <x:c r="AA50" s="31"/>
      <x:c r="AB50" s="31"/>
      <x:c r="AC50" s="31"/>
      <x:c r="AD50" s="34" t="str">
        <x:f>IF(A50="","",'91_CALC_SCORES'!$AB$50)</x:f>
      </x:c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1"/>
      <x:c r="U51" s="31"/>
      <x:c r="V51" s="31"/>
      <x:c r="W51" s="31"/>
      <x:c r="X51" s="31"/>
      <x:c r="Y51" s="31"/>
      <x:c r="Z51" s="31"/>
      <x:c r="AA51" s="31"/>
      <x:c r="AB51" s="31"/>
      <x:c r="AC51" s="31"/>
      <x:c r="AD51" s="34" t="str">
        <x:f>IF(A51="","",'91_CALC_SCORES'!$AB$51)</x:f>
      </x:c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1"/>
      <x:c r="U52" s="31"/>
      <x:c r="V52" s="31"/>
      <x:c r="W52" s="31"/>
      <x:c r="X52" s="31"/>
      <x:c r="Y52" s="31"/>
      <x:c r="Z52" s="31"/>
      <x:c r="AA52" s="31"/>
      <x:c r="AB52" s="31"/>
      <x:c r="AC52" s="31"/>
      <x:c r="AD52" s="34" t="str">
        <x:f>IF(A52="","",'91_CALC_SCORES'!$AB$52)</x:f>
      </x:c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1"/>
      <x:c r="U53" s="31"/>
      <x:c r="V53" s="31"/>
      <x:c r="W53" s="31"/>
      <x:c r="X53" s="31"/>
      <x:c r="Y53" s="31"/>
      <x:c r="Z53" s="31"/>
      <x:c r="AA53" s="31"/>
      <x:c r="AB53" s="31"/>
      <x:c r="AC53" s="31"/>
      <x:c r="AD53" s="34" t="str">
        <x:f>IF(A53="","",'91_CALC_SCORES'!$AB$53)</x:f>
      </x:c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1"/>
      <x:c r="U54" s="31"/>
      <x:c r="V54" s="31"/>
      <x:c r="W54" s="31"/>
      <x:c r="X54" s="31"/>
      <x:c r="Y54" s="31"/>
      <x:c r="Z54" s="31"/>
      <x:c r="AA54" s="31"/>
      <x:c r="AB54" s="31"/>
      <x:c r="AC54" s="31"/>
      <x:c r="AD54" s="34" t="str">
        <x:f>IF(A54="","",'91_CALC_SCORES'!$AB$54)</x:f>
      </x:c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1"/>
      <x:c r="U55" s="31"/>
      <x:c r="V55" s="31"/>
      <x:c r="W55" s="31"/>
      <x:c r="X55" s="31"/>
      <x:c r="Y55" s="31"/>
      <x:c r="Z55" s="31"/>
      <x:c r="AA55" s="31"/>
      <x:c r="AB55" s="31"/>
      <x:c r="AC55" s="31"/>
      <x:c r="AD55" s="34" t="str">
        <x:f>IF(A55="","",'91_CALC_SCORES'!$AB$55)</x:f>
      </x:c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1"/>
      <x:c r="U56" s="31"/>
      <x:c r="V56" s="31"/>
      <x:c r="W56" s="31"/>
      <x:c r="X56" s="31"/>
      <x:c r="Y56" s="31"/>
      <x:c r="Z56" s="31"/>
      <x:c r="AA56" s="31"/>
      <x:c r="AB56" s="31"/>
      <x:c r="AC56" s="31"/>
      <x:c r="AD56" s="34" t="str">
        <x:f>IF(A56="","",'91_CALC_SCORES'!$AB$56)</x:f>
      </x:c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1"/>
      <x:c r="U57" s="31"/>
      <x:c r="V57" s="31"/>
      <x:c r="W57" s="31"/>
      <x:c r="X57" s="31"/>
      <x:c r="Y57" s="31"/>
      <x:c r="Z57" s="31"/>
      <x:c r="AA57" s="31"/>
      <x:c r="AB57" s="31"/>
      <x:c r="AC57" s="31"/>
      <x:c r="AD57" s="34" t="str">
        <x:f>IF(A57="","",'91_CALC_SCORES'!$AB$57)</x:f>
      </x:c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1"/>
      <x:c r="U58" s="31"/>
      <x:c r="V58" s="31"/>
      <x:c r="W58" s="31"/>
      <x:c r="X58" s="31"/>
      <x:c r="Y58" s="31"/>
      <x:c r="Z58" s="31"/>
      <x:c r="AA58" s="31"/>
      <x:c r="AB58" s="31"/>
      <x:c r="AC58" s="31"/>
      <x:c r="AD58" s="34" t="str">
        <x:f>IF(A58="","",'91_CALC_SCORES'!$AB$58)</x:f>
      </x:c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1"/>
      <x:c r="U59" s="31"/>
      <x:c r="V59" s="31"/>
      <x:c r="W59" s="31"/>
      <x:c r="X59" s="31"/>
      <x:c r="Y59" s="31"/>
      <x:c r="Z59" s="31"/>
      <x:c r="AA59" s="31"/>
      <x:c r="AB59" s="31"/>
      <x:c r="AC59" s="31"/>
      <x:c r="AD59" s="34" t="str">
        <x:f>IF(A59="","",'91_CALC_SCORES'!$AB$59)</x:f>
      </x:c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1"/>
      <x:c r="U60" s="31"/>
      <x:c r="V60" s="31"/>
      <x:c r="W60" s="31"/>
      <x:c r="X60" s="31"/>
      <x:c r="Y60" s="31"/>
      <x:c r="Z60" s="31"/>
      <x:c r="AA60" s="31"/>
      <x:c r="AB60" s="31"/>
      <x:c r="AC60" s="31"/>
      <x:c r="AD60" s="34" t="str">
        <x:f>IF(A60="","",'91_CALC_SCORES'!$AB$60)</x:f>
      </x:c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1"/>
      <x:c r="U61" s="31"/>
      <x:c r="V61" s="31"/>
      <x:c r="W61" s="31"/>
      <x:c r="X61" s="31"/>
      <x:c r="Y61" s="31"/>
      <x:c r="Z61" s="31"/>
      <x:c r="AA61" s="31"/>
      <x:c r="AB61" s="31"/>
      <x:c r="AC61" s="31"/>
      <x:c r="AD61" s="34" t="str">
        <x:f>IF(A61="","",'91_CALC_SCORES'!$AB$61)</x:f>
      </x:c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1"/>
      <x:c r="U62" s="31"/>
      <x:c r="V62" s="31"/>
      <x:c r="W62" s="31"/>
      <x:c r="X62" s="31"/>
      <x:c r="Y62" s="31"/>
      <x:c r="Z62" s="31"/>
      <x:c r="AA62" s="31"/>
      <x:c r="AB62" s="31"/>
      <x:c r="AC62" s="31"/>
      <x:c r="AD62" s="34" t="str">
        <x:f>IF(A62="","",'91_CALC_SCORES'!$AB$62)</x:f>
      </x:c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1"/>
      <x:c r="U63" s="31"/>
      <x:c r="V63" s="31"/>
      <x:c r="W63" s="31"/>
      <x:c r="X63" s="31"/>
      <x:c r="Y63" s="31"/>
      <x:c r="Z63" s="31"/>
      <x:c r="AA63" s="31"/>
      <x:c r="AB63" s="31"/>
      <x:c r="AC63" s="31"/>
      <x:c r="AD63" s="34" t="str">
        <x:f>IF(A63="","",'91_CALC_SCORES'!$AB$63)</x:f>
      </x:c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1"/>
      <x:c r="U64" s="31"/>
      <x:c r="V64" s="31"/>
      <x:c r="W64" s="31"/>
      <x:c r="X64" s="31"/>
      <x:c r="Y64" s="31"/>
      <x:c r="Z64" s="31"/>
      <x:c r="AA64" s="31"/>
      <x:c r="AB64" s="31"/>
      <x:c r="AC64" s="31"/>
      <x:c r="AD64" s="34" t="str">
        <x:f>IF(A64="","",'91_CALC_SCORES'!$AB$64)</x:f>
      </x:c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1"/>
      <x:c r="U65" s="31"/>
      <x:c r="V65" s="31"/>
      <x:c r="W65" s="31"/>
      <x:c r="X65" s="31"/>
      <x:c r="Y65" s="31"/>
      <x:c r="Z65" s="31"/>
      <x:c r="AA65" s="31"/>
      <x:c r="AB65" s="31"/>
      <x:c r="AC65" s="31"/>
      <x:c r="AD65" s="34" t="str">
        <x:f>IF(A65="","",'91_CALC_SCORES'!$AB$65)</x:f>
      </x:c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1"/>
      <x:c r="U66" s="31"/>
      <x:c r="V66" s="31"/>
      <x:c r="W66" s="31"/>
      <x:c r="X66" s="31"/>
      <x:c r="Y66" s="31"/>
      <x:c r="Z66" s="31"/>
      <x:c r="AA66" s="31"/>
      <x:c r="AB66" s="31"/>
      <x:c r="AC66" s="31"/>
      <x:c r="AD66" s="34" t="str">
        <x:f>IF(A66="","",'91_CALC_SCORES'!$AB$66)</x:f>
      </x:c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1"/>
      <x:c r="U67" s="31"/>
      <x:c r="V67" s="31"/>
      <x:c r="W67" s="31"/>
      <x:c r="X67" s="31"/>
      <x:c r="Y67" s="31"/>
      <x:c r="Z67" s="31"/>
      <x:c r="AA67" s="31"/>
      <x:c r="AB67" s="31"/>
      <x:c r="AC67" s="31"/>
      <x:c r="AD67" s="34" t="str">
        <x:f>IF(A67="","",'91_CALC_SCORES'!$AB$67)</x:f>
      </x:c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1"/>
      <x:c r="U68" s="31"/>
      <x:c r="V68" s="31"/>
      <x:c r="W68" s="31"/>
      <x:c r="X68" s="31"/>
      <x:c r="Y68" s="31"/>
      <x:c r="Z68" s="31"/>
      <x:c r="AA68" s="31"/>
      <x:c r="AB68" s="31"/>
      <x:c r="AC68" s="31"/>
      <x:c r="AD68" s="34" t="str">
        <x:f>IF(A68="","",'91_CALC_SCORES'!$AB$68)</x:f>
      </x:c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1"/>
      <x:c r="U69" s="31"/>
      <x:c r="V69" s="31"/>
      <x:c r="W69" s="31"/>
      <x:c r="X69" s="31"/>
      <x:c r="Y69" s="31"/>
      <x:c r="Z69" s="31"/>
      <x:c r="AA69" s="31"/>
      <x:c r="AB69" s="31"/>
      <x:c r="AC69" s="31"/>
      <x:c r="AD69" s="34" t="str">
        <x:f>IF(A69="","",'91_CALC_SCORES'!$AB$69)</x:f>
      </x:c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1"/>
      <x:c r="U70" s="31"/>
      <x:c r="V70" s="31"/>
      <x:c r="W70" s="31"/>
      <x:c r="X70" s="31"/>
      <x:c r="Y70" s="31"/>
      <x:c r="Z70" s="31"/>
      <x:c r="AA70" s="31"/>
      <x:c r="AB70" s="31"/>
      <x:c r="AC70" s="31"/>
      <x:c r="AD70" s="34" t="str">
        <x:f>IF(A70="","",'91_CALC_SCORES'!$AB$70)</x:f>
      </x:c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1"/>
      <x:c r="U71" s="31"/>
      <x:c r="V71" s="31"/>
      <x:c r="W71" s="31"/>
      <x:c r="X71" s="31"/>
      <x:c r="Y71" s="31"/>
      <x:c r="Z71" s="31"/>
      <x:c r="AA71" s="31"/>
      <x:c r="AB71" s="31"/>
      <x:c r="AC71" s="31"/>
      <x:c r="AD71" s="34" t="str">
        <x:f>IF(A71="","",'91_CALC_SCORES'!$AB$71)</x:f>
      </x:c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1"/>
      <x:c r="U72" s="31"/>
      <x:c r="V72" s="31"/>
      <x:c r="W72" s="31"/>
      <x:c r="X72" s="31"/>
      <x:c r="Y72" s="31"/>
      <x:c r="Z72" s="31"/>
      <x:c r="AA72" s="31"/>
      <x:c r="AB72" s="31"/>
      <x:c r="AC72" s="31"/>
      <x:c r="AD72" s="34" t="str">
        <x:f>IF(A72="","",'91_CALC_SCORES'!$AB$72)</x:f>
      </x:c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1"/>
      <x:c r="U73" s="31"/>
      <x:c r="V73" s="31"/>
      <x:c r="W73" s="31"/>
      <x:c r="X73" s="31"/>
      <x:c r="Y73" s="31"/>
      <x:c r="Z73" s="31"/>
      <x:c r="AA73" s="31"/>
      <x:c r="AB73" s="31"/>
      <x:c r="AC73" s="31"/>
      <x:c r="AD73" s="34" t="str">
        <x:f>IF(A73="","",'91_CALC_SCORES'!$AB$73)</x:f>
      </x:c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1"/>
      <x:c r="U74" s="31"/>
      <x:c r="V74" s="31"/>
      <x:c r="W74" s="31"/>
      <x:c r="X74" s="31"/>
      <x:c r="Y74" s="31"/>
      <x:c r="Z74" s="31"/>
      <x:c r="AA74" s="31"/>
      <x:c r="AB74" s="31"/>
      <x:c r="AC74" s="31"/>
      <x:c r="AD74" s="34" t="str">
        <x:f>IF(A74="","",'91_CALC_SCORES'!$AB$74)</x:f>
      </x:c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1"/>
      <x:c r="U75" s="31"/>
      <x:c r="V75" s="31"/>
      <x:c r="W75" s="31"/>
      <x:c r="X75" s="31"/>
      <x:c r="Y75" s="31"/>
      <x:c r="Z75" s="31"/>
      <x:c r="AA75" s="31"/>
      <x:c r="AB75" s="31"/>
      <x:c r="AC75" s="31"/>
      <x:c r="AD75" s="34" t="str">
        <x:f>IF(A75="","",'91_CALC_SCORES'!$AB$75)</x:f>
      </x:c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1"/>
      <x:c r="U76" s="31"/>
      <x:c r="V76" s="31"/>
      <x:c r="W76" s="31"/>
      <x:c r="X76" s="31"/>
      <x:c r="Y76" s="31"/>
      <x:c r="Z76" s="31"/>
      <x:c r="AA76" s="31"/>
      <x:c r="AB76" s="31"/>
      <x:c r="AC76" s="31"/>
      <x:c r="AD76" s="34" t="str">
        <x:f>IF(A76="","",'91_CALC_SCORES'!$AB$76)</x:f>
      </x:c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1"/>
      <x:c r="U77" s="31"/>
      <x:c r="V77" s="31"/>
      <x:c r="W77" s="31"/>
      <x:c r="X77" s="31"/>
      <x:c r="Y77" s="31"/>
      <x:c r="Z77" s="31"/>
      <x:c r="AA77" s="31"/>
      <x:c r="AB77" s="31"/>
      <x:c r="AC77" s="31"/>
      <x:c r="AD77" s="34" t="str">
        <x:f>IF(A77="","",'91_CALC_SCORES'!$AB$77)</x:f>
      </x:c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1"/>
      <x:c r="U78" s="31"/>
      <x:c r="V78" s="31"/>
      <x:c r="W78" s="31"/>
      <x:c r="X78" s="31"/>
      <x:c r="Y78" s="31"/>
      <x:c r="Z78" s="31"/>
      <x:c r="AA78" s="31"/>
      <x:c r="AB78" s="31"/>
      <x:c r="AC78" s="31"/>
      <x:c r="AD78" s="34" t="str">
        <x:f>IF(A78="","",'91_CALC_SCORES'!$AB$78)</x:f>
      </x:c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1"/>
      <x:c r="U79" s="31"/>
      <x:c r="V79" s="31"/>
      <x:c r="W79" s="31"/>
      <x:c r="X79" s="31"/>
      <x:c r="Y79" s="31"/>
      <x:c r="Z79" s="31"/>
      <x:c r="AA79" s="31"/>
      <x:c r="AB79" s="31"/>
      <x:c r="AC79" s="31"/>
      <x:c r="AD79" s="34" t="str">
        <x:f>IF(A79="","",'91_CALC_SCORES'!$AB$79)</x:f>
      </x:c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1"/>
      <x:c r="U80" s="31"/>
      <x:c r="V80" s="31"/>
      <x:c r="W80" s="31"/>
      <x:c r="X80" s="31"/>
      <x:c r="Y80" s="31"/>
      <x:c r="Z80" s="31"/>
      <x:c r="AA80" s="31"/>
      <x:c r="AB80" s="31"/>
      <x:c r="AC80" s="31"/>
      <x:c r="AD80" s="34" t="str">
        <x:f>IF(A80="","",'91_CALC_SCORES'!$AB$80)</x:f>
      </x:c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1"/>
      <x:c r="U81" s="31"/>
      <x:c r="V81" s="31"/>
      <x:c r="W81" s="31"/>
      <x:c r="X81" s="31"/>
      <x:c r="Y81" s="31"/>
      <x:c r="Z81" s="31"/>
      <x:c r="AA81" s="31"/>
      <x:c r="AB81" s="31"/>
      <x:c r="AC81" s="31"/>
      <x:c r="AD81" s="34" t="str">
        <x:f>IF(A81="","",'91_CALC_SCORES'!$AB$81)</x:f>
      </x:c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1"/>
      <x:c r="U82" s="31"/>
      <x:c r="V82" s="31"/>
      <x:c r="W82" s="31"/>
      <x:c r="X82" s="31"/>
      <x:c r="Y82" s="31"/>
      <x:c r="Z82" s="31"/>
      <x:c r="AA82" s="31"/>
      <x:c r="AB82" s="31"/>
      <x:c r="AC82" s="31"/>
      <x:c r="AD82" s="34" t="str">
        <x:f>IF(A82="","",'91_CALC_SCORES'!$AB$82)</x:f>
      </x:c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1"/>
      <x:c r="U83" s="31"/>
      <x:c r="V83" s="31"/>
      <x:c r="W83" s="31"/>
      <x:c r="X83" s="31"/>
      <x:c r="Y83" s="31"/>
      <x:c r="Z83" s="31"/>
      <x:c r="AA83" s="31"/>
      <x:c r="AB83" s="31"/>
      <x:c r="AC83" s="31"/>
      <x:c r="AD83" s="34" t="str">
        <x:f>IF(A83="","",'91_CALC_SCORES'!$AB$83)</x:f>
      </x:c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1"/>
      <x:c r="U84" s="31"/>
      <x:c r="V84" s="31"/>
      <x:c r="W84" s="31"/>
      <x:c r="X84" s="31"/>
      <x:c r="Y84" s="31"/>
      <x:c r="Z84" s="31"/>
      <x:c r="AA84" s="31"/>
      <x:c r="AB84" s="31"/>
      <x:c r="AC84" s="31"/>
      <x:c r="AD84" s="34" t="str">
        <x:f>IF(A84="","",'91_CALC_SCORES'!$AB$84)</x:f>
      </x:c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1"/>
      <x:c r="U85" s="31"/>
      <x:c r="V85" s="31"/>
      <x:c r="W85" s="31"/>
      <x:c r="X85" s="31"/>
      <x:c r="Y85" s="31"/>
      <x:c r="Z85" s="31"/>
      <x:c r="AA85" s="31"/>
      <x:c r="AB85" s="31"/>
      <x:c r="AC85" s="31"/>
      <x:c r="AD85" s="34" t="str">
        <x:f>IF(A85="","",'91_CALC_SCORES'!$AB$85)</x:f>
      </x:c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1"/>
      <x:c r="U86" s="31"/>
      <x:c r="V86" s="31"/>
      <x:c r="W86" s="31"/>
      <x:c r="X86" s="31"/>
      <x:c r="Y86" s="31"/>
      <x:c r="Z86" s="31"/>
      <x:c r="AA86" s="31"/>
      <x:c r="AB86" s="31"/>
      <x:c r="AC86" s="31"/>
      <x:c r="AD86" s="34" t="str">
        <x:f>IF(A86="","",'91_CALC_SCORES'!$AB$86)</x:f>
      </x:c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1"/>
      <x:c r="U87" s="31"/>
      <x:c r="V87" s="31"/>
      <x:c r="W87" s="31"/>
      <x:c r="X87" s="31"/>
      <x:c r="Y87" s="31"/>
      <x:c r="Z87" s="31"/>
      <x:c r="AA87" s="31"/>
      <x:c r="AB87" s="31"/>
      <x:c r="AC87" s="31"/>
      <x:c r="AD87" s="34" t="str">
        <x:f>IF(A87="","",'91_CALC_SCORES'!$AB$87)</x:f>
      </x:c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1"/>
      <x:c r="U88" s="31"/>
      <x:c r="V88" s="31"/>
      <x:c r="W88" s="31"/>
      <x:c r="X88" s="31"/>
      <x:c r="Y88" s="31"/>
      <x:c r="Z88" s="31"/>
      <x:c r="AA88" s="31"/>
      <x:c r="AB88" s="31"/>
      <x:c r="AC88" s="31"/>
      <x:c r="AD88" s="34" t="str">
        <x:f>IF(A88="","",'91_CALC_SCORES'!$AB$88)</x:f>
      </x:c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1"/>
      <x:c r="U89" s="31"/>
      <x:c r="V89" s="31"/>
      <x:c r="W89" s="31"/>
      <x:c r="X89" s="31"/>
      <x:c r="Y89" s="31"/>
      <x:c r="Z89" s="31"/>
      <x:c r="AA89" s="31"/>
      <x:c r="AB89" s="31"/>
      <x:c r="AC89" s="31"/>
      <x:c r="AD89" s="34" t="str">
        <x:f>IF(A89="","",'91_CALC_SCORES'!$AB$89)</x:f>
      </x:c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1"/>
      <x:c r="U90" s="31"/>
      <x:c r="V90" s="31"/>
      <x:c r="W90" s="31"/>
      <x:c r="X90" s="31"/>
      <x:c r="Y90" s="31"/>
      <x:c r="Z90" s="31"/>
      <x:c r="AA90" s="31"/>
      <x:c r="AB90" s="31"/>
      <x:c r="AC90" s="31"/>
      <x:c r="AD90" s="34" t="str">
        <x:f>IF(A90="","",'91_CALC_SCORES'!$AB$90)</x:f>
      </x:c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1"/>
      <x:c r="U91" s="31"/>
      <x:c r="V91" s="31"/>
      <x:c r="W91" s="31"/>
      <x:c r="X91" s="31"/>
      <x:c r="Y91" s="31"/>
      <x:c r="Z91" s="31"/>
      <x:c r="AA91" s="31"/>
      <x:c r="AB91" s="31"/>
      <x:c r="AC91" s="31"/>
      <x:c r="AD91" s="34" t="str">
        <x:f>IF(A91="","",'91_CALC_SCORES'!$AB$91)</x:f>
      </x:c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1"/>
      <x:c r="U92" s="31"/>
      <x:c r="V92" s="31"/>
      <x:c r="W92" s="31"/>
      <x:c r="X92" s="31"/>
      <x:c r="Y92" s="31"/>
      <x:c r="Z92" s="31"/>
      <x:c r="AA92" s="31"/>
      <x:c r="AB92" s="31"/>
      <x:c r="AC92" s="31"/>
      <x:c r="AD92" s="34" t="str">
        <x:f>IF(A92="","",'91_CALC_SCORES'!$AB$92)</x:f>
      </x:c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1"/>
      <x:c r="U93" s="31"/>
      <x:c r="V93" s="31"/>
      <x:c r="W93" s="31"/>
      <x:c r="X93" s="31"/>
      <x:c r="Y93" s="31"/>
      <x:c r="Z93" s="31"/>
      <x:c r="AA93" s="31"/>
      <x:c r="AB93" s="31"/>
      <x:c r="AC93" s="31"/>
      <x:c r="AD93" s="34" t="str">
        <x:f>IF(A93="","",'91_CALC_SCORES'!$AB$93)</x:f>
      </x:c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1"/>
      <x:c r="U94" s="31"/>
      <x:c r="V94" s="31"/>
      <x:c r="W94" s="31"/>
      <x:c r="X94" s="31"/>
      <x:c r="Y94" s="31"/>
      <x:c r="Z94" s="31"/>
      <x:c r="AA94" s="31"/>
      <x:c r="AB94" s="31"/>
      <x:c r="AC94" s="31"/>
      <x:c r="AD94" s="34" t="str">
        <x:f>IF(A94="","",'91_CALC_SCORES'!$AB$94)</x:f>
      </x:c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1"/>
      <x:c r="U95" s="31"/>
      <x:c r="V95" s="31"/>
      <x:c r="W95" s="31"/>
      <x:c r="X95" s="31"/>
      <x:c r="Y95" s="31"/>
      <x:c r="Z95" s="31"/>
      <x:c r="AA95" s="31"/>
      <x:c r="AB95" s="31"/>
      <x:c r="AC95" s="31"/>
      <x:c r="AD95" s="34" t="str">
        <x:f>IF(A95="","",'91_CALC_SCORES'!$AB$95)</x:f>
      </x:c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1"/>
      <x:c r="U96" s="31"/>
      <x:c r="V96" s="31"/>
      <x:c r="W96" s="31"/>
      <x:c r="X96" s="31"/>
      <x:c r="Y96" s="31"/>
      <x:c r="Z96" s="31"/>
      <x:c r="AA96" s="31"/>
      <x:c r="AB96" s="31"/>
      <x:c r="AC96" s="31"/>
      <x:c r="AD96" s="34" t="str">
        <x:f>IF(A96="","",'91_CALC_SCORES'!$AB$96)</x:f>
      </x:c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1"/>
      <x:c r="U97" s="31"/>
      <x:c r="V97" s="31"/>
      <x:c r="W97" s="31"/>
      <x:c r="X97" s="31"/>
      <x:c r="Y97" s="31"/>
      <x:c r="Z97" s="31"/>
      <x:c r="AA97" s="31"/>
      <x:c r="AB97" s="31"/>
      <x:c r="AC97" s="31"/>
      <x:c r="AD97" s="34" t="str">
        <x:f>IF(A97="","",'91_CALC_SCORES'!$AB$97)</x:f>
      </x:c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1"/>
      <x:c r="U98" s="31"/>
      <x:c r="V98" s="31"/>
      <x:c r="W98" s="31"/>
      <x:c r="X98" s="31"/>
      <x:c r="Y98" s="31"/>
      <x:c r="Z98" s="31"/>
      <x:c r="AA98" s="31"/>
      <x:c r="AB98" s="31"/>
      <x:c r="AC98" s="31"/>
      <x:c r="AD98" s="34" t="str">
        <x:f>IF(A98="","",'91_CALC_SCORES'!$AB$98)</x:f>
      </x:c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1"/>
      <x:c r="U99" s="31"/>
      <x:c r="V99" s="31"/>
      <x:c r="W99" s="31"/>
      <x:c r="X99" s="31"/>
      <x:c r="Y99" s="31"/>
      <x:c r="Z99" s="31"/>
      <x:c r="AA99" s="31"/>
      <x:c r="AB99" s="31"/>
      <x:c r="AC99" s="31"/>
      <x:c r="AD99" s="34" t="str">
        <x:f>IF(A99="","",'91_CALC_SCORES'!$AB$99)</x:f>
      </x:c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1"/>
      <x:c r="U100" s="31"/>
      <x:c r="V100" s="31"/>
      <x:c r="W100" s="31"/>
      <x:c r="X100" s="31"/>
      <x:c r="Y100" s="31"/>
      <x:c r="Z100" s="31"/>
      <x:c r="AA100" s="31"/>
      <x:c r="AB100" s="31"/>
      <x:c r="AC100" s="31"/>
      <x:c r="AD100" s="34" t="str">
        <x:f>IF(A100="","",'91_CALC_SCORES'!$AB$100)</x:f>
      </x:c>
    </x:row>
    <x:row r="101">
      <x:c r="A101" s="30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1"/>
      <x:c r="U101" s="31"/>
      <x:c r="V101" s="31"/>
      <x:c r="W101" s="31"/>
      <x:c r="X101" s="31"/>
      <x:c r="Y101" s="31"/>
      <x:c r="Z101" s="31"/>
      <x:c r="AA101" s="31"/>
      <x:c r="AB101" s="31"/>
      <x:c r="AC101" s="31"/>
      <x:c r="AD101" s="34" t="str">
        <x:f>IF(A101="","",'91_CALC_SCORES'!$AB$101)</x:f>
      </x:c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1"/>
      <x:c r="U102" s="31"/>
      <x:c r="V102" s="31"/>
      <x:c r="W102" s="31"/>
      <x:c r="X102" s="31"/>
      <x:c r="Y102" s="31"/>
      <x:c r="Z102" s="31"/>
      <x:c r="AA102" s="31"/>
      <x:c r="AB102" s="31"/>
      <x:c r="AC102" s="31"/>
      <x:c r="AD102" s="34" t="str">
        <x:f>IF(A102="","",'91_CALC_SCORES'!$AB$102)</x:f>
      </x:c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1"/>
      <x:c r="U103" s="31"/>
      <x:c r="V103" s="31"/>
      <x:c r="W103" s="31"/>
      <x:c r="X103" s="31"/>
      <x:c r="Y103" s="31"/>
      <x:c r="Z103" s="31"/>
      <x:c r="AA103" s="31"/>
      <x:c r="AB103" s="31"/>
      <x:c r="AC103" s="31"/>
      <x:c r="AD103" s="34" t="str">
        <x:f>IF(A103="","",'91_CALC_SCORES'!$AB$103)</x:f>
      </x:c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1"/>
      <x:c r="U104" s="31"/>
      <x:c r="V104" s="31"/>
      <x:c r="W104" s="31"/>
      <x:c r="X104" s="31"/>
      <x:c r="Y104" s="31"/>
      <x:c r="Z104" s="31"/>
      <x:c r="AA104" s="31"/>
      <x:c r="AB104" s="31"/>
      <x:c r="AC104" s="31"/>
      <x:c r="AD104" s="34" t="str">
        <x:f>IF(A104="","",'91_CALC_SCORES'!$AB$104)</x:f>
      </x:c>
    </x:row>
    <x:row r="105">
      <x:c r="A105" s="30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1"/>
      <x:c r="U105" s="31"/>
      <x:c r="V105" s="31"/>
      <x:c r="W105" s="31"/>
      <x:c r="X105" s="31"/>
      <x:c r="Y105" s="31"/>
      <x:c r="Z105" s="31"/>
      <x:c r="AA105" s="31"/>
      <x:c r="AB105" s="31"/>
      <x:c r="AC105" s="31"/>
      <x:c r="AD105" s="34" t="str">
        <x:f>IF(A105="","",'91_CALC_SCORES'!$AB$105)</x:f>
      </x:c>
    </x:row>
    <x:row r="106">
      <x:c r="A106" s="30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1"/>
      <x:c r="U106" s="31"/>
      <x:c r="V106" s="31"/>
      <x:c r="W106" s="31"/>
      <x:c r="X106" s="31"/>
      <x:c r="Y106" s="31"/>
      <x:c r="Z106" s="31"/>
      <x:c r="AA106" s="31"/>
      <x:c r="AB106" s="31"/>
      <x:c r="AC106" s="31"/>
      <x:c r="AD106" s="34" t="str">
        <x:f>IF(A106="","",'91_CALC_SCORES'!$AB$106)</x:f>
      </x:c>
    </x:row>
  </x:sheetData>
  <x:mergeCells>
    <x:mergeCell ref="A1:AD1"/>
    <x:mergeCell ref="A2:AD3"/>
  </x:mergeCells>
  <x:conditionalFormatting sqref="A7:A106">
    <x:cfRule type="duplicateValues" dxfId="0" priority="1"/>
  </x:conditionalFormatting>
  <x:conditionalFormatting sqref="AD7:AD106">
    <x:cfRule type="containsText" dxfId="1" priority="2" operator="containsText" text="ERROR"/>
    <x:cfRule type="containsText" dxfId="2" priority="3" operator="containsText" text="INPUT REQUIRED"/>
    <x:cfRule type="containsText" dxfId="3" priority="4" operator="containsText" text="CHECK"/>
    <x:cfRule type="containsText" dxfId="4" priority="5" operator="containsText" text="READY"/>
    <x:cfRule type="containsText" dxfId="5" priority="6" operator="containsText" text="PASS"/>
  </x:conditionalFormatting>
  <x:dataValidations count="20">
    <x:dataValidation type="list" sqref="C7:C106">
      <x:formula1>"domestic,foreign,other"</x:formula1>
    </x:dataValidation>
    <x:dataValidation type="list" sqref="K7:K106">
      <x:formula1>"A,B,C,SYNTHETIC"</x:formula1>
    </x:dataValidation>
    <x:dataValidation type="list" sqref="L7:L106">
      <x:formula1>"yes,no"</x:formula1>
    </x:dataValidation>
    <x:dataValidation type="list" sqref="M7:M106">
      <x:formula1>"direct,derived,proxy,mixed"</x:formula1>
    </x:dataValidation>
    <x:dataValidation type="list" sqref="Q7:Q106">
      <x:formula1>"yes,no"</x:formula1>
    </x:dataValidation>
    <x:dataValidation type="whole" operator="between" sqref="J7:J106">
      <x:formula1>2000</x:formula1>
      <x:formula2>2100</x:formula2>
    </x:dataValidation>
    <x:dataValidation type="whole" operator="greaterThanOrEqual" sqref="P7:P106">
      <x:formula1>0</x:formula1>
    </x:dataValidation>
    <x:dataValidation type="decimal" operator="between" sqref="R7:R106">
      <x:formula1>0</x:formula1>
      <x:formula2>1</x:formula2>
    </x:dataValidation>
    <x:dataValidation type="list" sqref="H7:H106">
      <x:formula1>"BM-DIGITAL-CONTENT-2025Q4"</x:formula1>
    </x:dataValidation>
    <x:dataValidation type="list" sqref="I7:I106">
      <x:formula1>"AED,AUD,BRL,CAD,CHF,CNY,DKK,EUR,GBP,HKD,IDR,INR,JPY,KRW,MXN,MYR,NOK,NZD,PHP,PLN,RUB,SAR,SEK,SGD,THB,TRY,TWD,USD,VND,ZAR"</x:formula1>
    </x:dataValidation>
    <x:dataValidation type="decimal" operator="between" sqref="T7:T106">
      <x:formula1>-1e+307</x:formula1>
      <x:formula2>1e+307</x:formula2>
    </x:dataValidation>
    <x:dataValidation type="decimal" operator="between" sqref="U7:U106">
      <x:formula1>-1e+307</x:formula1>
      <x:formula2>1e+307</x:formula2>
    </x:dataValidation>
    <x:dataValidation type="decimal" operator="between" sqref="V7:V106">
      <x:formula1>-1e+307</x:formula1>
      <x:formula2>1e+307</x:formula2>
    </x:dataValidation>
    <x:dataValidation type="decimal" operator="between" sqref="W7:W106">
      <x:formula1>-1e+307</x:formula1>
      <x:formula2>1e+307</x:formula2>
    </x:dataValidation>
    <x:dataValidation type="decimal" operator="between" sqref="X7:X106">
      <x:formula1>-1e+307</x:formula1>
      <x:formula2>1e+307</x:formula2>
    </x:dataValidation>
    <x:dataValidation type="decimal" operator="between" sqref="Y7:Y106">
      <x:formula1>-1e+307</x:formula1>
      <x:formula2>1e+307</x:formula2>
    </x:dataValidation>
    <x:dataValidation type="decimal" operator="between" sqref="Z7:Z106">
      <x:formula1>-1e+307</x:formula1>
      <x:formula2>1e+307</x:formula2>
    </x:dataValidation>
    <x:dataValidation type="decimal" operator="between" sqref="AA7:AA106">
      <x:formula1>-1e+307</x:formula1>
      <x:formula2>1e+307</x:formula2>
    </x:dataValidation>
    <x:dataValidation type="decimal" operator="between" sqref="AB7:AB106">
      <x:formula1>-1e+307</x:formula1>
      <x:formula2>1e+307</x:formula2>
    </x:dataValidation>
    <x:dataValidation type="decimal" operator="between" sqref="AC7:AC106">
      <x:formula1>-1e+307</x:formula1>
      <x:formula2>1e+307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b2675aa61084a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30" hidden="0" customWidth="1"/>
    <x:col min="25" max="25" width="16" hidden="0" customWidth="1"/>
    <x:col min="26" max="26" width="52" hidden="0" customWidth="1"/>
    <x:col min="27" max="27" width="34" hidden="0" customWidth="1"/>
  </x:cols>
  <x:sheetData>
    <x:row r="1" ht="30" customHeight="1">
      <x:c r="A1" s="3" t="str">
        <x:v>02 | 경제 노출액 입력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24" customHeight="1">
      <x:c r="A2" s="7" t="str">
        <x:v>점수 계산에는 필요하지 않습니다. 금액 해석용 low/base/high는 완전한 세 값으로 입력하고 AA열 검증이 READY인지 확인하십시오.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</x:row>
    <x:row r="6" ht="42" hidden="0" customHeight="1">
      <x:c r="A6" s="13" t="str">
        <x:v>관측 ID</x:v>
      </x:c>
      <x:c r="B6" s="13" t="str">
        <x:v>통화</x:v>
      </x:c>
      <x:c r="C6" s="13" t="str">
        <x:v>가격연도</x:v>
      </x:c>
      <x:c r="D6" s="13" t="str">
        <x:v>노출기간</x:v>
      </x:c>
      <x:c r="E6" s="13" t="str">
        <x:v>연환산계수</x:v>
      </x:c>
      <x:c r="F6" s="13" t="str">
        <x:v>매출 Low</x:v>
      </x:c>
      <x:c r="G6" s="13" t="str">
        <x:v>매출 Base</x:v>
      </x:c>
      <x:c r="H6" s="13" t="str">
        <x:v>매출 High</x:v>
      </x:c>
      <x:c r="I6" s="13" t="str">
        <x:v>양(+) 세전이익 Low</x:v>
      </x:c>
      <x:c r="J6" s="13" t="str">
        <x:v>양(+) 세전이익 Base</x:v>
      </x:c>
      <x:c r="K6" s="13" t="str">
        <x:v>양(+) 세전이익 High</x:v>
      </x:c>
      <x:c r="L6" s="13" t="str">
        <x:v>평균 이자부부채 Low</x:v>
      </x:c>
      <x:c r="M6" s="13" t="str">
        <x:v>평균 이자부부채 Base</x:v>
      </x:c>
      <x:c r="N6" s="13" t="str">
        <x:v>평균 이자부부채 High</x:v>
      </x:c>
      <x:c r="O6" s="13" t="str">
        <x:v>콘텐츠투자 Low</x:v>
      </x:c>
      <x:c r="P6" s="13" t="str">
        <x:v>콘텐츠투자 Base</x:v>
      </x:c>
      <x:c r="Q6" s="13" t="str">
        <x:v>콘텐츠투자 High</x:v>
      </x:c>
      <x:c r="R6" s="13" t="str">
        <x:v>전이대상매출 Low</x:v>
      </x:c>
      <x:c r="S6" s="13" t="str">
        <x:v>전이대상매출 Base</x:v>
      </x:c>
      <x:c r="T6" s="13" t="str">
        <x:v>전이대상매출 High</x:v>
      </x:c>
      <x:c r="U6" s="13" t="str">
        <x:v>전환율 Low</x:v>
      </x:c>
      <x:c r="V6" s="13" t="str">
        <x:v>전환율 Base</x:v>
      </x:c>
      <x:c r="W6" s="13" t="str">
        <x:v>전환율 High</x:v>
      </x:c>
      <x:c r="X6" s="13" t="str">
        <x:v>출처 ID</x:v>
      </x:c>
      <x:c r="Y6" s="13" t="str">
        <x:v>품질</x:v>
      </x:c>
      <x:c r="Z6" s="13" t="str">
        <x:v>메모</x:v>
      </x:c>
      <x:c r="AA6" s="13" t="str">
        <x:v>노출행 검증</x:v>
      </x:c>
    </x:row>
    <x:row r="7" ht="15" hidden="0" customHeight="1">
      <x:c r="A7" s="35" t="str">
        <x:v>SYN-A</x:v>
      </x:c>
      <x:c r="B7" s="35" t="str">
        <x:v>KRW</x:v>
      </x:c>
      <x:c r="C7" s="35" t="n">
        <x:v>2025</x:v>
      </x:c>
      <x:c r="D7" s="35" t="str">
        <x:v>2025</x:v>
      </x:c>
      <x:c r="E7" s="35" t="n">
        <x:v>1</x:v>
      </x:c>
      <x:c r="F7" s="40" t="n">
        <x:v>900000000000</x:v>
      </x:c>
      <x:c r="G7" s="40" t="n">
        <x:v>1000000000000</x:v>
      </x:c>
      <x:c r="H7" s="40" t="n">
        <x:v>1100000000000</x:v>
      </x:c>
      <x:c r="I7" s="40" t="n">
        <x:v>72000000000</x:v>
      </x:c>
      <x:c r="J7" s="40" t="n">
        <x:v>80000000000</x:v>
      </x:c>
      <x:c r="K7" s="40" t="n">
        <x:v>88000000000</x:v>
      </x:c>
      <x:c r="L7" s="40" t="n">
        <x:v>270000000000</x:v>
      </x:c>
      <x:c r="M7" s="40" t="n">
        <x:v>300000000000</x:v>
      </x:c>
      <x:c r="N7" s="40" t="n">
        <x:v>330000000000</x:v>
      </x:c>
      <x:c r="O7" s="40" t="n">
        <x:v>198000000000</x:v>
      </x:c>
      <x:c r="P7" s="40" t="n">
        <x:v>220000000000</x:v>
      </x:c>
      <x:c r="Q7" s="40" t="n">
        <x:v>242000000000.00003</x:v>
      </x:c>
      <x:c r="R7" s="40" t="n">
        <x:v>225000000000</x:v>
      </x:c>
      <x:c r="S7" s="40" t="n">
        <x:v>250000000000</x:v>
      </x:c>
      <x:c r="T7" s="40" t="n">
        <x:v>275000000000</x:v>
      </x:c>
      <x:c r="U7" s="41" t="n">
        <x:v>0.032</x:v>
      </x:c>
      <x:c r="V7" s="41" t="n">
        <x:v>0.04</x:v>
      </x:c>
      <x:c r="W7" s="41" t="n">
        <x:v>0.048</x:v>
      </x:c>
      <x:c r="X7" s="35" t="str">
        <x:v>SYNTHETIC-ECON-DEMO</x:v>
      </x:c>
      <x:c r="Y7" s="35" t="str">
        <x:v>SYNTHETIC</x:v>
      </x:c>
      <x:c r="Z7" s="35" t="str">
        <x:v>방법론 설명용 합성 노출액; low/high는 신뢰구간이 아님</x:v>
      </x:c>
      <x:c r="AA7" s="37" t="str">
        <x:f>IF($A7="","",IF(OR($A7&lt;&gt;TRIM($A7),NOT(EXACT($A7,UPPER($A7))),LEN($A7)&gt;64,ISNUMBER(FIND("*",$A7)),ISNUMBER(FIND("?",$A7)),ISNUMBER(FIND("~",$A7))),"ERROR: ID FORMAT",IF(COUNTIF($A$7:$A$106,$A7)&lt;&gt;1,"ERROR: DUPLICATE EXPOSURE ID",IF(COUNTIF('01_INPUT_COMPANIES'!$A$7:$A$106,$A7)&lt;&gt;1,"ERROR: COMPANY ID",IF(OR($B7="",COUNTIF('92_REF_VARIABLES'!$L$21:$L$50,$B7)&lt;&gt;1),"ERROR: CURRENCY",IF(OR(NOT(ISNUMBER($C7)),$C7&lt;&gt;INT($C7),$C7&lt;2000,$C7&gt;2100),"ERROR: PRICE YEAR",IF(OR($D7="",AND($D7&lt;&gt;IFERROR(IF(INDEX('01_INPUT_COMPANIES'!$G$7:$G$106,MATCH($A7,'01_INPUT_COMPANIES'!$A$7:$A$106,0))="","",INDEX('01_INPUT_COMPANIES'!$G$7:$G$106,MATCH($A7,'01_INPUT_COMPANIES'!$A$7:$A$106,0))),""),$D7&lt;&gt;LEFT(IFERROR(IF(INDEX('01_INPUT_COMPANIES'!$G$7:$G$106,MATCH($A7,'01_INPUT_COMPANIES'!$A$7:$A$106,0))="","",INDEX('01_INPUT_COMPANIES'!$G$7:$G$106,MATCH($A7,'01_INPUT_COMPANIES'!$A$7:$A$106,0))),""),4))),"ERROR: EXPOSURE PERIOD",IF(OR(NOT(ISNUMBER($E7)),$E7&lt;=0,$E7&gt;1),"ERROR: PERIOD FRACTION",IF(OR($B7&lt;&gt;IFERROR(IF(INDEX('01_INPUT_COMPANIES'!$I$7:$I$106,MATCH($A7,'01_INPUT_COMPANIES'!$A$7:$A$106,0))="","",INDEX('01_INPUT_COMPANIES'!$I$7:$I$106,MATCH($A7,'01_INPUT_COMPANIES'!$A$7:$A$106,0))),""),$C7&lt;&gt;IFERROR(IF(INDEX('01_INPUT_COMPANIES'!$J$7:$J$106,MATCH($A7,'01_INPUT_COMPANIES'!$A$7:$A$106,0))="","",INDEX('01_INPUT_COMPANIES'!$J$7:$J$106,MATCH($A7,'01_INPUT_COMPANIES'!$A$7:$A$106,0))),"")),"ERROR: COMPANY CURRENCY/YEAR",IF(NOT(OR($Y7="A",$Y7="B",$Y7="C",$Y7="SYNTHETIC")),"ERROR: QUALITY",IF(NOT(AND(OR(COUNTBLANK($F7:$H7)=3,AND(COUNT($F7:$H7)=3,MIN($F7:$H7)&gt;=0,$F7&lt;=$G7,$G7&lt;=$H7)),OR(COUNTBLANK($I7:$K7)=3,AND(COUNT($I7:$K7)=3,MIN($I7:$K7)&gt;=0,$I7&lt;=$J7,$J7&lt;=$K7)),OR(COUNTBLANK($L7:$N7)=3,AND(COUNT($L7:$N7)=3,MIN($L7:$N7)&gt;=0,$L7&lt;=$M7,$M7&lt;=$N7)),OR(COUNTBLANK($O7:$Q7)=3,AND(COUNT($O7:$Q7)=3,MIN($O7:$Q7)&gt;=0,$O7&lt;=$P7,$P7&lt;=$Q7)),OR(COUNTBLANK($R7:$T7)=3,AND(COUNT($R7:$T7)=3,MIN($R7:$T7)&gt;=0,$R7&lt;=$S7,$S7&lt;=$T7)),OR(COUNTBLANK($U7:$W7)=3,AND(COUNT($U7:$W7)=3,MIN($U7:$W7)&gt;=0,$U7&lt;=$V7,$V7&lt;=$W7,MAX($U7:$W7)&lt;=1)))),"ERROR: LOW/BASE/HIGH",IF(NOT(OR(AND(COUNTBLANK($R7:$T7)=3,COUNTBLANK($U7:$W7)=3),AND(COUNT($R7:$T7)=3,COUNT($U7:$W7)=3))),"ERROR: TRANSFER ASSUMPTION",IF(AND(COUNTA($F7:$W7)&gt;0,$X7=""),"ERROR: SOURCE","READY")))))))))))))</x:f>
        <x:v>READY</x:v>
      </x:c>
    </x:row>
    <x:row r="8" ht="15" hidden="0" customHeight="1">
      <x:c r="A8" s="35" t="str">
        <x:v>SYN-B</x:v>
      </x:c>
      <x:c r="B8" s="35" t="str">
        <x:v>KRW</x:v>
      </x:c>
      <x:c r="C8" s="35" t="n">
        <x:v>2025</x:v>
      </x:c>
      <x:c r="D8" s="35" t="str">
        <x:v>2025</x:v>
      </x:c>
      <x:c r="E8" s="35" t="n">
        <x:v>1</x:v>
      </x:c>
      <x:c r="F8" s="40" t="n">
        <x:v>1260000000000</x:v>
      </x:c>
      <x:c r="G8" s="40" t="n">
        <x:v>1400000000000</x:v>
      </x:c>
      <x:c r="H8" s="40" t="n">
        <x:v>1540000000000.0002</x:v>
      </x:c>
      <x:c r="I8" s="40" t="n">
        <x:v>126000000000</x:v>
      </x:c>
      <x:c r="J8" s="40" t="n">
        <x:v>140000000000</x:v>
      </x:c>
      <x:c r="K8" s="40" t="n">
        <x:v>154000000000</x:v>
      </x:c>
      <x:c r="L8" s="40" t="n">
        <x:v>198000000000</x:v>
      </x:c>
      <x:c r="M8" s="40" t="n">
        <x:v>220000000000</x:v>
      </x:c>
      <x:c r="N8" s="40" t="n">
        <x:v>242000000000.00003</x:v>
      </x:c>
      <x:c r="O8" s="40" t="n">
        <x:v>162000000000</x:v>
      </x:c>
      <x:c r="P8" s="40" t="n">
        <x:v>180000000000</x:v>
      </x:c>
      <x:c r="Q8" s="40" t="n">
        <x:v>198000000000.00003</x:v>
      </x:c>
      <x:c r="R8" s="40" t="n">
        <x:v>315000000000</x:v>
      </x:c>
      <x:c r="S8" s="40" t="n">
        <x:v>350000000000</x:v>
      </x:c>
      <x:c r="T8" s="40" t="n">
        <x:v>385000000000.00006</x:v>
      </x:c>
      <x:c r="U8" s="41" t="n">
        <x:v>0.020000000000000004</x:v>
      </x:c>
      <x:c r="V8" s="41" t="n">
        <x:v>0.025</x:v>
      </x:c>
      <x:c r="W8" s="41" t="n">
        <x:v>0.03</x:v>
      </x:c>
      <x:c r="X8" s="35" t="str">
        <x:v>SYNTHETIC-ECON-DEMO</x:v>
      </x:c>
      <x:c r="Y8" s="35" t="str">
        <x:v>SYNTHETIC</x:v>
      </x:c>
      <x:c r="Z8" s="35" t="str">
        <x:v>방법론 설명용 합성 노출액; low/high는 신뢰구간이 아님</x:v>
      </x:c>
      <x:c r="AA8" s="37" t="str">
        <x:f>IF($A8="","",IF(OR($A8&lt;&gt;TRIM($A8),NOT(EXACT($A8,UPPER($A8))),LEN($A8)&gt;64,ISNUMBER(FIND("*",$A8)),ISNUMBER(FIND("?",$A8)),ISNUMBER(FIND("~",$A8))),"ERROR: ID FORMAT",IF(COUNTIF($A$7:$A$106,$A8)&lt;&gt;1,"ERROR: DUPLICATE EXPOSURE ID",IF(COUNTIF('01_INPUT_COMPANIES'!$A$7:$A$106,$A8)&lt;&gt;1,"ERROR: COMPANY ID",IF(OR($B8="",COUNTIF('92_REF_VARIABLES'!$L$21:$L$50,$B8)&lt;&gt;1),"ERROR: CURRENCY",IF(OR(NOT(ISNUMBER($C8)),$C8&lt;&gt;INT($C8),$C8&lt;2000,$C8&gt;2100),"ERROR: PRICE YEAR",IF(OR($D8="",AND($D8&lt;&gt;IFERROR(IF(INDEX('01_INPUT_COMPANIES'!$G$7:$G$106,MATCH($A8,'01_INPUT_COMPANIES'!$A$7:$A$106,0))="","",INDEX('01_INPUT_COMPANIES'!$G$7:$G$106,MATCH($A8,'01_INPUT_COMPANIES'!$A$7:$A$106,0))),""),$D8&lt;&gt;LEFT(IFERROR(IF(INDEX('01_INPUT_COMPANIES'!$G$7:$G$106,MATCH($A8,'01_INPUT_COMPANIES'!$A$7:$A$106,0))="","",INDEX('01_INPUT_COMPANIES'!$G$7:$G$106,MATCH($A8,'01_INPUT_COMPANIES'!$A$7:$A$106,0))),""),4))),"ERROR: EXPOSURE PERIOD",IF(OR(NOT(ISNUMBER($E8)),$E8&lt;=0,$E8&gt;1),"ERROR: PERIOD FRACTION",IF(OR($B8&lt;&gt;IFERROR(IF(INDEX('01_INPUT_COMPANIES'!$I$7:$I$106,MATCH($A8,'01_INPUT_COMPANIES'!$A$7:$A$106,0))="","",INDEX('01_INPUT_COMPANIES'!$I$7:$I$106,MATCH($A8,'01_INPUT_COMPANIES'!$A$7:$A$106,0))),""),$C8&lt;&gt;IFERROR(IF(INDEX('01_INPUT_COMPANIES'!$J$7:$J$106,MATCH($A8,'01_INPUT_COMPANIES'!$A$7:$A$106,0))="","",INDEX('01_INPUT_COMPANIES'!$J$7:$J$106,MATCH($A8,'01_INPUT_COMPANIES'!$A$7:$A$106,0))),"")),"ERROR: COMPANY CURRENCY/YEAR",IF(NOT(OR($Y8="A",$Y8="B",$Y8="C",$Y8="SYNTHETIC")),"ERROR: QUALITY",IF(NOT(AND(OR(COUNTBLANK($F8:$H8)=3,AND(COUNT($F8:$H8)=3,MIN($F8:$H8)&gt;=0,$F8&lt;=$G8,$G8&lt;=$H8)),OR(COUNTBLANK($I8:$K8)=3,AND(COUNT($I8:$K8)=3,MIN($I8:$K8)&gt;=0,$I8&lt;=$J8,$J8&lt;=$K8)),OR(COUNTBLANK($L8:$N8)=3,AND(COUNT($L8:$N8)=3,MIN($L8:$N8)&gt;=0,$L8&lt;=$M8,$M8&lt;=$N8)),OR(COUNTBLANK($O8:$Q8)=3,AND(COUNT($O8:$Q8)=3,MIN($O8:$Q8)&gt;=0,$O8&lt;=$P8,$P8&lt;=$Q8)),OR(COUNTBLANK($R8:$T8)=3,AND(COUNT($R8:$T8)=3,MIN($R8:$T8)&gt;=0,$R8&lt;=$S8,$S8&lt;=$T8)),OR(COUNTBLANK($U8:$W8)=3,AND(COUNT($U8:$W8)=3,MIN($U8:$W8)&gt;=0,$U8&lt;=$V8,$V8&lt;=$W8,MAX($U8:$W8)&lt;=1)))),"ERROR: LOW/BASE/HIGH",IF(NOT(OR(AND(COUNTBLANK($R8:$T8)=3,COUNTBLANK($U8:$W8)=3),AND(COUNT($R8:$T8)=3,COUNT($U8:$W8)=3))),"ERROR: TRANSFER ASSUMPTION",IF(AND(COUNTA($F8:$W8)&gt;0,$X8=""),"ERROR: SOURCE","READY")))))))))))))</x:f>
        <x:v>READY</x:v>
      </x:c>
    </x:row>
    <x:row r="9" ht="15" hidden="0" customHeight="1">
      <x:c r="A9" s="35" t="str">
        <x:v>SYN-C</x:v>
      </x:c>
      <x:c r="B9" s="35" t="str">
        <x:v>KRW</x:v>
      </x:c>
      <x:c r="C9" s="35" t="n">
        <x:v>2025</x:v>
      </x:c>
      <x:c r="D9" s="35" t="str">
        <x:v>2025</x:v>
      </x:c>
      <x:c r="E9" s="35" t="n">
        <x:v>1</x:v>
      </x:c>
      <x:c r="F9" s="40" t="n">
        <x:v>540000000000</x:v>
      </x:c>
      <x:c r="G9" s="40" t="n">
        <x:v>600000000000</x:v>
      </x:c>
      <x:c r="H9" s="40" t="n">
        <x:v>660000000000</x:v>
      </x:c>
      <x:c r="I9" s="40" t="n">
        <x:v>27000000000</x:v>
      </x:c>
      <x:c r="J9" s="40" t="n">
        <x:v>30000000000</x:v>
      </x:c>
      <x:c r="K9" s="40" t="n">
        <x:v>33000000000.000004</x:v>
      </x:c>
      <x:c r="L9" s="40" t="n">
        <x:v>135000000000</x:v>
      </x:c>
      <x:c r="M9" s="40" t="n">
        <x:v>150000000000</x:v>
      </x:c>
      <x:c r="N9" s="40" t="n">
        <x:v>165000000000</x:v>
      </x:c>
      <x:c r="O9" s="40" t="n">
        <x:v>180000000000</x:v>
      </x:c>
      <x:c r="P9" s="40" t="n">
        <x:v>200000000000</x:v>
      </x:c>
      <x:c r="Q9" s="40" t="n">
        <x:v>220000000000.00003</x:v>
      </x:c>
      <x:c r="R9" s="40" t="n">
        <x:v>162000000000</x:v>
      </x:c>
      <x:c r="S9" s="40" t="n">
        <x:v>180000000000</x:v>
      </x:c>
      <x:c r="T9" s="40" t="n">
        <x:v>198000000000.00003</x:v>
      </x:c>
      <x:c r="U9" s="41" t="n">
        <x:v>0.048</x:v>
      </x:c>
      <x:c r="V9" s="41" t="n">
        <x:v>0.06</x:v>
      </x:c>
      <x:c r="W9" s="41" t="n">
        <x:v>0.072</x:v>
      </x:c>
      <x:c r="X9" s="35" t="str">
        <x:v>SYNTHETIC-ECON-DEMO</x:v>
      </x:c>
      <x:c r="Y9" s="35" t="str">
        <x:v>SYNTHETIC</x:v>
      </x:c>
      <x:c r="Z9" s="35" t="str">
        <x:v>방법론 설명용 합성 노출액; low/high는 신뢰구간이 아님</x:v>
      </x:c>
      <x:c r="AA9" s="37" t="str">
        <x:f>IF($A9="","",IF(OR($A9&lt;&gt;TRIM($A9),NOT(EXACT($A9,UPPER($A9))),LEN($A9)&gt;64,ISNUMBER(FIND("*",$A9)),ISNUMBER(FIND("?",$A9)),ISNUMBER(FIND("~",$A9))),"ERROR: ID FORMAT",IF(COUNTIF($A$7:$A$106,$A9)&lt;&gt;1,"ERROR: DUPLICATE EXPOSURE ID",IF(COUNTIF('01_INPUT_COMPANIES'!$A$7:$A$106,$A9)&lt;&gt;1,"ERROR: COMPANY ID",IF(OR($B9="",COUNTIF('92_REF_VARIABLES'!$L$21:$L$50,$B9)&lt;&gt;1),"ERROR: CURRENCY",IF(OR(NOT(ISNUMBER($C9)),$C9&lt;&gt;INT($C9),$C9&lt;2000,$C9&gt;2100),"ERROR: PRICE YEAR",IF(OR($D9="",AND($D9&lt;&gt;IFERROR(IF(INDEX('01_INPUT_COMPANIES'!$G$7:$G$106,MATCH($A9,'01_INPUT_COMPANIES'!$A$7:$A$106,0))="","",INDEX('01_INPUT_COMPANIES'!$G$7:$G$106,MATCH($A9,'01_INPUT_COMPANIES'!$A$7:$A$106,0))),""),$D9&lt;&gt;LEFT(IFERROR(IF(INDEX('01_INPUT_COMPANIES'!$G$7:$G$106,MATCH($A9,'01_INPUT_COMPANIES'!$A$7:$A$106,0))="","",INDEX('01_INPUT_COMPANIES'!$G$7:$G$106,MATCH($A9,'01_INPUT_COMPANIES'!$A$7:$A$106,0))),""),4))),"ERROR: EXPOSURE PERIOD",IF(OR(NOT(ISNUMBER($E9)),$E9&lt;=0,$E9&gt;1),"ERROR: PERIOD FRACTION",IF(OR($B9&lt;&gt;IFERROR(IF(INDEX('01_INPUT_COMPANIES'!$I$7:$I$106,MATCH($A9,'01_INPUT_COMPANIES'!$A$7:$A$106,0))="","",INDEX('01_INPUT_COMPANIES'!$I$7:$I$106,MATCH($A9,'01_INPUT_COMPANIES'!$A$7:$A$106,0))),""),$C9&lt;&gt;IFERROR(IF(INDEX('01_INPUT_COMPANIES'!$J$7:$J$106,MATCH($A9,'01_INPUT_COMPANIES'!$A$7:$A$106,0))="","",INDEX('01_INPUT_COMPANIES'!$J$7:$J$106,MATCH($A9,'01_INPUT_COMPANIES'!$A$7:$A$106,0))),"")),"ERROR: COMPANY CURRENCY/YEAR",IF(NOT(OR($Y9="A",$Y9="B",$Y9="C",$Y9="SYNTHETIC")),"ERROR: QUALITY",IF(NOT(AND(OR(COUNTBLANK($F9:$H9)=3,AND(COUNT($F9:$H9)=3,MIN($F9:$H9)&gt;=0,$F9&lt;=$G9,$G9&lt;=$H9)),OR(COUNTBLANK($I9:$K9)=3,AND(COUNT($I9:$K9)=3,MIN($I9:$K9)&gt;=0,$I9&lt;=$J9,$J9&lt;=$K9)),OR(COUNTBLANK($L9:$N9)=3,AND(COUNT($L9:$N9)=3,MIN($L9:$N9)&gt;=0,$L9&lt;=$M9,$M9&lt;=$N9)),OR(COUNTBLANK($O9:$Q9)=3,AND(COUNT($O9:$Q9)=3,MIN($O9:$Q9)&gt;=0,$O9&lt;=$P9,$P9&lt;=$Q9)),OR(COUNTBLANK($R9:$T9)=3,AND(COUNT($R9:$T9)=3,MIN($R9:$T9)&gt;=0,$R9&lt;=$S9,$S9&lt;=$T9)),OR(COUNTBLANK($U9:$W9)=3,AND(COUNT($U9:$W9)=3,MIN($U9:$W9)&gt;=0,$U9&lt;=$V9,$V9&lt;=$W9,MAX($U9:$W9)&lt;=1)))),"ERROR: LOW/BASE/HIGH",IF(NOT(OR(AND(COUNTBLANK($R9:$T9)=3,COUNTBLANK($U9:$W9)=3),AND(COUNT($R9:$T9)=3,COUNT($U9:$W9)=3))),"ERROR: TRANSFER ASSUMPTION",IF(AND(COUNTA($F9:$W9)&gt;0,$X9=""),"ERROR: SOURCE","READY")))))))))))))</x:f>
        <x:v>READY</x:v>
      </x:c>
    </x:row>
    <x:row r="10" ht="15" hidden="0" customHeight="1">
      <x:c r="A10" s="35" t="str">
        <x:v>SYN-D</x:v>
      </x:c>
      <x:c r="B10" s="35" t="str">
        <x:v>KRW</x:v>
      </x:c>
      <x:c r="C10" s="35" t="n">
        <x:v>2025</x:v>
      </x:c>
      <x:c r="D10" s="35" t="str">
        <x:v>2025</x:v>
      </x:c>
      <x:c r="E10" s="35" t="n">
        <x:v>1</x:v>
      </x:c>
      <x:c r="F10" s="40" t="n">
        <x:v>1800000000000</x:v>
      </x:c>
      <x:c r="G10" s="40" t="n">
        <x:v>2000000000000</x:v>
      </x:c>
      <x:c r="H10" s="40" t="n">
        <x:v>2200000000000</x:v>
      </x:c>
      <x:c r="I10" s="40" t="n">
        <x:v>180000000000</x:v>
      </x:c>
      <x:c r="J10" s="40" t="n">
        <x:v>200000000000</x:v>
      </x:c>
      <x:c r="K10" s="40" t="n">
        <x:v>220000000000.00003</x:v>
      </x:c>
      <x:c r="L10" s="40" t="n">
        <x:v>360000000000</x:v>
      </x:c>
      <x:c r="M10" s="40" t="n">
        <x:v>400000000000</x:v>
      </x:c>
      <x:c r="N10" s="40" t="n">
        <x:v>440000000000.00006</x:v>
      </x:c>
      <x:c r="O10" s="40" t="n">
        <x:v>270000000000</x:v>
      </x:c>
      <x:c r="P10" s="40" t="n">
        <x:v>300000000000</x:v>
      </x:c>
      <x:c r="Q10" s="40" t="n">
        <x:v>330000000000</x:v>
      </x:c>
      <x:c r="R10" s="40" t="n">
        <x:v>450000000000</x:v>
      </x:c>
      <x:c r="S10" s="40" t="n">
        <x:v>500000000000</x:v>
      </x:c>
      <x:c r="T10" s="40" t="n">
        <x:v>550000000000</x:v>
      </x:c>
      <x:c r="U10" s="41" t="n">
        <x:v>0.024</x:v>
      </x:c>
      <x:c r="V10" s="41" t="n">
        <x:v>0.03</x:v>
      </x:c>
      <x:c r="W10" s="41" t="n">
        <x:v>0.036</x:v>
      </x:c>
      <x:c r="X10" s="35" t="str">
        <x:v>SYNTHETIC-ECON-DEMO</x:v>
      </x:c>
      <x:c r="Y10" s="35" t="str">
        <x:v>SYNTHETIC</x:v>
      </x:c>
      <x:c r="Z10" s="35" t="str">
        <x:v>방법론 설명용 합성 노출액; low/high는 신뢰구간이 아님</x:v>
      </x:c>
      <x:c r="AA10" s="37" t="str">
        <x:f>IF($A10="","",IF(OR($A10&lt;&gt;TRIM($A10),NOT(EXACT($A10,UPPER($A10))),LEN($A10)&gt;64,ISNUMBER(FIND("*",$A10)),ISNUMBER(FIND("?",$A10)),ISNUMBER(FIND("~",$A10))),"ERROR: ID FORMAT",IF(COUNTIF($A$7:$A$106,$A10)&lt;&gt;1,"ERROR: DUPLICATE EXPOSURE ID",IF(COUNTIF('01_INPUT_COMPANIES'!$A$7:$A$106,$A10)&lt;&gt;1,"ERROR: COMPANY ID",IF(OR($B10="",COUNTIF('92_REF_VARIABLES'!$L$21:$L$50,$B10)&lt;&gt;1),"ERROR: CURRENCY",IF(OR(NOT(ISNUMBER($C10)),$C10&lt;&gt;INT($C10),$C10&lt;2000,$C10&gt;2100),"ERROR: PRICE YEAR",IF(OR($D10="",AND($D10&lt;&gt;IFERROR(IF(INDEX('01_INPUT_COMPANIES'!$G$7:$G$106,MATCH($A10,'01_INPUT_COMPANIES'!$A$7:$A$106,0))="","",INDEX('01_INPUT_COMPANIES'!$G$7:$G$106,MATCH($A10,'01_INPUT_COMPANIES'!$A$7:$A$106,0))),""),$D10&lt;&gt;LEFT(IFERROR(IF(INDEX('01_INPUT_COMPANIES'!$G$7:$G$106,MATCH($A10,'01_INPUT_COMPANIES'!$A$7:$A$106,0))="","",INDEX('01_INPUT_COMPANIES'!$G$7:$G$106,MATCH($A10,'01_INPUT_COMPANIES'!$A$7:$A$106,0))),""),4))),"ERROR: EXPOSURE PERIOD",IF(OR(NOT(ISNUMBER($E10)),$E10&lt;=0,$E10&gt;1),"ERROR: PERIOD FRACTION",IF(OR($B10&lt;&gt;IFERROR(IF(INDEX('01_INPUT_COMPANIES'!$I$7:$I$106,MATCH($A10,'01_INPUT_COMPANIES'!$A$7:$A$106,0))="","",INDEX('01_INPUT_COMPANIES'!$I$7:$I$106,MATCH($A10,'01_INPUT_COMPANIES'!$A$7:$A$106,0))),""),$C10&lt;&gt;IFERROR(IF(INDEX('01_INPUT_COMPANIES'!$J$7:$J$106,MATCH($A10,'01_INPUT_COMPANIES'!$A$7:$A$106,0))="","",INDEX('01_INPUT_COMPANIES'!$J$7:$J$106,MATCH($A10,'01_INPUT_COMPANIES'!$A$7:$A$106,0))),"")),"ERROR: COMPANY CURRENCY/YEAR",IF(NOT(OR($Y10="A",$Y10="B",$Y10="C",$Y10="SYNTHETIC")),"ERROR: QUALITY",IF(NOT(AND(OR(COUNTBLANK($F10:$H10)=3,AND(COUNT($F10:$H10)=3,MIN($F10:$H10)&gt;=0,$F10&lt;=$G10,$G10&lt;=$H10)),OR(COUNTBLANK($I10:$K10)=3,AND(COUNT($I10:$K10)=3,MIN($I10:$K10)&gt;=0,$I10&lt;=$J10,$J10&lt;=$K10)),OR(COUNTBLANK($L10:$N10)=3,AND(COUNT($L10:$N10)=3,MIN($L10:$N10)&gt;=0,$L10&lt;=$M10,$M10&lt;=$N10)),OR(COUNTBLANK($O10:$Q10)=3,AND(COUNT($O10:$Q10)=3,MIN($O10:$Q10)&gt;=0,$O10&lt;=$P10,$P10&lt;=$Q10)),OR(COUNTBLANK($R10:$T10)=3,AND(COUNT($R10:$T10)=3,MIN($R10:$T10)&gt;=0,$R10&lt;=$S10,$S10&lt;=$T10)),OR(COUNTBLANK($U10:$W10)=3,AND(COUNT($U10:$W10)=3,MIN($U10:$W10)&gt;=0,$U10&lt;=$V10,$V10&lt;=$W10,MAX($U10:$W10)&lt;=1)))),"ERROR: LOW/BASE/HIGH",IF(NOT(OR(AND(COUNTBLANK($R10:$T10)=3,COUNTBLANK($U10:$W10)=3),AND(COUNT($R10:$T10)=3,COUNT($U10:$W10)=3))),"ERROR: TRANSFER ASSUMPTION",IF(AND(COUNTA($F10:$W10)&gt;0,$X10=""),"ERROR: SOURCE","READY")))))))))))))</x:f>
        <x:v>READY</x:v>
      </x:c>
    </x:row>
    <x:row r="11" ht="15" hidden="0" customHeight="1">
      <x:c r="A11" s="35"/>
      <x:c r="B11" s="35"/>
      <x:c r="C11" s="35"/>
      <x:c r="D11" s="35"/>
      <x:c r="E11" s="35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1"/>
      <x:c r="V11" s="41"/>
      <x:c r="W11" s="41"/>
      <x:c r="X11" s="35"/>
      <x:c r="Y11" s="35"/>
      <x:c r="Z11" s="35"/>
      <x:c r="AA11" s="37" t="str">
        <x:f>IF($A11="","",IF(OR($A11&lt;&gt;TRIM($A11),NOT(EXACT($A11,UPPER($A11))),LEN($A11)&gt;64,ISNUMBER(FIND("*",$A11)),ISNUMBER(FIND("?",$A11)),ISNUMBER(FIND("~",$A11))),"ERROR: ID FORMAT",IF(COUNTIF($A$7:$A$106,$A11)&lt;&gt;1,"ERROR: DUPLICATE EXPOSURE ID",IF(COUNTIF('01_INPUT_COMPANIES'!$A$7:$A$106,$A11)&lt;&gt;1,"ERROR: COMPANY ID",IF(OR($B11="",COUNTIF('92_REF_VARIABLES'!$L$21:$L$50,$B11)&lt;&gt;1),"ERROR: CURRENCY",IF(OR(NOT(ISNUMBER($C11)),$C11&lt;&gt;INT($C11),$C11&lt;2000,$C11&gt;2100),"ERROR: PRICE YEAR",IF(OR($D11="",AND($D11&lt;&gt;IFERROR(IF(INDEX('01_INPUT_COMPANIES'!$G$7:$G$106,MATCH($A11,'01_INPUT_COMPANIES'!$A$7:$A$106,0))="","",INDEX('01_INPUT_COMPANIES'!$G$7:$G$106,MATCH($A11,'01_INPUT_COMPANIES'!$A$7:$A$106,0))),""),$D11&lt;&gt;LEFT(IFERROR(IF(INDEX('01_INPUT_COMPANIES'!$G$7:$G$106,MATCH($A11,'01_INPUT_COMPANIES'!$A$7:$A$106,0))="","",INDEX('01_INPUT_COMPANIES'!$G$7:$G$106,MATCH($A11,'01_INPUT_COMPANIES'!$A$7:$A$106,0))),""),4))),"ERROR: EXPOSURE PERIOD",IF(OR(NOT(ISNUMBER($E11)),$E11&lt;=0,$E11&gt;1),"ERROR: PERIOD FRACTION",IF(OR($B11&lt;&gt;IFERROR(IF(INDEX('01_INPUT_COMPANIES'!$I$7:$I$106,MATCH($A11,'01_INPUT_COMPANIES'!$A$7:$A$106,0))="","",INDEX('01_INPUT_COMPANIES'!$I$7:$I$106,MATCH($A11,'01_INPUT_COMPANIES'!$A$7:$A$106,0))),""),$C11&lt;&gt;IFERROR(IF(INDEX('01_INPUT_COMPANIES'!$J$7:$J$106,MATCH($A11,'01_INPUT_COMPANIES'!$A$7:$A$106,0))="","",INDEX('01_INPUT_COMPANIES'!$J$7:$J$106,MATCH($A11,'01_INPUT_COMPANIES'!$A$7:$A$106,0))),"")),"ERROR: COMPANY CURRENCY/YEAR",IF(NOT(OR($Y11="A",$Y11="B",$Y11="C",$Y11="SYNTHETIC")),"ERROR: QUALITY",IF(NOT(AND(OR(COUNTBLANK($F11:$H11)=3,AND(COUNT($F11:$H11)=3,MIN($F11:$H11)&gt;=0,$F11&lt;=$G11,$G11&lt;=$H11)),OR(COUNTBLANK($I11:$K11)=3,AND(COUNT($I11:$K11)=3,MIN($I11:$K11)&gt;=0,$I11&lt;=$J11,$J11&lt;=$K11)),OR(COUNTBLANK($L11:$N11)=3,AND(COUNT($L11:$N11)=3,MIN($L11:$N11)&gt;=0,$L11&lt;=$M11,$M11&lt;=$N11)),OR(COUNTBLANK($O11:$Q11)=3,AND(COUNT($O11:$Q11)=3,MIN($O11:$Q11)&gt;=0,$O11&lt;=$P11,$P11&lt;=$Q11)),OR(COUNTBLANK($R11:$T11)=3,AND(COUNT($R11:$T11)=3,MIN($R11:$T11)&gt;=0,$R11&lt;=$S11,$S11&lt;=$T11)),OR(COUNTBLANK($U11:$W11)=3,AND(COUNT($U11:$W11)=3,MIN($U11:$W11)&gt;=0,$U11&lt;=$V11,$V11&lt;=$W11,MAX($U11:$W11)&lt;=1)))),"ERROR: LOW/BASE/HIGH",IF(NOT(OR(AND(COUNTBLANK($R11:$T11)=3,COUNTBLANK($U11:$W11)=3),AND(COUNT($R11:$T11)=3,COUNT($U11:$W11)=3))),"ERROR: TRANSFER ASSUMPTION",IF(AND(COUNTA($F11:$W11)&gt;0,$X11=""),"ERROR: SOURCE","READY")))))))))))))</x:f>
      </x:c>
    </x:row>
    <x:row r="12" ht="15" hidden="0" customHeight="1">
      <x:c r="A12" s="35"/>
      <x:c r="B12" s="35"/>
      <x:c r="C12" s="35"/>
      <x:c r="D12" s="35"/>
      <x:c r="E12" s="35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1"/>
      <x:c r="V12" s="41"/>
      <x:c r="W12" s="41"/>
      <x:c r="X12" s="35"/>
      <x:c r="Y12" s="35"/>
      <x:c r="Z12" s="35"/>
      <x:c r="AA12" s="37" t="str">
        <x:f>IF($A12="","",IF(OR($A12&lt;&gt;TRIM($A12),NOT(EXACT($A12,UPPER($A12))),LEN($A12)&gt;64,ISNUMBER(FIND("*",$A12)),ISNUMBER(FIND("?",$A12)),ISNUMBER(FIND("~",$A12))),"ERROR: ID FORMAT",IF(COUNTIF($A$7:$A$106,$A12)&lt;&gt;1,"ERROR: DUPLICATE EXPOSURE ID",IF(COUNTIF('01_INPUT_COMPANIES'!$A$7:$A$106,$A12)&lt;&gt;1,"ERROR: COMPANY ID",IF(OR($B12="",COUNTIF('92_REF_VARIABLES'!$L$21:$L$50,$B12)&lt;&gt;1),"ERROR: CURRENCY",IF(OR(NOT(ISNUMBER($C12)),$C12&lt;&gt;INT($C12),$C12&lt;2000,$C12&gt;2100),"ERROR: PRICE YEAR",IF(OR($D12="",AND($D12&lt;&gt;IFERROR(IF(INDEX('01_INPUT_COMPANIES'!$G$7:$G$106,MATCH($A12,'01_INPUT_COMPANIES'!$A$7:$A$106,0))="","",INDEX('01_INPUT_COMPANIES'!$G$7:$G$106,MATCH($A12,'01_INPUT_COMPANIES'!$A$7:$A$106,0))),""),$D12&lt;&gt;LEFT(IFERROR(IF(INDEX('01_INPUT_COMPANIES'!$G$7:$G$106,MATCH($A12,'01_INPUT_COMPANIES'!$A$7:$A$106,0))="","",INDEX('01_INPUT_COMPANIES'!$G$7:$G$106,MATCH($A12,'01_INPUT_COMPANIES'!$A$7:$A$106,0))),""),4))),"ERROR: EXPOSURE PERIOD",IF(OR(NOT(ISNUMBER($E12)),$E12&lt;=0,$E12&gt;1),"ERROR: PERIOD FRACTION",IF(OR($B12&lt;&gt;IFERROR(IF(INDEX('01_INPUT_COMPANIES'!$I$7:$I$106,MATCH($A12,'01_INPUT_COMPANIES'!$A$7:$A$106,0))="","",INDEX('01_INPUT_COMPANIES'!$I$7:$I$106,MATCH($A12,'01_INPUT_COMPANIES'!$A$7:$A$106,0))),""),$C12&lt;&gt;IFERROR(IF(INDEX('01_INPUT_COMPANIES'!$J$7:$J$106,MATCH($A12,'01_INPUT_COMPANIES'!$A$7:$A$106,0))="","",INDEX('01_INPUT_COMPANIES'!$J$7:$J$106,MATCH($A12,'01_INPUT_COMPANIES'!$A$7:$A$106,0))),"")),"ERROR: COMPANY CURRENCY/YEAR",IF(NOT(OR($Y12="A",$Y12="B",$Y12="C",$Y12="SYNTHETIC")),"ERROR: QUALITY",IF(NOT(AND(OR(COUNTBLANK($F12:$H12)=3,AND(COUNT($F12:$H12)=3,MIN($F12:$H12)&gt;=0,$F12&lt;=$G12,$G12&lt;=$H12)),OR(COUNTBLANK($I12:$K12)=3,AND(COUNT($I12:$K12)=3,MIN($I12:$K12)&gt;=0,$I12&lt;=$J12,$J12&lt;=$K12)),OR(COUNTBLANK($L12:$N12)=3,AND(COUNT($L12:$N12)=3,MIN($L12:$N12)&gt;=0,$L12&lt;=$M12,$M12&lt;=$N12)),OR(COUNTBLANK($O12:$Q12)=3,AND(COUNT($O12:$Q12)=3,MIN($O12:$Q12)&gt;=0,$O12&lt;=$P12,$P12&lt;=$Q12)),OR(COUNTBLANK($R12:$T12)=3,AND(COUNT($R12:$T12)=3,MIN($R12:$T12)&gt;=0,$R12&lt;=$S12,$S12&lt;=$T12)),OR(COUNTBLANK($U12:$W12)=3,AND(COUNT($U12:$W12)=3,MIN($U12:$W12)&gt;=0,$U12&lt;=$V12,$V12&lt;=$W12,MAX($U12:$W12)&lt;=1)))),"ERROR: LOW/BASE/HIGH",IF(NOT(OR(AND(COUNTBLANK($R12:$T12)=3,COUNTBLANK($U12:$W12)=3),AND(COUNT($R12:$T12)=3,COUNT($U12:$W12)=3))),"ERROR: TRANSFER ASSUMPTION",IF(AND(COUNTA($F12:$W12)&gt;0,$X12=""),"ERROR: SOURCE","READY")))))))))))))</x:f>
      </x:c>
    </x:row>
    <x:row r="13" ht="15" hidden="0" customHeight="1">
      <x:c r="A13" s="35"/>
      <x:c r="B13" s="35"/>
      <x:c r="C13" s="35"/>
      <x:c r="D13" s="35"/>
      <x:c r="E13" s="35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1"/>
      <x:c r="V13" s="41"/>
      <x:c r="W13" s="41"/>
      <x:c r="X13" s="35"/>
      <x:c r="Y13" s="35"/>
      <x:c r="Z13" s="35"/>
      <x:c r="AA13" s="37" t="str">
        <x:f>IF($A13="","",IF(OR($A13&lt;&gt;TRIM($A13),NOT(EXACT($A13,UPPER($A13))),LEN($A13)&gt;64,ISNUMBER(FIND("*",$A13)),ISNUMBER(FIND("?",$A13)),ISNUMBER(FIND("~",$A13))),"ERROR: ID FORMAT",IF(COUNTIF($A$7:$A$106,$A13)&lt;&gt;1,"ERROR: DUPLICATE EXPOSURE ID",IF(COUNTIF('01_INPUT_COMPANIES'!$A$7:$A$106,$A13)&lt;&gt;1,"ERROR: COMPANY ID",IF(OR($B13="",COUNTIF('92_REF_VARIABLES'!$L$21:$L$50,$B13)&lt;&gt;1),"ERROR: CURRENCY",IF(OR(NOT(ISNUMBER($C13)),$C13&lt;&gt;INT($C13),$C13&lt;2000,$C13&gt;2100),"ERROR: PRICE YEAR",IF(OR($D13="",AND($D13&lt;&gt;IFERROR(IF(INDEX('01_INPUT_COMPANIES'!$G$7:$G$106,MATCH($A13,'01_INPUT_COMPANIES'!$A$7:$A$106,0))="","",INDEX('01_INPUT_COMPANIES'!$G$7:$G$106,MATCH($A13,'01_INPUT_COMPANIES'!$A$7:$A$106,0))),""),$D13&lt;&gt;LEFT(IFERROR(IF(INDEX('01_INPUT_COMPANIES'!$G$7:$G$106,MATCH($A13,'01_INPUT_COMPANIES'!$A$7:$A$106,0))="","",INDEX('01_INPUT_COMPANIES'!$G$7:$G$106,MATCH($A13,'01_INPUT_COMPANIES'!$A$7:$A$106,0))),""),4))),"ERROR: EXPOSURE PERIOD",IF(OR(NOT(ISNUMBER($E13)),$E13&lt;=0,$E13&gt;1),"ERROR: PERIOD FRACTION",IF(OR($B13&lt;&gt;IFERROR(IF(INDEX('01_INPUT_COMPANIES'!$I$7:$I$106,MATCH($A13,'01_INPUT_COMPANIES'!$A$7:$A$106,0))="","",INDEX('01_INPUT_COMPANIES'!$I$7:$I$106,MATCH($A13,'01_INPUT_COMPANIES'!$A$7:$A$106,0))),""),$C13&lt;&gt;IFERROR(IF(INDEX('01_INPUT_COMPANIES'!$J$7:$J$106,MATCH($A13,'01_INPUT_COMPANIES'!$A$7:$A$106,0))="","",INDEX('01_INPUT_COMPANIES'!$J$7:$J$106,MATCH($A13,'01_INPUT_COMPANIES'!$A$7:$A$106,0))),"")),"ERROR: COMPANY CURRENCY/YEAR",IF(NOT(OR($Y13="A",$Y13="B",$Y13="C",$Y13="SYNTHETIC")),"ERROR: QUALITY",IF(NOT(AND(OR(COUNTBLANK($F13:$H13)=3,AND(COUNT($F13:$H13)=3,MIN($F13:$H13)&gt;=0,$F13&lt;=$G13,$G13&lt;=$H13)),OR(COUNTBLANK($I13:$K13)=3,AND(COUNT($I13:$K13)=3,MIN($I13:$K13)&gt;=0,$I13&lt;=$J13,$J13&lt;=$K13)),OR(COUNTBLANK($L13:$N13)=3,AND(COUNT($L13:$N13)=3,MIN($L13:$N13)&gt;=0,$L13&lt;=$M13,$M13&lt;=$N13)),OR(COUNTBLANK($O13:$Q13)=3,AND(COUNT($O13:$Q13)=3,MIN($O13:$Q13)&gt;=0,$O13&lt;=$P13,$P13&lt;=$Q13)),OR(COUNTBLANK($R13:$T13)=3,AND(COUNT($R13:$T13)=3,MIN($R13:$T13)&gt;=0,$R13&lt;=$S13,$S13&lt;=$T13)),OR(COUNTBLANK($U13:$W13)=3,AND(COUNT($U13:$W13)=3,MIN($U13:$W13)&gt;=0,$U13&lt;=$V13,$V13&lt;=$W13,MAX($U13:$W13)&lt;=1)))),"ERROR: LOW/BASE/HIGH",IF(NOT(OR(AND(COUNTBLANK($R13:$T13)=3,COUNTBLANK($U13:$W13)=3),AND(COUNT($R13:$T13)=3,COUNT($U13:$W13)=3))),"ERROR: TRANSFER ASSUMPTION",IF(AND(COUNTA($F13:$W13)&gt;0,$X13=""),"ERROR: SOURCE","READY")))))))))))))</x:f>
      </x:c>
    </x:row>
    <x:row r="14" ht="15" hidden="0" customHeight="1">
      <x:c r="A14" s="35"/>
      <x:c r="B14" s="35"/>
      <x:c r="C14" s="35"/>
      <x:c r="D14" s="35"/>
      <x:c r="E14" s="35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1"/>
      <x:c r="V14" s="41"/>
      <x:c r="W14" s="41"/>
      <x:c r="X14" s="35"/>
      <x:c r="Y14" s="35"/>
      <x:c r="Z14" s="35"/>
      <x:c r="AA14" s="37" t="str">
        <x:f>IF($A14="","",IF(OR($A14&lt;&gt;TRIM($A14),NOT(EXACT($A14,UPPER($A14))),LEN($A14)&gt;64,ISNUMBER(FIND("*",$A14)),ISNUMBER(FIND("?",$A14)),ISNUMBER(FIND("~",$A14))),"ERROR: ID FORMAT",IF(COUNTIF($A$7:$A$106,$A14)&lt;&gt;1,"ERROR: DUPLICATE EXPOSURE ID",IF(COUNTIF('01_INPUT_COMPANIES'!$A$7:$A$106,$A14)&lt;&gt;1,"ERROR: COMPANY ID",IF(OR($B14="",COUNTIF('92_REF_VARIABLES'!$L$21:$L$50,$B14)&lt;&gt;1),"ERROR: CURRENCY",IF(OR(NOT(ISNUMBER($C14)),$C14&lt;&gt;INT($C14),$C14&lt;2000,$C14&gt;2100),"ERROR: PRICE YEAR",IF(OR($D14="",AND($D14&lt;&gt;IFERROR(IF(INDEX('01_INPUT_COMPANIES'!$G$7:$G$106,MATCH($A14,'01_INPUT_COMPANIES'!$A$7:$A$106,0))="","",INDEX('01_INPUT_COMPANIES'!$G$7:$G$106,MATCH($A14,'01_INPUT_COMPANIES'!$A$7:$A$106,0))),""),$D14&lt;&gt;LEFT(IFERROR(IF(INDEX('01_INPUT_COMPANIES'!$G$7:$G$106,MATCH($A14,'01_INPUT_COMPANIES'!$A$7:$A$106,0))="","",INDEX('01_INPUT_COMPANIES'!$G$7:$G$106,MATCH($A14,'01_INPUT_COMPANIES'!$A$7:$A$106,0))),""),4))),"ERROR: EXPOSURE PERIOD",IF(OR(NOT(ISNUMBER($E14)),$E14&lt;=0,$E14&gt;1),"ERROR: PERIOD FRACTION",IF(OR($B14&lt;&gt;IFERROR(IF(INDEX('01_INPUT_COMPANIES'!$I$7:$I$106,MATCH($A14,'01_INPUT_COMPANIES'!$A$7:$A$106,0))="","",INDEX('01_INPUT_COMPANIES'!$I$7:$I$106,MATCH($A14,'01_INPUT_COMPANIES'!$A$7:$A$106,0))),""),$C14&lt;&gt;IFERROR(IF(INDEX('01_INPUT_COMPANIES'!$J$7:$J$106,MATCH($A14,'01_INPUT_COMPANIES'!$A$7:$A$106,0))="","",INDEX('01_INPUT_COMPANIES'!$J$7:$J$106,MATCH($A14,'01_INPUT_COMPANIES'!$A$7:$A$106,0))),"")),"ERROR: COMPANY CURRENCY/YEAR",IF(NOT(OR($Y14="A",$Y14="B",$Y14="C",$Y14="SYNTHETIC")),"ERROR: QUALITY",IF(NOT(AND(OR(COUNTBLANK($F14:$H14)=3,AND(COUNT($F14:$H14)=3,MIN($F14:$H14)&gt;=0,$F14&lt;=$G14,$G14&lt;=$H14)),OR(COUNTBLANK($I14:$K14)=3,AND(COUNT($I14:$K14)=3,MIN($I14:$K14)&gt;=0,$I14&lt;=$J14,$J14&lt;=$K14)),OR(COUNTBLANK($L14:$N14)=3,AND(COUNT($L14:$N14)=3,MIN($L14:$N14)&gt;=0,$L14&lt;=$M14,$M14&lt;=$N14)),OR(COUNTBLANK($O14:$Q14)=3,AND(COUNT($O14:$Q14)=3,MIN($O14:$Q14)&gt;=0,$O14&lt;=$P14,$P14&lt;=$Q14)),OR(COUNTBLANK($R14:$T14)=3,AND(COUNT($R14:$T14)=3,MIN($R14:$T14)&gt;=0,$R14&lt;=$S14,$S14&lt;=$T14)),OR(COUNTBLANK($U14:$W14)=3,AND(COUNT($U14:$W14)=3,MIN($U14:$W14)&gt;=0,$U14&lt;=$V14,$V14&lt;=$W14,MAX($U14:$W14)&lt;=1)))),"ERROR: LOW/BASE/HIGH",IF(NOT(OR(AND(COUNTBLANK($R14:$T14)=3,COUNTBLANK($U14:$W14)=3),AND(COUNT($R14:$T14)=3,COUNT($U14:$W14)=3))),"ERROR: TRANSFER ASSUMPTION",IF(AND(COUNTA($F14:$W14)&gt;0,$X14=""),"ERROR: SOURCE","READY")))))))))))))</x:f>
      </x:c>
    </x:row>
    <x:row r="15">
      <x:c r="A15" s="30"/>
      <x:c r="B15" s="30"/>
      <x:c r="C15" s="30"/>
      <x:c r="D15" s="30"/>
      <x:c r="E15" s="30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9"/>
      <x:c r="V15" s="39"/>
      <x:c r="W15" s="39"/>
      <x:c r="X15" s="30"/>
      <x:c r="Y15" s="30"/>
      <x:c r="Z15" s="30"/>
      <x:c r="AA15" s="34" t="str">
        <x:f>IF($A15="","",IF(OR($A15&lt;&gt;TRIM($A15),NOT(EXACT($A15,UPPER($A15))),LEN($A15)&gt;64,ISNUMBER(FIND("*",$A15)),ISNUMBER(FIND("?",$A15)),ISNUMBER(FIND("~",$A15))),"ERROR: ID FORMAT",IF(COUNTIF($A$7:$A$106,$A15)&lt;&gt;1,"ERROR: DUPLICATE EXPOSURE ID",IF(COUNTIF('01_INPUT_COMPANIES'!$A$7:$A$106,$A15)&lt;&gt;1,"ERROR: COMPANY ID",IF(OR($B15="",COUNTIF('92_REF_VARIABLES'!$L$21:$L$50,$B15)&lt;&gt;1),"ERROR: CURRENCY",IF(OR(NOT(ISNUMBER($C15)),$C15&lt;&gt;INT($C15),$C15&lt;2000,$C15&gt;2100),"ERROR: PRICE YEAR",IF(OR($D15="",AND($D15&lt;&gt;IFERROR(IF(INDEX('01_INPUT_COMPANIES'!$G$7:$G$106,MATCH($A15,'01_INPUT_COMPANIES'!$A$7:$A$106,0))="","",INDEX('01_INPUT_COMPANIES'!$G$7:$G$106,MATCH($A15,'01_INPUT_COMPANIES'!$A$7:$A$106,0))),""),$D15&lt;&gt;LEFT(IFERROR(IF(INDEX('01_INPUT_COMPANIES'!$G$7:$G$106,MATCH($A15,'01_INPUT_COMPANIES'!$A$7:$A$106,0))="","",INDEX('01_INPUT_COMPANIES'!$G$7:$G$106,MATCH($A15,'01_INPUT_COMPANIES'!$A$7:$A$106,0))),""),4))),"ERROR: EXPOSURE PERIOD",IF(OR(NOT(ISNUMBER($E15)),$E15&lt;=0,$E15&gt;1),"ERROR: PERIOD FRACTION",IF(OR($B15&lt;&gt;IFERROR(IF(INDEX('01_INPUT_COMPANIES'!$I$7:$I$106,MATCH($A15,'01_INPUT_COMPANIES'!$A$7:$A$106,0))="","",INDEX('01_INPUT_COMPANIES'!$I$7:$I$106,MATCH($A15,'01_INPUT_COMPANIES'!$A$7:$A$106,0))),""),$C15&lt;&gt;IFERROR(IF(INDEX('01_INPUT_COMPANIES'!$J$7:$J$106,MATCH($A15,'01_INPUT_COMPANIES'!$A$7:$A$106,0))="","",INDEX('01_INPUT_COMPANIES'!$J$7:$J$106,MATCH($A15,'01_INPUT_COMPANIES'!$A$7:$A$106,0))),"")),"ERROR: COMPANY CURRENCY/YEAR",IF(NOT(OR($Y15="A",$Y15="B",$Y15="C",$Y15="SYNTHETIC")),"ERROR: QUALITY",IF(NOT(AND(OR(COUNTBLANK($F15:$H15)=3,AND(COUNT($F15:$H15)=3,MIN($F15:$H15)&gt;=0,$F15&lt;=$G15,$G15&lt;=$H15)),OR(COUNTBLANK($I15:$K15)=3,AND(COUNT($I15:$K15)=3,MIN($I15:$K15)&gt;=0,$I15&lt;=$J15,$J15&lt;=$K15)),OR(COUNTBLANK($L15:$N15)=3,AND(COUNT($L15:$N15)=3,MIN($L15:$N15)&gt;=0,$L15&lt;=$M15,$M15&lt;=$N15)),OR(COUNTBLANK($O15:$Q15)=3,AND(COUNT($O15:$Q15)=3,MIN($O15:$Q15)&gt;=0,$O15&lt;=$P15,$P15&lt;=$Q15)),OR(COUNTBLANK($R15:$T15)=3,AND(COUNT($R15:$T15)=3,MIN($R15:$T15)&gt;=0,$R15&lt;=$S15,$S15&lt;=$T15)),OR(COUNTBLANK($U15:$W15)=3,AND(COUNT($U15:$W15)=3,MIN($U15:$W15)&gt;=0,$U15&lt;=$V15,$V15&lt;=$W15,MAX($U15:$W15)&lt;=1)))),"ERROR: LOW/BASE/HIGH",IF(NOT(OR(AND(COUNTBLANK($R15:$T15)=3,COUNTBLANK($U15:$W15)=3),AND(COUNT($R15:$T15)=3,COUNT($U15:$W15)=3))),"ERROR: TRANSFER ASSUMPTION",IF(AND(COUNTA($F15:$W15)&gt;0,$X15=""),"ERROR: SOURCE","READY")))))))))))))</x:f>
      </x:c>
    </x:row>
    <x:row r="16">
      <x:c r="A16" s="30"/>
      <x:c r="B16" s="30"/>
      <x:c r="C16" s="30"/>
      <x:c r="D16" s="30"/>
      <x:c r="E16" s="30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9"/>
      <x:c r="V16" s="39"/>
      <x:c r="W16" s="39"/>
      <x:c r="X16" s="30"/>
      <x:c r="Y16" s="30"/>
      <x:c r="Z16" s="30"/>
      <x:c r="AA16" s="34" t="str">
        <x:f>IF($A16="","",IF(OR($A16&lt;&gt;TRIM($A16),NOT(EXACT($A16,UPPER($A16))),LEN($A16)&gt;64,ISNUMBER(FIND("*",$A16)),ISNUMBER(FIND("?",$A16)),ISNUMBER(FIND("~",$A16))),"ERROR: ID FORMAT",IF(COUNTIF($A$7:$A$106,$A16)&lt;&gt;1,"ERROR: DUPLICATE EXPOSURE ID",IF(COUNTIF('01_INPUT_COMPANIES'!$A$7:$A$106,$A16)&lt;&gt;1,"ERROR: COMPANY ID",IF(OR($B16="",COUNTIF('92_REF_VARIABLES'!$L$21:$L$50,$B16)&lt;&gt;1),"ERROR: CURRENCY",IF(OR(NOT(ISNUMBER($C16)),$C16&lt;&gt;INT($C16),$C16&lt;2000,$C16&gt;2100),"ERROR: PRICE YEAR",IF(OR($D16="",AND($D16&lt;&gt;IFERROR(IF(INDEX('01_INPUT_COMPANIES'!$G$7:$G$106,MATCH($A16,'01_INPUT_COMPANIES'!$A$7:$A$106,0))="","",INDEX('01_INPUT_COMPANIES'!$G$7:$G$106,MATCH($A16,'01_INPUT_COMPANIES'!$A$7:$A$106,0))),""),$D16&lt;&gt;LEFT(IFERROR(IF(INDEX('01_INPUT_COMPANIES'!$G$7:$G$106,MATCH($A16,'01_INPUT_COMPANIES'!$A$7:$A$106,0))="","",INDEX('01_INPUT_COMPANIES'!$G$7:$G$106,MATCH($A16,'01_INPUT_COMPANIES'!$A$7:$A$106,0))),""),4))),"ERROR: EXPOSURE PERIOD",IF(OR(NOT(ISNUMBER($E16)),$E16&lt;=0,$E16&gt;1),"ERROR: PERIOD FRACTION",IF(OR($B16&lt;&gt;IFERROR(IF(INDEX('01_INPUT_COMPANIES'!$I$7:$I$106,MATCH($A16,'01_INPUT_COMPANIES'!$A$7:$A$106,0))="","",INDEX('01_INPUT_COMPANIES'!$I$7:$I$106,MATCH($A16,'01_INPUT_COMPANIES'!$A$7:$A$106,0))),""),$C16&lt;&gt;IFERROR(IF(INDEX('01_INPUT_COMPANIES'!$J$7:$J$106,MATCH($A16,'01_INPUT_COMPANIES'!$A$7:$A$106,0))="","",INDEX('01_INPUT_COMPANIES'!$J$7:$J$106,MATCH($A16,'01_INPUT_COMPANIES'!$A$7:$A$106,0))),"")),"ERROR: COMPANY CURRENCY/YEAR",IF(NOT(OR($Y16="A",$Y16="B",$Y16="C",$Y16="SYNTHETIC")),"ERROR: QUALITY",IF(NOT(AND(OR(COUNTBLANK($F16:$H16)=3,AND(COUNT($F16:$H16)=3,MIN($F16:$H16)&gt;=0,$F16&lt;=$G16,$G16&lt;=$H16)),OR(COUNTBLANK($I16:$K16)=3,AND(COUNT($I16:$K16)=3,MIN($I16:$K16)&gt;=0,$I16&lt;=$J16,$J16&lt;=$K16)),OR(COUNTBLANK($L16:$N16)=3,AND(COUNT($L16:$N16)=3,MIN($L16:$N16)&gt;=0,$L16&lt;=$M16,$M16&lt;=$N16)),OR(COUNTBLANK($O16:$Q16)=3,AND(COUNT($O16:$Q16)=3,MIN($O16:$Q16)&gt;=0,$O16&lt;=$P16,$P16&lt;=$Q16)),OR(COUNTBLANK($R16:$T16)=3,AND(COUNT($R16:$T16)=3,MIN($R16:$T16)&gt;=0,$R16&lt;=$S16,$S16&lt;=$T16)),OR(COUNTBLANK($U16:$W16)=3,AND(COUNT($U16:$W16)=3,MIN($U16:$W16)&gt;=0,$U16&lt;=$V16,$V16&lt;=$W16,MAX($U16:$W16)&lt;=1)))),"ERROR: LOW/BASE/HIGH",IF(NOT(OR(AND(COUNTBLANK($R16:$T16)=3,COUNTBLANK($U16:$W16)=3),AND(COUNT($R16:$T16)=3,COUNT($U16:$W16)=3))),"ERROR: TRANSFER ASSUMPTION",IF(AND(COUNTA($F16:$W16)&gt;0,$X16=""),"ERROR: SOURCE","READY")))))))))))))</x:f>
      </x:c>
    </x:row>
    <x:row r="17">
      <x:c r="A17" s="30"/>
      <x:c r="B17" s="30"/>
      <x:c r="C17" s="30"/>
      <x:c r="D17" s="30"/>
      <x:c r="E17" s="30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9"/>
      <x:c r="V17" s="39"/>
      <x:c r="W17" s="39"/>
      <x:c r="X17" s="30"/>
      <x:c r="Y17" s="30"/>
      <x:c r="Z17" s="30"/>
      <x:c r="AA17" s="34" t="str">
        <x:f>IF($A17="","",IF(OR($A17&lt;&gt;TRIM($A17),NOT(EXACT($A17,UPPER($A17))),LEN($A17)&gt;64,ISNUMBER(FIND("*",$A17)),ISNUMBER(FIND("?",$A17)),ISNUMBER(FIND("~",$A17))),"ERROR: ID FORMAT",IF(COUNTIF($A$7:$A$106,$A17)&lt;&gt;1,"ERROR: DUPLICATE EXPOSURE ID",IF(COUNTIF('01_INPUT_COMPANIES'!$A$7:$A$106,$A17)&lt;&gt;1,"ERROR: COMPANY ID",IF(OR($B17="",COUNTIF('92_REF_VARIABLES'!$L$21:$L$50,$B17)&lt;&gt;1),"ERROR: CURRENCY",IF(OR(NOT(ISNUMBER($C17)),$C17&lt;&gt;INT($C17),$C17&lt;2000,$C17&gt;2100),"ERROR: PRICE YEAR",IF(OR($D17="",AND($D17&lt;&gt;IFERROR(IF(INDEX('01_INPUT_COMPANIES'!$G$7:$G$106,MATCH($A17,'01_INPUT_COMPANIES'!$A$7:$A$106,0))="","",INDEX('01_INPUT_COMPANIES'!$G$7:$G$106,MATCH($A17,'01_INPUT_COMPANIES'!$A$7:$A$106,0))),""),$D17&lt;&gt;LEFT(IFERROR(IF(INDEX('01_INPUT_COMPANIES'!$G$7:$G$106,MATCH($A17,'01_INPUT_COMPANIES'!$A$7:$A$106,0))="","",INDEX('01_INPUT_COMPANIES'!$G$7:$G$106,MATCH($A17,'01_INPUT_COMPANIES'!$A$7:$A$106,0))),""),4))),"ERROR: EXPOSURE PERIOD",IF(OR(NOT(ISNUMBER($E17)),$E17&lt;=0,$E17&gt;1),"ERROR: PERIOD FRACTION",IF(OR($B17&lt;&gt;IFERROR(IF(INDEX('01_INPUT_COMPANIES'!$I$7:$I$106,MATCH($A17,'01_INPUT_COMPANIES'!$A$7:$A$106,0))="","",INDEX('01_INPUT_COMPANIES'!$I$7:$I$106,MATCH($A17,'01_INPUT_COMPANIES'!$A$7:$A$106,0))),""),$C17&lt;&gt;IFERROR(IF(INDEX('01_INPUT_COMPANIES'!$J$7:$J$106,MATCH($A17,'01_INPUT_COMPANIES'!$A$7:$A$106,0))="","",INDEX('01_INPUT_COMPANIES'!$J$7:$J$106,MATCH($A17,'01_INPUT_COMPANIES'!$A$7:$A$106,0))),"")),"ERROR: COMPANY CURRENCY/YEAR",IF(NOT(OR($Y17="A",$Y17="B",$Y17="C",$Y17="SYNTHETIC")),"ERROR: QUALITY",IF(NOT(AND(OR(COUNTBLANK($F17:$H17)=3,AND(COUNT($F17:$H17)=3,MIN($F17:$H17)&gt;=0,$F17&lt;=$G17,$G17&lt;=$H17)),OR(COUNTBLANK($I17:$K17)=3,AND(COUNT($I17:$K17)=3,MIN($I17:$K17)&gt;=0,$I17&lt;=$J17,$J17&lt;=$K17)),OR(COUNTBLANK($L17:$N17)=3,AND(COUNT($L17:$N17)=3,MIN($L17:$N17)&gt;=0,$L17&lt;=$M17,$M17&lt;=$N17)),OR(COUNTBLANK($O17:$Q17)=3,AND(COUNT($O17:$Q17)=3,MIN($O17:$Q17)&gt;=0,$O17&lt;=$P17,$P17&lt;=$Q17)),OR(COUNTBLANK($R17:$T17)=3,AND(COUNT($R17:$T17)=3,MIN($R17:$T17)&gt;=0,$R17&lt;=$S17,$S17&lt;=$T17)),OR(COUNTBLANK($U17:$W17)=3,AND(COUNT($U17:$W17)=3,MIN($U17:$W17)&gt;=0,$U17&lt;=$V17,$V17&lt;=$W17,MAX($U17:$W17)&lt;=1)))),"ERROR: LOW/BASE/HIGH",IF(NOT(OR(AND(COUNTBLANK($R17:$T17)=3,COUNTBLANK($U17:$W17)=3),AND(COUNT($R17:$T17)=3,COUNT($U17:$W17)=3))),"ERROR: TRANSFER ASSUMPTION",IF(AND(COUNTA($F17:$W17)&gt;0,$X17=""),"ERROR: SOURCE","READY")))))))))))))</x:f>
      </x:c>
    </x:row>
    <x:row r="18">
      <x:c r="A18" s="30"/>
      <x:c r="B18" s="30"/>
      <x:c r="C18" s="30"/>
      <x:c r="D18" s="30"/>
      <x:c r="E18" s="30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9"/>
      <x:c r="V18" s="39"/>
      <x:c r="W18" s="39"/>
      <x:c r="X18" s="30"/>
      <x:c r="Y18" s="30"/>
      <x:c r="Z18" s="30"/>
      <x:c r="AA18" s="34" t="str">
        <x:f>IF($A18="","",IF(OR($A18&lt;&gt;TRIM($A18),NOT(EXACT($A18,UPPER($A18))),LEN($A18)&gt;64,ISNUMBER(FIND("*",$A18)),ISNUMBER(FIND("?",$A18)),ISNUMBER(FIND("~",$A18))),"ERROR: ID FORMAT",IF(COUNTIF($A$7:$A$106,$A18)&lt;&gt;1,"ERROR: DUPLICATE EXPOSURE ID",IF(COUNTIF('01_INPUT_COMPANIES'!$A$7:$A$106,$A18)&lt;&gt;1,"ERROR: COMPANY ID",IF(OR($B18="",COUNTIF('92_REF_VARIABLES'!$L$21:$L$50,$B18)&lt;&gt;1),"ERROR: CURRENCY",IF(OR(NOT(ISNUMBER($C18)),$C18&lt;&gt;INT($C18),$C18&lt;2000,$C18&gt;2100),"ERROR: PRICE YEAR",IF(OR($D18="",AND($D18&lt;&gt;IFERROR(IF(INDEX('01_INPUT_COMPANIES'!$G$7:$G$106,MATCH($A18,'01_INPUT_COMPANIES'!$A$7:$A$106,0))="","",INDEX('01_INPUT_COMPANIES'!$G$7:$G$106,MATCH($A18,'01_INPUT_COMPANIES'!$A$7:$A$106,0))),""),$D18&lt;&gt;LEFT(IFERROR(IF(INDEX('01_INPUT_COMPANIES'!$G$7:$G$106,MATCH($A18,'01_INPUT_COMPANIES'!$A$7:$A$106,0))="","",INDEX('01_INPUT_COMPANIES'!$G$7:$G$106,MATCH($A18,'01_INPUT_COMPANIES'!$A$7:$A$106,0))),""),4))),"ERROR: EXPOSURE PERIOD",IF(OR(NOT(ISNUMBER($E18)),$E18&lt;=0,$E18&gt;1),"ERROR: PERIOD FRACTION",IF(OR($B18&lt;&gt;IFERROR(IF(INDEX('01_INPUT_COMPANIES'!$I$7:$I$106,MATCH($A18,'01_INPUT_COMPANIES'!$A$7:$A$106,0))="","",INDEX('01_INPUT_COMPANIES'!$I$7:$I$106,MATCH($A18,'01_INPUT_COMPANIES'!$A$7:$A$106,0))),""),$C18&lt;&gt;IFERROR(IF(INDEX('01_INPUT_COMPANIES'!$J$7:$J$106,MATCH($A18,'01_INPUT_COMPANIES'!$A$7:$A$106,0))="","",INDEX('01_INPUT_COMPANIES'!$J$7:$J$106,MATCH($A18,'01_INPUT_COMPANIES'!$A$7:$A$106,0))),"")),"ERROR: COMPANY CURRENCY/YEAR",IF(NOT(OR($Y18="A",$Y18="B",$Y18="C",$Y18="SYNTHETIC")),"ERROR: QUALITY",IF(NOT(AND(OR(COUNTBLANK($F18:$H18)=3,AND(COUNT($F18:$H18)=3,MIN($F18:$H18)&gt;=0,$F18&lt;=$G18,$G18&lt;=$H18)),OR(COUNTBLANK($I18:$K18)=3,AND(COUNT($I18:$K18)=3,MIN($I18:$K18)&gt;=0,$I18&lt;=$J18,$J18&lt;=$K18)),OR(COUNTBLANK($L18:$N18)=3,AND(COUNT($L18:$N18)=3,MIN($L18:$N18)&gt;=0,$L18&lt;=$M18,$M18&lt;=$N18)),OR(COUNTBLANK($O18:$Q18)=3,AND(COUNT($O18:$Q18)=3,MIN($O18:$Q18)&gt;=0,$O18&lt;=$P18,$P18&lt;=$Q18)),OR(COUNTBLANK($R18:$T18)=3,AND(COUNT($R18:$T18)=3,MIN($R18:$T18)&gt;=0,$R18&lt;=$S18,$S18&lt;=$T18)),OR(COUNTBLANK($U18:$W18)=3,AND(COUNT($U18:$W18)=3,MIN($U18:$W18)&gt;=0,$U18&lt;=$V18,$V18&lt;=$W18,MAX($U18:$W18)&lt;=1)))),"ERROR: LOW/BASE/HIGH",IF(NOT(OR(AND(COUNTBLANK($R18:$T18)=3,COUNTBLANK($U18:$W18)=3),AND(COUNT($R18:$T18)=3,COUNT($U18:$W18)=3))),"ERROR: TRANSFER ASSUMPTION",IF(AND(COUNTA($F18:$W18)&gt;0,$X18=""),"ERROR: SOURCE","READY")))))))))))))</x:f>
      </x:c>
    </x:row>
    <x:row r="19">
      <x:c r="A19" s="30"/>
      <x:c r="B19" s="30"/>
      <x:c r="C19" s="30"/>
      <x:c r="D19" s="30"/>
      <x:c r="E19" s="30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9"/>
      <x:c r="V19" s="39"/>
      <x:c r="W19" s="39"/>
      <x:c r="X19" s="30"/>
      <x:c r="Y19" s="30"/>
      <x:c r="Z19" s="30"/>
      <x:c r="AA19" s="34" t="str">
        <x:f>IF($A19="","",IF(OR($A19&lt;&gt;TRIM($A19),NOT(EXACT($A19,UPPER($A19))),LEN($A19)&gt;64,ISNUMBER(FIND("*",$A19)),ISNUMBER(FIND("?",$A19)),ISNUMBER(FIND("~",$A19))),"ERROR: ID FORMAT",IF(COUNTIF($A$7:$A$106,$A19)&lt;&gt;1,"ERROR: DUPLICATE EXPOSURE ID",IF(COUNTIF('01_INPUT_COMPANIES'!$A$7:$A$106,$A19)&lt;&gt;1,"ERROR: COMPANY ID",IF(OR($B19="",COUNTIF('92_REF_VARIABLES'!$L$21:$L$50,$B19)&lt;&gt;1),"ERROR: CURRENCY",IF(OR(NOT(ISNUMBER($C19)),$C19&lt;&gt;INT($C19),$C19&lt;2000,$C19&gt;2100),"ERROR: PRICE YEAR",IF(OR($D19="",AND($D19&lt;&gt;IFERROR(IF(INDEX('01_INPUT_COMPANIES'!$G$7:$G$106,MATCH($A19,'01_INPUT_COMPANIES'!$A$7:$A$106,0))="","",INDEX('01_INPUT_COMPANIES'!$G$7:$G$106,MATCH($A19,'01_INPUT_COMPANIES'!$A$7:$A$106,0))),""),$D19&lt;&gt;LEFT(IFERROR(IF(INDEX('01_INPUT_COMPANIES'!$G$7:$G$106,MATCH($A19,'01_INPUT_COMPANIES'!$A$7:$A$106,0))="","",INDEX('01_INPUT_COMPANIES'!$G$7:$G$106,MATCH($A19,'01_INPUT_COMPANIES'!$A$7:$A$106,0))),""),4))),"ERROR: EXPOSURE PERIOD",IF(OR(NOT(ISNUMBER($E19)),$E19&lt;=0,$E19&gt;1),"ERROR: PERIOD FRACTION",IF(OR($B19&lt;&gt;IFERROR(IF(INDEX('01_INPUT_COMPANIES'!$I$7:$I$106,MATCH($A19,'01_INPUT_COMPANIES'!$A$7:$A$106,0))="","",INDEX('01_INPUT_COMPANIES'!$I$7:$I$106,MATCH($A19,'01_INPUT_COMPANIES'!$A$7:$A$106,0))),""),$C19&lt;&gt;IFERROR(IF(INDEX('01_INPUT_COMPANIES'!$J$7:$J$106,MATCH($A19,'01_INPUT_COMPANIES'!$A$7:$A$106,0))="","",INDEX('01_INPUT_COMPANIES'!$J$7:$J$106,MATCH($A19,'01_INPUT_COMPANIES'!$A$7:$A$106,0))),"")),"ERROR: COMPANY CURRENCY/YEAR",IF(NOT(OR($Y19="A",$Y19="B",$Y19="C",$Y19="SYNTHETIC")),"ERROR: QUALITY",IF(NOT(AND(OR(COUNTBLANK($F19:$H19)=3,AND(COUNT($F19:$H19)=3,MIN($F19:$H19)&gt;=0,$F19&lt;=$G19,$G19&lt;=$H19)),OR(COUNTBLANK($I19:$K19)=3,AND(COUNT($I19:$K19)=3,MIN($I19:$K19)&gt;=0,$I19&lt;=$J19,$J19&lt;=$K19)),OR(COUNTBLANK($L19:$N19)=3,AND(COUNT($L19:$N19)=3,MIN($L19:$N19)&gt;=0,$L19&lt;=$M19,$M19&lt;=$N19)),OR(COUNTBLANK($O19:$Q19)=3,AND(COUNT($O19:$Q19)=3,MIN($O19:$Q19)&gt;=0,$O19&lt;=$P19,$P19&lt;=$Q19)),OR(COUNTBLANK($R19:$T19)=3,AND(COUNT($R19:$T19)=3,MIN($R19:$T19)&gt;=0,$R19&lt;=$S19,$S19&lt;=$T19)),OR(COUNTBLANK($U19:$W19)=3,AND(COUNT($U19:$W19)=3,MIN($U19:$W19)&gt;=0,$U19&lt;=$V19,$V19&lt;=$W19,MAX($U19:$W19)&lt;=1)))),"ERROR: LOW/BASE/HIGH",IF(NOT(OR(AND(COUNTBLANK($R19:$T19)=3,COUNTBLANK($U19:$W19)=3),AND(COUNT($R19:$T19)=3,COUNT($U19:$W19)=3))),"ERROR: TRANSFER ASSUMPTION",IF(AND(COUNTA($F19:$W19)&gt;0,$X19=""),"ERROR: SOURCE","READY")))))))))))))</x:f>
      </x:c>
    </x:row>
    <x:row r="20">
      <x:c r="A20" s="30"/>
      <x:c r="B20" s="30"/>
      <x:c r="C20" s="30"/>
      <x:c r="D20" s="30"/>
      <x:c r="E20" s="30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9"/>
      <x:c r="V20" s="39"/>
      <x:c r="W20" s="39"/>
      <x:c r="X20" s="30"/>
      <x:c r="Y20" s="30"/>
      <x:c r="Z20" s="30"/>
      <x:c r="AA20" s="34" t="str">
        <x:f>IF($A20="","",IF(OR($A20&lt;&gt;TRIM($A20),NOT(EXACT($A20,UPPER($A20))),LEN($A20)&gt;64,ISNUMBER(FIND("*",$A20)),ISNUMBER(FIND("?",$A20)),ISNUMBER(FIND("~",$A20))),"ERROR: ID FORMAT",IF(COUNTIF($A$7:$A$106,$A20)&lt;&gt;1,"ERROR: DUPLICATE EXPOSURE ID",IF(COUNTIF('01_INPUT_COMPANIES'!$A$7:$A$106,$A20)&lt;&gt;1,"ERROR: COMPANY ID",IF(OR($B20="",COUNTIF('92_REF_VARIABLES'!$L$21:$L$50,$B20)&lt;&gt;1),"ERROR: CURRENCY",IF(OR(NOT(ISNUMBER($C20)),$C20&lt;&gt;INT($C20),$C20&lt;2000,$C20&gt;2100),"ERROR: PRICE YEAR",IF(OR($D20="",AND($D20&lt;&gt;IFERROR(IF(INDEX('01_INPUT_COMPANIES'!$G$7:$G$106,MATCH($A20,'01_INPUT_COMPANIES'!$A$7:$A$106,0))="","",INDEX('01_INPUT_COMPANIES'!$G$7:$G$106,MATCH($A20,'01_INPUT_COMPANIES'!$A$7:$A$106,0))),""),$D20&lt;&gt;LEFT(IFERROR(IF(INDEX('01_INPUT_COMPANIES'!$G$7:$G$106,MATCH($A20,'01_INPUT_COMPANIES'!$A$7:$A$106,0))="","",INDEX('01_INPUT_COMPANIES'!$G$7:$G$106,MATCH($A20,'01_INPUT_COMPANIES'!$A$7:$A$106,0))),""),4))),"ERROR: EXPOSURE PERIOD",IF(OR(NOT(ISNUMBER($E20)),$E20&lt;=0,$E20&gt;1),"ERROR: PERIOD FRACTION",IF(OR($B20&lt;&gt;IFERROR(IF(INDEX('01_INPUT_COMPANIES'!$I$7:$I$106,MATCH($A20,'01_INPUT_COMPANIES'!$A$7:$A$106,0))="","",INDEX('01_INPUT_COMPANIES'!$I$7:$I$106,MATCH($A20,'01_INPUT_COMPANIES'!$A$7:$A$106,0))),""),$C20&lt;&gt;IFERROR(IF(INDEX('01_INPUT_COMPANIES'!$J$7:$J$106,MATCH($A20,'01_INPUT_COMPANIES'!$A$7:$A$106,0))="","",INDEX('01_INPUT_COMPANIES'!$J$7:$J$106,MATCH($A20,'01_INPUT_COMPANIES'!$A$7:$A$106,0))),"")),"ERROR: COMPANY CURRENCY/YEAR",IF(NOT(OR($Y20="A",$Y20="B",$Y20="C",$Y20="SYNTHETIC")),"ERROR: QUALITY",IF(NOT(AND(OR(COUNTBLANK($F20:$H20)=3,AND(COUNT($F20:$H20)=3,MIN($F20:$H20)&gt;=0,$F20&lt;=$G20,$G20&lt;=$H20)),OR(COUNTBLANK($I20:$K20)=3,AND(COUNT($I20:$K20)=3,MIN($I20:$K20)&gt;=0,$I20&lt;=$J20,$J20&lt;=$K20)),OR(COUNTBLANK($L20:$N20)=3,AND(COUNT($L20:$N20)=3,MIN($L20:$N20)&gt;=0,$L20&lt;=$M20,$M20&lt;=$N20)),OR(COUNTBLANK($O20:$Q20)=3,AND(COUNT($O20:$Q20)=3,MIN($O20:$Q20)&gt;=0,$O20&lt;=$P20,$P20&lt;=$Q20)),OR(COUNTBLANK($R20:$T20)=3,AND(COUNT($R20:$T20)=3,MIN($R20:$T20)&gt;=0,$R20&lt;=$S20,$S20&lt;=$T20)),OR(COUNTBLANK($U20:$W20)=3,AND(COUNT($U20:$W20)=3,MIN($U20:$W20)&gt;=0,$U20&lt;=$V20,$V20&lt;=$W20,MAX($U20:$W20)&lt;=1)))),"ERROR: LOW/BASE/HIGH",IF(NOT(OR(AND(COUNTBLANK($R20:$T20)=3,COUNTBLANK($U20:$W20)=3),AND(COUNT($R20:$T20)=3,COUNT($U20:$W20)=3))),"ERROR: TRANSFER ASSUMPTION",IF(AND(COUNTA($F20:$W20)&gt;0,$X20=""),"ERROR: SOURCE","READY")))))))))))))</x:f>
      </x:c>
    </x:row>
    <x:row r="21">
      <x:c r="A21" s="30"/>
      <x:c r="B21" s="30"/>
      <x:c r="C21" s="30"/>
      <x:c r="D21" s="30"/>
      <x:c r="E21" s="30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9"/>
      <x:c r="V21" s="39"/>
      <x:c r="W21" s="39"/>
      <x:c r="X21" s="30"/>
      <x:c r="Y21" s="30"/>
      <x:c r="Z21" s="30"/>
      <x:c r="AA21" s="34" t="str">
        <x:f>IF($A21="","",IF(OR($A21&lt;&gt;TRIM($A21),NOT(EXACT($A21,UPPER($A21))),LEN($A21)&gt;64,ISNUMBER(FIND("*",$A21)),ISNUMBER(FIND("?",$A21)),ISNUMBER(FIND("~",$A21))),"ERROR: ID FORMAT",IF(COUNTIF($A$7:$A$106,$A21)&lt;&gt;1,"ERROR: DUPLICATE EXPOSURE ID",IF(COUNTIF('01_INPUT_COMPANIES'!$A$7:$A$106,$A21)&lt;&gt;1,"ERROR: COMPANY ID",IF(OR($B21="",COUNTIF('92_REF_VARIABLES'!$L$21:$L$50,$B21)&lt;&gt;1),"ERROR: CURRENCY",IF(OR(NOT(ISNUMBER($C21)),$C21&lt;&gt;INT($C21),$C21&lt;2000,$C21&gt;2100),"ERROR: PRICE YEAR",IF(OR($D21="",AND($D21&lt;&gt;IFERROR(IF(INDEX('01_INPUT_COMPANIES'!$G$7:$G$106,MATCH($A21,'01_INPUT_COMPANIES'!$A$7:$A$106,0))="","",INDEX('01_INPUT_COMPANIES'!$G$7:$G$106,MATCH($A21,'01_INPUT_COMPANIES'!$A$7:$A$106,0))),""),$D21&lt;&gt;LEFT(IFERROR(IF(INDEX('01_INPUT_COMPANIES'!$G$7:$G$106,MATCH($A21,'01_INPUT_COMPANIES'!$A$7:$A$106,0))="","",INDEX('01_INPUT_COMPANIES'!$G$7:$G$106,MATCH($A21,'01_INPUT_COMPANIES'!$A$7:$A$106,0))),""),4))),"ERROR: EXPOSURE PERIOD",IF(OR(NOT(ISNUMBER($E21)),$E21&lt;=0,$E21&gt;1),"ERROR: PERIOD FRACTION",IF(OR($B21&lt;&gt;IFERROR(IF(INDEX('01_INPUT_COMPANIES'!$I$7:$I$106,MATCH($A21,'01_INPUT_COMPANIES'!$A$7:$A$106,0))="","",INDEX('01_INPUT_COMPANIES'!$I$7:$I$106,MATCH($A21,'01_INPUT_COMPANIES'!$A$7:$A$106,0))),""),$C21&lt;&gt;IFERROR(IF(INDEX('01_INPUT_COMPANIES'!$J$7:$J$106,MATCH($A21,'01_INPUT_COMPANIES'!$A$7:$A$106,0))="","",INDEX('01_INPUT_COMPANIES'!$J$7:$J$106,MATCH($A21,'01_INPUT_COMPANIES'!$A$7:$A$106,0))),"")),"ERROR: COMPANY CURRENCY/YEAR",IF(NOT(OR($Y21="A",$Y21="B",$Y21="C",$Y21="SYNTHETIC")),"ERROR: QUALITY",IF(NOT(AND(OR(COUNTBLANK($F21:$H21)=3,AND(COUNT($F21:$H21)=3,MIN($F21:$H21)&gt;=0,$F21&lt;=$G21,$G21&lt;=$H21)),OR(COUNTBLANK($I21:$K21)=3,AND(COUNT($I21:$K21)=3,MIN($I21:$K21)&gt;=0,$I21&lt;=$J21,$J21&lt;=$K21)),OR(COUNTBLANK($L21:$N21)=3,AND(COUNT($L21:$N21)=3,MIN($L21:$N21)&gt;=0,$L21&lt;=$M21,$M21&lt;=$N21)),OR(COUNTBLANK($O21:$Q21)=3,AND(COUNT($O21:$Q21)=3,MIN($O21:$Q21)&gt;=0,$O21&lt;=$P21,$P21&lt;=$Q21)),OR(COUNTBLANK($R21:$T21)=3,AND(COUNT($R21:$T21)=3,MIN($R21:$T21)&gt;=0,$R21&lt;=$S21,$S21&lt;=$T21)),OR(COUNTBLANK($U21:$W21)=3,AND(COUNT($U21:$W21)=3,MIN($U21:$W21)&gt;=0,$U21&lt;=$V21,$V21&lt;=$W21,MAX($U21:$W21)&lt;=1)))),"ERROR: LOW/BASE/HIGH",IF(NOT(OR(AND(COUNTBLANK($R21:$T21)=3,COUNTBLANK($U21:$W21)=3),AND(COUNT($R21:$T21)=3,COUNT($U21:$W21)=3))),"ERROR: TRANSFER ASSUMPTION",IF(AND(COUNTA($F21:$W21)&gt;0,$X21=""),"ERROR: SOURCE","READY")))))))))))))</x:f>
      </x:c>
    </x:row>
    <x:row r="22">
      <x:c r="A22" s="30"/>
      <x:c r="B22" s="30"/>
      <x:c r="C22" s="30"/>
      <x:c r="D22" s="30"/>
      <x:c r="E22" s="30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9"/>
      <x:c r="V22" s="39"/>
      <x:c r="W22" s="39"/>
      <x:c r="X22" s="30"/>
      <x:c r="Y22" s="30"/>
      <x:c r="Z22" s="30"/>
      <x:c r="AA22" s="34" t="str">
        <x:f>IF($A22="","",IF(OR($A22&lt;&gt;TRIM($A22),NOT(EXACT($A22,UPPER($A22))),LEN($A22)&gt;64,ISNUMBER(FIND("*",$A22)),ISNUMBER(FIND("?",$A22)),ISNUMBER(FIND("~",$A22))),"ERROR: ID FORMAT",IF(COUNTIF($A$7:$A$106,$A22)&lt;&gt;1,"ERROR: DUPLICATE EXPOSURE ID",IF(COUNTIF('01_INPUT_COMPANIES'!$A$7:$A$106,$A22)&lt;&gt;1,"ERROR: COMPANY ID",IF(OR($B22="",COUNTIF('92_REF_VARIABLES'!$L$21:$L$50,$B22)&lt;&gt;1),"ERROR: CURRENCY",IF(OR(NOT(ISNUMBER($C22)),$C22&lt;&gt;INT($C22),$C22&lt;2000,$C22&gt;2100),"ERROR: PRICE YEAR",IF(OR($D22="",AND($D22&lt;&gt;IFERROR(IF(INDEX('01_INPUT_COMPANIES'!$G$7:$G$106,MATCH($A22,'01_INPUT_COMPANIES'!$A$7:$A$106,0))="","",INDEX('01_INPUT_COMPANIES'!$G$7:$G$106,MATCH($A22,'01_INPUT_COMPANIES'!$A$7:$A$106,0))),""),$D22&lt;&gt;LEFT(IFERROR(IF(INDEX('01_INPUT_COMPANIES'!$G$7:$G$106,MATCH($A22,'01_INPUT_COMPANIES'!$A$7:$A$106,0))="","",INDEX('01_INPUT_COMPANIES'!$G$7:$G$106,MATCH($A22,'01_INPUT_COMPANIES'!$A$7:$A$106,0))),""),4))),"ERROR: EXPOSURE PERIOD",IF(OR(NOT(ISNUMBER($E22)),$E22&lt;=0,$E22&gt;1),"ERROR: PERIOD FRACTION",IF(OR($B22&lt;&gt;IFERROR(IF(INDEX('01_INPUT_COMPANIES'!$I$7:$I$106,MATCH($A22,'01_INPUT_COMPANIES'!$A$7:$A$106,0))="","",INDEX('01_INPUT_COMPANIES'!$I$7:$I$106,MATCH($A22,'01_INPUT_COMPANIES'!$A$7:$A$106,0))),""),$C22&lt;&gt;IFERROR(IF(INDEX('01_INPUT_COMPANIES'!$J$7:$J$106,MATCH($A22,'01_INPUT_COMPANIES'!$A$7:$A$106,0))="","",INDEX('01_INPUT_COMPANIES'!$J$7:$J$106,MATCH($A22,'01_INPUT_COMPANIES'!$A$7:$A$106,0))),"")),"ERROR: COMPANY CURRENCY/YEAR",IF(NOT(OR($Y22="A",$Y22="B",$Y22="C",$Y22="SYNTHETIC")),"ERROR: QUALITY",IF(NOT(AND(OR(COUNTBLANK($F22:$H22)=3,AND(COUNT($F22:$H22)=3,MIN($F22:$H22)&gt;=0,$F22&lt;=$G22,$G22&lt;=$H22)),OR(COUNTBLANK($I22:$K22)=3,AND(COUNT($I22:$K22)=3,MIN($I22:$K22)&gt;=0,$I22&lt;=$J22,$J22&lt;=$K22)),OR(COUNTBLANK($L22:$N22)=3,AND(COUNT($L22:$N22)=3,MIN($L22:$N22)&gt;=0,$L22&lt;=$M22,$M22&lt;=$N22)),OR(COUNTBLANK($O22:$Q22)=3,AND(COUNT($O22:$Q22)=3,MIN($O22:$Q22)&gt;=0,$O22&lt;=$P22,$P22&lt;=$Q22)),OR(COUNTBLANK($R22:$T22)=3,AND(COUNT($R22:$T22)=3,MIN($R22:$T22)&gt;=0,$R22&lt;=$S22,$S22&lt;=$T22)),OR(COUNTBLANK($U22:$W22)=3,AND(COUNT($U22:$W22)=3,MIN($U22:$W22)&gt;=0,$U22&lt;=$V22,$V22&lt;=$W22,MAX($U22:$W22)&lt;=1)))),"ERROR: LOW/BASE/HIGH",IF(NOT(OR(AND(COUNTBLANK($R22:$T22)=3,COUNTBLANK($U22:$W22)=3),AND(COUNT($R22:$T22)=3,COUNT($U22:$W22)=3))),"ERROR: TRANSFER ASSUMPTION",IF(AND(COUNTA($F22:$W22)&gt;0,$X22=""),"ERROR: SOURCE","READY")))))))))))))</x:f>
      </x:c>
    </x:row>
    <x:row r="23">
      <x:c r="A23" s="30"/>
      <x:c r="B23" s="30"/>
      <x:c r="C23" s="30"/>
      <x:c r="D23" s="30"/>
      <x:c r="E23" s="30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9"/>
      <x:c r="V23" s="39"/>
      <x:c r="W23" s="39"/>
      <x:c r="X23" s="30"/>
      <x:c r="Y23" s="30"/>
      <x:c r="Z23" s="30"/>
      <x:c r="AA23" s="34" t="str">
        <x:f>IF($A23="","",IF(OR($A23&lt;&gt;TRIM($A23),NOT(EXACT($A23,UPPER($A23))),LEN($A23)&gt;64,ISNUMBER(FIND("*",$A23)),ISNUMBER(FIND("?",$A23)),ISNUMBER(FIND("~",$A23))),"ERROR: ID FORMAT",IF(COUNTIF($A$7:$A$106,$A23)&lt;&gt;1,"ERROR: DUPLICATE EXPOSURE ID",IF(COUNTIF('01_INPUT_COMPANIES'!$A$7:$A$106,$A23)&lt;&gt;1,"ERROR: COMPANY ID",IF(OR($B23="",COUNTIF('92_REF_VARIABLES'!$L$21:$L$50,$B23)&lt;&gt;1),"ERROR: CURRENCY",IF(OR(NOT(ISNUMBER($C23)),$C23&lt;&gt;INT($C23),$C23&lt;2000,$C23&gt;2100),"ERROR: PRICE YEAR",IF(OR($D23="",AND($D23&lt;&gt;IFERROR(IF(INDEX('01_INPUT_COMPANIES'!$G$7:$G$106,MATCH($A23,'01_INPUT_COMPANIES'!$A$7:$A$106,0))="","",INDEX('01_INPUT_COMPANIES'!$G$7:$G$106,MATCH($A23,'01_INPUT_COMPANIES'!$A$7:$A$106,0))),""),$D23&lt;&gt;LEFT(IFERROR(IF(INDEX('01_INPUT_COMPANIES'!$G$7:$G$106,MATCH($A23,'01_INPUT_COMPANIES'!$A$7:$A$106,0))="","",INDEX('01_INPUT_COMPANIES'!$G$7:$G$106,MATCH($A23,'01_INPUT_COMPANIES'!$A$7:$A$106,0))),""),4))),"ERROR: EXPOSURE PERIOD",IF(OR(NOT(ISNUMBER($E23)),$E23&lt;=0,$E23&gt;1),"ERROR: PERIOD FRACTION",IF(OR($B23&lt;&gt;IFERROR(IF(INDEX('01_INPUT_COMPANIES'!$I$7:$I$106,MATCH($A23,'01_INPUT_COMPANIES'!$A$7:$A$106,0))="","",INDEX('01_INPUT_COMPANIES'!$I$7:$I$106,MATCH($A23,'01_INPUT_COMPANIES'!$A$7:$A$106,0))),""),$C23&lt;&gt;IFERROR(IF(INDEX('01_INPUT_COMPANIES'!$J$7:$J$106,MATCH($A23,'01_INPUT_COMPANIES'!$A$7:$A$106,0))="","",INDEX('01_INPUT_COMPANIES'!$J$7:$J$106,MATCH($A23,'01_INPUT_COMPANIES'!$A$7:$A$106,0))),"")),"ERROR: COMPANY CURRENCY/YEAR",IF(NOT(OR($Y23="A",$Y23="B",$Y23="C",$Y23="SYNTHETIC")),"ERROR: QUALITY",IF(NOT(AND(OR(COUNTBLANK($F23:$H23)=3,AND(COUNT($F23:$H23)=3,MIN($F23:$H23)&gt;=0,$F23&lt;=$G23,$G23&lt;=$H23)),OR(COUNTBLANK($I23:$K23)=3,AND(COUNT($I23:$K23)=3,MIN($I23:$K23)&gt;=0,$I23&lt;=$J23,$J23&lt;=$K23)),OR(COUNTBLANK($L23:$N23)=3,AND(COUNT($L23:$N23)=3,MIN($L23:$N23)&gt;=0,$L23&lt;=$M23,$M23&lt;=$N23)),OR(COUNTBLANK($O23:$Q23)=3,AND(COUNT($O23:$Q23)=3,MIN($O23:$Q23)&gt;=0,$O23&lt;=$P23,$P23&lt;=$Q23)),OR(COUNTBLANK($R23:$T23)=3,AND(COUNT($R23:$T23)=3,MIN($R23:$T23)&gt;=0,$R23&lt;=$S23,$S23&lt;=$T23)),OR(COUNTBLANK($U23:$W23)=3,AND(COUNT($U23:$W23)=3,MIN($U23:$W23)&gt;=0,$U23&lt;=$V23,$V23&lt;=$W23,MAX($U23:$W23)&lt;=1)))),"ERROR: LOW/BASE/HIGH",IF(NOT(OR(AND(COUNTBLANK($R23:$T23)=3,COUNTBLANK($U23:$W23)=3),AND(COUNT($R23:$T23)=3,COUNT($U23:$W23)=3))),"ERROR: TRANSFER ASSUMPTION",IF(AND(COUNTA($F23:$W23)&gt;0,$X23=""),"ERROR: SOURCE","READY")))))))))))))</x:f>
      </x:c>
    </x:row>
    <x:row r="24">
      <x:c r="A24" s="30"/>
      <x:c r="B24" s="30"/>
      <x:c r="C24" s="30"/>
      <x:c r="D24" s="30"/>
      <x:c r="E24" s="30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9"/>
      <x:c r="V24" s="39"/>
      <x:c r="W24" s="39"/>
      <x:c r="X24" s="30"/>
      <x:c r="Y24" s="30"/>
      <x:c r="Z24" s="30"/>
      <x:c r="AA24" s="34" t="str">
        <x:f>IF($A24="","",IF(OR($A24&lt;&gt;TRIM($A24),NOT(EXACT($A24,UPPER($A24))),LEN($A24)&gt;64,ISNUMBER(FIND("*",$A24)),ISNUMBER(FIND("?",$A24)),ISNUMBER(FIND("~",$A24))),"ERROR: ID FORMAT",IF(COUNTIF($A$7:$A$106,$A24)&lt;&gt;1,"ERROR: DUPLICATE EXPOSURE ID",IF(COUNTIF('01_INPUT_COMPANIES'!$A$7:$A$106,$A24)&lt;&gt;1,"ERROR: COMPANY ID",IF(OR($B24="",COUNTIF('92_REF_VARIABLES'!$L$21:$L$50,$B24)&lt;&gt;1),"ERROR: CURRENCY",IF(OR(NOT(ISNUMBER($C24)),$C24&lt;&gt;INT($C24),$C24&lt;2000,$C24&gt;2100),"ERROR: PRICE YEAR",IF(OR($D24="",AND($D24&lt;&gt;IFERROR(IF(INDEX('01_INPUT_COMPANIES'!$G$7:$G$106,MATCH($A24,'01_INPUT_COMPANIES'!$A$7:$A$106,0))="","",INDEX('01_INPUT_COMPANIES'!$G$7:$G$106,MATCH($A24,'01_INPUT_COMPANIES'!$A$7:$A$106,0))),""),$D24&lt;&gt;LEFT(IFERROR(IF(INDEX('01_INPUT_COMPANIES'!$G$7:$G$106,MATCH($A24,'01_INPUT_COMPANIES'!$A$7:$A$106,0))="","",INDEX('01_INPUT_COMPANIES'!$G$7:$G$106,MATCH($A24,'01_INPUT_COMPANIES'!$A$7:$A$106,0))),""),4))),"ERROR: EXPOSURE PERIOD",IF(OR(NOT(ISNUMBER($E24)),$E24&lt;=0,$E24&gt;1),"ERROR: PERIOD FRACTION",IF(OR($B24&lt;&gt;IFERROR(IF(INDEX('01_INPUT_COMPANIES'!$I$7:$I$106,MATCH($A24,'01_INPUT_COMPANIES'!$A$7:$A$106,0))="","",INDEX('01_INPUT_COMPANIES'!$I$7:$I$106,MATCH($A24,'01_INPUT_COMPANIES'!$A$7:$A$106,0))),""),$C24&lt;&gt;IFERROR(IF(INDEX('01_INPUT_COMPANIES'!$J$7:$J$106,MATCH($A24,'01_INPUT_COMPANIES'!$A$7:$A$106,0))="","",INDEX('01_INPUT_COMPANIES'!$J$7:$J$106,MATCH($A24,'01_INPUT_COMPANIES'!$A$7:$A$106,0))),"")),"ERROR: COMPANY CURRENCY/YEAR",IF(NOT(OR($Y24="A",$Y24="B",$Y24="C",$Y24="SYNTHETIC")),"ERROR: QUALITY",IF(NOT(AND(OR(COUNTBLANK($F24:$H24)=3,AND(COUNT($F24:$H24)=3,MIN($F24:$H24)&gt;=0,$F24&lt;=$G24,$G24&lt;=$H24)),OR(COUNTBLANK($I24:$K24)=3,AND(COUNT($I24:$K24)=3,MIN($I24:$K24)&gt;=0,$I24&lt;=$J24,$J24&lt;=$K24)),OR(COUNTBLANK($L24:$N24)=3,AND(COUNT($L24:$N24)=3,MIN($L24:$N24)&gt;=0,$L24&lt;=$M24,$M24&lt;=$N24)),OR(COUNTBLANK($O24:$Q24)=3,AND(COUNT($O24:$Q24)=3,MIN($O24:$Q24)&gt;=0,$O24&lt;=$P24,$P24&lt;=$Q24)),OR(COUNTBLANK($R24:$T24)=3,AND(COUNT($R24:$T24)=3,MIN($R24:$T24)&gt;=0,$R24&lt;=$S24,$S24&lt;=$T24)),OR(COUNTBLANK($U24:$W24)=3,AND(COUNT($U24:$W24)=3,MIN($U24:$W24)&gt;=0,$U24&lt;=$V24,$V24&lt;=$W24,MAX($U24:$W24)&lt;=1)))),"ERROR: LOW/BASE/HIGH",IF(NOT(OR(AND(COUNTBLANK($R24:$T24)=3,COUNTBLANK($U24:$W24)=3),AND(COUNT($R24:$T24)=3,COUNT($U24:$W24)=3))),"ERROR: TRANSFER ASSUMPTION",IF(AND(COUNTA($F24:$W24)&gt;0,$X24=""),"ERROR: SOURCE","READY")))))))))))))</x:f>
      </x:c>
    </x:row>
    <x:row r="25">
      <x:c r="A25" s="30"/>
      <x:c r="B25" s="30"/>
      <x:c r="C25" s="30"/>
      <x:c r="D25" s="30"/>
      <x:c r="E25" s="30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9"/>
      <x:c r="V25" s="39"/>
      <x:c r="W25" s="39"/>
      <x:c r="X25" s="30"/>
      <x:c r="Y25" s="30"/>
      <x:c r="Z25" s="30"/>
      <x:c r="AA25" s="34" t="str">
        <x:f>IF($A25="","",IF(OR($A25&lt;&gt;TRIM($A25),NOT(EXACT($A25,UPPER($A25))),LEN($A25)&gt;64,ISNUMBER(FIND("*",$A25)),ISNUMBER(FIND("?",$A25)),ISNUMBER(FIND("~",$A25))),"ERROR: ID FORMAT",IF(COUNTIF($A$7:$A$106,$A25)&lt;&gt;1,"ERROR: DUPLICATE EXPOSURE ID",IF(COUNTIF('01_INPUT_COMPANIES'!$A$7:$A$106,$A25)&lt;&gt;1,"ERROR: COMPANY ID",IF(OR($B25="",COUNTIF('92_REF_VARIABLES'!$L$21:$L$50,$B25)&lt;&gt;1),"ERROR: CURRENCY",IF(OR(NOT(ISNUMBER($C25)),$C25&lt;&gt;INT($C25),$C25&lt;2000,$C25&gt;2100),"ERROR: PRICE YEAR",IF(OR($D25="",AND($D25&lt;&gt;IFERROR(IF(INDEX('01_INPUT_COMPANIES'!$G$7:$G$106,MATCH($A25,'01_INPUT_COMPANIES'!$A$7:$A$106,0))="","",INDEX('01_INPUT_COMPANIES'!$G$7:$G$106,MATCH($A25,'01_INPUT_COMPANIES'!$A$7:$A$106,0))),""),$D25&lt;&gt;LEFT(IFERROR(IF(INDEX('01_INPUT_COMPANIES'!$G$7:$G$106,MATCH($A25,'01_INPUT_COMPANIES'!$A$7:$A$106,0))="","",INDEX('01_INPUT_COMPANIES'!$G$7:$G$106,MATCH($A25,'01_INPUT_COMPANIES'!$A$7:$A$106,0))),""),4))),"ERROR: EXPOSURE PERIOD",IF(OR(NOT(ISNUMBER($E25)),$E25&lt;=0,$E25&gt;1),"ERROR: PERIOD FRACTION",IF(OR($B25&lt;&gt;IFERROR(IF(INDEX('01_INPUT_COMPANIES'!$I$7:$I$106,MATCH($A25,'01_INPUT_COMPANIES'!$A$7:$A$106,0))="","",INDEX('01_INPUT_COMPANIES'!$I$7:$I$106,MATCH($A25,'01_INPUT_COMPANIES'!$A$7:$A$106,0))),""),$C25&lt;&gt;IFERROR(IF(INDEX('01_INPUT_COMPANIES'!$J$7:$J$106,MATCH($A25,'01_INPUT_COMPANIES'!$A$7:$A$106,0))="","",INDEX('01_INPUT_COMPANIES'!$J$7:$J$106,MATCH($A25,'01_INPUT_COMPANIES'!$A$7:$A$106,0))),"")),"ERROR: COMPANY CURRENCY/YEAR",IF(NOT(OR($Y25="A",$Y25="B",$Y25="C",$Y25="SYNTHETIC")),"ERROR: QUALITY",IF(NOT(AND(OR(COUNTBLANK($F25:$H25)=3,AND(COUNT($F25:$H25)=3,MIN($F25:$H25)&gt;=0,$F25&lt;=$G25,$G25&lt;=$H25)),OR(COUNTBLANK($I25:$K25)=3,AND(COUNT($I25:$K25)=3,MIN($I25:$K25)&gt;=0,$I25&lt;=$J25,$J25&lt;=$K25)),OR(COUNTBLANK($L25:$N25)=3,AND(COUNT($L25:$N25)=3,MIN($L25:$N25)&gt;=0,$L25&lt;=$M25,$M25&lt;=$N25)),OR(COUNTBLANK($O25:$Q25)=3,AND(COUNT($O25:$Q25)=3,MIN($O25:$Q25)&gt;=0,$O25&lt;=$P25,$P25&lt;=$Q25)),OR(COUNTBLANK($R25:$T25)=3,AND(COUNT($R25:$T25)=3,MIN($R25:$T25)&gt;=0,$R25&lt;=$S25,$S25&lt;=$T25)),OR(COUNTBLANK($U25:$W25)=3,AND(COUNT($U25:$W25)=3,MIN($U25:$W25)&gt;=0,$U25&lt;=$V25,$V25&lt;=$W25,MAX($U25:$W25)&lt;=1)))),"ERROR: LOW/BASE/HIGH",IF(NOT(OR(AND(COUNTBLANK($R25:$T25)=3,COUNTBLANK($U25:$W25)=3),AND(COUNT($R25:$T25)=3,COUNT($U25:$W25)=3))),"ERROR: TRANSFER ASSUMPTION",IF(AND(COUNTA($F25:$W25)&gt;0,$X25=""),"ERROR: SOURCE","READY")))))))))))))</x:f>
      </x:c>
    </x:row>
    <x:row r="26">
      <x:c r="A26" s="30"/>
      <x:c r="B26" s="30"/>
      <x:c r="C26" s="30"/>
      <x:c r="D26" s="30"/>
      <x:c r="E26" s="30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9"/>
      <x:c r="V26" s="39"/>
      <x:c r="W26" s="39"/>
      <x:c r="X26" s="30"/>
      <x:c r="Y26" s="30"/>
      <x:c r="Z26" s="30"/>
      <x:c r="AA26" s="34" t="str">
        <x:f>IF($A26="","",IF(OR($A26&lt;&gt;TRIM($A26),NOT(EXACT($A26,UPPER($A26))),LEN($A26)&gt;64,ISNUMBER(FIND("*",$A26)),ISNUMBER(FIND("?",$A26)),ISNUMBER(FIND("~",$A26))),"ERROR: ID FORMAT",IF(COUNTIF($A$7:$A$106,$A26)&lt;&gt;1,"ERROR: DUPLICATE EXPOSURE ID",IF(COUNTIF('01_INPUT_COMPANIES'!$A$7:$A$106,$A26)&lt;&gt;1,"ERROR: COMPANY ID",IF(OR($B26="",COUNTIF('92_REF_VARIABLES'!$L$21:$L$50,$B26)&lt;&gt;1),"ERROR: CURRENCY",IF(OR(NOT(ISNUMBER($C26)),$C26&lt;&gt;INT($C26),$C26&lt;2000,$C26&gt;2100),"ERROR: PRICE YEAR",IF(OR($D26="",AND($D26&lt;&gt;IFERROR(IF(INDEX('01_INPUT_COMPANIES'!$G$7:$G$106,MATCH($A26,'01_INPUT_COMPANIES'!$A$7:$A$106,0))="","",INDEX('01_INPUT_COMPANIES'!$G$7:$G$106,MATCH($A26,'01_INPUT_COMPANIES'!$A$7:$A$106,0))),""),$D26&lt;&gt;LEFT(IFERROR(IF(INDEX('01_INPUT_COMPANIES'!$G$7:$G$106,MATCH($A26,'01_INPUT_COMPANIES'!$A$7:$A$106,0))="","",INDEX('01_INPUT_COMPANIES'!$G$7:$G$106,MATCH($A26,'01_INPUT_COMPANIES'!$A$7:$A$106,0))),""),4))),"ERROR: EXPOSURE PERIOD",IF(OR(NOT(ISNUMBER($E26)),$E26&lt;=0,$E26&gt;1),"ERROR: PERIOD FRACTION",IF(OR($B26&lt;&gt;IFERROR(IF(INDEX('01_INPUT_COMPANIES'!$I$7:$I$106,MATCH($A26,'01_INPUT_COMPANIES'!$A$7:$A$106,0))="","",INDEX('01_INPUT_COMPANIES'!$I$7:$I$106,MATCH($A26,'01_INPUT_COMPANIES'!$A$7:$A$106,0))),""),$C26&lt;&gt;IFERROR(IF(INDEX('01_INPUT_COMPANIES'!$J$7:$J$106,MATCH($A26,'01_INPUT_COMPANIES'!$A$7:$A$106,0))="","",INDEX('01_INPUT_COMPANIES'!$J$7:$J$106,MATCH($A26,'01_INPUT_COMPANIES'!$A$7:$A$106,0))),"")),"ERROR: COMPANY CURRENCY/YEAR",IF(NOT(OR($Y26="A",$Y26="B",$Y26="C",$Y26="SYNTHETIC")),"ERROR: QUALITY",IF(NOT(AND(OR(COUNTBLANK($F26:$H26)=3,AND(COUNT($F26:$H26)=3,MIN($F26:$H26)&gt;=0,$F26&lt;=$G26,$G26&lt;=$H26)),OR(COUNTBLANK($I26:$K26)=3,AND(COUNT($I26:$K26)=3,MIN($I26:$K26)&gt;=0,$I26&lt;=$J26,$J26&lt;=$K26)),OR(COUNTBLANK($L26:$N26)=3,AND(COUNT($L26:$N26)=3,MIN($L26:$N26)&gt;=0,$L26&lt;=$M26,$M26&lt;=$N26)),OR(COUNTBLANK($O26:$Q26)=3,AND(COUNT($O26:$Q26)=3,MIN($O26:$Q26)&gt;=0,$O26&lt;=$P26,$P26&lt;=$Q26)),OR(COUNTBLANK($R26:$T26)=3,AND(COUNT($R26:$T26)=3,MIN($R26:$T26)&gt;=0,$R26&lt;=$S26,$S26&lt;=$T26)),OR(COUNTBLANK($U26:$W26)=3,AND(COUNT($U26:$W26)=3,MIN($U26:$W26)&gt;=0,$U26&lt;=$V26,$V26&lt;=$W26,MAX($U26:$W26)&lt;=1)))),"ERROR: LOW/BASE/HIGH",IF(NOT(OR(AND(COUNTBLANK($R26:$T26)=3,COUNTBLANK($U26:$W26)=3),AND(COUNT($R26:$T26)=3,COUNT($U26:$W26)=3))),"ERROR: TRANSFER ASSUMPTION",IF(AND(COUNTA($F26:$W26)&gt;0,$X26=""),"ERROR: SOURCE","READY")))))))))))))</x:f>
      </x:c>
    </x:row>
    <x:row r="27">
      <x:c r="A27" s="30"/>
      <x:c r="B27" s="30"/>
      <x:c r="C27" s="30"/>
      <x:c r="D27" s="30"/>
      <x:c r="E27" s="30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9"/>
      <x:c r="V27" s="39"/>
      <x:c r="W27" s="39"/>
      <x:c r="X27" s="30"/>
      <x:c r="Y27" s="30"/>
      <x:c r="Z27" s="30"/>
      <x:c r="AA27" s="34" t="str">
        <x:f>IF($A27="","",IF(OR($A27&lt;&gt;TRIM($A27),NOT(EXACT($A27,UPPER($A27))),LEN($A27)&gt;64,ISNUMBER(FIND("*",$A27)),ISNUMBER(FIND("?",$A27)),ISNUMBER(FIND("~",$A27))),"ERROR: ID FORMAT",IF(COUNTIF($A$7:$A$106,$A27)&lt;&gt;1,"ERROR: DUPLICATE EXPOSURE ID",IF(COUNTIF('01_INPUT_COMPANIES'!$A$7:$A$106,$A27)&lt;&gt;1,"ERROR: COMPANY ID",IF(OR($B27="",COUNTIF('92_REF_VARIABLES'!$L$21:$L$50,$B27)&lt;&gt;1),"ERROR: CURRENCY",IF(OR(NOT(ISNUMBER($C27)),$C27&lt;&gt;INT($C27),$C27&lt;2000,$C27&gt;2100),"ERROR: PRICE YEAR",IF(OR($D27="",AND($D27&lt;&gt;IFERROR(IF(INDEX('01_INPUT_COMPANIES'!$G$7:$G$106,MATCH($A27,'01_INPUT_COMPANIES'!$A$7:$A$106,0))="","",INDEX('01_INPUT_COMPANIES'!$G$7:$G$106,MATCH($A27,'01_INPUT_COMPANIES'!$A$7:$A$106,0))),""),$D27&lt;&gt;LEFT(IFERROR(IF(INDEX('01_INPUT_COMPANIES'!$G$7:$G$106,MATCH($A27,'01_INPUT_COMPANIES'!$A$7:$A$106,0))="","",INDEX('01_INPUT_COMPANIES'!$G$7:$G$106,MATCH($A27,'01_INPUT_COMPANIES'!$A$7:$A$106,0))),""),4))),"ERROR: EXPOSURE PERIOD",IF(OR(NOT(ISNUMBER($E27)),$E27&lt;=0,$E27&gt;1),"ERROR: PERIOD FRACTION",IF(OR($B27&lt;&gt;IFERROR(IF(INDEX('01_INPUT_COMPANIES'!$I$7:$I$106,MATCH($A27,'01_INPUT_COMPANIES'!$A$7:$A$106,0))="","",INDEX('01_INPUT_COMPANIES'!$I$7:$I$106,MATCH($A27,'01_INPUT_COMPANIES'!$A$7:$A$106,0))),""),$C27&lt;&gt;IFERROR(IF(INDEX('01_INPUT_COMPANIES'!$J$7:$J$106,MATCH($A27,'01_INPUT_COMPANIES'!$A$7:$A$106,0))="","",INDEX('01_INPUT_COMPANIES'!$J$7:$J$106,MATCH($A27,'01_INPUT_COMPANIES'!$A$7:$A$106,0))),"")),"ERROR: COMPANY CURRENCY/YEAR",IF(NOT(OR($Y27="A",$Y27="B",$Y27="C",$Y27="SYNTHETIC")),"ERROR: QUALITY",IF(NOT(AND(OR(COUNTBLANK($F27:$H27)=3,AND(COUNT($F27:$H27)=3,MIN($F27:$H27)&gt;=0,$F27&lt;=$G27,$G27&lt;=$H27)),OR(COUNTBLANK($I27:$K27)=3,AND(COUNT($I27:$K27)=3,MIN($I27:$K27)&gt;=0,$I27&lt;=$J27,$J27&lt;=$K27)),OR(COUNTBLANK($L27:$N27)=3,AND(COUNT($L27:$N27)=3,MIN($L27:$N27)&gt;=0,$L27&lt;=$M27,$M27&lt;=$N27)),OR(COUNTBLANK($O27:$Q27)=3,AND(COUNT($O27:$Q27)=3,MIN($O27:$Q27)&gt;=0,$O27&lt;=$P27,$P27&lt;=$Q27)),OR(COUNTBLANK($R27:$T27)=3,AND(COUNT($R27:$T27)=3,MIN($R27:$T27)&gt;=0,$R27&lt;=$S27,$S27&lt;=$T27)),OR(COUNTBLANK($U27:$W27)=3,AND(COUNT($U27:$W27)=3,MIN($U27:$W27)&gt;=0,$U27&lt;=$V27,$V27&lt;=$W27,MAX($U27:$W27)&lt;=1)))),"ERROR: LOW/BASE/HIGH",IF(NOT(OR(AND(COUNTBLANK($R27:$T27)=3,COUNTBLANK($U27:$W27)=3),AND(COUNT($R27:$T27)=3,COUNT($U27:$W27)=3))),"ERROR: TRANSFER ASSUMPTION",IF(AND(COUNTA($F27:$W27)&gt;0,$X27=""),"ERROR: SOURCE","READY")))))))))))))</x:f>
      </x:c>
    </x:row>
    <x:row r="28">
      <x:c r="A28" s="30"/>
      <x:c r="B28" s="30"/>
      <x:c r="C28" s="30"/>
      <x:c r="D28" s="30"/>
      <x:c r="E28" s="30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9"/>
      <x:c r="V28" s="39"/>
      <x:c r="W28" s="39"/>
      <x:c r="X28" s="30"/>
      <x:c r="Y28" s="30"/>
      <x:c r="Z28" s="30"/>
      <x:c r="AA28" s="34" t="str">
        <x:f>IF($A28="","",IF(OR($A28&lt;&gt;TRIM($A28),NOT(EXACT($A28,UPPER($A28))),LEN($A28)&gt;64,ISNUMBER(FIND("*",$A28)),ISNUMBER(FIND("?",$A28)),ISNUMBER(FIND("~",$A28))),"ERROR: ID FORMAT",IF(COUNTIF($A$7:$A$106,$A28)&lt;&gt;1,"ERROR: DUPLICATE EXPOSURE ID",IF(COUNTIF('01_INPUT_COMPANIES'!$A$7:$A$106,$A28)&lt;&gt;1,"ERROR: COMPANY ID",IF(OR($B28="",COUNTIF('92_REF_VARIABLES'!$L$21:$L$50,$B28)&lt;&gt;1),"ERROR: CURRENCY",IF(OR(NOT(ISNUMBER($C28)),$C28&lt;&gt;INT($C28),$C28&lt;2000,$C28&gt;2100),"ERROR: PRICE YEAR",IF(OR($D28="",AND($D28&lt;&gt;IFERROR(IF(INDEX('01_INPUT_COMPANIES'!$G$7:$G$106,MATCH($A28,'01_INPUT_COMPANIES'!$A$7:$A$106,0))="","",INDEX('01_INPUT_COMPANIES'!$G$7:$G$106,MATCH($A28,'01_INPUT_COMPANIES'!$A$7:$A$106,0))),""),$D28&lt;&gt;LEFT(IFERROR(IF(INDEX('01_INPUT_COMPANIES'!$G$7:$G$106,MATCH($A28,'01_INPUT_COMPANIES'!$A$7:$A$106,0))="","",INDEX('01_INPUT_COMPANIES'!$G$7:$G$106,MATCH($A28,'01_INPUT_COMPANIES'!$A$7:$A$106,0))),""),4))),"ERROR: EXPOSURE PERIOD",IF(OR(NOT(ISNUMBER($E28)),$E28&lt;=0,$E28&gt;1),"ERROR: PERIOD FRACTION",IF(OR($B28&lt;&gt;IFERROR(IF(INDEX('01_INPUT_COMPANIES'!$I$7:$I$106,MATCH($A28,'01_INPUT_COMPANIES'!$A$7:$A$106,0))="","",INDEX('01_INPUT_COMPANIES'!$I$7:$I$106,MATCH($A28,'01_INPUT_COMPANIES'!$A$7:$A$106,0))),""),$C28&lt;&gt;IFERROR(IF(INDEX('01_INPUT_COMPANIES'!$J$7:$J$106,MATCH($A28,'01_INPUT_COMPANIES'!$A$7:$A$106,0))="","",INDEX('01_INPUT_COMPANIES'!$J$7:$J$106,MATCH($A28,'01_INPUT_COMPANIES'!$A$7:$A$106,0))),"")),"ERROR: COMPANY CURRENCY/YEAR",IF(NOT(OR($Y28="A",$Y28="B",$Y28="C",$Y28="SYNTHETIC")),"ERROR: QUALITY",IF(NOT(AND(OR(COUNTBLANK($F28:$H28)=3,AND(COUNT($F28:$H28)=3,MIN($F28:$H28)&gt;=0,$F28&lt;=$G28,$G28&lt;=$H28)),OR(COUNTBLANK($I28:$K28)=3,AND(COUNT($I28:$K28)=3,MIN($I28:$K28)&gt;=0,$I28&lt;=$J28,$J28&lt;=$K28)),OR(COUNTBLANK($L28:$N28)=3,AND(COUNT($L28:$N28)=3,MIN($L28:$N28)&gt;=0,$L28&lt;=$M28,$M28&lt;=$N28)),OR(COUNTBLANK($O28:$Q28)=3,AND(COUNT($O28:$Q28)=3,MIN($O28:$Q28)&gt;=0,$O28&lt;=$P28,$P28&lt;=$Q28)),OR(COUNTBLANK($R28:$T28)=3,AND(COUNT($R28:$T28)=3,MIN($R28:$T28)&gt;=0,$R28&lt;=$S28,$S28&lt;=$T28)),OR(COUNTBLANK($U28:$W28)=3,AND(COUNT($U28:$W28)=3,MIN($U28:$W28)&gt;=0,$U28&lt;=$V28,$V28&lt;=$W28,MAX($U28:$W28)&lt;=1)))),"ERROR: LOW/BASE/HIGH",IF(NOT(OR(AND(COUNTBLANK($R28:$T28)=3,COUNTBLANK($U28:$W28)=3),AND(COUNT($R28:$T28)=3,COUNT($U28:$W28)=3))),"ERROR: TRANSFER ASSUMPTION",IF(AND(COUNTA($F28:$W28)&gt;0,$X28=""),"ERROR: SOURCE","READY")))))))))))))</x:f>
      </x:c>
    </x:row>
    <x:row r="29">
      <x:c r="A29" s="30"/>
      <x:c r="B29" s="30"/>
      <x:c r="C29" s="30"/>
      <x:c r="D29" s="30"/>
      <x:c r="E29" s="30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9"/>
      <x:c r="V29" s="39"/>
      <x:c r="W29" s="39"/>
      <x:c r="X29" s="30"/>
      <x:c r="Y29" s="30"/>
      <x:c r="Z29" s="30"/>
      <x:c r="AA29" s="34" t="str">
        <x:f>IF($A29="","",IF(OR($A29&lt;&gt;TRIM($A29),NOT(EXACT($A29,UPPER($A29))),LEN($A29)&gt;64,ISNUMBER(FIND("*",$A29)),ISNUMBER(FIND("?",$A29)),ISNUMBER(FIND("~",$A29))),"ERROR: ID FORMAT",IF(COUNTIF($A$7:$A$106,$A29)&lt;&gt;1,"ERROR: DUPLICATE EXPOSURE ID",IF(COUNTIF('01_INPUT_COMPANIES'!$A$7:$A$106,$A29)&lt;&gt;1,"ERROR: COMPANY ID",IF(OR($B29="",COUNTIF('92_REF_VARIABLES'!$L$21:$L$50,$B29)&lt;&gt;1),"ERROR: CURRENCY",IF(OR(NOT(ISNUMBER($C29)),$C29&lt;&gt;INT($C29),$C29&lt;2000,$C29&gt;2100),"ERROR: PRICE YEAR",IF(OR($D29="",AND($D29&lt;&gt;IFERROR(IF(INDEX('01_INPUT_COMPANIES'!$G$7:$G$106,MATCH($A29,'01_INPUT_COMPANIES'!$A$7:$A$106,0))="","",INDEX('01_INPUT_COMPANIES'!$G$7:$G$106,MATCH($A29,'01_INPUT_COMPANIES'!$A$7:$A$106,0))),""),$D29&lt;&gt;LEFT(IFERROR(IF(INDEX('01_INPUT_COMPANIES'!$G$7:$G$106,MATCH($A29,'01_INPUT_COMPANIES'!$A$7:$A$106,0))="","",INDEX('01_INPUT_COMPANIES'!$G$7:$G$106,MATCH($A29,'01_INPUT_COMPANIES'!$A$7:$A$106,0))),""),4))),"ERROR: EXPOSURE PERIOD",IF(OR(NOT(ISNUMBER($E29)),$E29&lt;=0,$E29&gt;1),"ERROR: PERIOD FRACTION",IF(OR($B29&lt;&gt;IFERROR(IF(INDEX('01_INPUT_COMPANIES'!$I$7:$I$106,MATCH($A29,'01_INPUT_COMPANIES'!$A$7:$A$106,0))="","",INDEX('01_INPUT_COMPANIES'!$I$7:$I$106,MATCH($A29,'01_INPUT_COMPANIES'!$A$7:$A$106,0))),""),$C29&lt;&gt;IFERROR(IF(INDEX('01_INPUT_COMPANIES'!$J$7:$J$106,MATCH($A29,'01_INPUT_COMPANIES'!$A$7:$A$106,0))="","",INDEX('01_INPUT_COMPANIES'!$J$7:$J$106,MATCH($A29,'01_INPUT_COMPANIES'!$A$7:$A$106,0))),"")),"ERROR: COMPANY CURRENCY/YEAR",IF(NOT(OR($Y29="A",$Y29="B",$Y29="C",$Y29="SYNTHETIC")),"ERROR: QUALITY",IF(NOT(AND(OR(COUNTBLANK($F29:$H29)=3,AND(COUNT($F29:$H29)=3,MIN($F29:$H29)&gt;=0,$F29&lt;=$G29,$G29&lt;=$H29)),OR(COUNTBLANK($I29:$K29)=3,AND(COUNT($I29:$K29)=3,MIN($I29:$K29)&gt;=0,$I29&lt;=$J29,$J29&lt;=$K29)),OR(COUNTBLANK($L29:$N29)=3,AND(COUNT($L29:$N29)=3,MIN($L29:$N29)&gt;=0,$L29&lt;=$M29,$M29&lt;=$N29)),OR(COUNTBLANK($O29:$Q29)=3,AND(COUNT($O29:$Q29)=3,MIN($O29:$Q29)&gt;=0,$O29&lt;=$P29,$P29&lt;=$Q29)),OR(COUNTBLANK($R29:$T29)=3,AND(COUNT($R29:$T29)=3,MIN($R29:$T29)&gt;=0,$R29&lt;=$S29,$S29&lt;=$T29)),OR(COUNTBLANK($U29:$W29)=3,AND(COUNT($U29:$W29)=3,MIN($U29:$W29)&gt;=0,$U29&lt;=$V29,$V29&lt;=$W29,MAX($U29:$W29)&lt;=1)))),"ERROR: LOW/BASE/HIGH",IF(NOT(OR(AND(COUNTBLANK($R29:$T29)=3,COUNTBLANK($U29:$W29)=3),AND(COUNT($R29:$T29)=3,COUNT($U29:$W29)=3))),"ERROR: TRANSFER ASSUMPTION",IF(AND(COUNTA($F29:$W29)&gt;0,$X29=""),"ERROR: SOURCE","READY")))))))))))))</x:f>
      </x:c>
    </x:row>
    <x:row r="30">
      <x:c r="A30" s="30"/>
      <x:c r="B30" s="30"/>
      <x:c r="C30" s="30"/>
      <x:c r="D30" s="30"/>
      <x:c r="E30" s="30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9"/>
      <x:c r="V30" s="39"/>
      <x:c r="W30" s="39"/>
      <x:c r="X30" s="30"/>
      <x:c r="Y30" s="30"/>
      <x:c r="Z30" s="30"/>
      <x:c r="AA30" s="34" t="str">
        <x:f>IF($A30="","",IF(OR($A30&lt;&gt;TRIM($A30),NOT(EXACT($A30,UPPER($A30))),LEN($A30)&gt;64,ISNUMBER(FIND("*",$A30)),ISNUMBER(FIND("?",$A30)),ISNUMBER(FIND("~",$A30))),"ERROR: ID FORMAT",IF(COUNTIF($A$7:$A$106,$A30)&lt;&gt;1,"ERROR: DUPLICATE EXPOSURE ID",IF(COUNTIF('01_INPUT_COMPANIES'!$A$7:$A$106,$A30)&lt;&gt;1,"ERROR: COMPANY ID",IF(OR($B30="",COUNTIF('92_REF_VARIABLES'!$L$21:$L$50,$B30)&lt;&gt;1),"ERROR: CURRENCY",IF(OR(NOT(ISNUMBER($C30)),$C30&lt;&gt;INT($C30),$C30&lt;2000,$C30&gt;2100),"ERROR: PRICE YEAR",IF(OR($D30="",AND($D30&lt;&gt;IFERROR(IF(INDEX('01_INPUT_COMPANIES'!$G$7:$G$106,MATCH($A30,'01_INPUT_COMPANIES'!$A$7:$A$106,0))="","",INDEX('01_INPUT_COMPANIES'!$G$7:$G$106,MATCH($A30,'01_INPUT_COMPANIES'!$A$7:$A$106,0))),""),$D30&lt;&gt;LEFT(IFERROR(IF(INDEX('01_INPUT_COMPANIES'!$G$7:$G$106,MATCH($A30,'01_INPUT_COMPANIES'!$A$7:$A$106,0))="","",INDEX('01_INPUT_COMPANIES'!$G$7:$G$106,MATCH($A30,'01_INPUT_COMPANIES'!$A$7:$A$106,0))),""),4))),"ERROR: EXPOSURE PERIOD",IF(OR(NOT(ISNUMBER($E30)),$E30&lt;=0,$E30&gt;1),"ERROR: PERIOD FRACTION",IF(OR($B30&lt;&gt;IFERROR(IF(INDEX('01_INPUT_COMPANIES'!$I$7:$I$106,MATCH($A30,'01_INPUT_COMPANIES'!$A$7:$A$106,0))="","",INDEX('01_INPUT_COMPANIES'!$I$7:$I$106,MATCH($A30,'01_INPUT_COMPANIES'!$A$7:$A$106,0))),""),$C30&lt;&gt;IFERROR(IF(INDEX('01_INPUT_COMPANIES'!$J$7:$J$106,MATCH($A30,'01_INPUT_COMPANIES'!$A$7:$A$106,0))="","",INDEX('01_INPUT_COMPANIES'!$J$7:$J$106,MATCH($A30,'01_INPUT_COMPANIES'!$A$7:$A$106,0))),"")),"ERROR: COMPANY CURRENCY/YEAR",IF(NOT(OR($Y30="A",$Y30="B",$Y30="C",$Y30="SYNTHETIC")),"ERROR: QUALITY",IF(NOT(AND(OR(COUNTBLANK($F30:$H30)=3,AND(COUNT($F30:$H30)=3,MIN($F30:$H30)&gt;=0,$F30&lt;=$G30,$G30&lt;=$H30)),OR(COUNTBLANK($I30:$K30)=3,AND(COUNT($I30:$K30)=3,MIN($I30:$K30)&gt;=0,$I30&lt;=$J30,$J30&lt;=$K30)),OR(COUNTBLANK($L30:$N30)=3,AND(COUNT($L30:$N30)=3,MIN($L30:$N30)&gt;=0,$L30&lt;=$M30,$M30&lt;=$N30)),OR(COUNTBLANK($O30:$Q30)=3,AND(COUNT($O30:$Q30)=3,MIN($O30:$Q30)&gt;=0,$O30&lt;=$P30,$P30&lt;=$Q30)),OR(COUNTBLANK($R30:$T30)=3,AND(COUNT($R30:$T30)=3,MIN($R30:$T30)&gt;=0,$R30&lt;=$S30,$S30&lt;=$T30)),OR(COUNTBLANK($U30:$W30)=3,AND(COUNT($U30:$W30)=3,MIN($U30:$W30)&gt;=0,$U30&lt;=$V30,$V30&lt;=$W30,MAX($U30:$W30)&lt;=1)))),"ERROR: LOW/BASE/HIGH",IF(NOT(OR(AND(COUNTBLANK($R30:$T30)=3,COUNTBLANK($U30:$W30)=3),AND(COUNT($R30:$T30)=3,COUNT($U30:$W30)=3))),"ERROR: TRANSFER ASSUMPTION",IF(AND(COUNTA($F30:$W30)&gt;0,$X30=""),"ERROR: SOURCE","READY")))))))))))))</x:f>
      </x:c>
    </x:row>
    <x:row r="31">
      <x:c r="A31" s="30"/>
      <x:c r="B31" s="30"/>
      <x:c r="C31" s="30"/>
      <x:c r="D31" s="30"/>
      <x:c r="E31" s="30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9"/>
      <x:c r="V31" s="39"/>
      <x:c r="W31" s="39"/>
      <x:c r="X31" s="30"/>
      <x:c r="Y31" s="30"/>
      <x:c r="Z31" s="30"/>
      <x:c r="AA31" s="34" t="str">
        <x:f>IF($A31="","",IF(OR($A31&lt;&gt;TRIM($A31),NOT(EXACT($A31,UPPER($A31))),LEN($A31)&gt;64,ISNUMBER(FIND("*",$A31)),ISNUMBER(FIND("?",$A31)),ISNUMBER(FIND("~",$A31))),"ERROR: ID FORMAT",IF(COUNTIF($A$7:$A$106,$A31)&lt;&gt;1,"ERROR: DUPLICATE EXPOSURE ID",IF(COUNTIF('01_INPUT_COMPANIES'!$A$7:$A$106,$A31)&lt;&gt;1,"ERROR: COMPANY ID",IF(OR($B31="",COUNTIF('92_REF_VARIABLES'!$L$21:$L$50,$B31)&lt;&gt;1),"ERROR: CURRENCY",IF(OR(NOT(ISNUMBER($C31)),$C31&lt;&gt;INT($C31),$C31&lt;2000,$C31&gt;2100),"ERROR: PRICE YEAR",IF(OR($D31="",AND($D31&lt;&gt;IFERROR(IF(INDEX('01_INPUT_COMPANIES'!$G$7:$G$106,MATCH($A31,'01_INPUT_COMPANIES'!$A$7:$A$106,0))="","",INDEX('01_INPUT_COMPANIES'!$G$7:$G$106,MATCH($A31,'01_INPUT_COMPANIES'!$A$7:$A$106,0))),""),$D31&lt;&gt;LEFT(IFERROR(IF(INDEX('01_INPUT_COMPANIES'!$G$7:$G$106,MATCH($A31,'01_INPUT_COMPANIES'!$A$7:$A$106,0))="","",INDEX('01_INPUT_COMPANIES'!$G$7:$G$106,MATCH($A31,'01_INPUT_COMPANIES'!$A$7:$A$106,0))),""),4))),"ERROR: EXPOSURE PERIOD",IF(OR(NOT(ISNUMBER($E31)),$E31&lt;=0,$E31&gt;1),"ERROR: PERIOD FRACTION",IF(OR($B31&lt;&gt;IFERROR(IF(INDEX('01_INPUT_COMPANIES'!$I$7:$I$106,MATCH($A31,'01_INPUT_COMPANIES'!$A$7:$A$106,0))="","",INDEX('01_INPUT_COMPANIES'!$I$7:$I$106,MATCH($A31,'01_INPUT_COMPANIES'!$A$7:$A$106,0))),""),$C31&lt;&gt;IFERROR(IF(INDEX('01_INPUT_COMPANIES'!$J$7:$J$106,MATCH($A31,'01_INPUT_COMPANIES'!$A$7:$A$106,0))="","",INDEX('01_INPUT_COMPANIES'!$J$7:$J$106,MATCH($A31,'01_INPUT_COMPANIES'!$A$7:$A$106,0))),"")),"ERROR: COMPANY CURRENCY/YEAR",IF(NOT(OR($Y31="A",$Y31="B",$Y31="C",$Y31="SYNTHETIC")),"ERROR: QUALITY",IF(NOT(AND(OR(COUNTBLANK($F31:$H31)=3,AND(COUNT($F31:$H31)=3,MIN($F31:$H31)&gt;=0,$F31&lt;=$G31,$G31&lt;=$H31)),OR(COUNTBLANK($I31:$K31)=3,AND(COUNT($I31:$K31)=3,MIN($I31:$K31)&gt;=0,$I31&lt;=$J31,$J31&lt;=$K31)),OR(COUNTBLANK($L31:$N31)=3,AND(COUNT($L31:$N31)=3,MIN($L31:$N31)&gt;=0,$L31&lt;=$M31,$M31&lt;=$N31)),OR(COUNTBLANK($O31:$Q31)=3,AND(COUNT($O31:$Q31)=3,MIN($O31:$Q31)&gt;=0,$O31&lt;=$P31,$P31&lt;=$Q31)),OR(COUNTBLANK($R31:$T31)=3,AND(COUNT($R31:$T31)=3,MIN($R31:$T31)&gt;=0,$R31&lt;=$S31,$S31&lt;=$T31)),OR(COUNTBLANK($U31:$W31)=3,AND(COUNT($U31:$W31)=3,MIN($U31:$W31)&gt;=0,$U31&lt;=$V31,$V31&lt;=$W31,MAX($U31:$W31)&lt;=1)))),"ERROR: LOW/BASE/HIGH",IF(NOT(OR(AND(COUNTBLANK($R31:$T31)=3,COUNTBLANK($U31:$W31)=3),AND(COUNT($R31:$T31)=3,COUNT($U31:$W31)=3))),"ERROR: TRANSFER ASSUMPTION",IF(AND(COUNTA($F31:$W31)&gt;0,$X31=""),"ERROR: SOURCE","READY")))))))))))))</x:f>
      </x:c>
    </x:row>
    <x:row r="32">
      <x:c r="A32" s="30"/>
      <x:c r="B32" s="30"/>
      <x:c r="C32" s="30"/>
      <x:c r="D32" s="30"/>
      <x:c r="E32" s="30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9"/>
      <x:c r="V32" s="39"/>
      <x:c r="W32" s="39"/>
      <x:c r="X32" s="30"/>
      <x:c r="Y32" s="30"/>
      <x:c r="Z32" s="30"/>
      <x:c r="AA32" s="34" t="str">
        <x:f>IF($A32="","",IF(OR($A32&lt;&gt;TRIM($A32),NOT(EXACT($A32,UPPER($A32))),LEN($A32)&gt;64,ISNUMBER(FIND("*",$A32)),ISNUMBER(FIND("?",$A32)),ISNUMBER(FIND("~",$A32))),"ERROR: ID FORMAT",IF(COUNTIF($A$7:$A$106,$A32)&lt;&gt;1,"ERROR: DUPLICATE EXPOSURE ID",IF(COUNTIF('01_INPUT_COMPANIES'!$A$7:$A$106,$A32)&lt;&gt;1,"ERROR: COMPANY ID",IF(OR($B32="",COUNTIF('92_REF_VARIABLES'!$L$21:$L$50,$B32)&lt;&gt;1),"ERROR: CURRENCY",IF(OR(NOT(ISNUMBER($C32)),$C32&lt;&gt;INT($C32),$C32&lt;2000,$C32&gt;2100),"ERROR: PRICE YEAR",IF(OR($D32="",AND($D32&lt;&gt;IFERROR(IF(INDEX('01_INPUT_COMPANIES'!$G$7:$G$106,MATCH($A32,'01_INPUT_COMPANIES'!$A$7:$A$106,0))="","",INDEX('01_INPUT_COMPANIES'!$G$7:$G$106,MATCH($A32,'01_INPUT_COMPANIES'!$A$7:$A$106,0))),""),$D32&lt;&gt;LEFT(IFERROR(IF(INDEX('01_INPUT_COMPANIES'!$G$7:$G$106,MATCH($A32,'01_INPUT_COMPANIES'!$A$7:$A$106,0))="","",INDEX('01_INPUT_COMPANIES'!$G$7:$G$106,MATCH($A32,'01_INPUT_COMPANIES'!$A$7:$A$106,0))),""),4))),"ERROR: EXPOSURE PERIOD",IF(OR(NOT(ISNUMBER($E32)),$E32&lt;=0,$E32&gt;1),"ERROR: PERIOD FRACTION",IF(OR($B32&lt;&gt;IFERROR(IF(INDEX('01_INPUT_COMPANIES'!$I$7:$I$106,MATCH($A32,'01_INPUT_COMPANIES'!$A$7:$A$106,0))="","",INDEX('01_INPUT_COMPANIES'!$I$7:$I$106,MATCH($A32,'01_INPUT_COMPANIES'!$A$7:$A$106,0))),""),$C32&lt;&gt;IFERROR(IF(INDEX('01_INPUT_COMPANIES'!$J$7:$J$106,MATCH($A32,'01_INPUT_COMPANIES'!$A$7:$A$106,0))="","",INDEX('01_INPUT_COMPANIES'!$J$7:$J$106,MATCH($A32,'01_INPUT_COMPANIES'!$A$7:$A$106,0))),"")),"ERROR: COMPANY CURRENCY/YEAR",IF(NOT(OR($Y32="A",$Y32="B",$Y32="C",$Y32="SYNTHETIC")),"ERROR: QUALITY",IF(NOT(AND(OR(COUNTBLANK($F32:$H32)=3,AND(COUNT($F32:$H32)=3,MIN($F32:$H32)&gt;=0,$F32&lt;=$G32,$G32&lt;=$H32)),OR(COUNTBLANK($I32:$K32)=3,AND(COUNT($I32:$K32)=3,MIN($I32:$K32)&gt;=0,$I32&lt;=$J32,$J32&lt;=$K32)),OR(COUNTBLANK($L32:$N32)=3,AND(COUNT($L32:$N32)=3,MIN($L32:$N32)&gt;=0,$L32&lt;=$M32,$M32&lt;=$N32)),OR(COUNTBLANK($O32:$Q32)=3,AND(COUNT($O32:$Q32)=3,MIN($O32:$Q32)&gt;=0,$O32&lt;=$P32,$P32&lt;=$Q32)),OR(COUNTBLANK($R32:$T32)=3,AND(COUNT($R32:$T32)=3,MIN($R32:$T32)&gt;=0,$R32&lt;=$S32,$S32&lt;=$T32)),OR(COUNTBLANK($U32:$W32)=3,AND(COUNT($U32:$W32)=3,MIN($U32:$W32)&gt;=0,$U32&lt;=$V32,$V32&lt;=$W32,MAX($U32:$W32)&lt;=1)))),"ERROR: LOW/BASE/HIGH",IF(NOT(OR(AND(COUNTBLANK($R32:$T32)=3,COUNTBLANK($U32:$W32)=3),AND(COUNT($R32:$T32)=3,COUNT($U32:$W32)=3))),"ERROR: TRANSFER ASSUMPTION",IF(AND(COUNTA($F32:$W32)&gt;0,$X32=""),"ERROR: SOURCE","READY")))))))))))))</x:f>
      </x:c>
    </x:row>
    <x:row r="33">
      <x:c r="A33" s="30"/>
      <x:c r="B33" s="30"/>
      <x:c r="C33" s="30"/>
      <x:c r="D33" s="30"/>
      <x:c r="E33" s="30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9"/>
      <x:c r="V33" s="39"/>
      <x:c r="W33" s="39"/>
      <x:c r="X33" s="30"/>
      <x:c r="Y33" s="30"/>
      <x:c r="Z33" s="30"/>
      <x:c r="AA33" s="34" t="str">
        <x:f>IF($A33="","",IF(OR($A33&lt;&gt;TRIM($A33),NOT(EXACT($A33,UPPER($A33))),LEN($A33)&gt;64,ISNUMBER(FIND("*",$A33)),ISNUMBER(FIND("?",$A33)),ISNUMBER(FIND("~",$A33))),"ERROR: ID FORMAT",IF(COUNTIF($A$7:$A$106,$A33)&lt;&gt;1,"ERROR: DUPLICATE EXPOSURE ID",IF(COUNTIF('01_INPUT_COMPANIES'!$A$7:$A$106,$A33)&lt;&gt;1,"ERROR: COMPANY ID",IF(OR($B33="",COUNTIF('92_REF_VARIABLES'!$L$21:$L$50,$B33)&lt;&gt;1),"ERROR: CURRENCY",IF(OR(NOT(ISNUMBER($C33)),$C33&lt;&gt;INT($C33),$C33&lt;2000,$C33&gt;2100),"ERROR: PRICE YEAR",IF(OR($D33="",AND($D33&lt;&gt;IFERROR(IF(INDEX('01_INPUT_COMPANIES'!$G$7:$G$106,MATCH($A33,'01_INPUT_COMPANIES'!$A$7:$A$106,0))="","",INDEX('01_INPUT_COMPANIES'!$G$7:$G$106,MATCH($A33,'01_INPUT_COMPANIES'!$A$7:$A$106,0))),""),$D33&lt;&gt;LEFT(IFERROR(IF(INDEX('01_INPUT_COMPANIES'!$G$7:$G$106,MATCH($A33,'01_INPUT_COMPANIES'!$A$7:$A$106,0))="","",INDEX('01_INPUT_COMPANIES'!$G$7:$G$106,MATCH($A33,'01_INPUT_COMPANIES'!$A$7:$A$106,0))),""),4))),"ERROR: EXPOSURE PERIOD",IF(OR(NOT(ISNUMBER($E33)),$E33&lt;=0,$E33&gt;1),"ERROR: PERIOD FRACTION",IF(OR($B33&lt;&gt;IFERROR(IF(INDEX('01_INPUT_COMPANIES'!$I$7:$I$106,MATCH($A33,'01_INPUT_COMPANIES'!$A$7:$A$106,0))="","",INDEX('01_INPUT_COMPANIES'!$I$7:$I$106,MATCH($A33,'01_INPUT_COMPANIES'!$A$7:$A$106,0))),""),$C33&lt;&gt;IFERROR(IF(INDEX('01_INPUT_COMPANIES'!$J$7:$J$106,MATCH($A33,'01_INPUT_COMPANIES'!$A$7:$A$106,0))="","",INDEX('01_INPUT_COMPANIES'!$J$7:$J$106,MATCH($A33,'01_INPUT_COMPANIES'!$A$7:$A$106,0))),"")),"ERROR: COMPANY CURRENCY/YEAR",IF(NOT(OR($Y33="A",$Y33="B",$Y33="C",$Y33="SYNTHETIC")),"ERROR: QUALITY",IF(NOT(AND(OR(COUNTBLANK($F33:$H33)=3,AND(COUNT($F33:$H33)=3,MIN($F33:$H33)&gt;=0,$F33&lt;=$G33,$G33&lt;=$H33)),OR(COUNTBLANK($I33:$K33)=3,AND(COUNT($I33:$K33)=3,MIN($I33:$K33)&gt;=0,$I33&lt;=$J33,$J33&lt;=$K33)),OR(COUNTBLANK($L33:$N33)=3,AND(COUNT($L33:$N33)=3,MIN($L33:$N33)&gt;=0,$L33&lt;=$M33,$M33&lt;=$N33)),OR(COUNTBLANK($O33:$Q33)=3,AND(COUNT($O33:$Q33)=3,MIN($O33:$Q33)&gt;=0,$O33&lt;=$P33,$P33&lt;=$Q33)),OR(COUNTBLANK($R33:$T33)=3,AND(COUNT($R33:$T33)=3,MIN($R33:$T33)&gt;=0,$R33&lt;=$S33,$S33&lt;=$T33)),OR(COUNTBLANK($U33:$W33)=3,AND(COUNT($U33:$W33)=3,MIN($U33:$W33)&gt;=0,$U33&lt;=$V33,$V33&lt;=$W33,MAX($U33:$W33)&lt;=1)))),"ERROR: LOW/BASE/HIGH",IF(NOT(OR(AND(COUNTBLANK($R33:$T33)=3,COUNTBLANK($U33:$W33)=3),AND(COUNT($R33:$T33)=3,COUNT($U33:$W33)=3))),"ERROR: TRANSFER ASSUMPTION",IF(AND(COUNTA($F33:$W33)&gt;0,$X33=""),"ERROR: SOURCE","READY")))))))))))))</x:f>
      </x:c>
    </x:row>
    <x:row r="34">
      <x:c r="A34" s="30"/>
      <x:c r="B34" s="30"/>
      <x:c r="C34" s="30"/>
      <x:c r="D34" s="30"/>
      <x:c r="E34" s="30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9"/>
      <x:c r="V34" s="39"/>
      <x:c r="W34" s="39"/>
      <x:c r="X34" s="30"/>
      <x:c r="Y34" s="30"/>
      <x:c r="Z34" s="30"/>
      <x:c r="AA34" s="34" t="str">
        <x:f>IF($A34="","",IF(OR($A34&lt;&gt;TRIM($A34),NOT(EXACT($A34,UPPER($A34))),LEN($A34)&gt;64,ISNUMBER(FIND("*",$A34)),ISNUMBER(FIND("?",$A34)),ISNUMBER(FIND("~",$A34))),"ERROR: ID FORMAT",IF(COUNTIF($A$7:$A$106,$A34)&lt;&gt;1,"ERROR: DUPLICATE EXPOSURE ID",IF(COUNTIF('01_INPUT_COMPANIES'!$A$7:$A$106,$A34)&lt;&gt;1,"ERROR: COMPANY ID",IF(OR($B34="",COUNTIF('92_REF_VARIABLES'!$L$21:$L$50,$B34)&lt;&gt;1),"ERROR: CURRENCY",IF(OR(NOT(ISNUMBER($C34)),$C34&lt;&gt;INT($C34),$C34&lt;2000,$C34&gt;2100),"ERROR: PRICE YEAR",IF(OR($D34="",AND($D34&lt;&gt;IFERROR(IF(INDEX('01_INPUT_COMPANIES'!$G$7:$G$106,MATCH($A34,'01_INPUT_COMPANIES'!$A$7:$A$106,0))="","",INDEX('01_INPUT_COMPANIES'!$G$7:$G$106,MATCH($A34,'01_INPUT_COMPANIES'!$A$7:$A$106,0))),""),$D34&lt;&gt;LEFT(IFERROR(IF(INDEX('01_INPUT_COMPANIES'!$G$7:$G$106,MATCH($A34,'01_INPUT_COMPANIES'!$A$7:$A$106,0))="","",INDEX('01_INPUT_COMPANIES'!$G$7:$G$106,MATCH($A34,'01_INPUT_COMPANIES'!$A$7:$A$106,0))),""),4))),"ERROR: EXPOSURE PERIOD",IF(OR(NOT(ISNUMBER($E34)),$E34&lt;=0,$E34&gt;1),"ERROR: PERIOD FRACTION",IF(OR($B34&lt;&gt;IFERROR(IF(INDEX('01_INPUT_COMPANIES'!$I$7:$I$106,MATCH($A34,'01_INPUT_COMPANIES'!$A$7:$A$106,0))="","",INDEX('01_INPUT_COMPANIES'!$I$7:$I$106,MATCH($A34,'01_INPUT_COMPANIES'!$A$7:$A$106,0))),""),$C34&lt;&gt;IFERROR(IF(INDEX('01_INPUT_COMPANIES'!$J$7:$J$106,MATCH($A34,'01_INPUT_COMPANIES'!$A$7:$A$106,0))="","",INDEX('01_INPUT_COMPANIES'!$J$7:$J$106,MATCH($A34,'01_INPUT_COMPANIES'!$A$7:$A$106,0))),"")),"ERROR: COMPANY CURRENCY/YEAR",IF(NOT(OR($Y34="A",$Y34="B",$Y34="C",$Y34="SYNTHETIC")),"ERROR: QUALITY",IF(NOT(AND(OR(COUNTBLANK($F34:$H34)=3,AND(COUNT($F34:$H34)=3,MIN($F34:$H34)&gt;=0,$F34&lt;=$G34,$G34&lt;=$H34)),OR(COUNTBLANK($I34:$K34)=3,AND(COUNT($I34:$K34)=3,MIN($I34:$K34)&gt;=0,$I34&lt;=$J34,$J34&lt;=$K34)),OR(COUNTBLANK($L34:$N34)=3,AND(COUNT($L34:$N34)=3,MIN($L34:$N34)&gt;=0,$L34&lt;=$M34,$M34&lt;=$N34)),OR(COUNTBLANK($O34:$Q34)=3,AND(COUNT($O34:$Q34)=3,MIN($O34:$Q34)&gt;=0,$O34&lt;=$P34,$P34&lt;=$Q34)),OR(COUNTBLANK($R34:$T34)=3,AND(COUNT($R34:$T34)=3,MIN($R34:$T34)&gt;=0,$R34&lt;=$S34,$S34&lt;=$T34)),OR(COUNTBLANK($U34:$W34)=3,AND(COUNT($U34:$W34)=3,MIN($U34:$W34)&gt;=0,$U34&lt;=$V34,$V34&lt;=$W34,MAX($U34:$W34)&lt;=1)))),"ERROR: LOW/BASE/HIGH",IF(NOT(OR(AND(COUNTBLANK($R34:$T34)=3,COUNTBLANK($U34:$W34)=3),AND(COUNT($R34:$T34)=3,COUNT($U34:$W34)=3))),"ERROR: TRANSFER ASSUMPTION",IF(AND(COUNTA($F34:$W34)&gt;0,$X34=""),"ERROR: SOURCE","READY")))))))))))))</x:f>
      </x:c>
    </x:row>
    <x:row r="35">
      <x:c r="A35" s="30"/>
      <x:c r="B35" s="30"/>
      <x:c r="C35" s="30"/>
      <x:c r="D35" s="30"/>
      <x:c r="E35" s="30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9"/>
      <x:c r="V35" s="39"/>
      <x:c r="W35" s="39"/>
      <x:c r="X35" s="30"/>
      <x:c r="Y35" s="30"/>
      <x:c r="Z35" s="30"/>
      <x:c r="AA35" s="34" t="str">
        <x:f>IF($A35="","",IF(OR($A35&lt;&gt;TRIM($A35),NOT(EXACT($A35,UPPER($A35))),LEN($A35)&gt;64,ISNUMBER(FIND("*",$A35)),ISNUMBER(FIND("?",$A35)),ISNUMBER(FIND("~",$A35))),"ERROR: ID FORMAT",IF(COUNTIF($A$7:$A$106,$A35)&lt;&gt;1,"ERROR: DUPLICATE EXPOSURE ID",IF(COUNTIF('01_INPUT_COMPANIES'!$A$7:$A$106,$A35)&lt;&gt;1,"ERROR: COMPANY ID",IF(OR($B35="",COUNTIF('92_REF_VARIABLES'!$L$21:$L$50,$B35)&lt;&gt;1),"ERROR: CURRENCY",IF(OR(NOT(ISNUMBER($C35)),$C35&lt;&gt;INT($C35),$C35&lt;2000,$C35&gt;2100),"ERROR: PRICE YEAR",IF(OR($D35="",AND($D35&lt;&gt;IFERROR(IF(INDEX('01_INPUT_COMPANIES'!$G$7:$G$106,MATCH($A35,'01_INPUT_COMPANIES'!$A$7:$A$106,0))="","",INDEX('01_INPUT_COMPANIES'!$G$7:$G$106,MATCH($A35,'01_INPUT_COMPANIES'!$A$7:$A$106,0))),""),$D35&lt;&gt;LEFT(IFERROR(IF(INDEX('01_INPUT_COMPANIES'!$G$7:$G$106,MATCH($A35,'01_INPUT_COMPANIES'!$A$7:$A$106,0))="","",INDEX('01_INPUT_COMPANIES'!$G$7:$G$106,MATCH($A35,'01_INPUT_COMPANIES'!$A$7:$A$106,0))),""),4))),"ERROR: EXPOSURE PERIOD",IF(OR(NOT(ISNUMBER($E35)),$E35&lt;=0,$E35&gt;1),"ERROR: PERIOD FRACTION",IF(OR($B35&lt;&gt;IFERROR(IF(INDEX('01_INPUT_COMPANIES'!$I$7:$I$106,MATCH($A35,'01_INPUT_COMPANIES'!$A$7:$A$106,0))="","",INDEX('01_INPUT_COMPANIES'!$I$7:$I$106,MATCH($A35,'01_INPUT_COMPANIES'!$A$7:$A$106,0))),""),$C35&lt;&gt;IFERROR(IF(INDEX('01_INPUT_COMPANIES'!$J$7:$J$106,MATCH($A35,'01_INPUT_COMPANIES'!$A$7:$A$106,0))="","",INDEX('01_INPUT_COMPANIES'!$J$7:$J$106,MATCH($A35,'01_INPUT_COMPANIES'!$A$7:$A$106,0))),"")),"ERROR: COMPANY CURRENCY/YEAR",IF(NOT(OR($Y35="A",$Y35="B",$Y35="C",$Y35="SYNTHETIC")),"ERROR: QUALITY",IF(NOT(AND(OR(COUNTBLANK($F35:$H35)=3,AND(COUNT($F35:$H35)=3,MIN($F35:$H35)&gt;=0,$F35&lt;=$G35,$G35&lt;=$H35)),OR(COUNTBLANK($I35:$K35)=3,AND(COUNT($I35:$K35)=3,MIN($I35:$K35)&gt;=0,$I35&lt;=$J35,$J35&lt;=$K35)),OR(COUNTBLANK($L35:$N35)=3,AND(COUNT($L35:$N35)=3,MIN($L35:$N35)&gt;=0,$L35&lt;=$M35,$M35&lt;=$N35)),OR(COUNTBLANK($O35:$Q35)=3,AND(COUNT($O35:$Q35)=3,MIN($O35:$Q35)&gt;=0,$O35&lt;=$P35,$P35&lt;=$Q35)),OR(COUNTBLANK($R35:$T35)=3,AND(COUNT($R35:$T35)=3,MIN($R35:$T35)&gt;=0,$R35&lt;=$S35,$S35&lt;=$T35)),OR(COUNTBLANK($U35:$W35)=3,AND(COUNT($U35:$W35)=3,MIN($U35:$W35)&gt;=0,$U35&lt;=$V35,$V35&lt;=$W35,MAX($U35:$W35)&lt;=1)))),"ERROR: LOW/BASE/HIGH",IF(NOT(OR(AND(COUNTBLANK($R35:$T35)=3,COUNTBLANK($U35:$W35)=3),AND(COUNT($R35:$T35)=3,COUNT($U35:$W35)=3))),"ERROR: TRANSFER ASSUMPTION",IF(AND(COUNTA($F35:$W35)&gt;0,$X35=""),"ERROR: SOURCE","READY")))))))))))))</x:f>
      </x:c>
    </x:row>
    <x:row r="36">
      <x:c r="A36" s="30"/>
      <x:c r="B36" s="30"/>
      <x:c r="C36" s="30"/>
      <x:c r="D36" s="30"/>
      <x:c r="E36" s="30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9"/>
      <x:c r="V36" s="39"/>
      <x:c r="W36" s="39"/>
      <x:c r="X36" s="30"/>
      <x:c r="Y36" s="30"/>
      <x:c r="Z36" s="30"/>
      <x:c r="AA36" s="34" t="str">
        <x:f>IF($A36="","",IF(OR($A36&lt;&gt;TRIM($A36),NOT(EXACT($A36,UPPER($A36))),LEN($A36)&gt;64,ISNUMBER(FIND("*",$A36)),ISNUMBER(FIND("?",$A36)),ISNUMBER(FIND("~",$A36))),"ERROR: ID FORMAT",IF(COUNTIF($A$7:$A$106,$A36)&lt;&gt;1,"ERROR: DUPLICATE EXPOSURE ID",IF(COUNTIF('01_INPUT_COMPANIES'!$A$7:$A$106,$A36)&lt;&gt;1,"ERROR: COMPANY ID",IF(OR($B36="",COUNTIF('92_REF_VARIABLES'!$L$21:$L$50,$B36)&lt;&gt;1),"ERROR: CURRENCY",IF(OR(NOT(ISNUMBER($C36)),$C36&lt;&gt;INT($C36),$C36&lt;2000,$C36&gt;2100),"ERROR: PRICE YEAR",IF(OR($D36="",AND($D36&lt;&gt;IFERROR(IF(INDEX('01_INPUT_COMPANIES'!$G$7:$G$106,MATCH($A36,'01_INPUT_COMPANIES'!$A$7:$A$106,0))="","",INDEX('01_INPUT_COMPANIES'!$G$7:$G$106,MATCH($A36,'01_INPUT_COMPANIES'!$A$7:$A$106,0))),""),$D36&lt;&gt;LEFT(IFERROR(IF(INDEX('01_INPUT_COMPANIES'!$G$7:$G$106,MATCH($A36,'01_INPUT_COMPANIES'!$A$7:$A$106,0))="","",INDEX('01_INPUT_COMPANIES'!$G$7:$G$106,MATCH($A36,'01_INPUT_COMPANIES'!$A$7:$A$106,0))),""),4))),"ERROR: EXPOSURE PERIOD",IF(OR(NOT(ISNUMBER($E36)),$E36&lt;=0,$E36&gt;1),"ERROR: PERIOD FRACTION",IF(OR($B36&lt;&gt;IFERROR(IF(INDEX('01_INPUT_COMPANIES'!$I$7:$I$106,MATCH($A36,'01_INPUT_COMPANIES'!$A$7:$A$106,0))="","",INDEX('01_INPUT_COMPANIES'!$I$7:$I$106,MATCH($A36,'01_INPUT_COMPANIES'!$A$7:$A$106,0))),""),$C36&lt;&gt;IFERROR(IF(INDEX('01_INPUT_COMPANIES'!$J$7:$J$106,MATCH($A36,'01_INPUT_COMPANIES'!$A$7:$A$106,0))="","",INDEX('01_INPUT_COMPANIES'!$J$7:$J$106,MATCH($A36,'01_INPUT_COMPANIES'!$A$7:$A$106,0))),"")),"ERROR: COMPANY CURRENCY/YEAR",IF(NOT(OR($Y36="A",$Y36="B",$Y36="C",$Y36="SYNTHETIC")),"ERROR: QUALITY",IF(NOT(AND(OR(COUNTBLANK($F36:$H36)=3,AND(COUNT($F36:$H36)=3,MIN($F36:$H36)&gt;=0,$F36&lt;=$G36,$G36&lt;=$H36)),OR(COUNTBLANK($I36:$K36)=3,AND(COUNT($I36:$K36)=3,MIN($I36:$K36)&gt;=0,$I36&lt;=$J36,$J36&lt;=$K36)),OR(COUNTBLANK($L36:$N36)=3,AND(COUNT($L36:$N36)=3,MIN($L36:$N36)&gt;=0,$L36&lt;=$M36,$M36&lt;=$N36)),OR(COUNTBLANK($O36:$Q36)=3,AND(COUNT($O36:$Q36)=3,MIN($O36:$Q36)&gt;=0,$O36&lt;=$P36,$P36&lt;=$Q36)),OR(COUNTBLANK($R36:$T36)=3,AND(COUNT($R36:$T36)=3,MIN($R36:$T36)&gt;=0,$R36&lt;=$S36,$S36&lt;=$T36)),OR(COUNTBLANK($U36:$W36)=3,AND(COUNT($U36:$W36)=3,MIN($U36:$W36)&gt;=0,$U36&lt;=$V36,$V36&lt;=$W36,MAX($U36:$W36)&lt;=1)))),"ERROR: LOW/BASE/HIGH",IF(NOT(OR(AND(COUNTBLANK($R36:$T36)=3,COUNTBLANK($U36:$W36)=3),AND(COUNT($R36:$T36)=3,COUNT($U36:$W36)=3))),"ERROR: TRANSFER ASSUMPTION",IF(AND(COUNTA($F36:$W36)&gt;0,$X36=""),"ERROR: SOURCE","READY")))))))))))))</x:f>
      </x:c>
    </x:row>
    <x:row r="37">
      <x:c r="A37" s="30"/>
      <x:c r="B37" s="30"/>
      <x:c r="C37" s="30"/>
      <x:c r="D37" s="30"/>
      <x:c r="E37" s="30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9"/>
      <x:c r="V37" s="39"/>
      <x:c r="W37" s="39"/>
      <x:c r="X37" s="30"/>
      <x:c r="Y37" s="30"/>
      <x:c r="Z37" s="30"/>
      <x:c r="AA37" s="34" t="str">
        <x:f>IF($A37="","",IF(OR($A37&lt;&gt;TRIM($A37),NOT(EXACT($A37,UPPER($A37))),LEN($A37)&gt;64,ISNUMBER(FIND("*",$A37)),ISNUMBER(FIND("?",$A37)),ISNUMBER(FIND("~",$A37))),"ERROR: ID FORMAT",IF(COUNTIF($A$7:$A$106,$A37)&lt;&gt;1,"ERROR: DUPLICATE EXPOSURE ID",IF(COUNTIF('01_INPUT_COMPANIES'!$A$7:$A$106,$A37)&lt;&gt;1,"ERROR: COMPANY ID",IF(OR($B37="",COUNTIF('92_REF_VARIABLES'!$L$21:$L$50,$B37)&lt;&gt;1),"ERROR: CURRENCY",IF(OR(NOT(ISNUMBER($C37)),$C37&lt;&gt;INT($C37),$C37&lt;2000,$C37&gt;2100),"ERROR: PRICE YEAR",IF(OR($D37="",AND($D37&lt;&gt;IFERROR(IF(INDEX('01_INPUT_COMPANIES'!$G$7:$G$106,MATCH($A37,'01_INPUT_COMPANIES'!$A$7:$A$106,0))="","",INDEX('01_INPUT_COMPANIES'!$G$7:$G$106,MATCH($A37,'01_INPUT_COMPANIES'!$A$7:$A$106,0))),""),$D37&lt;&gt;LEFT(IFERROR(IF(INDEX('01_INPUT_COMPANIES'!$G$7:$G$106,MATCH($A37,'01_INPUT_COMPANIES'!$A$7:$A$106,0))="","",INDEX('01_INPUT_COMPANIES'!$G$7:$G$106,MATCH($A37,'01_INPUT_COMPANIES'!$A$7:$A$106,0))),""),4))),"ERROR: EXPOSURE PERIOD",IF(OR(NOT(ISNUMBER($E37)),$E37&lt;=0,$E37&gt;1),"ERROR: PERIOD FRACTION",IF(OR($B37&lt;&gt;IFERROR(IF(INDEX('01_INPUT_COMPANIES'!$I$7:$I$106,MATCH($A37,'01_INPUT_COMPANIES'!$A$7:$A$106,0))="","",INDEX('01_INPUT_COMPANIES'!$I$7:$I$106,MATCH($A37,'01_INPUT_COMPANIES'!$A$7:$A$106,0))),""),$C37&lt;&gt;IFERROR(IF(INDEX('01_INPUT_COMPANIES'!$J$7:$J$106,MATCH($A37,'01_INPUT_COMPANIES'!$A$7:$A$106,0))="","",INDEX('01_INPUT_COMPANIES'!$J$7:$J$106,MATCH($A37,'01_INPUT_COMPANIES'!$A$7:$A$106,0))),"")),"ERROR: COMPANY CURRENCY/YEAR",IF(NOT(OR($Y37="A",$Y37="B",$Y37="C",$Y37="SYNTHETIC")),"ERROR: QUALITY",IF(NOT(AND(OR(COUNTBLANK($F37:$H37)=3,AND(COUNT($F37:$H37)=3,MIN($F37:$H37)&gt;=0,$F37&lt;=$G37,$G37&lt;=$H37)),OR(COUNTBLANK($I37:$K37)=3,AND(COUNT($I37:$K37)=3,MIN($I37:$K37)&gt;=0,$I37&lt;=$J37,$J37&lt;=$K37)),OR(COUNTBLANK($L37:$N37)=3,AND(COUNT($L37:$N37)=3,MIN($L37:$N37)&gt;=0,$L37&lt;=$M37,$M37&lt;=$N37)),OR(COUNTBLANK($O37:$Q37)=3,AND(COUNT($O37:$Q37)=3,MIN($O37:$Q37)&gt;=0,$O37&lt;=$P37,$P37&lt;=$Q37)),OR(COUNTBLANK($R37:$T37)=3,AND(COUNT($R37:$T37)=3,MIN($R37:$T37)&gt;=0,$R37&lt;=$S37,$S37&lt;=$T37)),OR(COUNTBLANK($U37:$W37)=3,AND(COUNT($U37:$W37)=3,MIN($U37:$W37)&gt;=0,$U37&lt;=$V37,$V37&lt;=$W37,MAX($U37:$W37)&lt;=1)))),"ERROR: LOW/BASE/HIGH",IF(NOT(OR(AND(COUNTBLANK($R37:$T37)=3,COUNTBLANK($U37:$W37)=3),AND(COUNT($R37:$T37)=3,COUNT($U37:$W37)=3))),"ERROR: TRANSFER ASSUMPTION",IF(AND(COUNTA($F37:$W37)&gt;0,$X37=""),"ERROR: SOURCE","READY")))))))))))))</x:f>
      </x:c>
    </x:row>
    <x:row r="38">
      <x:c r="A38" s="30"/>
      <x:c r="B38" s="30"/>
      <x:c r="C38" s="30"/>
      <x:c r="D38" s="30"/>
      <x:c r="E38" s="30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9"/>
      <x:c r="V38" s="39"/>
      <x:c r="W38" s="39"/>
      <x:c r="X38" s="30"/>
      <x:c r="Y38" s="30"/>
      <x:c r="Z38" s="30"/>
      <x:c r="AA38" s="34" t="str">
        <x:f>IF($A38="","",IF(OR($A38&lt;&gt;TRIM($A38),NOT(EXACT($A38,UPPER($A38))),LEN($A38)&gt;64,ISNUMBER(FIND("*",$A38)),ISNUMBER(FIND("?",$A38)),ISNUMBER(FIND("~",$A38))),"ERROR: ID FORMAT",IF(COUNTIF($A$7:$A$106,$A38)&lt;&gt;1,"ERROR: DUPLICATE EXPOSURE ID",IF(COUNTIF('01_INPUT_COMPANIES'!$A$7:$A$106,$A38)&lt;&gt;1,"ERROR: COMPANY ID",IF(OR($B38="",COUNTIF('92_REF_VARIABLES'!$L$21:$L$50,$B38)&lt;&gt;1),"ERROR: CURRENCY",IF(OR(NOT(ISNUMBER($C38)),$C38&lt;&gt;INT($C38),$C38&lt;2000,$C38&gt;2100),"ERROR: PRICE YEAR",IF(OR($D38="",AND($D38&lt;&gt;IFERROR(IF(INDEX('01_INPUT_COMPANIES'!$G$7:$G$106,MATCH($A38,'01_INPUT_COMPANIES'!$A$7:$A$106,0))="","",INDEX('01_INPUT_COMPANIES'!$G$7:$G$106,MATCH($A38,'01_INPUT_COMPANIES'!$A$7:$A$106,0))),""),$D38&lt;&gt;LEFT(IFERROR(IF(INDEX('01_INPUT_COMPANIES'!$G$7:$G$106,MATCH($A38,'01_INPUT_COMPANIES'!$A$7:$A$106,0))="","",INDEX('01_INPUT_COMPANIES'!$G$7:$G$106,MATCH($A38,'01_INPUT_COMPANIES'!$A$7:$A$106,0))),""),4))),"ERROR: EXPOSURE PERIOD",IF(OR(NOT(ISNUMBER($E38)),$E38&lt;=0,$E38&gt;1),"ERROR: PERIOD FRACTION",IF(OR($B38&lt;&gt;IFERROR(IF(INDEX('01_INPUT_COMPANIES'!$I$7:$I$106,MATCH($A38,'01_INPUT_COMPANIES'!$A$7:$A$106,0))="","",INDEX('01_INPUT_COMPANIES'!$I$7:$I$106,MATCH($A38,'01_INPUT_COMPANIES'!$A$7:$A$106,0))),""),$C38&lt;&gt;IFERROR(IF(INDEX('01_INPUT_COMPANIES'!$J$7:$J$106,MATCH($A38,'01_INPUT_COMPANIES'!$A$7:$A$106,0))="","",INDEX('01_INPUT_COMPANIES'!$J$7:$J$106,MATCH($A38,'01_INPUT_COMPANIES'!$A$7:$A$106,0))),"")),"ERROR: COMPANY CURRENCY/YEAR",IF(NOT(OR($Y38="A",$Y38="B",$Y38="C",$Y38="SYNTHETIC")),"ERROR: QUALITY",IF(NOT(AND(OR(COUNTBLANK($F38:$H38)=3,AND(COUNT($F38:$H38)=3,MIN($F38:$H38)&gt;=0,$F38&lt;=$G38,$G38&lt;=$H38)),OR(COUNTBLANK($I38:$K38)=3,AND(COUNT($I38:$K38)=3,MIN($I38:$K38)&gt;=0,$I38&lt;=$J38,$J38&lt;=$K38)),OR(COUNTBLANK($L38:$N38)=3,AND(COUNT($L38:$N38)=3,MIN($L38:$N38)&gt;=0,$L38&lt;=$M38,$M38&lt;=$N38)),OR(COUNTBLANK($O38:$Q38)=3,AND(COUNT($O38:$Q38)=3,MIN($O38:$Q38)&gt;=0,$O38&lt;=$P38,$P38&lt;=$Q38)),OR(COUNTBLANK($R38:$T38)=3,AND(COUNT($R38:$T38)=3,MIN($R38:$T38)&gt;=0,$R38&lt;=$S38,$S38&lt;=$T38)),OR(COUNTBLANK($U38:$W38)=3,AND(COUNT($U38:$W38)=3,MIN($U38:$W38)&gt;=0,$U38&lt;=$V38,$V38&lt;=$W38,MAX($U38:$W38)&lt;=1)))),"ERROR: LOW/BASE/HIGH",IF(NOT(OR(AND(COUNTBLANK($R38:$T38)=3,COUNTBLANK($U38:$W38)=3),AND(COUNT($R38:$T38)=3,COUNT($U38:$W38)=3))),"ERROR: TRANSFER ASSUMPTION",IF(AND(COUNTA($F38:$W38)&gt;0,$X38=""),"ERROR: SOURCE","READY")))))))))))))</x:f>
      </x:c>
    </x:row>
    <x:row r="39">
      <x:c r="A39" s="30"/>
      <x:c r="B39" s="30"/>
      <x:c r="C39" s="30"/>
      <x:c r="D39" s="30"/>
      <x:c r="E39" s="30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9"/>
      <x:c r="V39" s="39"/>
      <x:c r="W39" s="39"/>
      <x:c r="X39" s="30"/>
      <x:c r="Y39" s="30"/>
      <x:c r="Z39" s="30"/>
      <x:c r="AA39" s="34" t="str">
        <x:f>IF($A39="","",IF(OR($A39&lt;&gt;TRIM($A39),NOT(EXACT($A39,UPPER($A39))),LEN($A39)&gt;64,ISNUMBER(FIND("*",$A39)),ISNUMBER(FIND("?",$A39)),ISNUMBER(FIND("~",$A39))),"ERROR: ID FORMAT",IF(COUNTIF($A$7:$A$106,$A39)&lt;&gt;1,"ERROR: DUPLICATE EXPOSURE ID",IF(COUNTIF('01_INPUT_COMPANIES'!$A$7:$A$106,$A39)&lt;&gt;1,"ERROR: COMPANY ID",IF(OR($B39="",COUNTIF('92_REF_VARIABLES'!$L$21:$L$50,$B39)&lt;&gt;1),"ERROR: CURRENCY",IF(OR(NOT(ISNUMBER($C39)),$C39&lt;&gt;INT($C39),$C39&lt;2000,$C39&gt;2100),"ERROR: PRICE YEAR",IF(OR($D39="",AND($D39&lt;&gt;IFERROR(IF(INDEX('01_INPUT_COMPANIES'!$G$7:$G$106,MATCH($A39,'01_INPUT_COMPANIES'!$A$7:$A$106,0))="","",INDEX('01_INPUT_COMPANIES'!$G$7:$G$106,MATCH($A39,'01_INPUT_COMPANIES'!$A$7:$A$106,0))),""),$D39&lt;&gt;LEFT(IFERROR(IF(INDEX('01_INPUT_COMPANIES'!$G$7:$G$106,MATCH($A39,'01_INPUT_COMPANIES'!$A$7:$A$106,0))="","",INDEX('01_INPUT_COMPANIES'!$G$7:$G$106,MATCH($A39,'01_INPUT_COMPANIES'!$A$7:$A$106,0))),""),4))),"ERROR: EXPOSURE PERIOD",IF(OR(NOT(ISNUMBER($E39)),$E39&lt;=0,$E39&gt;1),"ERROR: PERIOD FRACTION",IF(OR($B39&lt;&gt;IFERROR(IF(INDEX('01_INPUT_COMPANIES'!$I$7:$I$106,MATCH($A39,'01_INPUT_COMPANIES'!$A$7:$A$106,0))="","",INDEX('01_INPUT_COMPANIES'!$I$7:$I$106,MATCH($A39,'01_INPUT_COMPANIES'!$A$7:$A$106,0))),""),$C39&lt;&gt;IFERROR(IF(INDEX('01_INPUT_COMPANIES'!$J$7:$J$106,MATCH($A39,'01_INPUT_COMPANIES'!$A$7:$A$106,0))="","",INDEX('01_INPUT_COMPANIES'!$J$7:$J$106,MATCH($A39,'01_INPUT_COMPANIES'!$A$7:$A$106,0))),"")),"ERROR: COMPANY CURRENCY/YEAR",IF(NOT(OR($Y39="A",$Y39="B",$Y39="C",$Y39="SYNTHETIC")),"ERROR: QUALITY",IF(NOT(AND(OR(COUNTBLANK($F39:$H39)=3,AND(COUNT($F39:$H39)=3,MIN($F39:$H39)&gt;=0,$F39&lt;=$G39,$G39&lt;=$H39)),OR(COUNTBLANK($I39:$K39)=3,AND(COUNT($I39:$K39)=3,MIN($I39:$K39)&gt;=0,$I39&lt;=$J39,$J39&lt;=$K39)),OR(COUNTBLANK($L39:$N39)=3,AND(COUNT($L39:$N39)=3,MIN($L39:$N39)&gt;=0,$L39&lt;=$M39,$M39&lt;=$N39)),OR(COUNTBLANK($O39:$Q39)=3,AND(COUNT($O39:$Q39)=3,MIN($O39:$Q39)&gt;=0,$O39&lt;=$P39,$P39&lt;=$Q39)),OR(COUNTBLANK($R39:$T39)=3,AND(COUNT($R39:$T39)=3,MIN($R39:$T39)&gt;=0,$R39&lt;=$S39,$S39&lt;=$T39)),OR(COUNTBLANK($U39:$W39)=3,AND(COUNT($U39:$W39)=3,MIN($U39:$W39)&gt;=0,$U39&lt;=$V39,$V39&lt;=$W39,MAX($U39:$W39)&lt;=1)))),"ERROR: LOW/BASE/HIGH",IF(NOT(OR(AND(COUNTBLANK($R39:$T39)=3,COUNTBLANK($U39:$W39)=3),AND(COUNT($R39:$T39)=3,COUNT($U39:$W39)=3))),"ERROR: TRANSFER ASSUMPTION",IF(AND(COUNTA($F39:$W39)&gt;0,$X39=""),"ERROR: SOURCE","READY")))))))))))))</x:f>
      </x:c>
    </x:row>
    <x:row r="40">
      <x:c r="A40" s="30"/>
      <x:c r="B40" s="30"/>
      <x:c r="C40" s="30"/>
      <x:c r="D40" s="30"/>
      <x:c r="E40" s="30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9"/>
      <x:c r="V40" s="39"/>
      <x:c r="W40" s="39"/>
      <x:c r="X40" s="30"/>
      <x:c r="Y40" s="30"/>
      <x:c r="Z40" s="30"/>
      <x:c r="AA40" s="34" t="str">
        <x:f>IF($A40="","",IF(OR($A40&lt;&gt;TRIM($A40),NOT(EXACT($A40,UPPER($A40))),LEN($A40)&gt;64,ISNUMBER(FIND("*",$A40)),ISNUMBER(FIND("?",$A40)),ISNUMBER(FIND("~",$A40))),"ERROR: ID FORMAT",IF(COUNTIF($A$7:$A$106,$A40)&lt;&gt;1,"ERROR: DUPLICATE EXPOSURE ID",IF(COUNTIF('01_INPUT_COMPANIES'!$A$7:$A$106,$A40)&lt;&gt;1,"ERROR: COMPANY ID",IF(OR($B40="",COUNTIF('92_REF_VARIABLES'!$L$21:$L$50,$B40)&lt;&gt;1),"ERROR: CURRENCY",IF(OR(NOT(ISNUMBER($C40)),$C40&lt;&gt;INT($C40),$C40&lt;2000,$C40&gt;2100),"ERROR: PRICE YEAR",IF(OR($D40="",AND($D40&lt;&gt;IFERROR(IF(INDEX('01_INPUT_COMPANIES'!$G$7:$G$106,MATCH($A40,'01_INPUT_COMPANIES'!$A$7:$A$106,0))="","",INDEX('01_INPUT_COMPANIES'!$G$7:$G$106,MATCH($A40,'01_INPUT_COMPANIES'!$A$7:$A$106,0))),""),$D40&lt;&gt;LEFT(IFERROR(IF(INDEX('01_INPUT_COMPANIES'!$G$7:$G$106,MATCH($A40,'01_INPUT_COMPANIES'!$A$7:$A$106,0))="","",INDEX('01_INPUT_COMPANIES'!$G$7:$G$106,MATCH($A40,'01_INPUT_COMPANIES'!$A$7:$A$106,0))),""),4))),"ERROR: EXPOSURE PERIOD",IF(OR(NOT(ISNUMBER($E40)),$E40&lt;=0,$E40&gt;1),"ERROR: PERIOD FRACTION",IF(OR($B40&lt;&gt;IFERROR(IF(INDEX('01_INPUT_COMPANIES'!$I$7:$I$106,MATCH($A40,'01_INPUT_COMPANIES'!$A$7:$A$106,0))="","",INDEX('01_INPUT_COMPANIES'!$I$7:$I$106,MATCH($A40,'01_INPUT_COMPANIES'!$A$7:$A$106,0))),""),$C40&lt;&gt;IFERROR(IF(INDEX('01_INPUT_COMPANIES'!$J$7:$J$106,MATCH($A40,'01_INPUT_COMPANIES'!$A$7:$A$106,0))="","",INDEX('01_INPUT_COMPANIES'!$J$7:$J$106,MATCH($A40,'01_INPUT_COMPANIES'!$A$7:$A$106,0))),"")),"ERROR: COMPANY CURRENCY/YEAR",IF(NOT(OR($Y40="A",$Y40="B",$Y40="C",$Y40="SYNTHETIC")),"ERROR: QUALITY",IF(NOT(AND(OR(COUNTBLANK($F40:$H40)=3,AND(COUNT($F40:$H40)=3,MIN($F40:$H40)&gt;=0,$F40&lt;=$G40,$G40&lt;=$H40)),OR(COUNTBLANK($I40:$K40)=3,AND(COUNT($I40:$K40)=3,MIN($I40:$K40)&gt;=0,$I40&lt;=$J40,$J40&lt;=$K40)),OR(COUNTBLANK($L40:$N40)=3,AND(COUNT($L40:$N40)=3,MIN($L40:$N40)&gt;=0,$L40&lt;=$M40,$M40&lt;=$N40)),OR(COUNTBLANK($O40:$Q40)=3,AND(COUNT($O40:$Q40)=3,MIN($O40:$Q40)&gt;=0,$O40&lt;=$P40,$P40&lt;=$Q40)),OR(COUNTBLANK($R40:$T40)=3,AND(COUNT($R40:$T40)=3,MIN($R40:$T40)&gt;=0,$R40&lt;=$S40,$S40&lt;=$T40)),OR(COUNTBLANK($U40:$W40)=3,AND(COUNT($U40:$W40)=3,MIN($U40:$W40)&gt;=0,$U40&lt;=$V40,$V40&lt;=$W40,MAX($U40:$W40)&lt;=1)))),"ERROR: LOW/BASE/HIGH",IF(NOT(OR(AND(COUNTBLANK($R40:$T40)=3,COUNTBLANK($U40:$W40)=3),AND(COUNT($R40:$T40)=3,COUNT($U40:$W40)=3))),"ERROR: TRANSFER ASSUMPTION",IF(AND(COUNTA($F40:$W40)&gt;0,$X40=""),"ERROR: SOURCE","READY")))))))))))))</x:f>
      </x:c>
    </x:row>
    <x:row r="41">
      <x:c r="A41" s="30"/>
      <x:c r="B41" s="30"/>
      <x:c r="C41" s="30"/>
      <x:c r="D41" s="30"/>
      <x:c r="E41" s="30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9"/>
      <x:c r="V41" s="39"/>
      <x:c r="W41" s="39"/>
      <x:c r="X41" s="30"/>
      <x:c r="Y41" s="30"/>
      <x:c r="Z41" s="30"/>
      <x:c r="AA41" s="34" t="str">
        <x:f>IF($A41="","",IF(OR($A41&lt;&gt;TRIM($A41),NOT(EXACT($A41,UPPER($A41))),LEN($A41)&gt;64,ISNUMBER(FIND("*",$A41)),ISNUMBER(FIND("?",$A41)),ISNUMBER(FIND("~",$A41))),"ERROR: ID FORMAT",IF(COUNTIF($A$7:$A$106,$A41)&lt;&gt;1,"ERROR: DUPLICATE EXPOSURE ID",IF(COUNTIF('01_INPUT_COMPANIES'!$A$7:$A$106,$A41)&lt;&gt;1,"ERROR: COMPANY ID",IF(OR($B41="",COUNTIF('92_REF_VARIABLES'!$L$21:$L$50,$B41)&lt;&gt;1),"ERROR: CURRENCY",IF(OR(NOT(ISNUMBER($C41)),$C41&lt;&gt;INT($C41),$C41&lt;2000,$C41&gt;2100),"ERROR: PRICE YEAR",IF(OR($D41="",AND($D41&lt;&gt;IFERROR(IF(INDEX('01_INPUT_COMPANIES'!$G$7:$G$106,MATCH($A41,'01_INPUT_COMPANIES'!$A$7:$A$106,0))="","",INDEX('01_INPUT_COMPANIES'!$G$7:$G$106,MATCH($A41,'01_INPUT_COMPANIES'!$A$7:$A$106,0))),""),$D41&lt;&gt;LEFT(IFERROR(IF(INDEX('01_INPUT_COMPANIES'!$G$7:$G$106,MATCH($A41,'01_INPUT_COMPANIES'!$A$7:$A$106,0))="","",INDEX('01_INPUT_COMPANIES'!$G$7:$G$106,MATCH($A41,'01_INPUT_COMPANIES'!$A$7:$A$106,0))),""),4))),"ERROR: EXPOSURE PERIOD",IF(OR(NOT(ISNUMBER($E41)),$E41&lt;=0,$E41&gt;1),"ERROR: PERIOD FRACTION",IF(OR($B41&lt;&gt;IFERROR(IF(INDEX('01_INPUT_COMPANIES'!$I$7:$I$106,MATCH($A41,'01_INPUT_COMPANIES'!$A$7:$A$106,0))="","",INDEX('01_INPUT_COMPANIES'!$I$7:$I$106,MATCH($A41,'01_INPUT_COMPANIES'!$A$7:$A$106,0))),""),$C41&lt;&gt;IFERROR(IF(INDEX('01_INPUT_COMPANIES'!$J$7:$J$106,MATCH($A41,'01_INPUT_COMPANIES'!$A$7:$A$106,0))="","",INDEX('01_INPUT_COMPANIES'!$J$7:$J$106,MATCH($A41,'01_INPUT_COMPANIES'!$A$7:$A$106,0))),"")),"ERROR: COMPANY CURRENCY/YEAR",IF(NOT(OR($Y41="A",$Y41="B",$Y41="C",$Y41="SYNTHETIC")),"ERROR: QUALITY",IF(NOT(AND(OR(COUNTBLANK($F41:$H41)=3,AND(COUNT($F41:$H41)=3,MIN($F41:$H41)&gt;=0,$F41&lt;=$G41,$G41&lt;=$H41)),OR(COUNTBLANK($I41:$K41)=3,AND(COUNT($I41:$K41)=3,MIN($I41:$K41)&gt;=0,$I41&lt;=$J41,$J41&lt;=$K41)),OR(COUNTBLANK($L41:$N41)=3,AND(COUNT($L41:$N41)=3,MIN($L41:$N41)&gt;=0,$L41&lt;=$M41,$M41&lt;=$N41)),OR(COUNTBLANK($O41:$Q41)=3,AND(COUNT($O41:$Q41)=3,MIN($O41:$Q41)&gt;=0,$O41&lt;=$P41,$P41&lt;=$Q41)),OR(COUNTBLANK($R41:$T41)=3,AND(COUNT($R41:$T41)=3,MIN($R41:$T41)&gt;=0,$R41&lt;=$S41,$S41&lt;=$T41)),OR(COUNTBLANK($U41:$W41)=3,AND(COUNT($U41:$W41)=3,MIN($U41:$W41)&gt;=0,$U41&lt;=$V41,$V41&lt;=$W41,MAX($U41:$W41)&lt;=1)))),"ERROR: LOW/BASE/HIGH",IF(NOT(OR(AND(COUNTBLANK($R41:$T41)=3,COUNTBLANK($U41:$W41)=3),AND(COUNT($R41:$T41)=3,COUNT($U41:$W41)=3))),"ERROR: TRANSFER ASSUMPTION",IF(AND(COUNTA($F41:$W41)&gt;0,$X41=""),"ERROR: SOURCE","READY")))))))))))))</x:f>
      </x:c>
    </x:row>
    <x:row r="42">
      <x:c r="A42" s="30"/>
      <x:c r="B42" s="30"/>
      <x:c r="C42" s="30"/>
      <x:c r="D42" s="30"/>
      <x:c r="E42" s="30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9"/>
      <x:c r="V42" s="39"/>
      <x:c r="W42" s="39"/>
      <x:c r="X42" s="30"/>
      <x:c r="Y42" s="30"/>
      <x:c r="Z42" s="30"/>
      <x:c r="AA42" s="34" t="str">
        <x:f>IF($A42="","",IF(OR($A42&lt;&gt;TRIM($A42),NOT(EXACT($A42,UPPER($A42))),LEN($A42)&gt;64,ISNUMBER(FIND("*",$A42)),ISNUMBER(FIND("?",$A42)),ISNUMBER(FIND("~",$A42))),"ERROR: ID FORMAT",IF(COUNTIF($A$7:$A$106,$A42)&lt;&gt;1,"ERROR: DUPLICATE EXPOSURE ID",IF(COUNTIF('01_INPUT_COMPANIES'!$A$7:$A$106,$A42)&lt;&gt;1,"ERROR: COMPANY ID",IF(OR($B42="",COUNTIF('92_REF_VARIABLES'!$L$21:$L$50,$B42)&lt;&gt;1),"ERROR: CURRENCY",IF(OR(NOT(ISNUMBER($C42)),$C42&lt;&gt;INT($C42),$C42&lt;2000,$C42&gt;2100),"ERROR: PRICE YEAR",IF(OR($D42="",AND($D42&lt;&gt;IFERROR(IF(INDEX('01_INPUT_COMPANIES'!$G$7:$G$106,MATCH($A42,'01_INPUT_COMPANIES'!$A$7:$A$106,0))="","",INDEX('01_INPUT_COMPANIES'!$G$7:$G$106,MATCH($A42,'01_INPUT_COMPANIES'!$A$7:$A$106,0))),""),$D42&lt;&gt;LEFT(IFERROR(IF(INDEX('01_INPUT_COMPANIES'!$G$7:$G$106,MATCH($A42,'01_INPUT_COMPANIES'!$A$7:$A$106,0))="","",INDEX('01_INPUT_COMPANIES'!$G$7:$G$106,MATCH($A42,'01_INPUT_COMPANIES'!$A$7:$A$106,0))),""),4))),"ERROR: EXPOSURE PERIOD",IF(OR(NOT(ISNUMBER($E42)),$E42&lt;=0,$E42&gt;1),"ERROR: PERIOD FRACTION",IF(OR($B42&lt;&gt;IFERROR(IF(INDEX('01_INPUT_COMPANIES'!$I$7:$I$106,MATCH($A42,'01_INPUT_COMPANIES'!$A$7:$A$106,0))="","",INDEX('01_INPUT_COMPANIES'!$I$7:$I$106,MATCH($A42,'01_INPUT_COMPANIES'!$A$7:$A$106,0))),""),$C42&lt;&gt;IFERROR(IF(INDEX('01_INPUT_COMPANIES'!$J$7:$J$106,MATCH($A42,'01_INPUT_COMPANIES'!$A$7:$A$106,0))="","",INDEX('01_INPUT_COMPANIES'!$J$7:$J$106,MATCH($A42,'01_INPUT_COMPANIES'!$A$7:$A$106,0))),"")),"ERROR: COMPANY CURRENCY/YEAR",IF(NOT(OR($Y42="A",$Y42="B",$Y42="C",$Y42="SYNTHETIC")),"ERROR: QUALITY",IF(NOT(AND(OR(COUNTBLANK($F42:$H42)=3,AND(COUNT($F42:$H42)=3,MIN($F42:$H42)&gt;=0,$F42&lt;=$G42,$G42&lt;=$H42)),OR(COUNTBLANK($I42:$K42)=3,AND(COUNT($I42:$K42)=3,MIN($I42:$K42)&gt;=0,$I42&lt;=$J42,$J42&lt;=$K42)),OR(COUNTBLANK($L42:$N42)=3,AND(COUNT($L42:$N42)=3,MIN($L42:$N42)&gt;=0,$L42&lt;=$M42,$M42&lt;=$N42)),OR(COUNTBLANK($O42:$Q42)=3,AND(COUNT($O42:$Q42)=3,MIN($O42:$Q42)&gt;=0,$O42&lt;=$P42,$P42&lt;=$Q42)),OR(COUNTBLANK($R42:$T42)=3,AND(COUNT($R42:$T42)=3,MIN($R42:$T42)&gt;=0,$R42&lt;=$S42,$S42&lt;=$T42)),OR(COUNTBLANK($U42:$W42)=3,AND(COUNT($U42:$W42)=3,MIN($U42:$W42)&gt;=0,$U42&lt;=$V42,$V42&lt;=$W42,MAX($U42:$W42)&lt;=1)))),"ERROR: LOW/BASE/HIGH",IF(NOT(OR(AND(COUNTBLANK($R42:$T42)=3,COUNTBLANK($U42:$W42)=3),AND(COUNT($R42:$T42)=3,COUNT($U42:$W42)=3))),"ERROR: TRANSFER ASSUMPTION",IF(AND(COUNTA($F42:$W42)&gt;0,$X42=""),"ERROR: SOURCE","READY")))))))))))))</x:f>
      </x:c>
    </x:row>
    <x:row r="43">
      <x:c r="A43" s="30"/>
      <x:c r="B43" s="30"/>
      <x:c r="C43" s="30"/>
      <x:c r="D43" s="30"/>
      <x:c r="E43" s="30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9"/>
      <x:c r="V43" s="39"/>
      <x:c r="W43" s="39"/>
      <x:c r="X43" s="30"/>
      <x:c r="Y43" s="30"/>
      <x:c r="Z43" s="30"/>
      <x:c r="AA43" s="34" t="str">
        <x:f>IF($A43="","",IF(OR($A43&lt;&gt;TRIM($A43),NOT(EXACT($A43,UPPER($A43))),LEN($A43)&gt;64,ISNUMBER(FIND("*",$A43)),ISNUMBER(FIND("?",$A43)),ISNUMBER(FIND("~",$A43))),"ERROR: ID FORMAT",IF(COUNTIF($A$7:$A$106,$A43)&lt;&gt;1,"ERROR: DUPLICATE EXPOSURE ID",IF(COUNTIF('01_INPUT_COMPANIES'!$A$7:$A$106,$A43)&lt;&gt;1,"ERROR: COMPANY ID",IF(OR($B43="",COUNTIF('92_REF_VARIABLES'!$L$21:$L$50,$B43)&lt;&gt;1),"ERROR: CURRENCY",IF(OR(NOT(ISNUMBER($C43)),$C43&lt;&gt;INT($C43),$C43&lt;2000,$C43&gt;2100),"ERROR: PRICE YEAR",IF(OR($D43="",AND($D43&lt;&gt;IFERROR(IF(INDEX('01_INPUT_COMPANIES'!$G$7:$G$106,MATCH($A43,'01_INPUT_COMPANIES'!$A$7:$A$106,0))="","",INDEX('01_INPUT_COMPANIES'!$G$7:$G$106,MATCH($A43,'01_INPUT_COMPANIES'!$A$7:$A$106,0))),""),$D43&lt;&gt;LEFT(IFERROR(IF(INDEX('01_INPUT_COMPANIES'!$G$7:$G$106,MATCH($A43,'01_INPUT_COMPANIES'!$A$7:$A$106,0))="","",INDEX('01_INPUT_COMPANIES'!$G$7:$G$106,MATCH($A43,'01_INPUT_COMPANIES'!$A$7:$A$106,0))),""),4))),"ERROR: EXPOSURE PERIOD",IF(OR(NOT(ISNUMBER($E43)),$E43&lt;=0,$E43&gt;1),"ERROR: PERIOD FRACTION",IF(OR($B43&lt;&gt;IFERROR(IF(INDEX('01_INPUT_COMPANIES'!$I$7:$I$106,MATCH($A43,'01_INPUT_COMPANIES'!$A$7:$A$106,0))="","",INDEX('01_INPUT_COMPANIES'!$I$7:$I$106,MATCH($A43,'01_INPUT_COMPANIES'!$A$7:$A$106,0))),""),$C43&lt;&gt;IFERROR(IF(INDEX('01_INPUT_COMPANIES'!$J$7:$J$106,MATCH($A43,'01_INPUT_COMPANIES'!$A$7:$A$106,0))="","",INDEX('01_INPUT_COMPANIES'!$J$7:$J$106,MATCH($A43,'01_INPUT_COMPANIES'!$A$7:$A$106,0))),"")),"ERROR: COMPANY CURRENCY/YEAR",IF(NOT(OR($Y43="A",$Y43="B",$Y43="C",$Y43="SYNTHETIC")),"ERROR: QUALITY",IF(NOT(AND(OR(COUNTBLANK($F43:$H43)=3,AND(COUNT($F43:$H43)=3,MIN($F43:$H43)&gt;=0,$F43&lt;=$G43,$G43&lt;=$H43)),OR(COUNTBLANK($I43:$K43)=3,AND(COUNT($I43:$K43)=3,MIN($I43:$K43)&gt;=0,$I43&lt;=$J43,$J43&lt;=$K43)),OR(COUNTBLANK($L43:$N43)=3,AND(COUNT($L43:$N43)=3,MIN($L43:$N43)&gt;=0,$L43&lt;=$M43,$M43&lt;=$N43)),OR(COUNTBLANK($O43:$Q43)=3,AND(COUNT($O43:$Q43)=3,MIN($O43:$Q43)&gt;=0,$O43&lt;=$P43,$P43&lt;=$Q43)),OR(COUNTBLANK($R43:$T43)=3,AND(COUNT($R43:$T43)=3,MIN($R43:$T43)&gt;=0,$R43&lt;=$S43,$S43&lt;=$T43)),OR(COUNTBLANK($U43:$W43)=3,AND(COUNT($U43:$W43)=3,MIN($U43:$W43)&gt;=0,$U43&lt;=$V43,$V43&lt;=$W43,MAX($U43:$W43)&lt;=1)))),"ERROR: LOW/BASE/HIGH",IF(NOT(OR(AND(COUNTBLANK($R43:$T43)=3,COUNTBLANK($U43:$W43)=3),AND(COUNT($R43:$T43)=3,COUNT($U43:$W43)=3))),"ERROR: TRANSFER ASSUMPTION",IF(AND(COUNTA($F43:$W43)&gt;0,$X43=""),"ERROR: SOURCE","READY")))))))))))))</x:f>
      </x:c>
    </x:row>
    <x:row r="44">
      <x:c r="A44" s="30"/>
      <x:c r="B44" s="30"/>
      <x:c r="C44" s="30"/>
      <x:c r="D44" s="30"/>
      <x:c r="E44" s="30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9"/>
      <x:c r="V44" s="39"/>
      <x:c r="W44" s="39"/>
      <x:c r="X44" s="30"/>
      <x:c r="Y44" s="30"/>
      <x:c r="Z44" s="30"/>
      <x:c r="AA44" s="34" t="str">
        <x:f>IF($A44="","",IF(OR($A44&lt;&gt;TRIM($A44),NOT(EXACT($A44,UPPER($A44))),LEN($A44)&gt;64,ISNUMBER(FIND("*",$A44)),ISNUMBER(FIND("?",$A44)),ISNUMBER(FIND("~",$A44))),"ERROR: ID FORMAT",IF(COUNTIF($A$7:$A$106,$A44)&lt;&gt;1,"ERROR: DUPLICATE EXPOSURE ID",IF(COUNTIF('01_INPUT_COMPANIES'!$A$7:$A$106,$A44)&lt;&gt;1,"ERROR: COMPANY ID",IF(OR($B44="",COUNTIF('92_REF_VARIABLES'!$L$21:$L$50,$B44)&lt;&gt;1),"ERROR: CURRENCY",IF(OR(NOT(ISNUMBER($C44)),$C44&lt;&gt;INT($C44),$C44&lt;2000,$C44&gt;2100),"ERROR: PRICE YEAR",IF(OR($D44="",AND($D44&lt;&gt;IFERROR(IF(INDEX('01_INPUT_COMPANIES'!$G$7:$G$106,MATCH($A44,'01_INPUT_COMPANIES'!$A$7:$A$106,0))="","",INDEX('01_INPUT_COMPANIES'!$G$7:$G$106,MATCH($A44,'01_INPUT_COMPANIES'!$A$7:$A$106,0))),""),$D44&lt;&gt;LEFT(IFERROR(IF(INDEX('01_INPUT_COMPANIES'!$G$7:$G$106,MATCH($A44,'01_INPUT_COMPANIES'!$A$7:$A$106,0))="","",INDEX('01_INPUT_COMPANIES'!$G$7:$G$106,MATCH($A44,'01_INPUT_COMPANIES'!$A$7:$A$106,0))),""),4))),"ERROR: EXPOSURE PERIOD",IF(OR(NOT(ISNUMBER($E44)),$E44&lt;=0,$E44&gt;1),"ERROR: PERIOD FRACTION",IF(OR($B44&lt;&gt;IFERROR(IF(INDEX('01_INPUT_COMPANIES'!$I$7:$I$106,MATCH($A44,'01_INPUT_COMPANIES'!$A$7:$A$106,0))="","",INDEX('01_INPUT_COMPANIES'!$I$7:$I$106,MATCH($A44,'01_INPUT_COMPANIES'!$A$7:$A$106,0))),""),$C44&lt;&gt;IFERROR(IF(INDEX('01_INPUT_COMPANIES'!$J$7:$J$106,MATCH($A44,'01_INPUT_COMPANIES'!$A$7:$A$106,0))="","",INDEX('01_INPUT_COMPANIES'!$J$7:$J$106,MATCH($A44,'01_INPUT_COMPANIES'!$A$7:$A$106,0))),"")),"ERROR: COMPANY CURRENCY/YEAR",IF(NOT(OR($Y44="A",$Y44="B",$Y44="C",$Y44="SYNTHETIC")),"ERROR: QUALITY",IF(NOT(AND(OR(COUNTBLANK($F44:$H44)=3,AND(COUNT($F44:$H44)=3,MIN($F44:$H44)&gt;=0,$F44&lt;=$G44,$G44&lt;=$H44)),OR(COUNTBLANK($I44:$K44)=3,AND(COUNT($I44:$K44)=3,MIN($I44:$K44)&gt;=0,$I44&lt;=$J44,$J44&lt;=$K44)),OR(COUNTBLANK($L44:$N44)=3,AND(COUNT($L44:$N44)=3,MIN($L44:$N44)&gt;=0,$L44&lt;=$M44,$M44&lt;=$N44)),OR(COUNTBLANK($O44:$Q44)=3,AND(COUNT($O44:$Q44)=3,MIN($O44:$Q44)&gt;=0,$O44&lt;=$P44,$P44&lt;=$Q44)),OR(COUNTBLANK($R44:$T44)=3,AND(COUNT($R44:$T44)=3,MIN($R44:$T44)&gt;=0,$R44&lt;=$S44,$S44&lt;=$T44)),OR(COUNTBLANK($U44:$W44)=3,AND(COUNT($U44:$W44)=3,MIN($U44:$W44)&gt;=0,$U44&lt;=$V44,$V44&lt;=$W44,MAX($U44:$W44)&lt;=1)))),"ERROR: LOW/BASE/HIGH",IF(NOT(OR(AND(COUNTBLANK($R44:$T44)=3,COUNTBLANK($U44:$W44)=3),AND(COUNT($R44:$T44)=3,COUNT($U44:$W44)=3))),"ERROR: TRANSFER ASSUMPTION",IF(AND(COUNTA($F44:$W44)&gt;0,$X44=""),"ERROR: SOURCE","READY")))))))))))))</x:f>
      </x:c>
    </x:row>
    <x:row r="45">
      <x:c r="A45" s="30"/>
      <x:c r="B45" s="30"/>
      <x:c r="C45" s="30"/>
      <x:c r="D45" s="30"/>
      <x:c r="E45" s="30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9"/>
      <x:c r="V45" s="39"/>
      <x:c r="W45" s="39"/>
      <x:c r="X45" s="30"/>
      <x:c r="Y45" s="30"/>
      <x:c r="Z45" s="30"/>
      <x:c r="AA45" s="34" t="str">
        <x:f>IF($A45="","",IF(OR($A45&lt;&gt;TRIM($A45),NOT(EXACT($A45,UPPER($A45))),LEN($A45)&gt;64,ISNUMBER(FIND("*",$A45)),ISNUMBER(FIND("?",$A45)),ISNUMBER(FIND("~",$A45))),"ERROR: ID FORMAT",IF(COUNTIF($A$7:$A$106,$A45)&lt;&gt;1,"ERROR: DUPLICATE EXPOSURE ID",IF(COUNTIF('01_INPUT_COMPANIES'!$A$7:$A$106,$A45)&lt;&gt;1,"ERROR: COMPANY ID",IF(OR($B45="",COUNTIF('92_REF_VARIABLES'!$L$21:$L$50,$B45)&lt;&gt;1),"ERROR: CURRENCY",IF(OR(NOT(ISNUMBER($C45)),$C45&lt;&gt;INT($C45),$C45&lt;2000,$C45&gt;2100),"ERROR: PRICE YEAR",IF(OR($D45="",AND($D45&lt;&gt;IFERROR(IF(INDEX('01_INPUT_COMPANIES'!$G$7:$G$106,MATCH($A45,'01_INPUT_COMPANIES'!$A$7:$A$106,0))="","",INDEX('01_INPUT_COMPANIES'!$G$7:$G$106,MATCH($A45,'01_INPUT_COMPANIES'!$A$7:$A$106,0))),""),$D45&lt;&gt;LEFT(IFERROR(IF(INDEX('01_INPUT_COMPANIES'!$G$7:$G$106,MATCH($A45,'01_INPUT_COMPANIES'!$A$7:$A$106,0))="","",INDEX('01_INPUT_COMPANIES'!$G$7:$G$106,MATCH($A45,'01_INPUT_COMPANIES'!$A$7:$A$106,0))),""),4))),"ERROR: EXPOSURE PERIOD",IF(OR(NOT(ISNUMBER($E45)),$E45&lt;=0,$E45&gt;1),"ERROR: PERIOD FRACTION",IF(OR($B45&lt;&gt;IFERROR(IF(INDEX('01_INPUT_COMPANIES'!$I$7:$I$106,MATCH($A45,'01_INPUT_COMPANIES'!$A$7:$A$106,0))="","",INDEX('01_INPUT_COMPANIES'!$I$7:$I$106,MATCH($A45,'01_INPUT_COMPANIES'!$A$7:$A$106,0))),""),$C45&lt;&gt;IFERROR(IF(INDEX('01_INPUT_COMPANIES'!$J$7:$J$106,MATCH($A45,'01_INPUT_COMPANIES'!$A$7:$A$106,0))="","",INDEX('01_INPUT_COMPANIES'!$J$7:$J$106,MATCH($A45,'01_INPUT_COMPANIES'!$A$7:$A$106,0))),"")),"ERROR: COMPANY CURRENCY/YEAR",IF(NOT(OR($Y45="A",$Y45="B",$Y45="C",$Y45="SYNTHETIC")),"ERROR: QUALITY",IF(NOT(AND(OR(COUNTBLANK($F45:$H45)=3,AND(COUNT($F45:$H45)=3,MIN($F45:$H45)&gt;=0,$F45&lt;=$G45,$G45&lt;=$H45)),OR(COUNTBLANK($I45:$K45)=3,AND(COUNT($I45:$K45)=3,MIN($I45:$K45)&gt;=0,$I45&lt;=$J45,$J45&lt;=$K45)),OR(COUNTBLANK($L45:$N45)=3,AND(COUNT($L45:$N45)=3,MIN($L45:$N45)&gt;=0,$L45&lt;=$M45,$M45&lt;=$N45)),OR(COUNTBLANK($O45:$Q45)=3,AND(COUNT($O45:$Q45)=3,MIN($O45:$Q45)&gt;=0,$O45&lt;=$P45,$P45&lt;=$Q45)),OR(COUNTBLANK($R45:$T45)=3,AND(COUNT($R45:$T45)=3,MIN($R45:$T45)&gt;=0,$R45&lt;=$S45,$S45&lt;=$T45)),OR(COUNTBLANK($U45:$W45)=3,AND(COUNT($U45:$W45)=3,MIN($U45:$W45)&gt;=0,$U45&lt;=$V45,$V45&lt;=$W45,MAX($U45:$W45)&lt;=1)))),"ERROR: LOW/BASE/HIGH",IF(NOT(OR(AND(COUNTBLANK($R45:$T45)=3,COUNTBLANK($U45:$W45)=3),AND(COUNT($R45:$T45)=3,COUNT($U45:$W45)=3))),"ERROR: TRANSFER ASSUMPTION",IF(AND(COUNTA($F45:$W45)&gt;0,$X45=""),"ERROR: SOURCE","READY")))))))))))))</x:f>
      </x:c>
    </x:row>
    <x:row r="46">
      <x:c r="A46" s="30"/>
      <x:c r="B46" s="30"/>
      <x:c r="C46" s="30"/>
      <x:c r="D46" s="30"/>
      <x:c r="E46" s="30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9"/>
      <x:c r="V46" s="39"/>
      <x:c r="W46" s="39"/>
      <x:c r="X46" s="30"/>
      <x:c r="Y46" s="30"/>
      <x:c r="Z46" s="30"/>
      <x:c r="AA46" s="34" t="str">
        <x:f>IF($A46="","",IF(OR($A46&lt;&gt;TRIM($A46),NOT(EXACT($A46,UPPER($A46))),LEN($A46)&gt;64,ISNUMBER(FIND("*",$A46)),ISNUMBER(FIND("?",$A46)),ISNUMBER(FIND("~",$A46))),"ERROR: ID FORMAT",IF(COUNTIF($A$7:$A$106,$A46)&lt;&gt;1,"ERROR: DUPLICATE EXPOSURE ID",IF(COUNTIF('01_INPUT_COMPANIES'!$A$7:$A$106,$A46)&lt;&gt;1,"ERROR: COMPANY ID",IF(OR($B46="",COUNTIF('92_REF_VARIABLES'!$L$21:$L$50,$B46)&lt;&gt;1),"ERROR: CURRENCY",IF(OR(NOT(ISNUMBER($C46)),$C46&lt;&gt;INT($C46),$C46&lt;2000,$C46&gt;2100),"ERROR: PRICE YEAR",IF(OR($D46="",AND($D46&lt;&gt;IFERROR(IF(INDEX('01_INPUT_COMPANIES'!$G$7:$G$106,MATCH($A46,'01_INPUT_COMPANIES'!$A$7:$A$106,0))="","",INDEX('01_INPUT_COMPANIES'!$G$7:$G$106,MATCH($A46,'01_INPUT_COMPANIES'!$A$7:$A$106,0))),""),$D46&lt;&gt;LEFT(IFERROR(IF(INDEX('01_INPUT_COMPANIES'!$G$7:$G$106,MATCH($A46,'01_INPUT_COMPANIES'!$A$7:$A$106,0))="","",INDEX('01_INPUT_COMPANIES'!$G$7:$G$106,MATCH($A46,'01_INPUT_COMPANIES'!$A$7:$A$106,0))),""),4))),"ERROR: EXPOSURE PERIOD",IF(OR(NOT(ISNUMBER($E46)),$E46&lt;=0,$E46&gt;1),"ERROR: PERIOD FRACTION",IF(OR($B46&lt;&gt;IFERROR(IF(INDEX('01_INPUT_COMPANIES'!$I$7:$I$106,MATCH($A46,'01_INPUT_COMPANIES'!$A$7:$A$106,0))="","",INDEX('01_INPUT_COMPANIES'!$I$7:$I$106,MATCH($A46,'01_INPUT_COMPANIES'!$A$7:$A$106,0))),""),$C46&lt;&gt;IFERROR(IF(INDEX('01_INPUT_COMPANIES'!$J$7:$J$106,MATCH($A46,'01_INPUT_COMPANIES'!$A$7:$A$106,0))="","",INDEX('01_INPUT_COMPANIES'!$J$7:$J$106,MATCH($A46,'01_INPUT_COMPANIES'!$A$7:$A$106,0))),"")),"ERROR: COMPANY CURRENCY/YEAR",IF(NOT(OR($Y46="A",$Y46="B",$Y46="C",$Y46="SYNTHETIC")),"ERROR: QUALITY",IF(NOT(AND(OR(COUNTBLANK($F46:$H46)=3,AND(COUNT($F46:$H46)=3,MIN($F46:$H46)&gt;=0,$F46&lt;=$G46,$G46&lt;=$H46)),OR(COUNTBLANK($I46:$K46)=3,AND(COUNT($I46:$K46)=3,MIN($I46:$K46)&gt;=0,$I46&lt;=$J46,$J46&lt;=$K46)),OR(COUNTBLANK($L46:$N46)=3,AND(COUNT($L46:$N46)=3,MIN($L46:$N46)&gt;=0,$L46&lt;=$M46,$M46&lt;=$N46)),OR(COUNTBLANK($O46:$Q46)=3,AND(COUNT($O46:$Q46)=3,MIN($O46:$Q46)&gt;=0,$O46&lt;=$P46,$P46&lt;=$Q46)),OR(COUNTBLANK($R46:$T46)=3,AND(COUNT($R46:$T46)=3,MIN($R46:$T46)&gt;=0,$R46&lt;=$S46,$S46&lt;=$T46)),OR(COUNTBLANK($U46:$W46)=3,AND(COUNT($U46:$W46)=3,MIN($U46:$W46)&gt;=0,$U46&lt;=$V46,$V46&lt;=$W46,MAX($U46:$W46)&lt;=1)))),"ERROR: LOW/BASE/HIGH",IF(NOT(OR(AND(COUNTBLANK($R46:$T46)=3,COUNTBLANK($U46:$W46)=3),AND(COUNT($R46:$T46)=3,COUNT($U46:$W46)=3))),"ERROR: TRANSFER ASSUMPTION",IF(AND(COUNTA($F46:$W46)&gt;0,$X46=""),"ERROR: SOURCE","READY")))))))))))))</x:f>
      </x:c>
    </x:row>
    <x:row r="47">
      <x:c r="A47" s="30"/>
      <x:c r="B47" s="30"/>
      <x:c r="C47" s="30"/>
      <x:c r="D47" s="30"/>
      <x:c r="E47" s="30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9"/>
      <x:c r="V47" s="39"/>
      <x:c r="W47" s="39"/>
      <x:c r="X47" s="30"/>
      <x:c r="Y47" s="30"/>
      <x:c r="Z47" s="30"/>
      <x:c r="AA47" s="34" t="str">
        <x:f>IF($A47="","",IF(OR($A47&lt;&gt;TRIM($A47),NOT(EXACT($A47,UPPER($A47))),LEN($A47)&gt;64,ISNUMBER(FIND("*",$A47)),ISNUMBER(FIND("?",$A47)),ISNUMBER(FIND("~",$A47))),"ERROR: ID FORMAT",IF(COUNTIF($A$7:$A$106,$A47)&lt;&gt;1,"ERROR: DUPLICATE EXPOSURE ID",IF(COUNTIF('01_INPUT_COMPANIES'!$A$7:$A$106,$A47)&lt;&gt;1,"ERROR: COMPANY ID",IF(OR($B47="",COUNTIF('92_REF_VARIABLES'!$L$21:$L$50,$B47)&lt;&gt;1),"ERROR: CURRENCY",IF(OR(NOT(ISNUMBER($C47)),$C47&lt;&gt;INT($C47),$C47&lt;2000,$C47&gt;2100),"ERROR: PRICE YEAR",IF(OR($D47="",AND($D47&lt;&gt;IFERROR(IF(INDEX('01_INPUT_COMPANIES'!$G$7:$G$106,MATCH($A47,'01_INPUT_COMPANIES'!$A$7:$A$106,0))="","",INDEX('01_INPUT_COMPANIES'!$G$7:$G$106,MATCH($A47,'01_INPUT_COMPANIES'!$A$7:$A$106,0))),""),$D47&lt;&gt;LEFT(IFERROR(IF(INDEX('01_INPUT_COMPANIES'!$G$7:$G$106,MATCH($A47,'01_INPUT_COMPANIES'!$A$7:$A$106,0))="","",INDEX('01_INPUT_COMPANIES'!$G$7:$G$106,MATCH($A47,'01_INPUT_COMPANIES'!$A$7:$A$106,0))),""),4))),"ERROR: EXPOSURE PERIOD",IF(OR(NOT(ISNUMBER($E47)),$E47&lt;=0,$E47&gt;1),"ERROR: PERIOD FRACTION",IF(OR($B47&lt;&gt;IFERROR(IF(INDEX('01_INPUT_COMPANIES'!$I$7:$I$106,MATCH($A47,'01_INPUT_COMPANIES'!$A$7:$A$106,0))="","",INDEX('01_INPUT_COMPANIES'!$I$7:$I$106,MATCH($A47,'01_INPUT_COMPANIES'!$A$7:$A$106,0))),""),$C47&lt;&gt;IFERROR(IF(INDEX('01_INPUT_COMPANIES'!$J$7:$J$106,MATCH($A47,'01_INPUT_COMPANIES'!$A$7:$A$106,0))="","",INDEX('01_INPUT_COMPANIES'!$J$7:$J$106,MATCH($A47,'01_INPUT_COMPANIES'!$A$7:$A$106,0))),"")),"ERROR: COMPANY CURRENCY/YEAR",IF(NOT(OR($Y47="A",$Y47="B",$Y47="C",$Y47="SYNTHETIC")),"ERROR: QUALITY",IF(NOT(AND(OR(COUNTBLANK($F47:$H47)=3,AND(COUNT($F47:$H47)=3,MIN($F47:$H47)&gt;=0,$F47&lt;=$G47,$G47&lt;=$H47)),OR(COUNTBLANK($I47:$K47)=3,AND(COUNT($I47:$K47)=3,MIN($I47:$K47)&gt;=0,$I47&lt;=$J47,$J47&lt;=$K47)),OR(COUNTBLANK($L47:$N47)=3,AND(COUNT($L47:$N47)=3,MIN($L47:$N47)&gt;=0,$L47&lt;=$M47,$M47&lt;=$N47)),OR(COUNTBLANK($O47:$Q47)=3,AND(COUNT($O47:$Q47)=3,MIN($O47:$Q47)&gt;=0,$O47&lt;=$P47,$P47&lt;=$Q47)),OR(COUNTBLANK($R47:$T47)=3,AND(COUNT($R47:$T47)=3,MIN($R47:$T47)&gt;=0,$R47&lt;=$S47,$S47&lt;=$T47)),OR(COUNTBLANK($U47:$W47)=3,AND(COUNT($U47:$W47)=3,MIN($U47:$W47)&gt;=0,$U47&lt;=$V47,$V47&lt;=$W47,MAX($U47:$W47)&lt;=1)))),"ERROR: LOW/BASE/HIGH",IF(NOT(OR(AND(COUNTBLANK($R47:$T47)=3,COUNTBLANK($U47:$W47)=3),AND(COUNT($R47:$T47)=3,COUNT($U47:$W47)=3))),"ERROR: TRANSFER ASSUMPTION",IF(AND(COUNTA($F47:$W47)&gt;0,$X47=""),"ERROR: SOURCE","READY")))))))))))))</x:f>
      </x:c>
    </x:row>
    <x:row r="48">
      <x:c r="A48" s="30"/>
      <x:c r="B48" s="30"/>
      <x:c r="C48" s="30"/>
      <x:c r="D48" s="30"/>
      <x:c r="E48" s="30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9"/>
      <x:c r="V48" s="39"/>
      <x:c r="W48" s="39"/>
      <x:c r="X48" s="30"/>
      <x:c r="Y48" s="30"/>
      <x:c r="Z48" s="30"/>
      <x:c r="AA48" s="34" t="str">
        <x:f>IF($A48="","",IF(OR($A48&lt;&gt;TRIM($A48),NOT(EXACT($A48,UPPER($A48))),LEN($A48)&gt;64,ISNUMBER(FIND("*",$A48)),ISNUMBER(FIND("?",$A48)),ISNUMBER(FIND("~",$A48))),"ERROR: ID FORMAT",IF(COUNTIF($A$7:$A$106,$A48)&lt;&gt;1,"ERROR: DUPLICATE EXPOSURE ID",IF(COUNTIF('01_INPUT_COMPANIES'!$A$7:$A$106,$A48)&lt;&gt;1,"ERROR: COMPANY ID",IF(OR($B48="",COUNTIF('92_REF_VARIABLES'!$L$21:$L$50,$B48)&lt;&gt;1),"ERROR: CURRENCY",IF(OR(NOT(ISNUMBER($C48)),$C48&lt;&gt;INT($C48),$C48&lt;2000,$C48&gt;2100),"ERROR: PRICE YEAR",IF(OR($D48="",AND($D48&lt;&gt;IFERROR(IF(INDEX('01_INPUT_COMPANIES'!$G$7:$G$106,MATCH($A48,'01_INPUT_COMPANIES'!$A$7:$A$106,0))="","",INDEX('01_INPUT_COMPANIES'!$G$7:$G$106,MATCH($A48,'01_INPUT_COMPANIES'!$A$7:$A$106,0))),""),$D48&lt;&gt;LEFT(IFERROR(IF(INDEX('01_INPUT_COMPANIES'!$G$7:$G$106,MATCH($A48,'01_INPUT_COMPANIES'!$A$7:$A$106,0))="","",INDEX('01_INPUT_COMPANIES'!$G$7:$G$106,MATCH($A48,'01_INPUT_COMPANIES'!$A$7:$A$106,0))),""),4))),"ERROR: EXPOSURE PERIOD",IF(OR(NOT(ISNUMBER($E48)),$E48&lt;=0,$E48&gt;1),"ERROR: PERIOD FRACTION",IF(OR($B48&lt;&gt;IFERROR(IF(INDEX('01_INPUT_COMPANIES'!$I$7:$I$106,MATCH($A48,'01_INPUT_COMPANIES'!$A$7:$A$106,0))="","",INDEX('01_INPUT_COMPANIES'!$I$7:$I$106,MATCH($A48,'01_INPUT_COMPANIES'!$A$7:$A$106,0))),""),$C48&lt;&gt;IFERROR(IF(INDEX('01_INPUT_COMPANIES'!$J$7:$J$106,MATCH($A48,'01_INPUT_COMPANIES'!$A$7:$A$106,0))="","",INDEX('01_INPUT_COMPANIES'!$J$7:$J$106,MATCH($A48,'01_INPUT_COMPANIES'!$A$7:$A$106,0))),"")),"ERROR: COMPANY CURRENCY/YEAR",IF(NOT(OR($Y48="A",$Y48="B",$Y48="C",$Y48="SYNTHETIC")),"ERROR: QUALITY",IF(NOT(AND(OR(COUNTBLANK($F48:$H48)=3,AND(COUNT($F48:$H48)=3,MIN($F48:$H48)&gt;=0,$F48&lt;=$G48,$G48&lt;=$H48)),OR(COUNTBLANK($I48:$K48)=3,AND(COUNT($I48:$K48)=3,MIN($I48:$K48)&gt;=0,$I48&lt;=$J48,$J48&lt;=$K48)),OR(COUNTBLANK($L48:$N48)=3,AND(COUNT($L48:$N48)=3,MIN($L48:$N48)&gt;=0,$L48&lt;=$M48,$M48&lt;=$N48)),OR(COUNTBLANK($O48:$Q48)=3,AND(COUNT($O48:$Q48)=3,MIN($O48:$Q48)&gt;=0,$O48&lt;=$P48,$P48&lt;=$Q48)),OR(COUNTBLANK($R48:$T48)=3,AND(COUNT($R48:$T48)=3,MIN($R48:$T48)&gt;=0,$R48&lt;=$S48,$S48&lt;=$T48)),OR(COUNTBLANK($U48:$W48)=3,AND(COUNT($U48:$W48)=3,MIN($U48:$W48)&gt;=0,$U48&lt;=$V48,$V48&lt;=$W48,MAX($U48:$W48)&lt;=1)))),"ERROR: LOW/BASE/HIGH",IF(NOT(OR(AND(COUNTBLANK($R48:$T48)=3,COUNTBLANK($U48:$W48)=3),AND(COUNT($R48:$T48)=3,COUNT($U48:$W48)=3))),"ERROR: TRANSFER ASSUMPTION",IF(AND(COUNTA($F48:$W48)&gt;0,$X48=""),"ERROR: SOURCE","READY")))))))))))))</x:f>
      </x:c>
    </x:row>
    <x:row r="49">
      <x:c r="A49" s="30"/>
      <x:c r="B49" s="30"/>
      <x:c r="C49" s="30"/>
      <x:c r="D49" s="30"/>
      <x:c r="E49" s="30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9"/>
      <x:c r="V49" s="39"/>
      <x:c r="W49" s="39"/>
      <x:c r="X49" s="30"/>
      <x:c r="Y49" s="30"/>
      <x:c r="Z49" s="30"/>
      <x:c r="AA49" s="34" t="str">
        <x:f>IF($A49="","",IF(OR($A49&lt;&gt;TRIM($A49),NOT(EXACT($A49,UPPER($A49))),LEN($A49)&gt;64,ISNUMBER(FIND("*",$A49)),ISNUMBER(FIND("?",$A49)),ISNUMBER(FIND("~",$A49))),"ERROR: ID FORMAT",IF(COUNTIF($A$7:$A$106,$A49)&lt;&gt;1,"ERROR: DUPLICATE EXPOSURE ID",IF(COUNTIF('01_INPUT_COMPANIES'!$A$7:$A$106,$A49)&lt;&gt;1,"ERROR: COMPANY ID",IF(OR($B49="",COUNTIF('92_REF_VARIABLES'!$L$21:$L$50,$B49)&lt;&gt;1),"ERROR: CURRENCY",IF(OR(NOT(ISNUMBER($C49)),$C49&lt;&gt;INT($C49),$C49&lt;2000,$C49&gt;2100),"ERROR: PRICE YEAR",IF(OR($D49="",AND($D49&lt;&gt;IFERROR(IF(INDEX('01_INPUT_COMPANIES'!$G$7:$G$106,MATCH($A49,'01_INPUT_COMPANIES'!$A$7:$A$106,0))="","",INDEX('01_INPUT_COMPANIES'!$G$7:$G$106,MATCH($A49,'01_INPUT_COMPANIES'!$A$7:$A$106,0))),""),$D49&lt;&gt;LEFT(IFERROR(IF(INDEX('01_INPUT_COMPANIES'!$G$7:$G$106,MATCH($A49,'01_INPUT_COMPANIES'!$A$7:$A$106,0))="","",INDEX('01_INPUT_COMPANIES'!$G$7:$G$106,MATCH($A49,'01_INPUT_COMPANIES'!$A$7:$A$106,0))),""),4))),"ERROR: EXPOSURE PERIOD",IF(OR(NOT(ISNUMBER($E49)),$E49&lt;=0,$E49&gt;1),"ERROR: PERIOD FRACTION",IF(OR($B49&lt;&gt;IFERROR(IF(INDEX('01_INPUT_COMPANIES'!$I$7:$I$106,MATCH($A49,'01_INPUT_COMPANIES'!$A$7:$A$106,0))="","",INDEX('01_INPUT_COMPANIES'!$I$7:$I$106,MATCH($A49,'01_INPUT_COMPANIES'!$A$7:$A$106,0))),""),$C49&lt;&gt;IFERROR(IF(INDEX('01_INPUT_COMPANIES'!$J$7:$J$106,MATCH($A49,'01_INPUT_COMPANIES'!$A$7:$A$106,0))="","",INDEX('01_INPUT_COMPANIES'!$J$7:$J$106,MATCH($A49,'01_INPUT_COMPANIES'!$A$7:$A$106,0))),"")),"ERROR: COMPANY CURRENCY/YEAR",IF(NOT(OR($Y49="A",$Y49="B",$Y49="C",$Y49="SYNTHETIC")),"ERROR: QUALITY",IF(NOT(AND(OR(COUNTBLANK($F49:$H49)=3,AND(COUNT($F49:$H49)=3,MIN($F49:$H49)&gt;=0,$F49&lt;=$G49,$G49&lt;=$H49)),OR(COUNTBLANK($I49:$K49)=3,AND(COUNT($I49:$K49)=3,MIN($I49:$K49)&gt;=0,$I49&lt;=$J49,$J49&lt;=$K49)),OR(COUNTBLANK($L49:$N49)=3,AND(COUNT($L49:$N49)=3,MIN($L49:$N49)&gt;=0,$L49&lt;=$M49,$M49&lt;=$N49)),OR(COUNTBLANK($O49:$Q49)=3,AND(COUNT($O49:$Q49)=3,MIN($O49:$Q49)&gt;=0,$O49&lt;=$P49,$P49&lt;=$Q49)),OR(COUNTBLANK($R49:$T49)=3,AND(COUNT($R49:$T49)=3,MIN($R49:$T49)&gt;=0,$R49&lt;=$S49,$S49&lt;=$T49)),OR(COUNTBLANK($U49:$W49)=3,AND(COUNT($U49:$W49)=3,MIN($U49:$W49)&gt;=0,$U49&lt;=$V49,$V49&lt;=$W49,MAX($U49:$W49)&lt;=1)))),"ERROR: LOW/BASE/HIGH",IF(NOT(OR(AND(COUNTBLANK($R49:$T49)=3,COUNTBLANK($U49:$W49)=3),AND(COUNT($R49:$T49)=3,COUNT($U49:$W49)=3))),"ERROR: TRANSFER ASSUMPTION",IF(AND(COUNTA($F49:$W49)&gt;0,$X49=""),"ERROR: SOURCE","READY")))))))))))))</x:f>
      </x:c>
    </x:row>
    <x:row r="50">
      <x:c r="A50" s="30"/>
      <x:c r="B50" s="30"/>
      <x:c r="C50" s="30"/>
      <x:c r="D50" s="30"/>
      <x:c r="E50" s="30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9"/>
      <x:c r="V50" s="39"/>
      <x:c r="W50" s="39"/>
      <x:c r="X50" s="30"/>
      <x:c r="Y50" s="30"/>
      <x:c r="Z50" s="30"/>
      <x:c r="AA50" s="34" t="str">
        <x:f>IF($A50="","",IF(OR($A50&lt;&gt;TRIM($A50),NOT(EXACT($A50,UPPER($A50))),LEN($A50)&gt;64,ISNUMBER(FIND("*",$A50)),ISNUMBER(FIND("?",$A50)),ISNUMBER(FIND("~",$A50))),"ERROR: ID FORMAT",IF(COUNTIF($A$7:$A$106,$A50)&lt;&gt;1,"ERROR: DUPLICATE EXPOSURE ID",IF(COUNTIF('01_INPUT_COMPANIES'!$A$7:$A$106,$A50)&lt;&gt;1,"ERROR: COMPANY ID",IF(OR($B50="",COUNTIF('92_REF_VARIABLES'!$L$21:$L$50,$B50)&lt;&gt;1),"ERROR: CURRENCY",IF(OR(NOT(ISNUMBER($C50)),$C50&lt;&gt;INT($C50),$C50&lt;2000,$C50&gt;2100),"ERROR: PRICE YEAR",IF(OR($D50="",AND($D50&lt;&gt;IFERROR(IF(INDEX('01_INPUT_COMPANIES'!$G$7:$G$106,MATCH($A50,'01_INPUT_COMPANIES'!$A$7:$A$106,0))="","",INDEX('01_INPUT_COMPANIES'!$G$7:$G$106,MATCH($A50,'01_INPUT_COMPANIES'!$A$7:$A$106,0))),""),$D50&lt;&gt;LEFT(IFERROR(IF(INDEX('01_INPUT_COMPANIES'!$G$7:$G$106,MATCH($A50,'01_INPUT_COMPANIES'!$A$7:$A$106,0))="","",INDEX('01_INPUT_COMPANIES'!$G$7:$G$106,MATCH($A50,'01_INPUT_COMPANIES'!$A$7:$A$106,0))),""),4))),"ERROR: EXPOSURE PERIOD",IF(OR(NOT(ISNUMBER($E50)),$E50&lt;=0,$E50&gt;1),"ERROR: PERIOD FRACTION",IF(OR($B50&lt;&gt;IFERROR(IF(INDEX('01_INPUT_COMPANIES'!$I$7:$I$106,MATCH($A50,'01_INPUT_COMPANIES'!$A$7:$A$106,0))="","",INDEX('01_INPUT_COMPANIES'!$I$7:$I$106,MATCH($A50,'01_INPUT_COMPANIES'!$A$7:$A$106,0))),""),$C50&lt;&gt;IFERROR(IF(INDEX('01_INPUT_COMPANIES'!$J$7:$J$106,MATCH($A50,'01_INPUT_COMPANIES'!$A$7:$A$106,0))="","",INDEX('01_INPUT_COMPANIES'!$J$7:$J$106,MATCH($A50,'01_INPUT_COMPANIES'!$A$7:$A$106,0))),"")),"ERROR: COMPANY CURRENCY/YEAR",IF(NOT(OR($Y50="A",$Y50="B",$Y50="C",$Y50="SYNTHETIC")),"ERROR: QUALITY",IF(NOT(AND(OR(COUNTBLANK($F50:$H50)=3,AND(COUNT($F50:$H50)=3,MIN($F50:$H50)&gt;=0,$F50&lt;=$G50,$G50&lt;=$H50)),OR(COUNTBLANK($I50:$K50)=3,AND(COUNT($I50:$K50)=3,MIN($I50:$K50)&gt;=0,$I50&lt;=$J50,$J50&lt;=$K50)),OR(COUNTBLANK($L50:$N50)=3,AND(COUNT($L50:$N50)=3,MIN($L50:$N50)&gt;=0,$L50&lt;=$M50,$M50&lt;=$N50)),OR(COUNTBLANK($O50:$Q50)=3,AND(COUNT($O50:$Q50)=3,MIN($O50:$Q50)&gt;=0,$O50&lt;=$P50,$P50&lt;=$Q50)),OR(COUNTBLANK($R50:$T50)=3,AND(COUNT($R50:$T50)=3,MIN($R50:$T50)&gt;=0,$R50&lt;=$S50,$S50&lt;=$T50)),OR(COUNTBLANK($U50:$W50)=3,AND(COUNT($U50:$W50)=3,MIN($U50:$W50)&gt;=0,$U50&lt;=$V50,$V50&lt;=$W50,MAX($U50:$W50)&lt;=1)))),"ERROR: LOW/BASE/HIGH",IF(NOT(OR(AND(COUNTBLANK($R50:$T50)=3,COUNTBLANK($U50:$W50)=3),AND(COUNT($R50:$T50)=3,COUNT($U50:$W50)=3))),"ERROR: TRANSFER ASSUMPTION",IF(AND(COUNTA($F50:$W50)&gt;0,$X50=""),"ERROR: SOURCE","READY")))))))))))))</x:f>
      </x:c>
    </x:row>
    <x:row r="51">
      <x:c r="A51" s="30"/>
      <x:c r="B51" s="30"/>
      <x:c r="C51" s="30"/>
      <x:c r="D51" s="30"/>
      <x:c r="E51" s="30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9"/>
      <x:c r="V51" s="39"/>
      <x:c r="W51" s="39"/>
      <x:c r="X51" s="30"/>
      <x:c r="Y51" s="30"/>
      <x:c r="Z51" s="30"/>
      <x:c r="AA51" s="34" t="str">
        <x:f>IF($A51="","",IF(OR($A51&lt;&gt;TRIM($A51),NOT(EXACT($A51,UPPER($A51))),LEN($A51)&gt;64,ISNUMBER(FIND("*",$A51)),ISNUMBER(FIND("?",$A51)),ISNUMBER(FIND("~",$A51))),"ERROR: ID FORMAT",IF(COUNTIF($A$7:$A$106,$A51)&lt;&gt;1,"ERROR: DUPLICATE EXPOSURE ID",IF(COUNTIF('01_INPUT_COMPANIES'!$A$7:$A$106,$A51)&lt;&gt;1,"ERROR: COMPANY ID",IF(OR($B51="",COUNTIF('92_REF_VARIABLES'!$L$21:$L$50,$B51)&lt;&gt;1),"ERROR: CURRENCY",IF(OR(NOT(ISNUMBER($C51)),$C51&lt;&gt;INT($C51),$C51&lt;2000,$C51&gt;2100),"ERROR: PRICE YEAR",IF(OR($D51="",AND($D51&lt;&gt;IFERROR(IF(INDEX('01_INPUT_COMPANIES'!$G$7:$G$106,MATCH($A51,'01_INPUT_COMPANIES'!$A$7:$A$106,0))="","",INDEX('01_INPUT_COMPANIES'!$G$7:$G$106,MATCH($A51,'01_INPUT_COMPANIES'!$A$7:$A$106,0))),""),$D51&lt;&gt;LEFT(IFERROR(IF(INDEX('01_INPUT_COMPANIES'!$G$7:$G$106,MATCH($A51,'01_INPUT_COMPANIES'!$A$7:$A$106,0))="","",INDEX('01_INPUT_COMPANIES'!$G$7:$G$106,MATCH($A51,'01_INPUT_COMPANIES'!$A$7:$A$106,0))),""),4))),"ERROR: EXPOSURE PERIOD",IF(OR(NOT(ISNUMBER($E51)),$E51&lt;=0,$E51&gt;1),"ERROR: PERIOD FRACTION",IF(OR($B51&lt;&gt;IFERROR(IF(INDEX('01_INPUT_COMPANIES'!$I$7:$I$106,MATCH($A51,'01_INPUT_COMPANIES'!$A$7:$A$106,0))="","",INDEX('01_INPUT_COMPANIES'!$I$7:$I$106,MATCH($A51,'01_INPUT_COMPANIES'!$A$7:$A$106,0))),""),$C51&lt;&gt;IFERROR(IF(INDEX('01_INPUT_COMPANIES'!$J$7:$J$106,MATCH($A51,'01_INPUT_COMPANIES'!$A$7:$A$106,0))="","",INDEX('01_INPUT_COMPANIES'!$J$7:$J$106,MATCH($A51,'01_INPUT_COMPANIES'!$A$7:$A$106,0))),"")),"ERROR: COMPANY CURRENCY/YEAR",IF(NOT(OR($Y51="A",$Y51="B",$Y51="C",$Y51="SYNTHETIC")),"ERROR: QUALITY",IF(NOT(AND(OR(COUNTBLANK($F51:$H51)=3,AND(COUNT($F51:$H51)=3,MIN($F51:$H51)&gt;=0,$F51&lt;=$G51,$G51&lt;=$H51)),OR(COUNTBLANK($I51:$K51)=3,AND(COUNT($I51:$K51)=3,MIN($I51:$K51)&gt;=0,$I51&lt;=$J51,$J51&lt;=$K51)),OR(COUNTBLANK($L51:$N51)=3,AND(COUNT($L51:$N51)=3,MIN($L51:$N51)&gt;=0,$L51&lt;=$M51,$M51&lt;=$N51)),OR(COUNTBLANK($O51:$Q51)=3,AND(COUNT($O51:$Q51)=3,MIN($O51:$Q51)&gt;=0,$O51&lt;=$P51,$P51&lt;=$Q51)),OR(COUNTBLANK($R51:$T51)=3,AND(COUNT($R51:$T51)=3,MIN($R51:$T51)&gt;=0,$R51&lt;=$S51,$S51&lt;=$T51)),OR(COUNTBLANK($U51:$W51)=3,AND(COUNT($U51:$W51)=3,MIN($U51:$W51)&gt;=0,$U51&lt;=$V51,$V51&lt;=$W51,MAX($U51:$W51)&lt;=1)))),"ERROR: LOW/BASE/HIGH",IF(NOT(OR(AND(COUNTBLANK($R51:$T51)=3,COUNTBLANK($U51:$W51)=3),AND(COUNT($R51:$T51)=3,COUNT($U51:$W51)=3))),"ERROR: TRANSFER ASSUMPTION",IF(AND(COUNTA($F51:$W51)&gt;0,$X51=""),"ERROR: SOURCE","READY")))))))))))))</x:f>
      </x:c>
    </x:row>
    <x:row r="52">
      <x:c r="A52" s="30"/>
      <x:c r="B52" s="30"/>
      <x:c r="C52" s="30"/>
      <x:c r="D52" s="30"/>
      <x:c r="E52" s="30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9"/>
      <x:c r="V52" s="39"/>
      <x:c r="W52" s="39"/>
      <x:c r="X52" s="30"/>
      <x:c r="Y52" s="30"/>
      <x:c r="Z52" s="30"/>
      <x:c r="AA52" s="34" t="str">
        <x:f>IF($A52="","",IF(OR($A52&lt;&gt;TRIM($A52),NOT(EXACT($A52,UPPER($A52))),LEN($A52)&gt;64,ISNUMBER(FIND("*",$A52)),ISNUMBER(FIND("?",$A52)),ISNUMBER(FIND("~",$A52))),"ERROR: ID FORMAT",IF(COUNTIF($A$7:$A$106,$A52)&lt;&gt;1,"ERROR: DUPLICATE EXPOSURE ID",IF(COUNTIF('01_INPUT_COMPANIES'!$A$7:$A$106,$A52)&lt;&gt;1,"ERROR: COMPANY ID",IF(OR($B52="",COUNTIF('92_REF_VARIABLES'!$L$21:$L$50,$B52)&lt;&gt;1),"ERROR: CURRENCY",IF(OR(NOT(ISNUMBER($C52)),$C52&lt;&gt;INT($C52),$C52&lt;2000,$C52&gt;2100),"ERROR: PRICE YEAR",IF(OR($D52="",AND($D52&lt;&gt;IFERROR(IF(INDEX('01_INPUT_COMPANIES'!$G$7:$G$106,MATCH($A52,'01_INPUT_COMPANIES'!$A$7:$A$106,0))="","",INDEX('01_INPUT_COMPANIES'!$G$7:$G$106,MATCH($A52,'01_INPUT_COMPANIES'!$A$7:$A$106,0))),""),$D52&lt;&gt;LEFT(IFERROR(IF(INDEX('01_INPUT_COMPANIES'!$G$7:$G$106,MATCH($A52,'01_INPUT_COMPANIES'!$A$7:$A$106,0))="","",INDEX('01_INPUT_COMPANIES'!$G$7:$G$106,MATCH($A52,'01_INPUT_COMPANIES'!$A$7:$A$106,0))),""),4))),"ERROR: EXPOSURE PERIOD",IF(OR(NOT(ISNUMBER($E52)),$E52&lt;=0,$E52&gt;1),"ERROR: PERIOD FRACTION",IF(OR($B52&lt;&gt;IFERROR(IF(INDEX('01_INPUT_COMPANIES'!$I$7:$I$106,MATCH($A52,'01_INPUT_COMPANIES'!$A$7:$A$106,0))="","",INDEX('01_INPUT_COMPANIES'!$I$7:$I$106,MATCH($A52,'01_INPUT_COMPANIES'!$A$7:$A$106,0))),""),$C52&lt;&gt;IFERROR(IF(INDEX('01_INPUT_COMPANIES'!$J$7:$J$106,MATCH($A52,'01_INPUT_COMPANIES'!$A$7:$A$106,0))="","",INDEX('01_INPUT_COMPANIES'!$J$7:$J$106,MATCH($A52,'01_INPUT_COMPANIES'!$A$7:$A$106,0))),"")),"ERROR: COMPANY CURRENCY/YEAR",IF(NOT(OR($Y52="A",$Y52="B",$Y52="C",$Y52="SYNTHETIC")),"ERROR: QUALITY",IF(NOT(AND(OR(COUNTBLANK($F52:$H52)=3,AND(COUNT($F52:$H52)=3,MIN($F52:$H52)&gt;=0,$F52&lt;=$G52,$G52&lt;=$H52)),OR(COUNTBLANK($I52:$K52)=3,AND(COUNT($I52:$K52)=3,MIN($I52:$K52)&gt;=0,$I52&lt;=$J52,$J52&lt;=$K52)),OR(COUNTBLANK($L52:$N52)=3,AND(COUNT($L52:$N52)=3,MIN($L52:$N52)&gt;=0,$L52&lt;=$M52,$M52&lt;=$N52)),OR(COUNTBLANK($O52:$Q52)=3,AND(COUNT($O52:$Q52)=3,MIN($O52:$Q52)&gt;=0,$O52&lt;=$P52,$P52&lt;=$Q52)),OR(COUNTBLANK($R52:$T52)=3,AND(COUNT($R52:$T52)=3,MIN($R52:$T52)&gt;=0,$R52&lt;=$S52,$S52&lt;=$T52)),OR(COUNTBLANK($U52:$W52)=3,AND(COUNT($U52:$W52)=3,MIN($U52:$W52)&gt;=0,$U52&lt;=$V52,$V52&lt;=$W52,MAX($U52:$W52)&lt;=1)))),"ERROR: LOW/BASE/HIGH",IF(NOT(OR(AND(COUNTBLANK($R52:$T52)=3,COUNTBLANK($U52:$W52)=3),AND(COUNT($R52:$T52)=3,COUNT($U52:$W52)=3))),"ERROR: TRANSFER ASSUMPTION",IF(AND(COUNTA($F52:$W52)&gt;0,$X52=""),"ERROR: SOURCE","READY")))))))))))))</x:f>
      </x:c>
    </x:row>
    <x:row r="53">
      <x:c r="A53" s="30"/>
      <x:c r="B53" s="30"/>
      <x:c r="C53" s="30"/>
      <x:c r="D53" s="30"/>
      <x:c r="E53" s="30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9"/>
      <x:c r="V53" s="39"/>
      <x:c r="W53" s="39"/>
      <x:c r="X53" s="30"/>
      <x:c r="Y53" s="30"/>
      <x:c r="Z53" s="30"/>
      <x:c r="AA53" s="34" t="str">
        <x:f>IF($A53="","",IF(OR($A53&lt;&gt;TRIM($A53),NOT(EXACT($A53,UPPER($A53))),LEN($A53)&gt;64,ISNUMBER(FIND("*",$A53)),ISNUMBER(FIND("?",$A53)),ISNUMBER(FIND("~",$A53))),"ERROR: ID FORMAT",IF(COUNTIF($A$7:$A$106,$A53)&lt;&gt;1,"ERROR: DUPLICATE EXPOSURE ID",IF(COUNTIF('01_INPUT_COMPANIES'!$A$7:$A$106,$A53)&lt;&gt;1,"ERROR: COMPANY ID",IF(OR($B53="",COUNTIF('92_REF_VARIABLES'!$L$21:$L$50,$B53)&lt;&gt;1),"ERROR: CURRENCY",IF(OR(NOT(ISNUMBER($C53)),$C53&lt;&gt;INT($C53),$C53&lt;2000,$C53&gt;2100),"ERROR: PRICE YEAR",IF(OR($D53="",AND($D53&lt;&gt;IFERROR(IF(INDEX('01_INPUT_COMPANIES'!$G$7:$G$106,MATCH($A53,'01_INPUT_COMPANIES'!$A$7:$A$106,0))="","",INDEX('01_INPUT_COMPANIES'!$G$7:$G$106,MATCH($A53,'01_INPUT_COMPANIES'!$A$7:$A$106,0))),""),$D53&lt;&gt;LEFT(IFERROR(IF(INDEX('01_INPUT_COMPANIES'!$G$7:$G$106,MATCH($A53,'01_INPUT_COMPANIES'!$A$7:$A$106,0))="","",INDEX('01_INPUT_COMPANIES'!$G$7:$G$106,MATCH($A53,'01_INPUT_COMPANIES'!$A$7:$A$106,0))),""),4))),"ERROR: EXPOSURE PERIOD",IF(OR(NOT(ISNUMBER($E53)),$E53&lt;=0,$E53&gt;1),"ERROR: PERIOD FRACTION",IF(OR($B53&lt;&gt;IFERROR(IF(INDEX('01_INPUT_COMPANIES'!$I$7:$I$106,MATCH($A53,'01_INPUT_COMPANIES'!$A$7:$A$106,0))="","",INDEX('01_INPUT_COMPANIES'!$I$7:$I$106,MATCH($A53,'01_INPUT_COMPANIES'!$A$7:$A$106,0))),""),$C53&lt;&gt;IFERROR(IF(INDEX('01_INPUT_COMPANIES'!$J$7:$J$106,MATCH($A53,'01_INPUT_COMPANIES'!$A$7:$A$106,0))="","",INDEX('01_INPUT_COMPANIES'!$J$7:$J$106,MATCH($A53,'01_INPUT_COMPANIES'!$A$7:$A$106,0))),"")),"ERROR: COMPANY CURRENCY/YEAR",IF(NOT(OR($Y53="A",$Y53="B",$Y53="C",$Y53="SYNTHETIC")),"ERROR: QUALITY",IF(NOT(AND(OR(COUNTBLANK($F53:$H53)=3,AND(COUNT($F53:$H53)=3,MIN($F53:$H53)&gt;=0,$F53&lt;=$G53,$G53&lt;=$H53)),OR(COUNTBLANK($I53:$K53)=3,AND(COUNT($I53:$K53)=3,MIN($I53:$K53)&gt;=0,$I53&lt;=$J53,$J53&lt;=$K53)),OR(COUNTBLANK($L53:$N53)=3,AND(COUNT($L53:$N53)=3,MIN($L53:$N53)&gt;=0,$L53&lt;=$M53,$M53&lt;=$N53)),OR(COUNTBLANK($O53:$Q53)=3,AND(COUNT($O53:$Q53)=3,MIN($O53:$Q53)&gt;=0,$O53&lt;=$P53,$P53&lt;=$Q53)),OR(COUNTBLANK($R53:$T53)=3,AND(COUNT($R53:$T53)=3,MIN($R53:$T53)&gt;=0,$R53&lt;=$S53,$S53&lt;=$T53)),OR(COUNTBLANK($U53:$W53)=3,AND(COUNT($U53:$W53)=3,MIN($U53:$W53)&gt;=0,$U53&lt;=$V53,$V53&lt;=$W53,MAX($U53:$W53)&lt;=1)))),"ERROR: LOW/BASE/HIGH",IF(NOT(OR(AND(COUNTBLANK($R53:$T53)=3,COUNTBLANK($U53:$W53)=3),AND(COUNT($R53:$T53)=3,COUNT($U53:$W53)=3))),"ERROR: TRANSFER ASSUMPTION",IF(AND(COUNTA($F53:$W53)&gt;0,$X53=""),"ERROR: SOURCE","READY")))))))))))))</x:f>
      </x:c>
    </x:row>
    <x:row r="54">
      <x:c r="A54" s="30"/>
      <x:c r="B54" s="30"/>
      <x:c r="C54" s="30"/>
      <x:c r="D54" s="30"/>
      <x:c r="E54" s="30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9"/>
      <x:c r="V54" s="39"/>
      <x:c r="W54" s="39"/>
      <x:c r="X54" s="30"/>
      <x:c r="Y54" s="30"/>
      <x:c r="Z54" s="30"/>
      <x:c r="AA54" s="34" t="str">
        <x:f>IF($A54="","",IF(OR($A54&lt;&gt;TRIM($A54),NOT(EXACT($A54,UPPER($A54))),LEN($A54)&gt;64,ISNUMBER(FIND("*",$A54)),ISNUMBER(FIND("?",$A54)),ISNUMBER(FIND("~",$A54))),"ERROR: ID FORMAT",IF(COUNTIF($A$7:$A$106,$A54)&lt;&gt;1,"ERROR: DUPLICATE EXPOSURE ID",IF(COUNTIF('01_INPUT_COMPANIES'!$A$7:$A$106,$A54)&lt;&gt;1,"ERROR: COMPANY ID",IF(OR($B54="",COUNTIF('92_REF_VARIABLES'!$L$21:$L$50,$B54)&lt;&gt;1),"ERROR: CURRENCY",IF(OR(NOT(ISNUMBER($C54)),$C54&lt;&gt;INT($C54),$C54&lt;2000,$C54&gt;2100),"ERROR: PRICE YEAR",IF(OR($D54="",AND($D54&lt;&gt;IFERROR(IF(INDEX('01_INPUT_COMPANIES'!$G$7:$G$106,MATCH($A54,'01_INPUT_COMPANIES'!$A$7:$A$106,0))="","",INDEX('01_INPUT_COMPANIES'!$G$7:$G$106,MATCH($A54,'01_INPUT_COMPANIES'!$A$7:$A$106,0))),""),$D54&lt;&gt;LEFT(IFERROR(IF(INDEX('01_INPUT_COMPANIES'!$G$7:$G$106,MATCH($A54,'01_INPUT_COMPANIES'!$A$7:$A$106,0))="","",INDEX('01_INPUT_COMPANIES'!$G$7:$G$106,MATCH($A54,'01_INPUT_COMPANIES'!$A$7:$A$106,0))),""),4))),"ERROR: EXPOSURE PERIOD",IF(OR(NOT(ISNUMBER($E54)),$E54&lt;=0,$E54&gt;1),"ERROR: PERIOD FRACTION",IF(OR($B54&lt;&gt;IFERROR(IF(INDEX('01_INPUT_COMPANIES'!$I$7:$I$106,MATCH($A54,'01_INPUT_COMPANIES'!$A$7:$A$106,0))="","",INDEX('01_INPUT_COMPANIES'!$I$7:$I$106,MATCH($A54,'01_INPUT_COMPANIES'!$A$7:$A$106,0))),""),$C54&lt;&gt;IFERROR(IF(INDEX('01_INPUT_COMPANIES'!$J$7:$J$106,MATCH($A54,'01_INPUT_COMPANIES'!$A$7:$A$106,0))="","",INDEX('01_INPUT_COMPANIES'!$J$7:$J$106,MATCH($A54,'01_INPUT_COMPANIES'!$A$7:$A$106,0))),"")),"ERROR: COMPANY CURRENCY/YEAR",IF(NOT(OR($Y54="A",$Y54="B",$Y54="C",$Y54="SYNTHETIC")),"ERROR: QUALITY",IF(NOT(AND(OR(COUNTBLANK($F54:$H54)=3,AND(COUNT($F54:$H54)=3,MIN($F54:$H54)&gt;=0,$F54&lt;=$G54,$G54&lt;=$H54)),OR(COUNTBLANK($I54:$K54)=3,AND(COUNT($I54:$K54)=3,MIN($I54:$K54)&gt;=0,$I54&lt;=$J54,$J54&lt;=$K54)),OR(COUNTBLANK($L54:$N54)=3,AND(COUNT($L54:$N54)=3,MIN($L54:$N54)&gt;=0,$L54&lt;=$M54,$M54&lt;=$N54)),OR(COUNTBLANK($O54:$Q54)=3,AND(COUNT($O54:$Q54)=3,MIN($O54:$Q54)&gt;=0,$O54&lt;=$P54,$P54&lt;=$Q54)),OR(COUNTBLANK($R54:$T54)=3,AND(COUNT($R54:$T54)=3,MIN($R54:$T54)&gt;=0,$R54&lt;=$S54,$S54&lt;=$T54)),OR(COUNTBLANK($U54:$W54)=3,AND(COUNT($U54:$W54)=3,MIN($U54:$W54)&gt;=0,$U54&lt;=$V54,$V54&lt;=$W54,MAX($U54:$W54)&lt;=1)))),"ERROR: LOW/BASE/HIGH",IF(NOT(OR(AND(COUNTBLANK($R54:$T54)=3,COUNTBLANK($U54:$W54)=3),AND(COUNT($R54:$T54)=3,COUNT($U54:$W54)=3))),"ERROR: TRANSFER ASSUMPTION",IF(AND(COUNTA($F54:$W54)&gt;0,$X54=""),"ERROR: SOURCE","READY")))))))))))))</x:f>
      </x:c>
    </x:row>
    <x:row r="55">
      <x:c r="A55" s="30"/>
      <x:c r="B55" s="30"/>
      <x:c r="C55" s="30"/>
      <x:c r="D55" s="30"/>
      <x:c r="E55" s="30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9"/>
      <x:c r="V55" s="39"/>
      <x:c r="W55" s="39"/>
      <x:c r="X55" s="30"/>
      <x:c r="Y55" s="30"/>
      <x:c r="Z55" s="30"/>
      <x:c r="AA55" s="34" t="str">
        <x:f>IF($A55="","",IF(OR($A55&lt;&gt;TRIM($A55),NOT(EXACT($A55,UPPER($A55))),LEN($A55)&gt;64,ISNUMBER(FIND("*",$A55)),ISNUMBER(FIND("?",$A55)),ISNUMBER(FIND("~",$A55))),"ERROR: ID FORMAT",IF(COUNTIF($A$7:$A$106,$A55)&lt;&gt;1,"ERROR: DUPLICATE EXPOSURE ID",IF(COUNTIF('01_INPUT_COMPANIES'!$A$7:$A$106,$A55)&lt;&gt;1,"ERROR: COMPANY ID",IF(OR($B55="",COUNTIF('92_REF_VARIABLES'!$L$21:$L$50,$B55)&lt;&gt;1),"ERROR: CURRENCY",IF(OR(NOT(ISNUMBER($C55)),$C55&lt;&gt;INT($C55),$C55&lt;2000,$C55&gt;2100),"ERROR: PRICE YEAR",IF(OR($D55="",AND($D55&lt;&gt;IFERROR(IF(INDEX('01_INPUT_COMPANIES'!$G$7:$G$106,MATCH($A55,'01_INPUT_COMPANIES'!$A$7:$A$106,0))="","",INDEX('01_INPUT_COMPANIES'!$G$7:$G$106,MATCH($A55,'01_INPUT_COMPANIES'!$A$7:$A$106,0))),""),$D55&lt;&gt;LEFT(IFERROR(IF(INDEX('01_INPUT_COMPANIES'!$G$7:$G$106,MATCH($A55,'01_INPUT_COMPANIES'!$A$7:$A$106,0))="","",INDEX('01_INPUT_COMPANIES'!$G$7:$G$106,MATCH($A55,'01_INPUT_COMPANIES'!$A$7:$A$106,0))),""),4))),"ERROR: EXPOSURE PERIOD",IF(OR(NOT(ISNUMBER($E55)),$E55&lt;=0,$E55&gt;1),"ERROR: PERIOD FRACTION",IF(OR($B55&lt;&gt;IFERROR(IF(INDEX('01_INPUT_COMPANIES'!$I$7:$I$106,MATCH($A55,'01_INPUT_COMPANIES'!$A$7:$A$106,0))="","",INDEX('01_INPUT_COMPANIES'!$I$7:$I$106,MATCH($A55,'01_INPUT_COMPANIES'!$A$7:$A$106,0))),""),$C55&lt;&gt;IFERROR(IF(INDEX('01_INPUT_COMPANIES'!$J$7:$J$106,MATCH($A55,'01_INPUT_COMPANIES'!$A$7:$A$106,0))="","",INDEX('01_INPUT_COMPANIES'!$J$7:$J$106,MATCH($A55,'01_INPUT_COMPANIES'!$A$7:$A$106,0))),"")),"ERROR: COMPANY CURRENCY/YEAR",IF(NOT(OR($Y55="A",$Y55="B",$Y55="C",$Y55="SYNTHETIC")),"ERROR: QUALITY",IF(NOT(AND(OR(COUNTBLANK($F55:$H55)=3,AND(COUNT($F55:$H55)=3,MIN($F55:$H55)&gt;=0,$F55&lt;=$G55,$G55&lt;=$H55)),OR(COUNTBLANK($I55:$K55)=3,AND(COUNT($I55:$K55)=3,MIN($I55:$K55)&gt;=0,$I55&lt;=$J55,$J55&lt;=$K55)),OR(COUNTBLANK($L55:$N55)=3,AND(COUNT($L55:$N55)=3,MIN($L55:$N55)&gt;=0,$L55&lt;=$M55,$M55&lt;=$N55)),OR(COUNTBLANK($O55:$Q55)=3,AND(COUNT($O55:$Q55)=3,MIN($O55:$Q55)&gt;=0,$O55&lt;=$P55,$P55&lt;=$Q55)),OR(COUNTBLANK($R55:$T55)=3,AND(COUNT($R55:$T55)=3,MIN($R55:$T55)&gt;=0,$R55&lt;=$S55,$S55&lt;=$T55)),OR(COUNTBLANK($U55:$W55)=3,AND(COUNT($U55:$W55)=3,MIN($U55:$W55)&gt;=0,$U55&lt;=$V55,$V55&lt;=$W55,MAX($U55:$W55)&lt;=1)))),"ERROR: LOW/BASE/HIGH",IF(NOT(OR(AND(COUNTBLANK($R55:$T55)=3,COUNTBLANK($U55:$W55)=3),AND(COUNT($R55:$T55)=3,COUNT($U55:$W55)=3))),"ERROR: TRANSFER ASSUMPTION",IF(AND(COUNTA($F55:$W55)&gt;0,$X55=""),"ERROR: SOURCE","READY")))))))))))))</x:f>
      </x:c>
    </x:row>
    <x:row r="56">
      <x:c r="A56" s="30"/>
      <x:c r="B56" s="30"/>
      <x:c r="C56" s="30"/>
      <x:c r="D56" s="30"/>
      <x:c r="E56" s="30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9"/>
      <x:c r="V56" s="39"/>
      <x:c r="W56" s="39"/>
      <x:c r="X56" s="30"/>
      <x:c r="Y56" s="30"/>
      <x:c r="Z56" s="30"/>
      <x:c r="AA56" s="34" t="str">
        <x:f>IF($A56="","",IF(OR($A56&lt;&gt;TRIM($A56),NOT(EXACT($A56,UPPER($A56))),LEN($A56)&gt;64,ISNUMBER(FIND("*",$A56)),ISNUMBER(FIND("?",$A56)),ISNUMBER(FIND("~",$A56))),"ERROR: ID FORMAT",IF(COUNTIF($A$7:$A$106,$A56)&lt;&gt;1,"ERROR: DUPLICATE EXPOSURE ID",IF(COUNTIF('01_INPUT_COMPANIES'!$A$7:$A$106,$A56)&lt;&gt;1,"ERROR: COMPANY ID",IF(OR($B56="",COUNTIF('92_REF_VARIABLES'!$L$21:$L$50,$B56)&lt;&gt;1),"ERROR: CURRENCY",IF(OR(NOT(ISNUMBER($C56)),$C56&lt;&gt;INT($C56),$C56&lt;2000,$C56&gt;2100),"ERROR: PRICE YEAR",IF(OR($D56="",AND($D56&lt;&gt;IFERROR(IF(INDEX('01_INPUT_COMPANIES'!$G$7:$G$106,MATCH($A56,'01_INPUT_COMPANIES'!$A$7:$A$106,0))="","",INDEX('01_INPUT_COMPANIES'!$G$7:$G$106,MATCH($A56,'01_INPUT_COMPANIES'!$A$7:$A$106,0))),""),$D56&lt;&gt;LEFT(IFERROR(IF(INDEX('01_INPUT_COMPANIES'!$G$7:$G$106,MATCH($A56,'01_INPUT_COMPANIES'!$A$7:$A$106,0))="","",INDEX('01_INPUT_COMPANIES'!$G$7:$G$106,MATCH($A56,'01_INPUT_COMPANIES'!$A$7:$A$106,0))),""),4))),"ERROR: EXPOSURE PERIOD",IF(OR(NOT(ISNUMBER($E56)),$E56&lt;=0,$E56&gt;1),"ERROR: PERIOD FRACTION",IF(OR($B56&lt;&gt;IFERROR(IF(INDEX('01_INPUT_COMPANIES'!$I$7:$I$106,MATCH($A56,'01_INPUT_COMPANIES'!$A$7:$A$106,0))="","",INDEX('01_INPUT_COMPANIES'!$I$7:$I$106,MATCH($A56,'01_INPUT_COMPANIES'!$A$7:$A$106,0))),""),$C56&lt;&gt;IFERROR(IF(INDEX('01_INPUT_COMPANIES'!$J$7:$J$106,MATCH($A56,'01_INPUT_COMPANIES'!$A$7:$A$106,0))="","",INDEX('01_INPUT_COMPANIES'!$J$7:$J$106,MATCH($A56,'01_INPUT_COMPANIES'!$A$7:$A$106,0))),"")),"ERROR: COMPANY CURRENCY/YEAR",IF(NOT(OR($Y56="A",$Y56="B",$Y56="C",$Y56="SYNTHETIC")),"ERROR: QUALITY",IF(NOT(AND(OR(COUNTBLANK($F56:$H56)=3,AND(COUNT($F56:$H56)=3,MIN($F56:$H56)&gt;=0,$F56&lt;=$G56,$G56&lt;=$H56)),OR(COUNTBLANK($I56:$K56)=3,AND(COUNT($I56:$K56)=3,MIN($I56:$K56)&gt;=0,$I56&lt;=$J56,$J56&lt;=$K56)),OR(COUNTBLANK($L56:$N56)=3,AND(COUNT($L56:$N56)=3,MIN($L56:$N56)&gt;=0,$L56&lt;=$M56,$M56&lt;=$N56)),OR(COUNTBLANK($O56:$Q56)=3,AND(COUNT($O56:$Q56)=3,MIN($O56:$Q56)&gt;=0,$O56&lt;=$P56,$P56&lt;=$Q56)),OR(COUNTBLANK($R56:$T56)=3,AND(COUNT($R56:$T56)=3,MIN($R56:$T56)&gt;=0,$R56&lt;=$S56,$S56&lt;=$T56)),OR(COUNTBLANK($U56:$W56)=3,AND(COUNT($U56:$W56)=3,MIN($U56:$W56)&gt;=0,$U56&lt;=$V56,$V56&lt;=$W56,MAX($U56:$W56)&lt;=1)))),"ERROR: LOW/BASE/HIGH",IF(NOT(OR(AND(COUNTBLANK($R56:$T56)=3,COUNTBLANK($U56:$W56)=3),AND(COUNT($R56:$T56)=3,COUNT($U56:$W56)=3))),"ERROR: TRANSFER ASSUMPTION",IF(AND(COUNTA($F56:$W56)&gt;0,$X56=""),"ERROR: SOURCE","READY")))))))))))))</x:f>
      </x:c>
    </x:row>
    <x:row r="57">
      <x:c r="A57" s="30"/>
      <x:c r="B57" s="30"/>
      <x:c r="C57" s="30"/>
      <x:c r="D57" s="30"/>
      <x:c r="E57" s="30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9"/>
      <x:c r="V57" s="39"/>
      <x:c r="W57" s="39"/>
      <x:c r="X57" s="30"/>
      <x:c r="Y57" s="30"/>
      <x:c r="Z57" s="30"/>
      <x:c r="AA57" s="34" t="str">
        <x:f>IF($A57="","",IF(OR($A57&lt;&gt;TRIM($A57),NOT(EXACT($A57,UPPER($A57))),LEN($A57)&gt;64,ISNUMBER(FIND("*",$A57)),ISNUMBER(FIND("?",$A57)),ISNUMBER(FIND("~",$A57))),"ERROR: ID FORMAT",IF(COUNTIF($A$7:$A$106,$A57)&lt;&gt;1,"ERROR: DUPLICATE EXPOSURE ID",IF(COUNTIF('01_INPUT_COMPANIES'!$A$7:$A$106,$A57)&lt;&gt;1,"ERROR: COMPANY ID",IF(OR($B57="",COUNTIF('92_REF_VARIABLES'!$L$21:$L$50,$B57)&lt;&gt;1),"ERROR: CURRENCY",IF(OR(NOT(ISNUMBER($C57)),$C57&lt;&gt;INT($C57),$C57&lt;2000,$C57&gt;2100),"ERROR: PRICE YEAR",IF(OR($D57="",AND($D57&lt;&gt;IFERROR(IF(INDEX('01_INPUT_COMPANIES'!$G$7:$G$106,MATCH($A57,'01_INPUT_COMPANIES'!$A$7:$A$106,0))="","",INDEX('01_INPUT_COMPANIES'!$G$7:$G$106,MATCH($A57,'01_INPUT_COMPANIES'!$A$7:$A$106,0))),""),$D57&lt;&gt;LEFT(IFERROR(IF(INDEX('01_INPUT_COMPANIES'!$G$7:$G$106,MATCH($A57,'01_INPUT_COMPANIES'!$A$7:$A$106,0))="","",INDEX('01_INPUT_COMPANIES'!$G$7:$G$106,MATCH($A57,'01_INPUT_COMPANIES'!$A$7:$A$106,0))),""),4))),"ERROR: EXPOSURE PERIOD",IF(OR(NOT(ISNUMBER($E57)),$E57&lt;=0,$E57&gt;1),"ERROR: PERIOD FRACTION",IF(OR($B57&lt;&gt;IFERROR(IF(INDEX('01_INPUT_COMPANIES'!$I$7:$I$106,MATCH($A57,'01_INPUT_COMPANIES'!$A$7:$A$106,0))="","",INDEX('01_INPUT_COMPANIES'!$I$7:$I$106,MATCH($A57,'01_INPUT_COMPANIES'!$A$7:$A$106,0))),""),$C57&lt;&gt;IFERROR(IF(INDEX('01_INPUT_COMPANIES'!$J$7:$J$106,MATCH($A57,'01_INPUT_COMPANIES'!$A$7:$A$106,0))="","",INDEX('01_INPUT_COMPANIES'!$J$7:$J$106,MATCH($A57,'01_INPUT_COMPANIES'!$A$7:$A$106,0))),"")),"ERROR: COMPANY CURRENCY/YEAR",IF(NOT(OR($Y57="A",$Y57="B",$Y57="C",$Y57="SYNTHETIC")),"ERROR: QUALITY",IF(NOT(AND(OR(COUNTBLANK($F57:$H57)=3,AND(COUNT($F57:$H57)=3,MIN($F57:$H57)&gt;=0,$F57&lt;=$G57,$G57&lt;=$H57)),OR(COUNTBLANK($I57:$K57)=3,AND(COUNT($I57:$K57)=3,MIN($I57:$K57)&gt;=0,$I57&lt;=$J57,$J57&lt;=$K57)),OR(COUNTBLANK($L57:$N57)=3,AND(COUNT($L57:$N57)=3,MIN($L57:$N57)&gt;=0,$L57&lt;=$M57,$M57&lt;=$N57)),OR(COUNTBLANK($O57:$Q57)=3,AND(COUNT($O57:$Q57)=3,MIN($O57:$Q57)&gt;=0,$O57&lt;=$P57,$P57&lt;=$Q57)),OR(COUNTBLANK($R57:$T57)=3,AND(COUNT($R57:$T57)=3,MIN($R57:$T57)&gt;=0,$R57&lt;=$S57,$S57&lt;=$T57)),OR(COUNTBLANK($U57:$W57)=3,AND(COUNT($U57:$W57)=3,MIN($U57:$W57)&gt;=0,$U57&lt;=$V57,$V57&lt;=$W57,MAX($U57:$W57)&lt;=1)))),"ERROR: LOW/BASE/HIGH",IF(NOT(OR(AND(COUNTBLANK($R57:$T57)=3,COUNTBLANK($U57:$W57)=3),AND(COUNT($R57:$T57)=3,COUNT($U57:$W57)=3))),"ERROR: TRANSFER ASSUMPTION",IF(AND(COUNTA($F57:$W57)&gt;0,$X57=""),"ERROR: SOURCE","READY")))))))))))))</x:f>
      </x:c>
    </x:row>
    <x:row r="58">
      <x:c r="A58" s="30"/>
      <x:c r="B58" s="30"/>
      <x:c r="C58" s="30"/>
      <x:c r="D58" s="30"/>
      <x:c r="E58" s="30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9"/>
      <x:c r="V58" s="39"/>
      <x:c r="W58" s="39"/>
      <x:c r="X58" s="30"/>
      <x:c r="Y58" s="30"/>
      <x:c r="Z58" s="30"/>
      <x:c r="AA58" s="34" t="str">
        <x:f>IF($A58="","",IF(OR($A58&lt;&gt;TRIM($A58),NOT(EXACT($A58,UPPER($A58))),LEN($A58)&gt;64,ISNUMBER(FIND("*",$A58)),ISNUMBER(FIND("?",$A58)),ISNUMBER(FIND("~",$A58))),"ERROR: ID FORMAT",IF(COUNTIF($A$7:$A$106,$A58)&lt;&gt;1,"ERROR: DUPLICATE EXPOSURE ID",IF(COUNTIF('01_INPUT_COMPANIES'!$A$7:$A$106,$A58)&lt;&gt;1,"ERROR: COMPANY ID",IF(OR($B58="",COUNTIF('92_REF_VARIABLES'!$L$21:$L$50,$B58)&lt;&gt;1),"ERROR: CURRENCY",IF(OR(NOT(ISNUMBER($C58)),$C58&lt;&gt;INT($C58),$C58&lt;2000,$C58&gt;2100),"ERROR: PRICE YEAR",IF(OR($D58="",AND($D58&lt;&gt;IFERROR(IF(INDEX('01_INPUT_COMPANIES'!$G$7:$G$106,MATCH($A58,'01_INPUT_COMPANIES'!$A$7:$A$106,0))="","",INDEX('01_INPUT_COMPANIES'!$G$7:$G$106,MATCH($A58,'01_INPUT_COMPANIES'!$A$7:$A$106,0))),""),$D58&lt;&gt;LEFT(IFERROR(IF(INDEX('01_INPUT_COMPANIES'!$G$7:$G$106,MATCH($A58,'01_INPUT_COMPANIES'!$A$7:$A$106,0))="","",INDEX('01_INPUT_COMPANIES'!$G$7:$G$106,MATCH($A58,'01_INPUT_COMPANIES'!$A$7:$A$106,0))),""),4))),"ERROR: EXPOSURE PERIOD",IF(OR(NOT(ISNUMBER($E58)),$E58&lt;=0,$E58&gt;1),"ERROR: PERIOD FRACTION",IF(OR($B58&lt;&gt;IFERROR(IF(INDEX('01_INPUT_COMPANIES'!$I$7:$I$106,MATCH($A58,'01_INPUT_COMPANIES'!$A$7:$A$106,0))="","",INDEX('01_INPUT_COMPANIES'!$I$7:$I$106,MATCH($A58,'01_INPUT_COMPANIES'!$A$7:$A$106,0))),""),$C58&lt;&gt;IFERROR(IF(INDEX('01_INPUT_COMPANIES'!$J$7:$J$106,MATCH($A58,'01_INPUT_COMPANIES'!$A$7:$A$106,0))="","",INDEX('01_INPUT_COMPANIES'!$J$7:$J$106,MATCH($A58,'01_INPUT_COMPANIES'!$A$7:$A$106,0))),"")),"ERROR: COMPANY CURRENCY/YEAR",IF(NOT(OR($Y58="A",$Y58="B",$Y58="C",$Y58="SYNTHETIC")),"ERROR: QUALITY",IF(NOT(AND(OR(COUNTBLANK($F58:$H58)=3,AND(COUNT($F58:$H58)=3,MIN($F58:$H58)&gt;=0,$F58&lt;=$G58,$G58&lt;=$H58)),OR(COUNTBLANK($I58:$K58)=3,AND(COUNT($I58:$K58)=3,MIN($I58:$K58)&gt;=0,$I58&lt;=$J58,$J58&lt;=$K58)),OR(COUNTBLANK($L58:$N58)=3,AND(COUNT($L58:$N58)=3,MIN($L58:$N58)&gt;=0,$L58&lt;=$M58,$M58&lt;=$N58)),OR(COUNTBLANK($O58:$Q58)=3,AND(COUNT($O58:$Q58)=3,MIN($O58:$Q58)&gt;=0,$O58&lt;=$P58,$P58&lt;=$Q58)),OR(COUNTBLANK($R58:$T58)=3,AND(COUNT($R58:$T58)=3,MIN($R58:$T58)&gt;=0,$R58&lt;=$S58,$S58&lt;=$T58)),OR(COUNTBLANK($U58:$W58)=3,AND(COUNT($U58:$W58)=3,MIN($U58:$W58)&gt;=0,$U58&lt;=$V58,$V58&lt;=$W58,MAX($U58:$W58)&lt;=1)))),"ERROR: LOW/BASE/HIGH",IF(NOT(OR(AND(COUNTBLANK($R58:$T58)=3,COUNTBLANK($U58:$W58)=3),AND(COUNT($R58:$T58)=3,COUNT($U58:$W58)=3))),"ERROR: TRANSFER ASSUMPTION",IF(AND(COUNTA($F58:$W58)&gt;0,$X58=""),"ERROR: SOURCE","READY")))))))))))))</x:f>
      </x:c>
    </x:row>
    <x:row r="59">
      <x:c r="A59" s="30"/>
      <x:c r="B59" s="30"/>
      <x:c r="C59" s="30"/>
      <x:c r="D59" s="30"/>
      <x:c r="E59" s="30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9"/>
      <x:c r="V59" s="39"/>
      <x:c r="W59" s="39"/>
      <x:c r="X59" s="30"/>
      <x:c r="Y59" s="30"/>
      <x:c r="Z59" s="30"/>
      <x:c r="AA59" s="34" t="str">
        <x:f>IF($A59="","",IF(OR($A59&lt;&gt;TRIM($A59),NOT(EXACT($A59,UPPER($A59))),LEN($A59)&gt;64,ISNUMBER(FIND("*",$A59)),ISNUMBER(FIND("?",$A59)),ISNUMBER(FIND("~",$A59))),"ERROR: ID FORMAT",IF(COUNTIF($A$7:$A$106,$A59)&lt;&gt;1,"ERROR: DUPLICATE EXPOSURE ID",IF(COUNTIF('01_INPUT_COMPANIES'!$A$7:$A$106,$A59)&lt;&gt;1,"ERROR: COMPANY ID",IF(OR($B59="",COUNTIF('92_REF_VARIABLES'!$L$21:$L$50,$B59)&lt;&gt;1),"ERROR: CURRENCY",IF(OR(NOT(ISNUMBER($C59)),$C59&lt;&gt;INT($C59),$C59&lt;2000,$C59&gt;2100),"ERROR: PRICE YEAR",IF(OR($D59="",AND($D59&lt;&gt;IFERROR(IF(INDEX('01_INPUT_COMPANIES'!$G$7:$G$106,MATCH($A59,'01_INPUT_COMPANIES'!$A$7:$A$106,0))="","",INDEX('01_INPUT_COMPANIES'!$G$7:$G$106,MATCH($A59,'01_INPUT_COMPANIES'!$A$7:$A$106,0))),""),$D59&lt;&gt;LEFT(IFERROR(IF(INDEX('01_INPUT_COMPANIES'!$G$7:$G$106,MATCH($A59,'01_INPUT_COMPANIES'!$A$7:$A$106,0))="","",INDEX('01_INPUT_COMPANIES'!$G$7:$G$106,MATCH($A59,'01_INPUT_COMPANIES'!$A$7:$A$106,0))),""),4))),"ERROR: EXPOSURE PERIOD",IF(OR(NOT(ISNUMBER($E59)),$E59&lt;=0,$E59&gt;1),"ERROR: PERIOD FRACTION",IF(OR($B59&lt;&gt;IFERROR(IF(INDEX('01_INPUT_COMPANIES'!$I$7:$I$106,MATCH($A59,'01_INPUT_COMPANIES'!$A$7:$A$106,0))="","",INDEX('01_INPUT_COMPANIES'!$I$7:$I$106,MATCH($A59,'01_INPUT_COMPANIES'!$A$7:$A$106,0))),""),$C59&lt;&gt;IFERROR(IF(INDEX('01_INPUT_COMPANIES'!$J$7:$J$106,MATCH($A59,'01_INPUT_COMPANIES'!$A$7:$A$106,0))="","",INDEX('01_INPUT_COMPANIES'!$J$7:$J$106,MATCH($A59,'01_INPUT_COMPANIES'!$A$7:$A$106,0))),"")),"ERROR: COMPANY CURRENCY/YEAR",IF(NOT(OR($Y59="A",$Y59="B",$Y59="C",$Y59="SYNTHETIC")),"ERROR: QUALITY",IF(NOT(AND(OR(COUNTBLANK($F59:$H59)=3,AND(COUNT($F59:$H59)=3,MIN($F59:$H59)&gt;=0,$F59&lt;=$G59,$G59&lt;=$H59)),OR(COUNTBLANK($I59:$K59)=3,AND(COUNT($I59:$K59)=3,MIN($I59:$K59)&gt;=0,$I59&lt;=$J59,$J59&lt;=$K59)),OR(COUNTBLANK($L59:$N59)=3,AND(COUNT($L59:$N59)=3,MIN($L59:$N59)&gt;=0,$L59&lt;=$M59,$M59&lt;=$N59)),OR(COUNTBLANK($O59:$Q59)=3,AND(COUNT($O59:$Q59)=3,MIN($O59:$Q59)&gt;=0,$O59&lt;=$P59,$P59&lt;=$Q59)),OR(COUNTBLANK($R59:$T59)=3,AND(COUNT($R59:$T59)=3,MIN($R59:$T59)&gt;=0,$R59&lt;=$S59,$S59&lt;=$T59)),OR(COUNTBLANK($U59:$W59)=3,AND(COUNT($U59:$W59)=3,MIN($U59:$W59)&gt;=0,$U59&lt;=$V59,$V59&lt;=$W59,MAX($U59:$W59)&lt;=1)))),"ERROR: LOW/BASE/HIGH",IF(NOT(OR(AND(COUNTBLANK($R59:$T59)=3,COUNTBLANK($U59:$W59)=3),AND(COUNT($R59:$T59)=3,COUNT($U59:$W59)=3))),"ERROR: TRANSFER ASSUMPTION",IF(AND(COUNTA($F59:$W59)&gt;0,$X59=""),"ERROR: SOURCE","READY")))))))))))))</x:f>
      </x:c>
    </x:row>
    <x:row r="60">
      <x:c r="A60" s="30"/>
      <x:c r="B60" s="30"/>
      <x:c r="C60" s="30"/>
      <x:c r="D60" s="30"/>
      <x:c r="E60" s="30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9"/>
      <x:c r="V60" s="39"/>
      <x:c r="W60" s="39"/>
      <x:c r="X60" s="30"/>
      <x:c r="Y60" s="30"/>
      <x:c r="Z60" s="30"/>
      <x:c r="AA60" s="34" t="str">
        <x:f>IF($A60="","",IF(OR($A60&lt;&gt;TRIM($A60),NOT(EXACT($A60,UPPER($A60))),LEN($A60)&gt;64,ISNUMBER(FIND("*",$A60)),ISNUMBER(FIND("?",$A60)),ISNUMBER(FIND("~",$A60))),"ERROR: ID FORMAT",IF(COUNTIF($A$7:$A$106,$A60)&lt;&gt;1,"ERROR: DUPLICATE EXPOSURE ID",IF(COUNTIF('01_INPUT_COMPANIES'!$A$7:$A$106,$A60)&lt;&gt;1,"ERROR: COMPANY ID",IF(OR($B60="",COUNTIF('92_REF_VARIABLES'!$L$21:$L$50,$B60)&lt;&gt;1),"ERROR: CURRENCY",IF(OR(NOT(ISNUMBER($C60)),$C60&lt;&gt;INT($C60),$C60&lt;2000,$C60&gt;2100),"ERROR: PRICE YEAR",IF(OR($D60="",AND($D60&lt;&gt;IFERROR(IF(INDEX('01_INPUT_COMPANIES'!$G$7:$G$106,MATCH($A60,'01_INPUT_COMPANIES'!$A$7:$A$106,0))="","",INDEX('01_INPUT_COMPANIES'!$G$7:$G$106,MATCH($A60,'01_INPUT_COMPANIES'!$A$7:$A$106,0))),""),$D60&lt;&gt;LEFT(IFERROR(IF(INDEX('01_INPUT_COMPANIES'!$G$7:$G$106,MATCH($A60,'01_INPUT_COMPANIES'!$A$7:$A$106,0))="","",INDEX('01_INPUT_COMPANIES'!$G$7:$G$106,MATCH($A60,'01_INPUT_COMPANIES'!$A$7:$A$106,0))),""),4))),"ERROR: EXPOSURE PERIOD",IF(OR(NOT(ISNUMBER($E60)),$E60&lt;=0,$E60&gt;1),"ERROR: PERIOD FRACTION",IF(OR($B60&lt;&gt;IFERROR(IF(INDEX('01_INPUT_COMPANIES'!$I$7:$I$106,MATCH($A60,'01_INPUT_COMPANIES'!$A$7:$A$106,0))="","",INDEX('01_INPUT_COMPANIES'!$I$7:$I$106,MATCH($A60,'01_INPUT_COMPANIES'!$A$7:$A$106,0))),""),$C60&lt;&gt;IFERROR(IF(INDEX('01_INPUT_COMPANIES'!$J$7:$J$106,MATCH($A60,'01_INPUT_COMPANIES'!$A$7:$A$106,0))="","",INDEX('01_INPUT_COMPANIES'!$J$7:$J$106,MATCH($A60,'01_INPUT_COMPANIES'!$A$7:$A$106,0))),"")),"ERROR: COMPANY CURRENCY/YEAR",IF(NOT(OR($Y60="A",$Y60="B",$Y60="C",$Y60="SYNTHETIC")),"ERROR: QUALITY",IF(NOT(AND(OR(COUNTBLANK($F60:$H60)=3,AND(COUNT($F60:$H60)=3,MIN($F60:$H60)&gt;=0,$F60&lt;=$G60,$G60&lt;=$H60)),OR(COUNTBLANK($I60:$K60)=3,AND(COUNT($I60:$K60)=3,MIN($I60:$K60)&gt;=0,$I60&lt;=$J60,$J60&lt;=$K60)),OR(COUNTBLANK($L60:$N60)=3,AND(COUNT($L60:$N60)=3,MIN($L60:$N60)&gt;=0,$L60&lt;=$M60,$M60&lt;=$N60)),OR(COUNTBLANK($O60:$Q60)=3,AND(COUNT($O60:$Q60)=3,MIN($O60:$Q60)&gt;=0,$O60&lt;=$P60,$P60&lt;=$Q60)),OR(COUNTBLANK($R60:$T60)=3,AND(COUNT($R60:$T60)=3,MIN($R60:$T60)&gt;=0,$R60&lt;=$S60,$S60&lt;=$T60)),OR(COUNTBLANK($U60:$W60)=3,AND(COUNT($U60:$W60)=3,MIN($U60:$W60)&gt;=0,$U60&lt;=$V60,$V60&lt;=$W60,MAX($U60:$W60)&lt;=1)))),"ERROR: LOW/BASE/HIGH",IF(NOT(OR(AND(COUNTBLANK($R60:$T60)=3,COUNTBLANK($U60:$W60)=3),AND(COUNT($R60:$T60)=3,COUNT($U60:$W60)=3))),"ERROR: TRANSFER ASSUMPTION",IF(AND(COUNTA($F60:$W60)&gt;0,$X60=""),"ERROR: SOURCE","READY")))))))))))))</x:f>
      </x:c>
    </x:row>
    <x:row r="61">
      <x:c r="A61" s="30"/>
      <x:c r="B61" s="30"/>
      <x:c r="C61" s="30"/>
      <x:c r="D61" s="30"/>
      <x:c r="E61" s="30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9"/>
      <x:c r="V61" s="39"/>
      <x:c r="W61" s="39"/>
      <x:c r="X61" s="30"/>
      <x:c r="Y61" s="30"/>
      <x:c r="Z61" s="30"/>
      <x:c r="AA61" s="34" t="str">
        <x:f>IF($A61="","",IF(OR($A61&lt;&gt;TRIM($A61),NOT(EXACT($A61,UPPER($A61))),LEN($A61)&gt;64,ISNUMBER(FIND("*",$A61)),ISNUMBER(FIND("?",$A61)),ISNUMBER(FIND("~",$A61))),"ERROR: ID FORMAT",IF(COUNTIF($A$7:$A$106,$A61)&lt;&gt;1,"ERROR: DUPLICATE EXPOSURE ID",IF(COUNTIF('01_INPUT_COMPANIES'!$A$7:$A$106,$A61)&lt;&gt;1,"ERROR: COMPANY ID",IF(OR($B61="",COUNTIF('92_REF_VARIABLES'!$L$21:$L$50,$B61)&lt;&gt;1),"ERROR: CURRENCY",IF(OR(NOT(ISNUMBER($C61)),$C61&lt;&gt;INT($C61),$C61&lt;2000,$C61&gt;2100),"ERROR: PRICE YEAR",IF(OR($D61="",AND($D61&lt;&gt;IFERROR(IF(INDEX('01_INPUT_COMPANIES'!$G$7:$G$106,MATCH($A61,'01_INPUT_COMPANIES'!$A$7:$A$106,0))="","",INDEX('01_INPUT_COMPANIES'!$G$7:$G$106,MATCH($A61,'01_INPUT_COMPANIES'!$A$7:$A$106,0))),""),$D61&lt;&gt;LEFT(IFERROR(IF(INDEX('01_INPUT_COMPANIES'!$G$7:$G$106,MATCH($A61,'01_INPUT_COMPANIES'!$A$7:$A$106,0))="","",INDEX('01_INPUT_COMPANIES'!$G$7:$G$106,MATCH($A61,'01_INPUT_COMPANIES'!$A$7:$A$106,0))),""),4))),"ERROR: EXPOSURE PERIOD",IF(OR(NOT(ISNUMBER($E61)),$E61&lt;=0,$E61&gt;1),"ERROR: PERIOD FRACTION",IF(OR($B61&lt;&gt;IFERROR(IF(INDEX('01_INPUT_COMPANIES'!$I$7:$I$106,MATCH($A61,'01_INPUT_COMPANIES'!$A$7:$A$106,0))="","",INDEX('01_INPUT_COMPANIES'!$I$7:$I$106,MATCH($A61,'01_INPUT_COMPANIES'!$A$7:$A$106,0))),""),$C61&lt;&gt;IFERROR(IF(INDEX('01_INPUT_COMPANIES'!$J$7:$J$106,MATCH($A61,'01_INPUT_COMPANIES'!$A$7:$A$106,0))="","",INDEX('01_INPUT_COMPANIES'!$J$7:$J$106,MATCH($A61,'01_INPUT_COMPANIES'!$A$7:$A$106,0))),"")),"ERROR: COMPANY CURRENCY/YEAR",IF(NOT(OR($Y61="A",$Y61="B",$Y61="C",$Y61="SYNTHETIC")),"ERROR: QUALITY",IF(NOT(AND(OR(COUNTBLANK($F61:$H61)=3,AND(COUNT($F61:$H61)=3,MIN($F61:$H61)&gt;=0,$F61&lt;=$G61,$G61&lt;=$H61)),OR(COUNTBLANK($I61:$K61)=3,AND(COUNT($I61:$K61)=3,MIN($I61:$K61)&gt;=0,$I61&lt;=$J61,$J61&lt;=$K61)),OR(COUNTBLANK($L61:$N61)=3,AND(COUNT($L61:$N61)=3,MIN($L61:$N61)&gt;=0,$L61&lt;=$M61,$M61&lt;=$N61)),OR(COUNTBLANK($O61:$Q61)=3,AND(COUNT($O61:$Q61)=3,MIN($O61:$Q61)&gt;=0,$O61&lt;=$P61,$P61&lt;=$Q61)),OR(COUNTBLANK($R61:$T61)=3,AND(COUNT($R61:$T61)=3,MIN($R61:$T61)&gt;=0,$R61&lt;=$S61,$S61&lt;=$T61)),OR(COUNTBLANK($U61:$W61)=3,AND(COUNT($U61:$W61)=3,MIN($U61:$W61)&gt;=0,$U61&lt;=$V61,$V61&lt;=$W61,MAX($U61:$W61)&lt;=1)))),"ERROR: LOW/BASE/HIGH",IF(NOT(OR(AND(COUNTBLANK($R61:$T61)=3,COUNTBLANK($U61:$W61)=3),AND(COUNT($R61:$T61)=3,COUNT($U61:$W61)=3))),"ERROR: TRANSFER ASSUMPTION",IF(AND(COUNTA($F61:$W61)&gt;0,$X61=""),"ERROR: SOURCE","READY")))))))))))))</x:f>
      </x:c>
    </x:row>
    <x:row r="62">
      <x:c r="A62" s="30"/>
      <x:c r="B62" s="30"/>
      <x:c r="C62" s="30"/>
      <x:c r="D62" s="30"/>
      <x:c r="E62" s="30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9"/>
      <x:c r="V62" s="39"/>
      <x:c r="W62" s="39"/>
      <x:c r="X62" s="30"/>
      <x:c r="Y62" s="30"/>
      <x:c r="Z62" s="30"/>
      <x:c r="AA62" s="34" t="str">
        <x:f>IF($A62="","",IF(OR($A62&lt;&gt;TRIM($A62),NOT(EXACT($A62,UPPER($A62))),LEN($A62)&gt;64,ISNUMBER(FIND("*",$A62)),ISNUMBER(FIND("?",$A62)),ISNUMBER(FIND("~",$A62))),"ERROR: ID FORMAT",IF(COUNTIF($A$7:$A$106,$A62)&lt;&gt;1,"ERROR: DUPLICATE EXPOSURE ID",IF(COUNTIF('01_INPUT_COMPANIES'!$A$7:$A$106,$A62)&lt;&gt;1,"ERROR: COMPANY ID",IF(OR($B62="",COUNTIF('92_REF_VARIABLES'!$L$21:$L$50,$B62)&lt;&gt;1),"ERROR: CURRENCY",IF(OR(NOT(ISNUMBER($C62)),$C62&lt;&gt;INT($C62),$C62&lt;2000,$C62&gt;2100),"ERROR: PRICE YEAR",IF(OR($D62="",AND($D62&lt;&gt;IFERROR(IF(INDEX('01_INPUT_COMPANIES'!$G$7:$G$106,MATCH($A62,'01_INPUT_COMPANIES'!$A$7:$A$106,0))="","",INDEX('01_INPUT_COMPANIES'!$G$7:$G$106,MATCH($A62,'01_INPUT_COMPANIES'!$A$7:$A$106,0))),""),$D62&lt;&gt;LEFT(IFERROR(IF(INDEX('01_INPUT_COMPANIES'!$G$7:$G$106,MATCH($A62,'01_INPUT_COMPANIES'!$A$7:$A$106,0))="","",INDEX('01_INPUT_COMPANIES'!$G$7:$G$106,MATCH($A62,'01_INPUT_COMPANIES'!$A$7:$A$106,0))),""),4))),"ERROR: EXPOSURE PERIOD",IF(OR(NOT(ISNUMBER($E62)),$E62&lt;=0,$E62&gt;1),"ERROR: PERIOD FRACTION",IF(OR($B62&lt;&gt;IFERROR(IF(INDEX('01_INPUT_COMPANIES'!$I$7:$I$106,MATCH($A62,'01_INPUT_COMPANIES'!$A$7:$A$106,0))="","",INDEX('01_INPUT_COMPANIES'!$I$7:$I$106,MATCH($A62,'01_INPUT_COMPANIES'!$A$7:$A$106,0))),""),$C62&lt;&gt;IFERROR(IF(INDEX('01_INPUT_COMPANIES'!$J$7:$J$106,MATCH($A62,'01_INPUT_COMPANIES'!$A$7:$A$106,0))="","",INDEX('01_INPUT_COMPANIES'!$J$7:$J$106,MATCH($A62,'01_INPUT_COMPANIES'!$A$7:$A$106,0))),"")),"ERROR: COMPANY CURRENCY/YEAR",IF(NOT(OR($Y62="A",$Y62="B",$Y62="C",$Y62="SYNTHETIC")),"ERROR: QUALITY",IF(NOT(AND(OR(COUNTBLANK($F62:$H62)=3,AND(COUNT($F62:$H62)=3,MIN($F62:$H62)&gt;=0,$F62&lt;=$G62,$G62&lt;=$H62)),OR(COUNTBLANK($I62:$K62)=3,AND(COUNT($I62:$K62)=3,MIN($I62:$K62)&gt;=0,$I62&lt;=$J62,$J62&lt;=$K62)),OR(COUNTBLANK($L62:$N62)=3,AND(COUNT($L62:$N62)=3,MIN($L62:$N62)&gt;=0,$L62&lt;=$M62,$M62&lt;=$N62)),OR(COUNTBLANK($O62:$Q62)=3,AND(COUNT($O62:$Q62)=3,MIN($O62:$Q62)&gt;=0,$O62&lt;=$P62,$P62&lt;=$Q62)),OR(COUNTBLANK($R62:$T62)=3,AND(COUNT($R62:$T62)=3,MIN($R62:$T62)&gt;=0,$R62&lt;=$S62,$S62&lt;=$T62)),OR(COUNTBLANK($U62:$W62)=3,AND(COUNT($U62:$W62)=3,MIN($U62:$W62)&gt;=0,$U62&lt;=$V62,$V62&lt;=$W62,MAX($U62:$W62)&lt;=1)))),"ERROR: LOW/BASE/HIGH",IF(NOT(OR(AND(COUNTBLANK($R62:$T62)=3,COUNTBLANK($U62:$W62)=3),AND(COUNT($R62:$T62)=3,COUNT($U62:$W62)=3))),"ERROR: TRANSFER ASSUMPTION",IF(AND(COUNTA($F62:$W62)&gt;0,$X62=""),"ERROR: SOURCE","READY")))))))))))))</x:f>
      </x:c>
    </x:row>
    <x:row r="63">
      <x:c r="A63" s="30"/>
      <x:c r="B63" s="30"/>
      <x:c r="C63" s="30"/>
      <x:c r="D63" s="30"/>
      <x:c r="E63" s="30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9"/>
      <x:c r="V63" s="39"/>
      <x:c r="W63" s="39"/>
      <x:c r="X63" s="30"/>
      <x:c r="Y63" s="30"/>
      <x:c r="Z63" s="30"/>
      <x:c r="AA63" s="34" t="str">
        <x:f>IF($A63="","",IF(OR($A63&lt;&gt;TRIM($A63),NOT(EXACT($A63,UPPER($A63))),LEN($A63)&gt;64,ISNUMBER(FIND("*",$A63)),ISNUMBER(FIND("?",$A63)),ISNUMBER(FIND("~",$A63))),"ERROR: ID FORMAT",IF(COUNTIF($A$7:$A$106,$A63)&lt;&gt;1,"ERROR: DUPLICATE EXPOSURE ID",IF(COUNTIF('01_INPUT_COMPANIES'!$A$7:$A$106,$A63)&lt;&gt;1,"ERROR: COMPANY ID",IF(OR($B63="",COUNTIF('92_REF_VARIABLES'!$L$21:$L$50,$B63)&lt;&gt;1),"ERROR: CURRENCY",IF(OR(NOT(ISNUMBER($C63)),$C63&lt;&gt;INT($C63),$C63&lt;2000,$C63&gt;2100),"ERROR: PRICE YEAR",IF(OR($D63="",AND($D63&lt;&gt;IFERROR(IF(INDEX('01_INPUT_COMPANIES'!$G$7:$G$106,MATCH($A63,'01_INPUT_COMPANIES'!$A$7:$A$106,0))="","",INDEX('01_INPUT_COMPANIES'!$G$7:$G$106,MATCH($A63,'01_INPUT_COMPANIES'!$A$7:$A$106,0))),""),$D63&lt;&gt;LEFT(IFERROR(IF(INDEX('01_INPUT_COMPANIES'!$G$7:$G$106,MATCH($A63,'01_INPUT_COMPANIES'!$A$7:$A$106,0))="","",INDEX('01_INPUT_COMPANIES'!$G$7:$G$106,MATCH($A63,'01_INPUT_COMPANIES'!$A$7:$A$106,0))),""),4))),"ERROR: EXPOSURE PERIOD",IF(OR(NOT(ISNUMBER($E63)),$E63&lt;=0,$E63&gt;1),"ERROR: PERIOD FRACTION",IF(OR($B63&lt;&gt;IFERROR(IF(INDEX('01_INPUT_COMPANIES'!$I$7:$I$106,MATCH($A63,'01_INPUT_COMPANIES'!$A$7:$A$106,0))="","",INDEX('01_INPUT_COMPANIES'!$I$7:$I$106,MATCH($A63,'01_INPUT_COMPANIES'!$A$7:$A$106,0))),""),$C63&lt;&gt;IFERROR(IF(INDEX('01_INPUT_COMPANIES'!$J$7:$J$106,MATCH($A63,'01_INPUT_COMPANIES'!$A$7:$A$106,0))="","",INDEX('01_INPUT_COMPANIES'!$J$7:$J$106,MATCH($A63,'01_INPUT_COMPANIES'!$A$7:$A$106,0))),"")),"ERROR: COMPANY CURRENCY/YEAR",IF(NOT(OR($Y63="A",$Y63="B",$Y63="C",$Y63="SYNTHETIC")),"ERROR: QUALITY",IF(NOT(AND(OR(COUNTBLANK($F63:$H63)=3,AND(COUNT($F63:$H63)=3,MIN($F63:$H63)&gt;=0,$F63&lt;=$G63,$G63&lt;=$H63)),OR(COUNTBLANK($I63:$K63)=3,AND(COUNT($I63:$K63)=3,MIN($I63:$K63)&gt;=0,$I63&lt;=$J63,$J63&lt;=$K63)),OR(COUNTBLANK($L63:$N63)=3,AND(COUNT($L63:$N63)=3,MIN($L63:$N63)&gt;=0,$L63&lt;=$M63,$M63&lt;=$N63)),OR(COUNTBLANK($O63:$Q63)=3,AND(COUNT($O63:$Q63)=3,MIN($O63:$Q63)&gt;=0,$O63&lt;=$P63,$P63&lt;=$Q63)),OR(COUNTBLANK($R63:$T63)=3,AND(COUNT($R63:$T63)=3,MIN($R63:$T63)&gt;=0,$R63&lt;=$S63,$S63&lt;=$T63)),OR(COUNTBLANK($U63:$W63)=3,AND(COUNT($U63:$W63)=3,MIN($U63:$W63)&gt;=0,$U63&lt;=$V63,$V63&lt;=$W63,MAX($U63:$W63)&lt;=1)))),"ERROR: LOW/BASE/HIGH",IF(NOT(OR(AND(COUNTBLANK($R63:$T63)=3,COUNTBLANK($U63:$W63)=3),AND(COUNT($R63:$T63)=3,COUNT($U63:$W63)=3))),"ERROR: TRANSFER ASSUMPTION",IF(AND(COUNTA($F63:$W63)&gt;0,$X63=""),"ERROR: SOURCE","READY")))))))))))))</x:f>
      </x:c>
    </x:row>
    <x:row r="64">
      <x:c r="A64" s="30"/>
      <x:c r="B64" s="30"/>
      <x:c r="C64" s="30"/>
      <x:c r="D64" s="30"/>
      <x:c r="E64" s="30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9"/>
      <x:c r="V64" s="39"/>
      <x:c r="W64" s="39"/>
      <x:c r="X64" s="30"/>
      <x:c r="Y64" s="30"/>
      <x:c r="Z64" s="30"/>
      <x:c r="AA64" s="34" t="str">
        <x:f>IF($A64="","",IF(OR($A64&lt;&gt;TRIM($A64),NOT(EXACT($A64,UPPER($A64))),LEN($A64)&gt;64,ISNUMBER(FIND("*",$A64)),ISNUMBER(FIND("?",$A64)),ISNUMBER(FIND("~",$A64))),"ERROR: ID FORMAT",IF(COUNTIF($A$7:$A$106,$A64)&lt;&gt;1,"ERROR: DUPLICATE EXPOSURE ID",IF(COUNTIF('01_INPUT_COMPANIES'!$A$7:$A$106,$A64)&lt;&gt;1,"ERROR: COMPANY ID",IF(OR($B64="",COUNTIF('92_REF_VARIABLES'!$L$21:$L$50,$B64)&lt;&gt;1),"ERROR: CURRENCY",IF(OR(NOT(ISNUMBER($C64)),$C64&lt;&gt;INT($C64),$C64&lt;2000,$C64&gt;2100),"ERROR: PRICE YEAR",IF(OR($D64="",AND($D64&lt;&gt;IFERROR(IF(INDEX('01_INPUT_COMPANIES'!$G$7:$G$106,MATCH($A64,'01_INPUT_COMPANIES'!$A$7:$A$106,0))="","",INDEX('01_INPUT_COMPANIES'!$G$7:$G$106,MATCH($A64,'01_INPUT_COMPANIES'!$A$7:$A$106,0))),""),$D64&lt;&gt;LEFT(IFERROR(IF(INDEX('01_INPUT_COMPANIES'!$G$7:$G$106,MATCH($A64,'01_INPUT_COMPANIES'!$A$7:$A$106,0))="","",INDEX('01_INPUT_COMPANIES'!$G$7:$G$106,MATCH($A64,'01_INPUT_COMPANIES'!$A$7:$A$106,0))),""),4))),"ERROR: EXPOSURE PERIOD",IF(OR(NOT(ISNUMBER($E64)),$E64&lt;=0,$E64&gt;1),"ERROR: PERIOD FRACTION",IF(OR($B64&lt;&gt;IFERROR(IF(INDEX('01_INPUT_COMPANIES'!$I$7:$I$106,MATCH($A64,'01_INPUT_COMPANIES'!$A$7:$A$106,0))="","",INDEX('01_INPUT_COMPANIES'!$I$7:$I$106,MATCH($A64,'01_INPUT_COMPANIES'!$A$7:$A$106,0))),""),$C64&lt;&gt;IFERROR(IF(INDEX('01_INPUT_COMPANIES'!$J$7:$J$106,MATCH($A64,'01_INPUT_COMPANIES'!$A$7:$A$106,0))="","",INDEX('01_INPUT_COMPANIES'!$J$7:$J$106,MATCH($A64,'01_INPUT_COMPANIES'!$A$7:$A$106,0))),"")),"ERROR: COMPANY CURRENCY/YEAR",IF(NOT(OR($Y64="A",$Y64="B",$Y64="C",$Y64="SYNTHETIC")),"ERROR: QUALITY",IF(NOT(AND(OR(COUNTBLANK($F64:$H64)=3,AND(COUNT($F64:$H64)=3,MIN($F64:$H64)&gt;=0,$F64&lt;=$G64,$G64&lt;=$H64)),OR(COUNTBLANK($I64:$K64)=3,AND(COUNT($I64:$K64)=3,MIN($I64:$K64)&gt;=0,$I64&lt;=$J64,$J64&lt;=$K64)),OR(COUNTBLANK($L64:$N64)=3,AND(COUNT($L64:$N64)=3,MIN($L64:$N64)&gt;=0,$L64&lt;=$M64,$M64&lt;=$N64)),OR(COUNTBLANK($O64:$Q64)=3,AND(COUNT($O64:$Q64)=3,MIN($O64:$Q64)&gt;=0,$O64&lt;=$P64,$P64&lt;=$Q64)),OR(COUNTBLANK($R64:$T64)=3,AND(COUNT($R64:$T64)=3,MIN($R64:$T64)&gt;=0,$R64&lt;=$S64,$S64&lt;=$T64)),OR(COUNTBLANK($U64:$W64)=3,AND(COUNT($U64:$W64)=3,MIN($U64:$W64)&gt;=0,$U64&lt;=$V64,$V64&lt;=$W64,MAX($U64:$W64)&lt;=1)))),"ERROR: LOW/BASE/HIGH",IF(NOT(OR(AND(COUNTBLANK($R64:$T64)=3,COUNTBLANK($U64:$W64)=3),AND(COUNT($R64:$T64)=3,COUNT($U64:$W64)=3))),"ERROR: TRANSFER ASSUMPTION",IF(AND(COUNTA($F64:$W64)&gt;0,$X64=""),"ERROR: SOURCE","READY")))))))))))))</x:f>
      </x:c>
    </x:row>
    <x:row r="65">
      <x:c r="A65" s="30"/>
      <x:c r="B65" s="30"/>
      <x:c r="C65" s="30"/>
      <x:c r="D65" s="30"/>
      <x:c r="E65" s="30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9"/>
      <x:c r="V65" s="39"/>
      <x:c r="W65" s="39"/>
      <x:c r="X65" s="30"/>
      <x:c r="Y65" s="30"/>
      <x:c r="Z65" s="30"/>
      <x:c r="AA65" s="34" t="str">
        <x:f>IF($A65="","",IF(OR($A65&lt;&gt;TRIM($A65),NOT(EXACT($A65,UPPER($A65))),LEN($A65)&gt;64,ISNUMBER(FIND("*",$A65)),ISNUMBER(FIND("?",$A65)),ISNUMBER(FIND("~",$A65))),"ERROR: ID FORMAT",IF(COUNTIF($A$7:$A$106,$A65)&lt;&gt;1,"ERROR: DUPLICATE EXPOSURE ID",IF(COUNTIF('01_INPUT_COMPANIES'!$A$7:$A$106,$A65)&lt;&gt;1,"ERROR: COMPANY ID",IF(OR($B65="",COUNTIF('92_REF_VARIABLES'!$L$21:$L$50,$B65)&lt;&gt;1),"ERROR: CURRENCY",IF(OR(NOT(ISNUMBER($C65)),$C65&lt;&gt;INT($C65),$C65&lt;2000,$C65&gt;2100),"ERROR: PRICE YEAR",IF(OR($D65="",AND($D65&lt;&gt;IFERROR(IF(INDEX('01_INPUT_COMPANIES'!$G$7:$G$106,MATCH($A65,'01_INPUT_COMPANIES'!$A$7:$A$106,0))="","",INDEX('01_INPUT_COMPANIES'!$G$7:$G$106,MATCH($A65,'01_INPUT_COMPANIES'!$A$7:$A$106,0))),""),$D65&lt;&gt;LEFT(IFERROR(IF(INDEX('01_INPUT_COMPANIES'!$G$7:$G$106,MATCH($A65,'01_INPUT_COMPANIES'!$A$7:$A$106,0))="","",INDEX('01_INPUT_COMPANIES'!$G$7:$G$106,MATCH($A65,'01_INPUT_COMPANIES'!$A$7:$A$106,0))),""),4))),"ERROR: EXPOSURE PERIOD",IF(OR(NOT(ISNUMBER($E65)),$E65&lt;=0,$E65&gt;1),"ERROR: PERIOD FRACTION",IF(OR($B65&lt;&gt;IFERROR(IF(INDEX('01_INPUT_COMPANIES'!$I$7:$I$106,MATCH($A65,'01_INPUT_COMPANIES'!$A$7:$A$106,0))="","",INDEX('01_INPUT_COMPANIES'!$I$7:$I$106,MATCH($A65,'01_INPUT_COMPANIES'!$A$7:$A$106,0))),""),$C65&lt;&gt;IFERROR(IF(INDEX('01_INPUT_COMPANIES'!$J$7:$J$106,MATCH($A65,'01_INPUT_COMPANIES'!$A$7:$A$106,0))="","",INDEX('01_INPUT_COMPANIES'!$J$7:$J$106,MATCH($A65,'01_INPUT_COMPANIES'!$A$7:$A$106,0))),"")),"ERROR: COMPANY CURRENCY/YEAR",IF(NOT(OR($Y65="A",$Y65="B",$Y65="C",$Y65="SYNTHETIC")),"ERROR: QUALITY",IF(NOT(AND(OR(COUNTBLANK($F65:$H65)=3,AND(COUNT($F65:$H65)=3,MIN($F65:$H65)&gt;=0,$F65&lt;=$G65,$G65&lt;=$H65)),OR(COUNTBLANK($I65:$K65)=3,AND(COUNT($I65:$K65)=3,MIN($I65:$K65)&gt;=0,$I65&lt;=$J65,$J65&lt;=$K65)),OR(COUNTBLANK($L65:$N65)=3,AND(COUNT($L65:$N65)=3,MIN($L65:$N65)&gt;=0,$L65&lt;=$M65,$M65&lt;=$N65)),OR(COUNTBLANK($O65:$Q65)=3,AND(COUNT($O65:$Q65)=3,MIN($O65:$Q65)&gt;=0,$O65&lt;=$P65,$P65&lt;=$Q65)),OR(COUNTBLANK($R65:$T65)=3,AND(COUNT($R65:$T65)=3,MIN($R65:$T65)&gt;=0,$R65&lt;=$S65,$S65&lt;=$T65)),OR(COUNTBLANK($U65:$W65)=3,AND(COUNT($U65:$W65)=3,MIN($U65:$W65)&gt;=0,$U65&lt;=$V65,$V65&lt;=$W65,MAX($U65:$W65)&lt;=1)))),"ERROR: LOW/BASE/HIGH",IF(NOT(OR(AND(COUNTBLANK($R65:$T65)=3,COUNTBLANK($U65:$W65)=3),AND(COUNT($R65:$T65)=3,COUNT($U65:$W65)=3))),"ERROR: TRANSFER ASSUMPTION",IF(AND(COUNTA($F65:$W65)&gt;0,$X65=""),"ERROR: SOURCE","READY")))))))))))))</x:f>
      </x:c>
    </x:row>
    <x:row r="66">
      <x:c r="A66" s="30"/>
      <x:c r="B66" s="30"/>
      <x:c r="C66" s="30"/>
      <x:c r="D66" s="30"/>
      <x:c r="E66" s="30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9"/>
      <x:c r="V66" s="39"/>
      <x:c r="W66" s="39"/>
      <x:c r="X66" s="30"/>
      <x:c r="Y66" s="30"/>
      <x:c r="Z66" s="30"/>
      <x:c r="AA66" s="34" t="str">
        <x:f>IF($A66="","",IF(OR($A66&lt;&gt;TRIM($A66),NOT(EXACT($A66,UPPER($A66))),LEN($A66)&gt;64,ISNUMBER(FIND("*",$A66)),ISNUMBER(FIND("?",$A66)),ISNUMBER(FIND("~",$A66))),"ERROR: ID FORMAT",IF(COUNTIF($A$7:$A$106,$A66)&lt;&gt;1,"ERROR: DUPLICATE EXPOSURE ID",IF(COUNTIF('01_INPUT_COMPANIES'!$A$7:$A$106,$A66)&lt;&gt;1,"ERROR: COMPANY ID",IF(OR($B66="",COUNTIF('92_REF_VARIABLES'!$L$21:$L$50,$B66)&lt;&gt;1),"ERROR: CURRENCY",IF(OR(NOT(ISNUMBER($C66)),$C66&lt;&gt;INT($C66),$C66&lt;2000,$C66&gt;2100),"ERROR: PRICE YEAR",IF(OR($D66="",AND($D66&lt;&gt;IFERROR(IF(INDEX('01_INPUT_COMPANIES'!$G$7:$G$106,MATCH($A66,'01_INPUT_COMPANIES'!$A$7:$A$106,0))="","",INDEX('01_INPUT_COMPANIES'!$G$7:$G$106,MATCH($A66,'01_INPUT_COMPANIES'!$A$7:$A$106,0))),""),$D66&lt;&gt;LEFT(IFERROR(IF(INDEX('01_INPUT_COMPANIES'!$G$7:$G$106,MATCH($A66,'01_INPUT_COMPANIES'!$A$7:$A$106,0))="","",INDEX('01_INPUT_COMPANIES'!$G$7:$G$106,MATCH($A66,'01_INPUT_COMPANIES'!$A$7:$A$106,0))),""),4))),"ERROR: EXPOSURE PERIOD",IF(OR(NOT(ISNUMBER($E66)),$E66&lt;=0,$E66&gt;1),"ERROR: PERIOD FRACTION",IF(OR($B66&lt;&gt;IFERROR(IF(INDEX('01_INPUT_COMPANIES'!$I$7:$I$106,MATCH($A66,'01_INPUT_COMPANIES'!$A$7:$A$106,0))="","",INDEX('01_INPUT_COMPANIES'!$I$7:$I$106,MATCH($A66,'01_INPUT_COMPANIES'!$A$7:$A$106,0))),""),$C66&lt;&gt;IFERROR(IF(INDEX('01_INPUT_COMPANIES'!$J$7:$J$106,MATCH($A66,'01_INPUT_COMPANIES'!$A$7:$A$106,0))="","",INDEX('01_INPUT_COMPANIES'!$J$7:$J$106,MATCH($A66,'01_INPUT_COMPANIES'!$A$7:$A$106,0))),"")),"ERROR: COMPANY CURRENCY/YEAR",IF(NOT(OR($Y66="A",$Y66="B",$Y66="C",$Y66="SYNTHETIC")),"ERROR: QUALITY",IF(NOT(AND(OR(COUNTBLANK($F66:$H66)=3,AND(COUNT($F66:$H66)=3,MIN($F66:$H66)&gt;=0,$F66&lt;=$G66,$G66&lt;=$H66)),OR(COUNTBLANK($I66:$K66)=3,AND(COUNT($I66:$K66)=3,MIN($I66:$K66)&gt;=0,$I66&lt;=$J66,$J66&lt;=$K66)),OR(COUNTBLANK($L66:$N66)=3,AND(COUNT($L66:$N66)=3,MIN($L66:$N66)&gt;=0,$L66&lt;=$M66,$M66&lt;=$N66)),OR(COUNTBLANK($O66:$Q66)=3,AND(COUNT($O66:$Q66)=3,MIN($O66:$Q66)&gt;=0,$O66&lt;=$P66,$P66&lt;=$Q66)),OR(COUNTBLANK($R66:$T66)=3,AND(COUNT($R66:$T66)=3,MIN($R66:$T66)&gt;=0,$R66&lt;=$S66,$S66&lt;=$T66)),OR(COUNTBLANK($U66:$W66)=3,AND(COUNT($U66:$W66)=3,MIN($U66:$W66)&gt;=0,$U66&lt;=$V66,$V66&lt;=$W66,MAX($U66:$W66)&lt;=1)))),"ERROR: LOW/BASE/HIGH",IF(NOT(OR(AND(COUNTBLANK($R66:$T66)=3,COUNTBLANK($U66:$W66)=3),AND(COUNT($R66:$T66)=3,COUNT($U66:$W66)=3))),"ERROR: TRANSFER ASSUMPTION",IF(AND(COUNTA($F66:$W66)&gt;0,$X66=""),"ERROR: SOURCE","READY")))))))))))))</x:f>
      </x:c>
    </x:row>
    <x:row r="67">
      <x:c r="A67" s="30"/>
      <x:c r="B67" s="30"/>
      <x:c r="C67" s="30"/>
      <x:c r="D67" s="30"/>
      <x:c r="E67" s="30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9"/>
      <x:c r="V67" s="39"/>
      <x:c r="W67" s="39"/>
      <x:c r="X67" s="30"/>
      <x:c r="Y67" s="30"/>
      <x:c r="Z67" s="30"/>
      <x:c r="AA67" s="34" t="str">
        <x:f>IF($A67="","",IF(OR($A67&lt;&gt;TRIM($A67),NOT(EXACT($A67,UPPER($A67))),LEN($A67)&gt;64,ISNUMBER(FIND("*",$A67)),ISNUMBER(FIND("?",$A67)),ISNUMBER(FIND("~",$A67))),"ERROR: ID FORMAT",IF(COUNTIF($A$7:$A$106,$A67)&lt;&gt;1,"ERROR: DUPLICATE EXPOSURE ID",IF(COUNTIF('01_INPUT_COMPANIES'!$A$7:$A$106,$A67)&lt;&gt;1,"ERROR: COMPANY ID",IF(OR($B67="",COUNTIF('92_REF_VARIABLES'!$L$21:$L$50,$B67)&lt;&gt;1),"ERROR: CURRENCY",IF(OR(NOT(ISNUMBER($C67)),$C67&lt;&gt;INT($C67),$C67&lt;2000,$C67&gt;2100),"ERROR: PRICE YEAR",IF(OR($D67="",AND($D67&lt;&gt;IFERROR(IF(INDEX('01_INPUT_COMPANIES'!$G$7:$G$106,MATCH($A67,'01_INPUT_COMPANIES'!$A$7:$A$106,0))="","",INDEX('01_INPUT_COMPANIES'!$G$7:$G$106,MATCH($A67,'01_INPUT_COMPANIES'!$A$7:$A$106,0))),""),$D67&lt;&gt;LEFT(IFERROR(IF(INDEX('01_INPUT_COMPANIES'!$G$7:$G$106,MATCH($A67,'01_INPUT_COMPANIES'!$A$7:$A$106,0))="","",INDEX('01_INPUT_COMPANIES'!$G$7:$G$106,MATCH($A67,'01_INPUT_COMPANIES'!$A$7:$A$106,0))),""),4))),"ERROR: EXPOSURE PERIOD",IF(OR(NOT(ISNUMBER($E67)),$E67&lt;=0,$E67&gt;1),"ERROR: PERIOD FRACTION",IF(OR($B67&lt;&gt;IFERROR(IF(INDEX('01_INPUT_COMPANIES'!$I$7:$I$106,MATCH($A67,'01_INPUT_COMPANIES'!$A$7:$A$106,0))="","",INDEX('01_INPUT_COMPANIES'!$I$7:$I$106,MATCH($A67,'01_INPUT_COMPANIES'!$A$7:$A$106,0))),""),$C67&lt;&gt;IFERROR(IF(INDEX('01_INPUT_COMPANIES'!$J$7:$J$106,MATCH($A67,'01_INPUT_COMPANIES'!$A$7:$A$106,0))="","",INDEX('01_INPUT_COMPANIES'!$J$7:$J$106,MATCH($A67,'01_INPUT_COMPANIES'!$A$7:$A$106,0))),"")),"ERROR: COMPANY CURRENCY/YEAR",IF(NOT(OR($Y67="A",$Y67="B",$Y67="C",$Y67="SYNTHETIC")),"ERROR: QUALITY",IF(NOT(AND(OR(COUNTBLANK($F67:$H67)=3,AND(COUNT($F67:$H67)=3,MIN($F67:$H67)&gt;=0,$F67&lt;=$G67,$G67&lt;=$H67)),OR(COUNTBLANK($I67:$K67)=3,AND(COUNT($I67:$K67)=3,MIN($I67:$K67)&gt;=0,$I67&lt;=$J67,$J67&lt;=$K67)),OR(COUNTBLANK($L67:$N67)=3,AND(COUNT($L67:$N67)=3,MIN($L67:$N67)&gt;=0,$L67&lt;=$M67,$M67&lt;=$N67)),OR(COUNTBLANK($O67:$Q67)=3,AND(COUNT($O67:$Q67)=3,MIN($O67:$Q67)&gt;=0,$O67&lt;=$P67,$P67&lt;=$Q67)),OR(COUNTBLANK($R67:$T67)=3,AND(COUNT($R67:$T67)=3,MIN($R67:$T67)&gt;=0,$R67&lt;=$S67,$S67&lt;=$T67)),OR(COUNTBLANK($U67:$W67)=3,AND(COUNT($U67:$W67)=3,MIN($U67:$W67)&gt;=0,$U67&lt;=$V67,$V67&lt;=$W67,MAX($U67:$W67)&lt;=1)))),"ERROR: LOW/BASE/HIGH",IF(NOT(OR(AND(COUNTBLANK($R67:$T67)=3,COUNTBLANK($U67:$W67)=3),AND(COUNT($R67:$T67)=3,COUNT($U67:$W67)=3))),"ERROR: TRANSFER ASSUMPTION",IF(AND(COUNTA($F67:$W67)&gt;0,$X67=""),"ERROR: SOURCE","READY")))))))))))))</x:f>
      </x:c>
    </x:row>
    <x:row r="68">
      <x:c r="A68" s="30"/>
      <x:c r="B68" s="30"/>
      <x:c r="C68" s="30"/>
      <x:c r="D68" s="30"/>
      <x:c r="E68" s="30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9"/>
      <x:c r="V68" s="39"/>
      <x:c r="W68" s="39"/>
      <x:c r="X68" s="30"/>
      <x:c r="Y68" s="30"/>
      <x:c r="Z68" s="30"/>
      <x:c r="AA68" s="34" t="str">
        <x:f>IF($A68="","",IF(OR($A68&lt;&gt;TRIM($A68),NOT(EXACT($A68,UPPER($A68))),LEN($A68)&gt;64,ISNUMBER(FIND("*",$A68)),ISNUMBER(FIND("?",$A68)),ISNUMBER(FIND("~",$A68))),"ERROR: ID FORMAT",IF(COUNTIF($A$7:$A$106,$A68)&lt;&gt;1,"ERROR: DUPLICATE EXPOSURE ID",IF(COUNTIF('01_INPUT_COMPANIES'!$A$7:$A$106,$A68)&lt;&gt;1,"ERROR: COMPANY ID",IF(OR($B68="",COUNTIF('92_REF_VARIABLES'!$L$21:$L$50,$B68)&lt;&gt;1),"ERROR: CURRENCY",IF(OR(NOT(ISNUMBER($C68)),$C68&lt;&gt;INT($C68),$C68&lt;2000,$C68&gt;2100),"ERROR: PRICE YEAR",IF(OR($D68="",AND($D68&lt;&gt;IFERROR(IF(INDEX('01_INPUT_COMPANIES'!$G$7:$G$106,MATCH($A68,'01_INPUT_COMPANIES'!$A$7:$A$106,0))="","",INDEX('01_INPUT_COMPANIES'!$G$7:$G$106,MATCH($A68,'01_INPUT_COMPANIES'!$A$7:$A$106,0))),""),$D68&lt;&gt;LEFT(IFERROR(IF(INDEX('01_INPUT_COMPANIES'!$G$7:$G$106,MATCH($A68,'01_INPUT_COMPANIES'!$A$7:$A$106,0))="","",INDEX('01_INPUT_COMPANIES'!$G$7:$G$106,MATCH($A68,'01_INPUT_COMPANIES'!$A$7:$A$106,0))),""),4))),"ERROR: EXPOSURE PERIOD",IF(OR(NOT(ISNUMBER($E68)),$E68&lt;=0,$E68&gt;1),"ERROR: PERIOD FRACTION",IF(OR($B68&lt;&gt;IFERROR(IF(INDEX('01_INPUT_COMPANIES'!$I$7:$I$106,MATCH($A68,'01_INPUT_COMPANIES'!$A$7:$A$106,0))="","",INDEX('01_INPUT_COMPANIES'!$I$7:$I$106,MATCH($A68,'01_INPUT_COMPANIES'!$A$7:$A$106,0))),""),$C68&lt;&gt;IFERROR(IF(INDEX('01_INPUT_COMPANIES'!$J$7:$J$106,MATCH($A68,'01_INPUT_COMPANIES'!$A$7:$A$106,0))="","",INDEX('01_INPUT_COMPANIES'!$J$7:$J$106,MATCH($A68,'01_INPUT_COMPANIES'!$A$7:$A$106,0))),"")),"ERROR: COMPANY CURRENCY/YEAR",IF(NOT(OR($Y68="A",$Y68="B",$Y68="C",$Y68="SYNTHETIC")),"ERROR: QUALITY",IF(NOT(AND(OR(COUNTBLANK($F68:$H68)=3,AND(COUNT($F68:$H68)=3,MIN($F68:$H68)&gt;=0,$F68&lt;=$G68,$G68&lt;=$H68)),OR(COUNTBLANK($I68:$K68)=3,AND(COUNT($I68:$K68)=3,MIN($I68:$K68)&gt;=0,$I68&lt;=$J68,$J68&lt;=$K68)),OR(COUNTBLANK($L68:$N68)=3,AND(COUNT($L68:$N68)=3,MIN($L68:$N68)&gt;=0,$L68&lt;=$M68,$M68&lt;=$N68)),OR(COUNTBLANK($O68:$Q68)=3,AND(COUNT($O68:$Q68)=3,MIN($O68:$Q68)&gt;=0,$O68&lt;=$P68,$P68&lt;=$Q68)),OR(COUNTBLANK($R68:$T68)=3,AND(COUNT($R68:$T68)=3,MIN($R68:$T68)&gt;=0,$R68&lt;=$S68,$S68&lt;=$T68)),OR(COUNTBLANK($U68:$W68)=3,AND(COUNT($U68:$W68)=3,MIN($U68:$W68)&gt;=0,$U68&lt;=$V68,$V68&lt;=$W68,MAX($U68:$W68)&lt;=1)))),"ERROR: LOW/BASE/HIGH",IF(NOT(OR(AND(COUNTBLANK($R68:$T68)=3,COUNTBLANK($U68:$W68)=3),AND(COUNT($R68:$T68)=3,COUNT($U68:$W68)=3))),"ERROR: TRANSFER ASSUMPTION",IF(AND(COUNTA($F68:$W68)&gt;0,$X68=""),"ERROR: SOURCE","READY")))))))))))))</x:f>
      </x:c>
    </x:row>
    <x:row r="69">
      <x:c r="A69" s="30"/>
      <x:c r="B69" s="30"/>
      <x:c r="C69" s="30"/>
      <x:c r="D69" s="30"/>
      <x:c r="E69" s="30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9"/>
      <x:c r="V69" s="39"/>
      <x:c r="W69" s="39"/>
      <x:c r="X69" s="30"/>
      <x:c r="Y69" s="30"/>
      <x:c r="Z69" s="30"/>
      <x:c r="AA69" s="34" t="str">
        <x:f>IF($A69="","",IF(OR($A69&lt;&gt;TRIM($A69),NOT(EXACT($A69,UPPER($A69))),LEN($A69)&gt;64,ISNUMBER(FIND("*",$A69)),ISNUMBER(FIND("?",$A69)),ISNUMBER(FIND("~",$A69))),"ERROR: ID FORMAT",IF(COUNTIF($A$7:$A$106,$A69)&lt;&gt;1,"ERROR: DUPLICATE EXPOSURE ID",IF(COUNTIF('01_INPUT_COMPANIES'!$A$7:$A$106,$A69)&lt;&gt;1,"ERROR: COMPANY ID",IF(OR($B69="",COUNTIF('92_REF_VARIABLES'!$L$21:$L$50,$B69)&lt;&gt;1),"ERROR: CURRENCY",IF(OR(NOT(ISNUMBER($C69)),$C69&lt;&gt;INT($C69),$C69&lt;2000,$C69&gt;2100),"ERROR: PRICE YEAR",IF(OR($D69="",AND($D69&lt;&gt;IFERROR(IF(INDEX('01_INPUT_COMPANIES'!$G$7:$G$106,MATCH($A69,'01_INPUT_COMPANIES'!$A$7:$A$106,0))="","",INDEX('01_INPUT_COMPANIES'!$G$7:$G$106,MATCH($A69,'01_INPUT_COMPANIES'!$A$7:$A$106,0))),""),$D69&lt;&gt;LEFT(IFERROR(IF(INDEX('01_INPUT_COMPANIES'!$G$7:$G$106,MATCH($A69,'01_INPUT_COMPANIES'!$A$7:$A$106,0))="","",INDEX('01_INPUT_COMPANIES'!$G$7:$G$106,MATCH($A69,'01_INPUT_COMPANIES'!$A$7:$A$106,0))),""),4))),"ERROR: EXPOSURE PERIOD",IF(OR(NOT(ISNUMBER($E69)),$E69&lt;=0,$E69&gt;1),"ERROR: PERIOD FRACTION",IF(OR($B69&lt;&gt;IFERROR(IF(INDEX('01_INPUT_COMPANIES'!$I$7:$I$106,MATCH($A69,'01_INPUT_COMPANIES'!$A$7:$A$106,0))="","",INDEX('01_INPUT_COMPANIES'!$I$7:$I$106,MATCH($A69,'01_INPUT_COMPANIES'!$A$7:$A$106,0))),""),$C69&lt;&gt;IFERROR(IF(INDEX('01_INPUT_COMPANIES'!$J$7:$J$106,MATCH($A69,'01_INPUT_COMPANIES'!$A$7:$A$106,0))="","",INDEX('01_INPUT_COMPANIES'!$J$7:$J$106,MATCH($A69,'01_INPUT_COMPANIES'!$A$7:$A$106,0))),"")),"ERROR: COMPANY CURRENCY/YEAR",IF(NOT(OR($Y69="A",$Y69="B",$Y69="C",$Y69="SYNTHETIC")),"ERROR: QUALITY",IF(NOT(AND(OR(COUNTBLANK($F69:$H69)=3,AND(COUNT($F69:$H69)=3,MIN($F69:$H69)&gt;=0,$F69&lt;=$G69,$G69&lt;=$H69)),OR(COUNTBLANK($I69:$K69)=3,AND(COUNT($I69:$K69)=3,MIN($I69:$K69)&gt;=0,$I69&lt;=$J69,$J69&lt;=$K69)),OR(COUNTBLANK($L69:$N69)=3,AND(COUNT($L69:$N69)=3,MIN($L69:$N69)&gt;=0,$L69&lt;=$M69,$M69&lt;=$N69)),OR(COUNTBLANK($O69:$Q69)=3,AND(COUNT($O69:$Q69)=3,MIN($O69:$Q69)&gt;=0,$O69&lt;=$P69,$P69&lt;=$Q69)),OR(COUNTBLANK($R69:$T69)=3,AND(COUNT($R69:$T69)=3,MIN($R69:$T69)&gt;=0,$R69&lt;=$S69,$S69&lt;=$T69)),OR(COUNTBLANK($U69:$W69)=3,AND(COUNT($U69:$W69)=3,MIN($U69:$W69)&gt;=0,$U69&lt;=$V69,$V69&lt;=$W69,MAX($U69:$W69)&lt;=1)))),"ERROR: LOW/BASE/HIGH",IF(NOT(OR(AND(COUNTBLANK($R69:$T69)=3,COUNTBLANK($U69:$W69)=3),AND(COUNT($R69:$T69)=3,COUNT($U69:$W69)=3))),"ERROR: TRANSFER ASSUMPTION",IF(AND(COUNTA($F69:$W69)&gt;0,$X69=""),"ERROR: SOURCE","READY")))))))))))))</x:f>
      </x:c>
    </x:row>
    <x:row r="70">
      <x:c r="A70" s="30"/>
      <x:c r="B70" s="30"/>
      <x:c r="C70" s="30"/>
      <x:c r="D70" s="30"/>
      <x:c r="E70" s="30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9"/>
      <x:c r="V70" s="39"/>
      <x:c r="W70" s="39"/>
      <x:c r="X70" s="30"/>
      <x:c r="Y70" s="30"/>
      <x:c r="Z70" s="30"/>
      <x:c r="AA70" s="34" t="str">
        <x:f>IF($A70="","",IF(OR($A70&lt;&gt;TRIM($A70),NOT(EXACT($A70,UPPER($A70))),LEN($A70)&gt;64,ISNUMBER(FIND("*",$A70)),ISNUMBER(FIND("?",$A70)),ISNUMBER(FIND("~",$A70))),"ERROR: ID FORMAT",IF(COUNTIF($A$7:$A$106,$A70)&lt;&gt;1,"ERROR: DUPLICATE EXPOSURE ID",IF(COUNTIF('01_INPUT_COMPANIES'!$A$7:$A$106,$A70)&lt;&gt;1,"ERROR: COMPANY ID",IF(OR($B70="",COUNTIF('92_REF_VARIABLES'!$L$21:$L$50,$B70)&lt;&gt;1),"ERROR: CURRENCY",IF(OR(NOT(ISNUMBER($C70)),$C70&lt;&gt;INT($C70),$C70&lt;2000,$C70&gt;2100),"ERROR: PRICE YEAR",IF(OR($D70="",AND($D70&lt;&gt;IFERROR(IF(INDEX('01_INPUT_COMPANIES'!$G$7:$G$106,MATCH($A70,'01_INPUT_COMPANIES'!$A$7:$A$106,0))="","",INDEX('01_INPUT_COMPANIES'!$G$7:$G$106,MATCH($A70,'01_INPUT_COMPANIES'!$A$7:$A$106,0))),""),$D70&lt;&gt;LEFT(IFERROR(IF(INDEX('01_INPUT_COMPANIES'!$G$7:$G$106,MATCH($A70,'01_INPUT_COMPANIES'!$A$7:$A$106,0))="","",INDEX('01_INPUT_COMPANIES'!$G$7:$G$106,MATCH($A70,'01_INPUT_COMPANIES'!$A$7:$A$106,0))),""),4))),"ERROR: EXPOSURE PERIOD",IF(OR(NOT(ISNUMBER($E70)),$E70&lt;=0,$E70&gt;1),"ERROR: PERIOD FRACTION",IF(OR($B70&lt;&gt;IFERROR(IF(INDEX('01_INPUT_COMPANIES'!$I$7:$I$106,MATCH($A70,'01_INPUT_COMPANIES'!$A$7:$A$106,0))="","",INDEX('01_INPUT_COMPANIES'!$I$7:$I$106,MATCH($A70,'01_INPUT_COMPANIES'!$A$7:$A$106,0))),""),$C70&lt;&gt;IFERROR(IF(INDEX('01_INPUT_COMPANIES'!$J$7:$J$106,MATCH($A70,'01_INPUT_COMPANIES'!$A$7:$A$106,0))="","",INDEX('01_INPUT_COMPANIES'!$J$7:$J$106,MATCH($A70,'01_INPUT_COMPANIES'!$A$7:$A$106,0))),"")),"ERROR: COMPANY CURRENCY/YEAR",IF(NOT(OR($Y70="A",$Y70="B",$Y70="C",$Y70="SYNTHETIC")),"ERROR: QUALITY",IF(NOT(AND(OR(COUNTBLANK($F70:$H70)=3,AND(COUNT($F70:$H70)=3,MIN($F70:$H70)&gt;=0,$F70&lt;=$G70,$G70&lt;=$H70)),OR(COUNTBLANK($I70:$K70)=3,AND(COUNT($I70:$K70)=3,MIN($I70:$K70)&gt;=0,$I70&lt;=$J70,$J70&lt;=$K70)),OR(COUNTBLANK($L70:$N70)=3,AND(COUNT($L70:$N70)=3,MIN($L70:$N70)&gt;=0,$L70&lt;=$M70,$M70&lt;=$N70)),OR(COUNTBLANK($O70:$Q70)=3,AND(COUNT($O70:$Q70)=3,MIN($O70:$Q70)&gt;=0,$O70&lt;=$P70,$P70&lt;=$Q70)),OR(COUNTBLANK($R70:$T70)=3,AND(COUNT($R70:$T70)=3,MIN($R70:$T70)&gt;=0,$R70&lt;=$S70,$S70&lt;=$T70)),OR(COUNTBLANK($U70:$W70)=3,AND(COUNT($U70:$W70)=3,MIN($U70:$W70)&gt;=0,$U70&lt;=$V70,$V70&lt;=$W70,MAX($U70:$W70)&lt;=1)))),"ERROR: LOW/BASE/HIGH",IF(NOT(OR(AND(COUNTBLANK($R70:$T70)=3,COUNTBLANK($U70:$W70)=3),AND(COUNT($R70:$T70)=3,COUNT($U70:$W70)=3))),"ERROR: TRANSFER ASSUMPTION",IF(AND(COUNTA($F70:$W70)&gt;0,$X70=""),"ERROR: SOURCE","READY")))))))))))))</x:f>
      </x:c>
    </x:row>
    <x:row r="71">
      <x:c r="A71" s="30"/>
      <x:c r="B71" s="30"/>
      <x:c r="C71" s="30"/>
      <x:c r="D71" s="30"/>
      <x:c r="E71" s="30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9"/>
      <x:c r="V71" s="39"/>
      <x:c r="W71" s="39"/>
      <x:c r="X71" s="30"/>
      <x:c r="Y71" s="30"/>
      <x:c r="Z71" s="30"/>
      <x:c r="AA71" s="34" t="str">
        <x:f>IF($A71="","",IF(OR($A71&lt;&gt;TRIM($A71),NOT(EXACT($A71,UPPER($A71))),LEN($A71)&gt;64,ISNUMBER(FIND("*",$A71)),ISNUMBER(FIND("?",$A71)),ISNUMBER(FIND("~",$A71))),"ERROR: ID FORMAT",IF(COUNTIF($A$7:$A$106,$A71)&lt;&gt;1,"ERROR: DUPLICATE EXPOSURE ID",IF(COUNTIF('01_INPUT_COMPANIES'!$A$7:$A$106,$A71)&lt;&gt;1,"ERROR: COMPANY ID",IF(OR($B71="",COUNTIF('92_REF_VARIABLES'!$L$21:$L$50,$B71)&lt;&gt;1),"ERROR: CURRENCY",IF(OR(NOT(ISNUMBER($C71)),$C71&lt;&gt;INT($C71),$C71&lt;2000,$C71&gt;2100),"ERROR: PRICE YEAR",IF(OR($D71="",AND($D71&lt;&gt;IFERROR(IF(INDEX('01_INPUT_COMPANIES'!$G$7:$G$106,MATCH($A71,'01_INPUT_COMPANIES'!$A$7:$A$106,0))="","",INDEX('01_INPUT_COMPANIES'!$G$7:$G$106,MATCH($A71,'01_INPUT_COMPANIES'!$A$7:$A$106,0))),""),$D71&lt;&gt;LEFT(IFERROR(IF(INDEX('01_INPUT_COMPANIES'!$G$7:$G$106,MATCH($A71,'01_INPUT_COMPANIES'!$A$7:$A$106,0))="","",INDEX('01_INPUT_COMPANIES'!$G$7:$G$106,MATCH($A71,'01_INPUT_COMPANIES'!$A$7:$A$106,0))),""),4))),"ERROR: EXPOSURE PERIOD",IF(OR(NOT(ISNUMBER($E71)),$E71&lt;=0,$E71&gt;1),"ERROR: PERIOD FRACTION",IF(OR($B71&lt;&gt;IFERROR(IF(INDEX('01_INPUT_COMPANIES'!$I$7:$I$106,MATCH($A71,'01_INPUT_COMPANIES'!$A$7:$A$106,0))="","",INDEX('01_INPUT_COMPANIES'!$I$7:$I$106,MATCH($A71,'01_INPUT_COMPANIES'!$A$7:$A$106,0))),""),$C71&lt;&gt;IFERROR(IF(INDEX('01_INPUT_COMPANIES'!$J$7:$J$106,MATCH($A71,'01_INPUT_COMPANIES'!$A$7:$A$106,0))="","",INDEX('01_INPUT_COMPANIES'!$J$7:$J$106,MATCH($A71,'01_INPUT_COMPANIES'!$A$7:$A$106,0))),"")),"ERROR: COMPANY CURRENCY/YEAR",IF(NOT(OR($Y71="A",$Y71="B",$Y71="C",$Y71="SYNTHETIC")),"ERROR: QUALITY",IF(NOT(AND(OR(COUNTBLANK($F71:$H71)=3,AND(COUNT($F71:$H71)=3,MIN($F71:$H71)&gt;=0,$F71&lt;=$G71,$G71&lt;=$H71)),OR(COUNTBLANK($I71:$K71)=3,AND(COUNT($I71:$K71)=3,MIN($I71:$K71)&gt;=0,$I71&lt;=$J71,$J71&lt;=$K71)),OR(COUNTBLANK($L71:$N71)=3,AND(COUNT($L71:$N71)=3,MIN($L71:$N71)&gt;=0,$L71&lt;=$M71,$M71&lt;=$N71)),OR(COUNTBLANK($O71:$Q71)=3,AND(COUNT($O71:$Q71)=3,MIN($O71:$Q71)&gt;=0,$O71&lt;=$P71,$P71&lt;=$Q71)),OR(COUNTBLANK($R71:$T71)=3,AND(COUNT($R71:$T71)=3,MIN($R71:$T71)&gt;=0,$R71&lt;=$S71,$S71&lt;=$T71)),OR(COUNTBLANK($U71:$W71)=3,AND(COUNT($U71:$W71)=3,MIN($U71:$W71)&gt;=0,$U71&lt;=$V71,$V71&lt;=$W71,MAX($U71:$W71)&lt;=1)))),"ERROR: LOW/BASE/HIGH",IF(NOT(OR(AND(COUNTBLANK($R71:$T71)=3,COUNTBLANK($U71:$W71)=3),AND(COUNT($R71:$T71)=3,COUNT($U71:$W71)=3))),"ERROR: TRANSFER ASSUMPTION",IF(AND(COUNTA($F71:$W71)&gt;0,$X71=""),"ERROR: SOURCE","READY")))))))))))))</x:f>
      </x:c>
    </x:row>
    <x:row r="72">
      <x:c r="A72" s="30"/>
      <x:c r="B72" s="30"/>
      <x:c r="C72" s="30"/>
      <x:c r="D72" s="30"/>
      <x:c r="E72" s="30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9"/>
      <x:c r="V72" s="39"/>
      <x:c r="W72" s="39"/>
      <x:c r="X72" s="30"/>
      <x:c r="Y72" s="30"/>
      <x:c r="Z72" s="30"/>
      <x:c r="AA72" s="34" t="str">
        <x:f>IF($A72="","",IF(OR($A72&lt;&gt;TRIM($A72),NOT(EXACT($A72,UPPER($A72))),LEN($A72)&gt;64,ISNUMBER(FIND("*",$A72)),ISNUMBER(FIND("?",$A72)),ISNUMBER(FIND("~",$A72))),"ERROR: ID FORMAT",IF(COUNTIF($A$7:$A$106,$A72)&lt;&gt;1,"ERROR: DUPLICATE EXPOSURE ID",IF(COUNTIF('01_INPUT_COMPANIES'!$A$7:$A$106,$A72)&lt;&gt;1,"ERROR: COMPANY ID",IF(OR($B72="",COUNTIF('92_REF_VARIABLES'!$L$21:$L$50,$B72)&lt;&gt;1),"ERROR: CURRENCY",IF(OR(NOT(ISNUMBER($C72)),$C72&lt;&gt;INT($C72),$C72&lt;2000,$C72&gt;2100),"ERROR: PRICE YEAR",IF(OR($D72="",AND($D72&lt;&gt;IFERROR(IF(INDEX('01_INPUT_COMPANIES'!$G$7:$G$106,MATCH($A72,'01_INPUT_COMPANIES'!$A$7:$A$106,0))="","",INDEX('01_INPUT_COMPANIES'!$G$7:$G$106,MATCH($A72,'01_INPUT_COMPANIES'!$A$7:$A$106,0))),""),$D72&lt;&gt;LEFT(IFERROR(IF(INDEX('01_INPUT_COMPANIES'!$G$7:$G$106,MATCH($A72,'01_INPUT_COMPANIES'!$A$7:$A$106,0))="","",INDEX('01_INPUT_COMPANIES'!$G$7:$G$106,MATCH($A72,'01_INPUT_COMPANIES'!$A$7:$A$106,0))),""),4))),"ERROR: EXPOSURE PERIOD",IF(OR(NOT(ISNUMBER($E72)),$E72&lt;=0,$E72&gt;1),"ERROR: PERIOD FRACTION",IF(OR($B72&lt;&gt;IFERROR(IF(INDEX('01_INPUT_COMPANIES'!$I$7:$I$106,MATCH($A72,'01_INPUT_COMPANIES'!$A$7:$A$106,0))="","",INDEX('01_INPUT_COMPANIES'!$I$7:$I$106,MATCH($A72,'01_INPUT_COMPANIES'!$A$7:$A$106,0))),""),$C72&lt;&gt;IFERROR(IF(INDEX('01_INPUT_COMPANIES'!$J$7:$J$106,MATCH($A72,'01_INPUT_COMPANIES'!$A$7:$A$106,0))="","",INDEX('01_INPUT_COMPANIES'!$J$7:$J$106,MATCH($A72,'01_INPUT_COMPANIES'!$A$7:$A$106,0))),"")),"ERROR: COMPANY CURRENCY/YEAR",IF(NOT(OR($Y72="A",$Y72="B",$Y72="C",$Y72="SYNTHETIC")),"ERROR: QUALITY",IF(NOT(AND(OR(COUNTBLANK($F72:$H72)=3,AND(COUNT($F72:$H72)=3,MIN($F72:$H72)&gt;=0,$F72&lt;=$G72,$G72&lt;=$H72)),OR(COUNTBLANK($I72:$K72)=3,AND(COUNT($I72:$K72)=3,MIN($I72:$K72)&gt;=0,$I72&lt;=$J72,$J72&lt;=$K72)),OR(COUNTBLANK($L72:$N72)=3,AND(COUNT($L72:$N72)=3,MIN($L72:$N72)&gt;=0,$L72&lt;=$M72,$M72&lt;=$N72)),OR(COUNTBLANK($O72:$Q72)=3,AND(COUNT($O72:$Q72)=3,MIN($O72:$Q72)&gt;=0,$O72&lt;=$P72,$P72&lt;=$Q72)),OR(COUNTBLANK($R72:$T72)=3,AND(COUNT($R72:$T72)=3,MIN($R72:$T72)&gt;=0,$R72&lt;=$S72,$S72&lt;=$T72)),OR(COUNTBLANK($U72:$W72)=3,AND(COUNT($U72:$W72)=3,MIN($U72:$W72)&gt;=0,$U72&lt;=$V72,$V72&lt;=$W72,MAX($U72:$W72)&lt;=1)))),"ERROR: LOW/BASE/HIGH",IF(NOT(OR(AND(COUNTBLANK($R72:$T72)=3,COUNTBLANK($U72:$W72)=3),AND(COUNT($R72:$T72)=3,COUNT($U72:$W72)=3))),"ERROR: TRANSFER ASSUMPTION",IF(AND(COUNTA($F72:$W72)&gt;0,$X72=""),"ERROR: SOURCE","READY")))))))))))))</x:f>
      </x:c>
    </x:row>
    <x:row r="73">
      <x:c r="A73" s="30"/>
      <x:c r="B73" s="30"/>
      <x:c r="C73" s="30"/>
      <x:c r="D73" s="30"/>
      <x:c r="E73" s="30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9"/>
      <x:c r="V73" s="39"/>
      <x:c r="W73" s="39"/>
      <x:c r="X73" s="30"/>
      <x:c r="Y73" s="30"/>
      <x:c r="Z73" s="30"/>
      <x:c r="AA73" s="34" t="str">
        <x:f>IF($A73="","",IF(OR($A73&lt;&gt;TRIM($A73),NOT(EXACT($A73,UPPER($A73))),LEN($A73)&gt;64,ISNUMBER(FIND("*",$A73)),ISNUMBER(FIND("?",$A73)),ISNUMBER(FIND("~",$A73))),"ERROR: ID FORMAT",IF(COUNTIF($A$7:$A$106,$A73)&lt;&gt;1,"ERROR: DUPLICATE EXPOSURE ID",IF(COUNTIF('01_INPUT_COMPANIES'!$A$7:$A$106,$A73)&lt;&gt;1,"ERROR: COMPANY ID",IF(OR($B73="",COUNTIF('92_REF_VARIABLES'!$L$21:$L$50,$B73)&lt;&gt;1),"ERROR: CURRENCY",IF(OR(NOT(ISNUMBER($C73)),$C73&lt;&gt;INT($C73),$C73&lt;2000,$C73&gt;2100),"ERROR: PRICE YEAR",IF(OR($D73="",AND($D73&lt;&gt;IFERROR(IF(INDEX('01_INPUT_COMPANIES'!$G$7:$G$106,MATCH($A73,'01_INPUT_COMPANIES'!$A$7:$A$106,0))="","",INDEX('01_INPUT_COMPANIES'!$G$7:$G$106,MATCH($A73,'01_INPUT_COMPANIES'!$A$7:$A$106,0))),""),$D73&lt;&gt;LEFT(IFERROR(IF(INDEX('01_INPUT_COMPANIES'!$G$7:$G$106,MATCH($A73,'01_INPUT_COMPANIES'!$A$7:$A$106,0))="","",INDEX('01_INPUT_COMPANIES'!$G$7:$G$106,MATCH($A73,'01_INPUT_COMPANIES'!$A$7:$A$106,0))),""),4))),"ERROR: EXPOSURE PERIOD",IF(OR(NOT(ISNUMBER($E73)),$E73&lt;=0,$E73&gt;1),"ERROR: PERIOD FRACTION",IF(OR($B73&lt;&gt;IFERROR(IF(INDEX('01_INPUT_COMPANIES'!$I$7:$I$106,MATCH($A73,'01_INPUT_COMPANIES'!$A$7:$A$106,0))="","",INDEX('01_INPUT_COMPANIES'!$I$7:$I$106,MATCH($A73,'01_INPUT_COMPANIES'!$A$7:$A$106,0))),""),$C73&lt;&gt;IFERROR(IF(INDEX('01_INPUT_COMPANIES'!$J$7:$J$106,MATCH($A73,'01_INPUT_COMPANIES'!$A$7:$A$106,0))="","",INDEX('01_INPUT_COMPANIES'!$J$7:$J$106,MATCH($A73,'01_INPUT_COMPANIES'!$A$7:$A$106,0))),"")),"ERROR: COMPANY CURRENCY/YEAR",IF(NOT(OR($Y73="A",$Y73="B",$Y73="C",$Y73="SYNTHETIC")),"ERROR: QUALITY",IF(NOT(AND(OR(COUNTBLANK($F73:$H73)=3,AND(COUNT($F73:$H73)=3,MIN($F73:$H73)&gt;=0,$F73&lt;=$G73,$G73&lt;=$H73)),OR(COUNTBLANK($I73:$K73)=3,AND(COUNT($I73:$K73)=3,MIN($I73:$K73)&gt;=0,$I73&lt;=$J73,$J73&lt;=$K73)),OR(COUNTBLANK($L73:$N73)=3,AND(COUNT($L73:$N73)=3,MIN($L73:$N73)&gt;=0,$L73&lt;=$M73,$M73&lt;=$N73)),OR(COUNTBLANK($O73:$Q73)=3,AND(COUNT($O73:$Q73)=3,MIN($O73:$Q73)&gt;=0,$O73&lt;=$P73,$P73&lt;=$Q73)),OR(COUNTBLANK($R73:$T73)=3,AND(COUNT($R73:$T73)=3,MIN($R73:$T73)&gt;=0,$R73&lt;=$S73,$S73&lt;=$T73)),OR(COUNTBLANK($U73:$W73)=3,AND(COUNT($U73:$W73)=3,MIN($U73:$W73)&gt;=0,$U73&lt;=$V73,$V73&lt;=$W73,MAX($U73:$W73)&lt;=1)))),"ERROR: LOW/BASE/HIGH",IF(NOT(OR(AND(COUNTBLANK($R73:$T73)=3,COUNTBLANK($U73:$W73)=3),AND(COUNT($R73:$T73)=3,COUNT($U73:$W73)=3))),"ERROR: TRANSFER ASSUMPTION",IF(AND(COUNTA($F73:$W73)&gt;0,$X73=""),"ERROR: SOURCE","READY")))))))))))))</x:f>
      </x:c>
    </x:row>
    <x:row r="74">
      <x:c r="A74" s="30"/>
      <x:c r="B74" s="30"/>
      <x:c r="C74" s="30"/>
      <x:c r="D74" s="30"/>
      <x:c r="E74" s="30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9"/>
      <x:c r="V74" s="39"/>
      <x:c r="W74" s="39"/>
      <x:c r="X74" s="30"/>
      <x:c r="Y74" s="30"/>
      <x:c r="Z74" s="30"/>
      <x:c r="AA74" s="34" t="str">
        <x:f>IF($A74="","",IF(OR($A74&lt;&gt;TRIM($A74),NOT(EXACT($A74,UPPER($A74))),LEN($A74)&gt;64,ISNUMBER(FIND("*",$A74)),ISNUMBER(FIND("?",$A74)),ISNUMBER(FIND("~",$A74))),"ERROR: ID FORMAT",IF(COUNTIF($A$7:$A$106,$A74)&lt;&gt;1,"ERROR: DUPLICATE EXPOSURE ID",IF(COUNTIF('01_INPUT_COMPANIES'!$A$7:$A$106,$A74)&lt;&gt;1,"ERROR: COMPANY ID",IF(OR($B74="",COUNTIF('92_REF_VARIABLES'!$L$21:$L$50,$B74)&lt;&gt;1),"ERROR: CURRENCY",IF(OR(NOT(ISNUMBER($C74)),$C74&lt;&gt;INT($C74),$C74&lt;2000,$C74&gt;2100),"ERROR: PRICE YEAR",IF(OR($D74="",AND($D74&lt;&gt;IFERROR(IF(INDEX('01_INPUT_COMPANIES'!$G$7:$G$106,MATCH($A74,'01_INPUT_COMPANIES'!$A$7:$A$106,0))="","",INDEX('01_INPUT_COMPANIES'!$G$7:$G$106,MATCH($A74,'01_INPUT_COMPANIES'!$A$7:$A$106,0))),""),$D74&lt;&gt;LEFT(IFERROR(IF(INDEX('01_INPUT_COMPANIES'!$G$7:$G$106,MATCH($A74,'01_INPUT_COMPANIES'!$A$7:$A$106,0))="","",INDEX('01_INPUT_COMPANIES'!$G$7:$G$106,MATCH($A74,'01_INPUT_COMPANIES'!$A$7:$A$106,0))),""),4))),"ERROR: EXPOSURE PERIOD",IF(OR(NOT(ISNUMBER($E74)),$E74&lt;=0,$E74&gt;1),"ERROR: PERIOD FRACTION",IF(OR($B74&lt;&gt;IFERROR(IF(INDEX('01_INPUT_COMPANIES'!$I$7:$I$106,MATCH($A74,'01_INPUT_COMPANIES'!$A$7:$A$106,0))="","",INDEX('01_INPUT_COMPANIES'!$I$7:$I$106,MATCH($A74,'01_INPUT_COMPANIES'!$A$7:$A$106,0))),""),$C74&lt;&gt;IFERROR(IF(INDEX('01_INPUT_COMPANIES'!$J$7:$J$106,MATCH($A74,'01_INPUT_COMPANIES'!$A$7:$A$106,0))="","",INDEX('01_INPUT_COMPANIES'!$J$7:$J$106,MATCH($A74,'01_INPUT_COMPANIES'!$A$7:$A$106,0))),"")),"ERROR: COMPANY CURRENCY/YEAR",IF(NOT(OR($Y74="A",$Y74="B",$Y74="C",$Y74="SYNTHETIC")),"ERROR: QUALITY",IF(NOT(AND(OR(COUNTBLANK($F74:$H74)=3,AND(COUNT($F74:$H74)=3,MIN($F74:$H74)&gt;=0,$F74&lt;=$G74,$G74&lt;=$H74)),OR(COUNTBLANK($I74:$K74)=3,AND(COUNT($I74:$K74)=3,MIN($I74:$K74)&gt;=0,$I74&lt;=$J74,$J74&lt;=$K74)),OR(COUNTBLANK($L74:$N74)=3,AND(COUNT($L74:$N74)=3,MIN($L74:$N74)&gt;=0,$L74&lt;=$M74,$M74&lt;=$N74)),OR(COUNTBLANK($O74:$Q74)=3,AND(COUNT($O74:$Q74)=3,MIN($O74:$Q74)&gt;=0,$O74&lt;=$P74,$P74&lt;=$Q74)),OR(COUNTBLANK($R74:$T74)=3,AND(COUNT($R74:$T74)=3,MIN($R74:$T74)&gt;=0,$R74&lt;=$S74,$S74&lt;=$T74)),OR(COUNTBLANK($U74:$W74)=3,AND(COUNT($U74:$W74)=3,MIN($U74:$W74)&gt;=0,$U74&lt;=$V74,$V74&lt;=$W74,MAX($U74:$W74)&lt;=1)))),"ERROR: LOW/BASE/HIGH",IF(NOT(OR(AND(COUNTBLANK($R74:$T74)=3,COUNTBLANK($U74:$W74)=3),AND(COUNT($R74:$T74)=3,COUNT($U74:$W74)=3))),"ERROR: TRANSFER ASSUMPTION",IF(AND(COUNTA($F74:$W74)&gt;0,$X74=""),"ERROR: SOURCE","READY")))))))))))))</x:f>
      </x:c>
    </x:row>
    <x:row r="75">
      <x:c r="A75" s="30"/>
      <x:c r="B75" s="30"/>
      <x:c r="C75" s="30"/>
      <x:c r="D75" s="30"/>
      <x:c r="E75" s="30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9"/>
      <x:c r="V75" s="39"/>
      <x:c r="W75" s="39"/>
      <x:c r="X75" s="30"/>
      <x:c r="Y75" s="30"/>
      <x:c r="Z75" s="30"/>
      <x:c r="AA75" s="34" t="str">
        <x:f>IF($A75="","",IF(OR($A75&lt;&gt;TRIM($A75),NOT(EXACT($A75,UPPER($A75))),LEN($A75)&gt;64,ISNUMBER(FIND("*",$A75)),ISNUMBER(FIND("?",$A75)),ISNUMBER(FIND("~",$A75))),"ERROR: ID FORMAT",IF(COUNTIF($A$7:$A$106,$A75)&lt;&gt;1,"ERROR: DUPLICATE EXPOSURE ID",IF(COUNTIF('01_INPUT_COMPANIES'!$A$7:$A$106,$A75)&lt;&gt;1,"ERROR: COMPANY ID",IF(OR($B75="",COUNTIF('92_REF_VARIABLES'!$L$21:$L$50,$B75)&lt;&gt;1),"ERROR: CURRENCY",IF(OR(NOT(ISNUMBER($C75)),$C75&lt;&gt;INT($C75),$C75&lt;2000,$C75&gt;2100),"ERROR: PRICE YEAR",IF(OR($D75="",AND($D75&lt;&gt;IFERROR(IF(INDEX('01_INPUT_COMPANIES'!$G$7:$G$106,MATCH($A75,'01_INPUT_COMPANIES'!$A$7:$A$106,0))="","",INDEX('01_INPUT_COMPANIES'!$G$7:$G$106,MATCH($A75,'01_INPUT_COMPANIES'!$A$7:$A$106,0))),""),$D75&lt;&gt;LEFT(IFERROR(IF(INDEX('01_INPUT_COMPANIES'!$G$7:$G$106,MATCH($A75,'01_INPUT_COMPANIES'!$A$7:$A$106,0))="","",INDEX('01_INPUT_COMPANIES'!$G$7:$G$106,MATCH($A75,'01_INPUT_COMPANIES'!$A$7:$A$106,0))),""),4))),"ERROR: EXPOSURE PERIOD",IF(OR(NOT(ISNUMBER($E75)),$E75&lt;=0,$E75&gt;1),"ERROR: PERIOD FRACTION",IF(OR($B75&lt;&gt;IFERROR(IF(INDEX('01_INPUT_COMPANIES'!$I$7:$I$106,MATCH($A75,'01_INPUT_COMPANIES'!$A$7:$A$106,0))="","",INDEX('01_INPUT_COMPANIES'!$I$7:$I$106,MATCH($A75,'01_INPUT_COMPANIES'!$A$7:$A$106,0))),""),$C75&lt;&gt;IFERROR(IF(INDEX('01_INPUT_COMPANIES'!$J$7:$J$106,MATCH($A75,'01_INPUT_COMPANIES'!$A$7:$A$106,0))="","",INDEX('01_INPUT_COMPANIES'!$J$7:$J$106,MATCH($A75,'01_INPUT_COMPANIES'!$A$7:$A$106,0))),"")),"ERROR: COMPANY CURRENCY/YEAR",IF(NOT(OR($Y75="A",$Y75="B",$Y75="C",$Y75="SYNTHETIC")),"ERROR: QUALITY",IF(NOT(AND(OR(COUNTBLANK($F75:$H75)=3,AND(COUNT($F75:$H75)=3,MIN($F75:$H75)&gt;=0,$F75&lt;=$G75,$G75&lt;=$H75)),OR(COUNTBLANK($I75:$K75)=3,AND(COUNT($I75:$K75)=3,MIN($I75:$K75)&gt;=0,$I75&lt;=$J75,$J75&lt;=$K75)),OR(COUNTBLANK($L75:$N75)=3,AND(COUNT($L75:$N75)=3,MIN($L75:$N75)&gt;=0,$L75&lt;=$M75,$M75&lt;=$N75)),OR(COUNTBLANK($O75:$Q75)=3,AND(COUNT($O75:$Q75)=3,MIN($O75:$Q75)&gt;=0,$O75&lt;=$P75,$P75&lt;=$Q75)),OR(COUNTBLANK($R75:$T75)=3,AND(COUNT($R75:$T75)=3,MIN($R75:$T75)&gt;=0,$R75&lt;=$S75,$S75&lt;=$T75)),OR(COUNTBLANK($U75:$W75)=3,AND(COUNT($U75:$W75)=3,MIN($U75:$W75)&gt;=0,$U75&lt;=$V75,$V75&lt;=$W75,MAX($U75:$W75)&lt;=1)))),"ERROR: LOW/BASE/HIGH",IF(NOT(OR(AND(COUNTBLANK($R75:$T75)=3,COUNTBLANK($U75:$W75)=3),AND(COUNT($R75:$T75)=3,COUNT($U75:$W75)=3))),"ERROR: TRANSFER ASSUMPTION",IF(AND(COUNTA($F75:$W75)&gt;0,$X75=""),"ERROR: SOURCE","READY")))))))))))))</x:f>
      </x:c>
    </x:row>
    <x:row r="76">
      <x:c r="A76" s="30"/>
      <x:c r="B76" s="30"/>
      <x:c r="C76" s="30"/>
      <x:c r="D76" s="30"/>
      <x:c r="E76" s="30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9"/>
      <x:c r="V76" s="39"/>
      <x:c r="W76" s="39"/>
      <x:c r="X76" s="30"/>
      <x:c r="Y76" s="30"/>
      <x:c r="Z76" s="30"/>
      <x:c r="AA76" s="34" t="str">
        <x:f>IF($A76="","",IF(OR($A76&lt;&gt;TRIM($A76),NOT(EXACT($A76,UPPER($A76))),LEN($A76)&gt;64,ISNUMBER(FIND("*",$A76)),ISNUMBER(FIND("?",$A76)),ISNUMBER(FIND("~",$A76))),"ERROR: ID FORMAT",IF(COUNTIF($A$7:$A$106,$A76)&lt;&gt;1,"ERROR: DUPLICATE EXPOSURE ID",IF(COUNTIF('01_INPUT_COMPANIES'!$A$7:$A$106,$A76)&lt;&gt;1,"ERROR: COMPANY ID",IF(OR($B76="",COUNTIF('92_REF_VARIABLES'!$L$21:$L$50,$B76)&lt;&gt;1),"ERROR: CURRENCY",IF(OR(NOT(ISNUMBER($C76)),$C76&lt;&gt;INT($C76),$C76&lt;2000,$C76&gt;2100),"ERROR: PRICE YEAR",IF(OR($D76="",AND($D76&lt;&gt;IFERROR(IF(INDEX('01_INPUT_COMPANIES'!$G$7:$G$106,MATCH($A76,'01_INPUT_COMPANIES'!$A$7:$A$106,0))="","",INDEX('01_INPUT_COMPANIES'!$G$7:$G$106,MATCH($A76,'01_INPUT_COMPANIES'!$A$7:$A$106,0))),""),$D76&lt;&gt;LEFT(IFERROR(IF(INDEX('01_INPUT_COMPANIES'!$G$7:$G$106,MATCH($A76,'01_INPUT_COMPANIES'!$A$7:$A$106,0))="","",INDEX('01_INPUT_COMPANIES'!$G$7:$G$106,MATCH($A76,'01_INPUT_COMPANIES'!$A$7:$A$106,0))),""),4))),"ERROR: EXPOSURE PERIOD",IF(OR(NOT(ISNUMBER($E76)),$E76&lt;=0,$E76&gt;1),"ERROR: PERIOD FRACTION",IF(OR($B76&lt;&gt;IFERROR(IF(INDEX('01_INPUT_COMPANIES'!$I$7:$I$106,MATCH($A76,'01_INPUT_COMPANIES'!$A$7:$A$106,0))="","",INDEX('01_INPUT_COMPANIES'!$I$7:$I$106,MATCH($A76,'01_INPUT_COMPANIES'!$A$7:$A$106,0))),""),$C76&lt;&gt;IFERROR(IF(INDEX('01_INPUT_COMPANIES'!$J$7:$J$106,MATCH($A76,'01_INPUT_COMPANIES'!$A$7:$A$106,0))="","",INDEX('01_INPUT_COMPANIES'!$J$7:$J$106,MATCH($A76,'01_INPUT_COMPANIES'!$A$7:$A$106,0))),"")),"ERROR: COMPANY CURRENCY/YEAR",IF(NOT(OR($Y76="A",$Y76="B",$Y76="C",$Y76="SYNTHETIC")),"ERROR: QUALITY",IF(NOT(AND(OR(COUNTBLANK($F76:$H76)=3,AND(COUNT($F76:$H76)=3,MIN($F76:$H76)&gt;=0,$F76&lt;=$G76,$G76&lt;=$H76)),OR(COUNTBLANK($I76:$K76)=3,AND(COUNT($I76:$K76)=3,MIN($I76:$K76)&gt;=0,$I76&lt;=$J76,$J76&lt;=$K76)),OR(COUNTBLANK($L76:$N76)=3,AND(COUNT($L76:$N76)=3,MIN($L76:$N76)&gt;=0,$L76&lt;=$M76,$M76&lt;=$N76)),OR(COUNTBLANK($O76:$Q76)=3,AND(COUNT($O76:$Q76)=3,MIN($O76:$Q76)&gt;=0,$O76&lt;=$P76,$P76&lt;=$Q76)),OR(COUNTBLANK($R76:$T76)=3,AND(COUNT($R76:$T76)=3,MIN($R76:$T76)&gt;=0,$R76&lt;=$S76,$S76&lt;=$T76)),OR(COUNTBLANK($U76:$W76)=3,AND(COUNT($U76:$W76)=3,MIN($U76:$W76)&gt;=0,$U76&lt;=$V76,$V76&lt;=$W76,MAX($U76:$W76)&lt;=1)))),"ERROR: LOW/BASE/HIGH",IF(NOT(OR(AND(COUNTBLANK($R76:$T76)=3,COUNTBLANK($U76:$W76)=3),AND(COUNT($R76:$T76)=3,COUNT($U76:$W76)=3))),"ERROR: TRANSFER ASSUMPTION",IF(AND(COUNTA($F76:$W76)&gt;0,$X76=""),"ERROR: SOURCE","READY")))))))))))))</x:f>
      </x:c>
    </x:row>
    <x:row r="77">
      <x:c r="A77" s="30"/>
      <x:c r="B77" s="30"/>
      <x:c r="C77" s="30"/>
      <x:c r="D77" s="30"/>
      <x:c r="E77" s="30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9"/>
      <x:c r="V77" s="39"/>
      <x:c r="W77" s="39"/>
      <x:c r="X77" s="30"/>
      <x:c r="Y77" s="30"/>
      <x:c r="Z77" s="30"/>
      <x:c r="AA77" s="34" t="str">
        <x:f>IF($A77="","",IF(OR($A77&lt;&gt;TRIM($A77),NOT(EXACT($A77,UPPER($A77))),LEN($A77)&gt;64,ISNUMBER(FIND("*",$A77)),ISNUMBER(FIND("?",$A77)),ISNUMBER(FIND("~",$A77))),"ERROR: ID FORMAT",IF(COUNTIF($A$7:$A$106,$A77)&lt;&gt;1,"ERROR: DUPLICATE EXPOSURE ID",IF(COUNTIF('01_INPUT_COMPANIES'!$A$7:$A$106,$A77)&lt;&gt;1,"ERROR: COMPANY ID",IF(OR($B77="",COUNTIF('92_REF_VARIABLES'!$L$21:$L$50,$B77)&lt;&gt;1),"ERROR: CURRENCY",IF(OR(NOT(ISNUMBER($C77)),$C77&lt;&gt;INT($C77),$C77&lt;2000,$C77&gt;2100),"ERROR: PRICE YEAR",IF(OR($D77="",AND($D77&lt;&gt;IFERROR(IF(INDEX('01_INPUT_COMPANIES'!$G$7:$G$106,MATCH($A77,'01_INPUT_COMPANIES'!$A$7:$A$106,0))="","",INDEX('01_INPUT_COMPANIES'!$G$7:$G$106,MATCH($A77,'01_INPUT_COMPANIES'!$A$7:$A$106,0))),""),$D77&lt;&gt;LEFT(IFERROR(IF(INDEX('01_INPUT_COMPANIES'!$G$7:$G$106,MATCH($A77,'01_INPUT_COMPANIES'!$A$7:$A$106,0))="","",INDEX('01_INPUT_COMPANIES'!$G$7:$G$106,MATCH($A77,'01_INPUT_COMPANIES'!$A$7:$A$106,0))),""),4))),"ERROR: EXPOSURE PERIOD",IF(OR(NOT(ISNUMBER($E77)),$E77&lt;=0,$E77&gt;1),"ERROR: PERIOD FRACTION",IF(OR($B77&lt;&gt;IFERROR(IF(INDEX('01_INPUT_COMPANIES'!$I$7:$I$106,MATCH($A77,'01_INPUT_COMPANIES'!$A$7:$A$106,0))="","",INDEX('01_INPUT_COMPANIES'!$I$7:$I$106,MATCH($A77,'01_INPUT_COMPANIES'!$A$7:$A$106,0))),""),$C77&lt;&gt;IFERROR(IF(INDEX('01_INPUT_COMPANIES'!$J$7:$J$106,MATCH($A77,'01_INPUT_COMPANIES'!$A$7:$A$106,0))="","",INDEX('01_INPUT_COMPANIES'!$J$7:$J$106,MATCH($A77,'01_INPUT_COMPANIES'!$A$7:$A$106,0))),"")),"ERROR: COMPANY CURRENCY/YEAR",IF(NOT(OR($Y77="A",$Y77="B",$Y77="C",$Y77="SYNTHETIC")),"ERROR: QUALITY",IF(NOT(AND(OR(COUNTBLANK($F77:$H77)=3,AND(COUNT($F77:$H77)=3,MIN($F77:$H77)&gt;=0,$F77&lt;=$G77,$G77&lt;=$H77)),OR(COUNTBLANK($I77:$K77)=3,AND(COUNT($I77:$K77)=3,MIN($I77:$K77)&gt;=0,$I77&lt;=$J77,$J77&lt;=$K77)),OR(COUNTBLANK($L77:$N77)=3,AND(COUNT($L77:$N77)=3,MIN($L77:$N77)&gt;=0,$L77&lt;=$M77,$M77&lt;=$N77)),OR(COUNTBLANK($O77:$Q77)=3,AND(COUNT($O77:$Q77)=3,MIN($O77:$Q77)&gt;=0,$O77&lt;=$P77,$P77&lt;=$Q77)),OR(COUNTBLANK($R77:$T77)=3,AND(COUNT($R77:$T77)=3,MIN($R77:$T77)&gt;=0,$R77&lt;=$S77,$S77&lt;=$T77)),OR(COUNTBLANK($U77:$W77)=3,AND(COUNT($U77:$W77)=3,MIN($U77:$W77)&gt;=0,$U77&lt;=$V77,$V77&lt;=$W77,MAX($U77:$W77)&lt;=1)))),"ERROR: LOW/BASE/HIGH",IF(NOT(OR(AND(COUNTBLANK($R77:$T77)=3,COUNTBLANK($U77:$W77)=3),AND(COUNT($R77:$T77)=3,COUNT($U77:$W77)=3))),"ERROR: TRANSFER ASSUMPTION",IF(AND(COUNTA($F77:$W77)&gt;0,$X77=""),"ERROR: SOURCE","READY")))))))))))))</x:f>
      </x:c>
    </x:row>
    <x:row r="78">
      <x:c r="A78" s="30"/>
      <x:c r="B78" s="30"/>
      <x:c r="C78" s="30"/>
      <x:c r="D78" s="30"/>
      <x:c r="E78" s="30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9"/>
      <x:c r="V78" s="39"/>
      <x:c r="W78" s="39"/>
      <x:c r="X78" s="30"/>
      <x:c r="Y78" s="30"/>
      <x:c r="Z78" s="30"/>
      <x:c r="AA78" s="34" t="str">
        <x:f>IF($A78="","",IF(OR($A78&lt;&gt;TRIM($A78),NOT(EXACT($A78,UPPER($A78))),LEN($A78)&gt;64,ISNUMBER(FIND("*",$A78)),ISNUMBER(FIND("?",$A78)),ISNUMBER(FIND("~",$A78))),"ERROR: ID FORMAT",IF(COUNTIF($A$7:$A$106,$A78)&lt;&gt;1,"ERROR: DUPLICATE EXPOSURE ID",IF(COUNTIF('01_INPUT_COMPANIES'!$A$7:$A$106,$A78)&lt;&gt;1,"ERROR: COMPANY ID",IF(OR($B78="",COUNTIF('92_REF_VARIABLES'!$L$21:$L$50,$B78)&lt;&gt;1),"ERROR: CURRENCY",IF(OR(NOT(ISNUMBER($C78)),$C78&lt;&gt;INT($C78),$C78&lt;2000,$C78&gt;2100),"ERROR: PRICE YEAR",IF(OR($D78="",AND($D78&lt;&gt;IFERROR(IF(INDEX('01_INPUT_COMPANIES'!$G$7:$G$106,MATCH($A78,'01_INPUT_COMPANIES'!$A$7:$A$106,0))="","",INDEX('01_INPUT_COMPANIES'!$G$7:$G$106,MATCH($A78,'01_INPUT_COMPANIES'!$A$7:$A$106,0))),""),$D78&lt;&gt;LEFT(IFERROR(IF(INDEX('01_INPUT_COMPANIES'!$G$7:$G$106,MATCH($A78,'01_INPUT_COMPANIES'!$A$7:$A$106,0))="","",INDEX('01_INPUT_COMPANIES'!$G$7:$G$106,MATCH($A78,'01_INPUT_COMPANIES'!$A$7:$A$106,0))),""),4))),"ERROR: EXPOSURE PERIOD",IF(OR(NOT(ISNUMBER($E78)),$E78&lt;=0,$E78&gt;1),"ERROR: PERIOD FRACTION",IF(OR($B78&lt;&gt;IFERROR(IF(INDEX('01_INPUT_COMPANIES'!$I$7:$I$106,MATCH($A78,'01_INPUT_COMPANIES'!$A$7:$A$106,0))="","",INDEX('01_INPUT_COMPANIES'!$I$7:$I$106,MATCH($A78,'01_INPUT_COMPANIES'!$A$7:$A$106,0))),""),$C78&lt;&gt;IFERROR(IF(INDEX('01_INPUT_COMPANIES'!$J$7:$J$106,MATCH($A78,'01_INPUT_COMPANIES'!$A$7:$A$106,0))="","",INDEX('01_INPUT_COMPANIES'!$J$7:$J$106,MATCH($A78,'01_INPUT_COMPANIES'!$A$7:$A$106,0))),"")),"ERROR: COMPANY CURRENCY/YEAR",IF(NOT(OR($Y78="A",$Y78="B",$Y78="C",$Y78="SYNTHETIC")),"ERROR: QUALITY",IF(NOT(AND(OR(COUNTBLANK($F78:$H78)=3,AND(COUNT($F78:$H78)=3,MIN($F78:$H78)&gt;=0,$F78&lt;=$G78,$G78&lt;=$H78)),OR(COUNTBLANK($I78:$K78)=3,AND(COUNT($I78:$K78)=3,MIN($I78:$K78)&gt;=0,$I78&lt;=$J78,$J78&lt;=$K78)),OR(COUNTBLANK($L78:$N78)=3,AND(COUNT($L78:$N78)=3,MIN($L78:$N78)&gt;=0,$L78&lt;=$M78,$M78&lt;=$N78)),OR(COUNTBLANK($O78:$Q78)=3,AND(COUNT($O78:$Q78)=3,MIN($O78:$Q78)&gt;=0,$O78&lt;=$P78,$P78&lt;=$Q78)),OR(COUNTBLANK($R78:$T78)=3,AND(COUNT($R78:$T78)=3,MIN($R78:$T78)&gt;=0,$R78&lt;=$S78,$S78&lt;=$T78)),OR(COUNTBLANK($U78:$W78)=3,AND(COUNT($U78:$W78)=3,MIN($U78:$W78)&gt;=0,$U78&lt;=$V78,$V78&lt;=$W78,MAX($U78:$W78)&lt;=1)))),"ERROR: LOW/BASE/HIGH",IF(NOT(OR(AND(COUNTBLANK($R78:$T78)=3,COUNTBLANK($U78:$W78)=3),AND(COUNT($R78:$T78)=3,COUNT($U78:$W78)=3))),"ERROR: TRANSFER ASSUMPTION",IF(AND(COUNTA($F78:$W78)&gt;0,$X78=""),"ERROR: SOURCE","READY")))))))))))))</x:f>
      </x:c>
    </x:row>
    <x:row r="79">
      <x:c r="A79" s="30"/>
      <x:c r="B79" s="30"/>
      <x:c r="C79" s="30"/>
      <x:c r="D79" s="30"/>
      <x:c r="E79" s="30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9"/>
      <x:c r="V79" s="39"/>
      <x:c r="W79" s="39"/>
      <x:c r="X79" s="30"/>
      <x:c r="Y79" s="30"/>
      <x:c r="Z79" s="30"/>
      <x:c r="AA79" s="34" t="str">
        <x:f>IF($A79="","",IF(OR($A79&lt;&gt;TRIM($A79),NOT(EXACT($A79,UPPER($A79))),LEN($A79)&gt;64,ISNUMBER(FIND("*",$A79)),ISNUMBER(FIND("?",$A79)),ISNUMBER(FIND("~",$A79))),"ERROR: ID FORMAT",IF(COUNTIF($A$7:$A$106,$A79)&lt;&gt;1,"ERROR: DUPLICATE EXPOSURE ID",IF(COUNTIF('01_INPUT_COMPANIES'!$A$7:$A$106,$A79)&lt;&gt;1,"ERROR: COMPANY ID",IF(OR($B79="",COUNTIF('92_REF_VARIABLES'!$L$21:$L$50,$B79)&lt;&gt;1),"ERROR: CURRENCY",IF(OR(NOT(ISNUMBER($C79)),$C79&lt;&gt;INT($C79),$C79&lt;2000,$C79&gt;2100),"ERROR: PRICE YEAR",IF(OR($D79="",AND($D79&lt;&gt;IFERROR(IF(INDEX('01_INPUT_COMPANIES'!$G$7:$G$106,MATCH($A79,'01_INPUT_COMPANIES'!$A$7:$A$106,0))="","",INDEX('01_INPUT_COMPANIES'!$G$7:$G$106,MATCH($A79,'01_INPUT_COMPANIES'!$A$7:$A$106,0))),""),$D79&lt;&gt;LEFT(IFERROR(IF(INDEX('01_INPUT_COMPANIES'!$G$7:$G$106,MATCH($A79,'01_INPUT_COMPANIES'!$A$7:$A$106,0))="","",INDEX('01_INPUT_COMPANIES'!$G$7:$G$106,MATCH($A79,'01_INPUT_COMPANIES'!$A$7:$A$106,0))),""),4))),"ERROR: EXPOSURE PERIOD",IF(OR(NOT(ISNUMBER($E79)),$E79&lt;=0,$E79&gt;1),"ERROR: PERIOD FRACTION",IF(OR($B79&lt;&gt;IFERROR(IF(INDEX('01_INPUT_COMPANIES'!$I$7:$I$106,MATCH($A79,'01_INPUT_COMPANIES'!$A$7:$A$106,0))="","",INDEX('01_INPUT_COMPANIES'!$I$7:$I$106,MATCH($A79,'01_INPUT_COMPANIES'!$A$7:$A$106,0))),""),$C79&lt;&gt;IFERROR(IF(INDEX('01_INPUT_COMPANIES'!$J$7:$J$106,MATCH($A79,'01_INPUT_COMPANIES'!$A$7:$A$106,0))="","",INDEX('01_INPUT_COMPANIES'!$J$7:$J$106,MATCH($A79,'01_INPUT_COMPANIES'!$A$7:$A$106,0))),"")),"ERROR: COMPANY CURRENCY/YEAR",IF(NOT(OR($Y79="A",$Y79="B",$Y79="C",$Y79="SYNTHETIC")),"ERROR: QUALITY",IF(NOT(AND(OR(COUNTBLANK($F79:$H79)=3,AND(COUNT($F79:$H79)=3,MIN($F79:$H79)&gt;=0,$F79&lt;=$G79,$G79&lt;=$H79)),OR(COUNTBLANK($I79:$K79)=3,AND(COUNT($I79:$K79)=3,MIN($I79:$K79)&gt;=0,$I79&lt;=$J79,$J79&lt;=$K79)),OR(COUNTBLANK($L79:$N79)=3,AND(COUNT($L79:$N79)=3,MIN($L79:$N79)&gt;=0,$L79&lt;=$M79,$M79&lt;=$N79)),OR(COUNTBLANK($O79:$Q79)=3,AND(COUNT($O79:$Q79)=3,MIN($O79:$Q79)&gt;=0,$O79&lt;=$P79,$P79&lt;=$Q79)),OR(COUNTBLANK($R79:$T79)=3,AND(COUNT($R79:$T79)=3,MIN($R79:$T79)&gt;=0,$R79&lt;=$S79,$S79&lt;=$T79)),OR(COUNTBLANK($U79:$W79)=3,AND(COUNT($U79:$W79)=3,MIN($U79:$W79)&gt;=0,$U79&lt;=$V79,$V79&lt;=$W79,MAX($U79:$W79)&lt;=1)))),"ERROR: LOW/BASE/HIGH",IF(NOT(OR(AND(COUNTBLANK($R79:$T79)=3,COUNTBLANK($U79:$W79)=3),AND(COUNT($R79:$T79)=3,COUNT($U79:$W79)=3))),"ERROR: TRANSFER ASSUMPTION",IF(AND(COUNTA($F79:$W79)&gt;0,$X79=""),"ERROR: SOURCE","READY")))))))))))))</x:f>
      </x:c>
    </x:row>
    <x:row r="80">
      <x:c r="A80" s="30"/>
      <x:c r="B80" s="30"/>
      <x:c r="C80" s="30"/>
      <x:c r="D80" s="30"/>
      <x:c r="E80" s="30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9"/>
      <x:c r="V80" s="39"/>
      <x:c r="W80" s="39"/>
      <x:c r="X80" s="30"/>
      <x:c r="Y80" s="30"/>
      <x:c r="Z80" s="30"/>
      <x:c r="AA80" s="34" t="str">
        <x:f>IF($A80="","",IF(OR($A80&lt;&gt;TRIM($A80),NOT(EXACT($A80,UPPER($A80))),LEN($A80)&gt;64,ISNUMBER(FIND("*",$A80)),ISNUMBER(FIND("?",$A80)),ISNUMBER(FIND("~",$A80))),"ERROR: ID FORMAT",IF(COUNTIF($A$7:$A$106,$A80)&lt;&gt;1,"ERROR: DUPLICATE EXPOSURE ID",IF(COUNTIF('01_INPUT_COMPANIES'!$A$7:$A$106,$A80)&lt;&gt;1,"ERROR: COMPANY ID",IF(OR($B80="",COUNTIF('92_REF_VARIABLES'!$L$21:$L$50,$B80)&lt;&gt;1),"ERROR: CURRENCY",IF(OR(NOT(ISNUMBER($C80)),$C80&lt;&gt;INT($C80),$C80&lt;2000,$C80&gt;2100),"ERROR: PRICE YEAR",IF(OR($D80="",AND($D80&lt;&gt;IFERROR(IF(INDEX('01_INPUT_COMPANIES'!$G$7:$G$106,MATCH($A80,'01_INPUT_COMPANIES'!$A$7:$A$106,0))="","",INDEX('01_INPUT_COMPANIES'!$G$7:$G$106,MATCH($A80,'01_INPUT_COMPANIES'!$A$7:$A$106,0))),""),$D80&lt;&gt;LEFT(IFERROR(IF(INDEX('01_INPUT_COMPANIES'!$G$7:$G$106,MATCH($A80,'01_INPUT_COMPANIES'!$A$7:$A$106,0))="","",INDEX('01_INPUT_COMPANIES'!$G$7:$G$106,MATCH($A80,'01_INPUT_COMPANIES'!$A$7:$A$106,0))),""),4))),"ERROR: EXPOSURE PERIOD",IF(OR(NOT(ISNUMBER($E80)),$E80&lt;=0,$E80&gt;1),"ERROR: PERIOD FRACTION",IF(OR($B80&lt;&gt;IFERROR(IF(INDEX('01_INPUT_COMPANIES'!$I$7:$I$106,MATCH($A80,'01_INPUT_COMPANIES'!$A$7:$A$106,0))="","",INDEX('01_INPUT_COMPANIES'!$I$7:$I$106,MATCH($A80,'01_INPUT_COMPANIES'!$A$7:$A$106,0))),""),$C80&lt;&gt;IFERROR(IF(INDEX('01_INPUT_COMPANIES'!$J$7:$J$106,MATCH($A80,'01_INPUT_COMPANIES'!$A$7:$A$106,0))="","",INDEX('01_INPUT_COMPANIES'!$J$7:$J$106,MATCH($A80,'01_INPUT_COMPANIES'!$A$7:$A$106,0))),"")),"ERROR: COMPANY CURRENCY/YEAR",IF(NOT(OR($Y80="A",$Y80="B",$Y80="C",$Y80="SYNTHETIC")),"ERROR: QUALITY",IF(NOT(AND(OR(COUNTBLANK($F80:$H80)=3,AND(COUNT($F80:$H80)=3,MIN($F80:$H80)&gt;=0,$F80&lt;=$G80,$G80&lt;=$H80)),OR(COUNTBLANK($I80:$K80)=3,AND(COUNT($I80:$K80)=3,MIN($I80:$K80)&gt;=0,$I80&lt;=$J80,$J80&lt;=$K80)),OR(COUNTBLANK($L80:$N80)=3,AND(COUNT($L80:$N80)=3,MIN($L80:$N80)&gt;=0,$L80&lt;=$M80,$M80&lt;=$N80)),OR(COUNTBLANK($O80:$Q80)=3,AND(COUNT($O80:$Q80)=3,MIN($O80:$Q80)&gt;=0,$O80&lt;=$P80,$P80&lt;=$Q80)),OR(COUNTBLANK($R80:$T80)=3,AND(COUNT($R80:$T80)=3,MIN($R80:$T80)&gt;=0,$R80&lt;=$S80,$S80&lt;=$T80)),OR(COUNTBLANK($U80:$W80)=3,AND(COUNT($U80:$W80)=3,MIN($U80:$W80)&gt;=0,$U80&lt;=$V80,$V80&lt;=$W80,MAX($U80:$W80)&lt;=1)))),"ERROR: LOW/BASE/HIGH",IF(NOT(OR(AND(COUNTBLANK($R80:$T80)=3,COUNTBLANK($U80:$W80)=3),AND(COUNT($R80:$T80)=3,COUNT($U80:$W80)=3))),"ERROR: TRANSFER ASSUMPTION",IF(AND(COUNTA($F80:$W80)&gt;0,$X80=""),"ERROR: SOURCE","READY")))))))))))))</x:f>
      </x:c>
    </x:row>
    <x:row r="81">
      <x:c r="A81" s="30"/>
      <x:c r="B81" s="30"/>
      <x:c r="C81" s="30"/>
      <x:c r="D81" s="30"/>
      <x:c r="E81" s="30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9"/>
      <x:c r="V81" s="39"/>
      <x:c r="W81" s="39"/>
      <x:c r="X81" s="30"/>
      <x:c r="Y81" s="30"/>
      <x:c r="Z81" s="30"/>
      <x:c r="AA81" s="34" t="str">
        <x:f>IF($A81="","",IF(OR($A81&lt;&gt;TRIM($A81),NOT(EXACT($A81,UPPER($A81))),LEN($A81)&gt;64,ISNUMBER(FIND("*",$A81)),ISNUMBER(FIND("?",$A81)),ISNUMBER(FIND("~",$A81))),"ERROR: ID FORMAT",IF(COUNTIF($A$7:$A$106,$A81)&lt;&gt;1,"ERROR: DUPLICATE EXPOSURE ID",IF(COUNTIF('01_INPUT_COMPANIES'!$A$7:$A$106,$A81)&lt;&gt;1,"ERROR: COMPANY ID",IF(OR($B81="",COUNTIF('92_REF_VARIABLES'!$L$21:$L$50,$B81)&lt;&gt;1),"ERROR: CURRENCY",IF(OR(NOT(ISNUMBER($C81)),$C81&lt;&gt;INT($C81),$C81&lt;2000,$C81&gt;2100),"ERROR: PRICE YEAR",IF(OR($D81="",AND($D81&lt;&gt;IFERROR(IF(INDEX('01_INPUT_COMPANIES'!$G$7:$G$106,MATCH($A81,'01_INPUT_COMPANIES'!$A$7:$A$106,0))="","",INDEX('01_INPUT_COMPANIES'!$G$7:$G$106,MATCH($A81,'01_INPUT_COMPANIES'!$A$7:$A$106,0))),""),$D81&lt;&gt;LEFT(IFERROR(IF(INDEX('01_INPUT_COMPANIES'!$G$7:$G$106,MATCH($A81,'01_INPUT_COMPANIES'!$A$7:$A$106,0))="","",INDEX('01_INPUT_COMPANIES'!$G$7:$G$106,MATCH($A81,'01_INPUT_COMPANIES'!$A$7:$A$106,0))),""),4))),"ERROR: EXPOSURE PERIOD",IF(OR(NOT(ISNUMBER($E81)),$E81&lt;=0,$E81&gt;1),"ERROR: PERIOD FRACTION",IF(OR($B81&lt;&gt;IFERROR(IF(INDEX('01_INPUT_COMPANIES'!$I$7:$I$106,MATCH($A81,'01_INPUT_COMPANIES'!$A$7:$A$106,0))="","",INDEX('01_INPUT_COMPANIES'!$I$7:$I$106,MATCH($A81,'01_INPUT_COMPANIES'!$A$7:$A$106,0))),""),$C81&lt;&gt;IFERROR(IF(INDEX('01_INPUT_COMPANIES'!$J$7:$J$106,MATCH($A81,'01_INPUT_COMPANIES'!$A$7:$A$106,0))="","",INDEX('01_INPUT_COMPANIES'!$J$7:$J$106,MATCH($A81,'01_INPUT_COMPANIES'!$A$7:$A$106,0))),"")),"ERROR: COMPANY CURRENCY/YEAR",IF(NOT(OR($Y81="A",$Y81="B",$Y81="C",$Y81="SYNTHETIC")),"ERROR: QUALITY",IF(NOT(AND(OR(COUNTBLANK($F81:$H81)=3,AND(COUNT($F81:$H81)=3,MIN($F81:$H81)&gt;=0,$F81&lt;=$G81,$G81&lt;=$H81)),OR(COUNTBLANK($I81:$K81)=3,AND(COUNT($I81:$K81)=3,MIN($I81:$K81)&gt;=0,$I81&lt;=$J81,$J81&lt;=$K81)),OR(COUNTBLANK($L81:$N81)=3,AND(COUNT($L81:$N81)=3,MIN($L81:$N81)&gt;=0,$L81&lt;=$M81,$M81&lt;=$N81)),OR(COUNTBLANK($O81:$Q81)=3,AND(COUNT($O81:$Q81)=3,MIN($O81:$Q81)&gt;=0,$O81&lt;=$P81,$P81&lt;=$Q81)),OR(COUNTBLANK($R81:$T81)=3,AND(COUNT($R81:$T81)=3,MIN($R81:$T81)&gt;=0,$R81&lt;=$S81,$S81&lt;=$T81)),OR(COUNTBLANK($U81:$W81)=3,AND(COUNT($U81:$W81)=3,MIN($U81:$W81)&gt;=0,$U81&lt;=$V81,$V81&lt;=$W81,MAX($U81:$W81)&lt;=1)))),"ERROR: LOW/BASE/HIGH",IF(NOT(OR(AND(COUNTBLANK($R81:$T81)=3,COUNTBLANK($U81:$W81)=3),AND(COUNT($R81:$T81)=3,COUNT($U81:$W81)=3))),"ERROR: TRANSFER ASSUMPTION",IF(AND(COUNTA($F81:$W81)&gt;0,$X81=""),"ERROR: SOURCE","READY")))))))))))))</x:f>
      </x:c>
    </x:row>
    <x:row r="82">
      <x:c r="A82" s="30"/>
      <x:c r="B82" s="30"/>
      <x:c r="C82" s="30"/>
      <x:c r="D82" s="30"/>
      <x:c r="E82" s="30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9"/>
      <x:c r="V82" s="39"/>
      <x:c r="W82" s="39"/>
      <x:c r="X82" s="30"/>
      <x:c r="Y82" s="30"/>
      <x:c r="Z82" s="30"/>
      <x:c r="AA82" s="34" t="str">
        <x:f>IF($A82="","",IF(OR($A82&lt;&gt;TRIM($A82),NOT(EXACT($A82,UPPER($A82))),LEN($A82)&gt;64,ISNUMBER(FIND("*",$A82)),ISNUMBER(FIND("?",$A82)),ISNUMBER(FIND("~",$A82))),"ERROR: ID FORMAT",IF(COUNTIF($A$7:$A$106,$A82)&lt;&gt;1,"ERROR: DUPLICATE EXPOSURE ID",IF(COUNTIF('01_INPUT_COMPANIES'!$A$7:$A$106,$A82)&lt;&gt;1,"ERROR: COMPANY ID",IF(OR($B82="",COUNTIF('92_REF_VARIABLES'!$L$21:$L$50,$B82)&lt;&gt;1),"ERROR: CURRENCY",IF(OR(NOT(ISNUMBER($C82)),$C82&lt;&gt;INT($C82),$C82&lt;2000,$C82&gt;2100),"ERROR: PRICE YEAR",IF(OR($D82="",AND($D82&lt;&gt;IFERROR(IF(INDEX('01_INPUT_COMPANIES'!$G$7:$G$106,MATCH($A82,'01_INPUT_COMPANIES'!$A$7:$A$106,0))="","",INDEX('01_INPUT_COMPANIES'!$G$7:$G$106,MATCH($A82,'01_INPUT_COMPANIES'!$A$7:$A$106,0))),""),$D82&lt;&gt;LEFT(IFERROR(IF(INDEX('01_INPUT_COMPANIES'!$G$7:$G$106,MATCH($A82,'01_INPUT_COMPANIES'!$A$7:$A$106,0))="","",INDEX('01_INPUT_COMPANIES'!$G$7:$G$106,MATCH($A82,'01_INPUT_COMPANIES'!$A$7:$A$106,0))),""),4))),"ERROR: EXPOSURE PERIOD",IF(OR(NOT(ISNUMBER($E82)),$E82&lt;=0,$E82&gt;1),"ERROR: PERIOD FRACTION",IF(OR($B82&lt;&gt;IFERROR(IF(INDEX('01_INPUT_COMPANIES'!$I$7:$I$106,MATCH($A82,'01_INPUT_COMPANIES'!$A$7:$A$106,0))="","",INDEX('01_INPUT_COMPANIES'!$I$7:$I$106,MATCH($A82,'01_INPUT_COMPANIES'!$A$7:$A$106,0))),""),$C82&lt;&gt;IFERROR(IF(INDEX('01_INPUT_COMPANIES'!$J$7:$J$106,MATCH($A82,'01_INPUT_COMPANIES'!$A$7:$A$106,0))="","",INDEX('01_INPUT_COMPANIES'!$J$7:$J$106,MATCH($A82,'01_INPUT_COMPANIES'!$A$7:$A$106,0))),"")),"ERROR: COMPANY CURRENCY/YEAR",IF(NOT(OR($Y82="A",$Y82="B",$Y82="C",$Y82="SYNTHETIC")),"ERROR: QUALITY",IF(NOT(AND(OR(COUNTBLANK($F82:$H82)=3,AND(COUNT($F82:$H82)=3,MIN($F82:$H82)&gt;=0,$F82&lt;=$G82,$G82&lt;=$H82)),OR(COUNTBLANK($I82:$K82)=3,AND(COUNT($I82:$K82)=3,MIN($I82:$K82)&gt;=0,$I82&lt;=$J82,$J82&lt;=$K82)),OR(COUNTBLANK($L82:$N82)=3,AND(COUNT($L82:$N82)=3,MIN($L82:$N82)&gt;=0,$L82&lt;=$M82,$M82&lt;=$N82)),OR(COUNTBLANK($O82:$Q82)=3,AND(COUNT($O82:$Q82)=3,MIN($O82:$Q82)&gt;=0,$O82&lt;=$P82,$P82&lt;=$Q82)),OR(COUNTBLANK($R82:$T82)=3,AND(COUNT($R82:$T82)=3,MIN($R82:$T82)&gt;=0,$R82&lt;=$S82,$S82&lt;=$T82)),OR(COUNTBLANK($U82:$W82)=3,AND(COUNT($U82:$W82)=3,MIN($U82:$W82)&gt;=0,$U82&lt;=$V82,$V82&lt;=$W82,MAX($U82:$W82)&lt;=1)))),"ERROR: LOW/BASE/HIGH",IF(NOT(OR(AND(COUNTBLANK($R82:$T82)=3,COUNTBLANK($U82:$W82)=3),AND(COUNT($R82:$T82)=3,COUNT($U82:$W82)=3))),"ERROR: TRANSFER ASSUMPTION",IF(AND(COUNTA($F82:$W82)&gt;0,$X82=""),"ERROR: SOURCE","READY")))))))))))))</x:f>
      </x:c>
    </x:row>
    <x:row r="83">
      <x:c r="A83" s="30"/>
      <x:c r="B83" s="30"/>
      <x:c r="C83" s="30"/>
      <x:c r="D83" s="30"/>
      <x:c r="E83" s="30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9"/>
      <x:c r="V83" s="39"/>
      <x:c r="W83" s="39"/>
      <x:c r="X83" s="30"/>
      <x:c r="Y83" s="30"/>
      <x:c r="Z83" s="30"/>
      <x:c r="AA83" s="34" t="str">
        <x:f>IF($A83="","",IF(OR($A83&lt;&gt;TRIM($A83),NOT(EXACT($A83,UPPER($A83))),LEN($A83)&gt;64,ISNUMBER(FIND("*",$A83)),ISNUMBER(FIND("?",$A83)),ISNUMBER(FIND("~",$A83))),"ERROR: ID FORMAT",IF(COUNTIF($A$7:$A$106,$A83)&lt;&gt;1,"ERROR: DUPLICATE EXPOSURE ID",IF(COUNTIF('01_INPUT_COMPANIES'!$A$7:$A$106,$A83)&lt;&gt;1,"ERROR: COMPANY ID",IF(OR($B83="",COUNTIF('92_REF_VARIABLES'!$L$21:$L$50,$B83)&lt;&gt;1),"ERROR: CURRENCY",IF(OR(NOT(ISNUMBER($C83)),$C83&lt;&gt;INT($C83),$C83&lt;2000,$C83&gt;2100),"ERROR: PRICE YEAR",IF(OR($D83="",AND($D83&lt;&gt;IFERROR(IF(INDEX('01_INPUT_COMPANIES'!$G$7:$G$106,MATCH($A83,'01_INPUT_COMPANIES'!$A$7:$A$106,0))="","",INDEX('01_INPUT_COMPANIES'!$G$7:$G$106,MATCH($A83,'01_INPUT_COMPANIES'!$A$7:$A$106,0))),""),$D83&lt;&gt;LEFT(IFERROR(IF(INDEX('01_INPUT_COMPANIES'!$G$7:$G$106,MATCH($A83,'01_INPUT_COMPANIES'!$A$7:$A$106,0))="","",INDEX('01_INPUT_COMPANIES'!$G$7:$G$106,MATCH($A83,'01_INPUT_COMPANIES'!$A$7:$A$106,0))),""),4))),"ERROR: EXPOSURE PERIOD",IF(OR(NOT(ISNUMBER($E83)),$E83&lt;=0,$E83&gt;1),"ERROR: PERIOD FRACTION",IF(OR($B83&lt;&gt;IFERROR(IF(INDEX('01_INPUT_COMPANIES'!$I$7:$I$106,MATCH($A83,'01_INPUT_COMPANIES'!$A$7:$A$106,0))="","",INDEX('01_INPUT_COMPANIES'!$I$7:$I$106,MATCH($A83,'01_INPUT_COMPANIES'!$A$7:$A$106,0))),""),$C83&lt;&gt;IFERROR(IF(INDEX('01_INPUT_COMPANIES'!$J$7:$J$106,MATCH($A83,'01_INPUT_COMPANIES'!$A$7:$A$106,0))="","",INDEX('01_INPUT_COMPANIES'!$J$7:$J$106,MATCH($A83,'01_INPUT_COMPANIES'!$A$7:$A$106,0))),"")),"ERROR: COMPANY CURRENCY/YEAR",IF(NOT(OR($Y83="A",$Y83="B",$Y83="C",$Y83="SYNTHETIC")),"ERROR: QUALITY",IF(NOT(AND(OR(COUNTBLANK($F83:$H83)=3,AND(COUNT($F83:$H83)=3,MIN($F83:$H83)&gt;=0,$F83&lt;=$G83,$G83&lt;=$H83)),OR(COUNTBLANK($I83:$K83)=3,AND(COUNT($I83:$K83)=3,MIN($I83:$K83)&gt;=0,$I83&lt;=$J83,$J83&lt;=$K83)),OR(COUNTBLANK($L83:$N83)=3,AND(COUNT($L83:$N83)=3,MIN($L83:$N83)&gt;=0,$L83&lt;=$M83,$M83&lt;=$N83)),OR(COUNTBLANK($O83:$Q83)=3,AND(COUNT($O83:$Q83)=3,MIN($O83:$Q83)&gt;=0,$O83&lt;=$P83,$P83&lt;=$Q83)),OR(COUNTBLANK($R83:$T83)=3,AND(COUNT($R83:$T83)=3,MIN($R83:$T83)&gt;=0,$R83&lt;=$S83,$S83&lt;=$T83)),OR(COUNTBLANK($U83:$W83)=3,AND(COUNT($U83:$W83)=3,MIN($U83:$W83)&gt;=0,$U83&lt;=$V83,$V83&lt;=$W83,MAX($U83:$W83)&lt;=1)))),"ERROR: LOW/BASE/HIGH",IF(NOT(OR(AND(COUNTBLANK($R83:$T83)=3,COUNTBLANK($U83:$W83)=3),AND(COUNT($R83:$T83)=3,COUNT($U83:$W83)=3))),"ERROR: TRANSFER ASSUMPTION",IF(AND(COUNTA($F83:$W83)&gt;0,$X83=""),"ERROR: SOURCE","READY")))))))))))))</x:f>
      </x:c>
    </x:row>
    <x:row r="84">
      <x:c r="A84" s="30"/>
      <x:c r="B84" s="30"/>
      <x:c r="C84" s="30"/>
      <x:c r="D84" s="30"/>
      <x:c r="E84" s="30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9"/>
      <x:c r="V84" s="39"/>
      <x:c r="W84" s="39"/>
      <x:c r="X84" s="30"/>
      <x:c r="Y84" s="30"/>
      <x:c r="Z84" s="30"/>
      <x:c r="AA84" s="34" t="str">
        <x:f>IF($A84="","",IF(OR($A84&lt;&gt;TRIM($A84),NOT(EXACT($A84,UPPER($A84))),LEN($A84)&gt;64,ISNUMBER(FIND("*",$A84)),ISNUMBER(FIND("?",$A84)),ISNUMBER(FIND("~",$A84))),"ERROR: ID FORMAT",IF(COUNTIF($A$7:$A$106,$A84)&lt;&gt;1,"ERROR: DUPLICATE EXPOSURE ID",IF(COUNTIF('01_INPUT_COMPANIES'!$A$7:$A$106,$A84)&lt;&gt;1,"ERROR: COMPANY ID",IF(OR($B84="",COUNTIF('92_REF_VARIABLES'!$L$21:$L$50,$B84)&lt;&gt;1),"ERROR: CURRENCY",IF(OR(NOT(ISNUMBER($C84)),$C84&lt;&gt;INT($C84),$C84&lt;2000,$C84&gt;2100),"ERROR: PRICE YEAR",IF(OR($D84="",AND($D84&lt;&gt;IFERROR(IF(INDEX('01_INPUT_COMPANIES'!$G$7:$G$106,MATCH($A84,'01_INPUT_COMPANIES'!$A$7:$A$106,0))="","",INDEX('01_INPUT_COMPANIES'!$G$7:$G$106,MATCH($A84,'01_INPUT_COMPANIES'!$A$7:$A$106,0))),""),$D84&lt;&gt;LEFT(IFERROR(IF(INDEX('01_INPUT_COMPANIES'!$G$7:$G$106,MATCH($A84,'01_INPUT_COMPANIES'!$A$7:$A$106,0))="","",INDEX('01_INPUT_COMPANIES'!$G$7:$G$106,MATCH($A84,'01_INPUT_COMPANIES'!$A$7:$A$106,0))),""),4))),"ERROR: EXPOSURE PERIOD",IF(OR(NOT(ISNUMBER($E84)),$E84&lt;=0,$E84&gt;1),"ERROR: PERIOD FRACTION",IF(OR($B84&lt;&gt;IFERROR(IF(INDEX('01_INPUT_COMPANIES'!$I$7:$I$106,MATCH($A84,'01_INPUT_COMPANIES'!$A$7:$A$106,0))="","",INDEX('01_INPUT_COMPANIES'!$I$7:$I$106,MATCH($A84,'01_INPUT_COMPANIES'!$A$7:$A$106,0))),""),$C84&lt;&gt;IFERROR(IF(INDEX('01_INPUT_COMPANIES'!$J$7:$J$106,MATCH($A84,'01_INPUT_COMPANIES'!$A$7:$A$106,0))="","",INDEX('01_INPUT_COMPANIES'!$J$7:$J$106,MATCH($A84,'01_INPUT_COMPANIES'!$A$7:$A$106,0))),"")),"ERROR: COMPANY CURRENCY/YEAR",IF(NOT(OR($Y84="A",$Y84="B",$Y84="C",$Y84="SYNTHETIC")),"ERROR: QUALITY",IF(NOT(AND(OR(COUNTBLANK($F84:$H84)=3,AND(COUNT($F84:$H84)=3,MIN($F84:$H84)&gt;=0,$F84&lt;=$G84,$G84&lt;=$H84)),OR(COUNTBLANK($I84:$K84)=3,AND(COUNT($I84:$K84)=3,MIN($I84:$K84)&gt;=0,$I84&lt;=$J84,$J84&lt;=$K84)),OR(COUNTBLANK($L84:$N84)=3,AND(COUNT($L84:$N84)=3,MIN($L84:$N84)&gt;=0,$L84&lt;=$M84,$M84&lt;=$N84)),OR(COUNTBLANK($O84:$Q84)=3,AND(COUNT($O84:$Q84)=3,MIN($O84:$Q84)&gt;=0,$O84&lt;=$P84,$P84&lt;=$Q84)),OR(COUNTBLANK($R84:$T84)=3,AND(COUNT($R84:$T84)=3,MIN($R84:$T84)&gt;=0,$R84&lt;=$S84,$S84&lt;=$T84)),OR(COUNTBLANK($U84:$W84)=3,AND(COUNT($U84:$W84)=3,MIN($U84:$W84)&gt;=0,$U84&lt;=$V84,$V84&lt;=$W84,MAX($U84:$W84)&lt;=1)))),"ERROR: LOW/BASE/HIGH",IF(NOT(OR(AND(COUNTBLANK($R84:$T84)=3,COUNTBLANK($U84:$W84)=3),AND(COUNT($R84:$T84)=3,COUNT($U84:$W84)=3))),"ERROR: TRANSFER ASSUMPTION",IF(AND(COUNTA($F84:$W84)&gt;0,$X84=""),"ERROR: SOURCE","READY")))))))))))))</x:f>
      </x:c>
    </x:row>
    <x:row r="85">
      <x:c r="A85" s="30"/>
      <x:c r="B85" s="30"/>
      <x:c r="C85" s="30"/>
      <x:c r="D85" s="30"/>
      <x:c r="E85" s="30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9"/>
      <x:c r="V85" s="39"/>
      <x:c r="W85" s="39"/>
      <x:c r="X85" s="30"/>
      <x:c r="Y85" s="30"/>
      <x:c r="Z85" s="30"/>
      <x:c r="AA85" s="34" t="str">
        <x:f>IF($A85="","",IF(OR($A85&lt;&gt;TRIM($A85),NOT(EXACT($A85,UPPER($A85))),LEN($A85)&gt;64,ISNUMBER(FIND("*",$A85)),ISNUMBER(FIND("?",$A85)),ISNUMBER(FIND("~",$A85))),"ERROR: ID FORMAT",IF(COUNTIF($A$7:$A$106,$A85)&lt;&gt;1,"ERROR: DUPLICATE EXPOSURE ID",IF(COUNTIF('01_INPUT_COMPANIES'!$A$7:$A$106,$A85)&lt;&gt;1,"ERROR: COMPANY ID",IF(OR($B85="",COUNTIF('92_REF_VARIABLES'!$L$21:$L$50,$B85)&lt;&gt;1),"ERROR: CURRENCY",IF(OR(NOT(ISNUMBER($C85)),$C85&lt;&gt;INT($C85),$C85&lt;2000,$C85&gt;2100),"ERROR: PRICE YEAR",IF(OR($D85="",AND($D85&lt;&gt;IFERROR(IF(INDEX('01_INPUT_COMPANIES'!$G$7:$G$106,MATCH($A85,'01_INPUT_COMPANIES'!$A$7:$A$106,0))="","",INDEX('01_INPUT_COMPANIES'!$G$7:$G$106,MATCH($A85,'01_INPUT_COMPANIES'!$A$7:$A$106,0))),""),$D85&lt;&gt;LEFT(IFERROR(IF(INDEX('01_INPUT_COMPANIES'!$G$7:$G$106,MATCH($A85,'01_INPUT_COMPANIES'!$A$7:$A$106,0))="","",INDEX('01_INPUT_COMPANIES'!$G$7:$G$106,MATCH($A85,'01_INPUT_COMPANIES'!$A$7:$A$106,0))),""),4))),"ERROR: EXPOSURE PERIOD",IF(OR(NOT(ISNUMBER($E85)),$E85&lt;=0,$E85&gt;1),"ERROR: PERIOD FRACTION",IF(OR($B85&lt;&gt;IFERROR(IF(INDEX('01_INPUT_COMPANIES'!$I$7:$I$106,MATCH($A85,'01_INPUT_COMPANIES'!$A$7:$A$106,0))="","",INDEX('01_INPUT_COMPANIES'!$I$7:$I$106,MATCH($A85,'01_INPUT_COMPANIES'!$A$7:$A$106,0))),""),$C85&lt;&gt;IFERROR(IF(INDEX('01_INPUT_COMPANIES'!$J$7:$J$106,MATCH($A85,'01_INPUT_COMPANIES'!$A$7:$A$106,0))="","",INDEX('01_INPUT_COMPANIES'!$J$7:$J$106,MATCH($A85,'01_INPUT_COMPANIES'!$A$7:$A$106,0))),"")),"ERROR: COMPANY CURRENCY/YEAR",IF(NOT(OR($Y85="A",$Y85="B",$Y85="C",$Y85="SYNTHETIC")),"ERROR: QUALITY",IF(NOT(AND(OR(COUNTBLANK($F85:$H85)=3,AND(COUNT($F85:$H85)=3,MIN($F85:$H85)&gt;=0,$F85&lt;=$G85,$G85&lt;=$H85)),OR(COUNTBLANK($I85:$K85)=3,AND(COUNT($I85:$K85)=3,MIN($I85:$K85)&gt;=0,$I85&lt;=$J85,$J85&lt;=$K85)),OR(COUNTBLANK($L85:$N85)=3,AND(COUNT($L85:$N85)=3,MIN($L85:$N85)&gt;=0,$L85&lt;=$M85,$M85&lt;=$N85)),OR(COUNTBLANK($O85:$Q85)=3,AND(COUNT($O85:$Q85)=3,MIN($O85:$Q85)&gt;=0,$O85&lt;=$P85,$P85&lt;=$Q85)),OR(COUNTBLANK($R85:$T85)=3,AND(COUNT($R85:$T85)=3,MIN($R85:$T85)&gt;=0,$R85&lt;=$S85,$S85&lt;=$T85)),OR(COUNTBLANK($U85:$W85)=3,AND(COUNT($U85:$W85)=3,MIN($U85:$W85)&gt;=0,$U85&lt;=$V85,$V85&lt;=$W85,MAX($U85:$W85)&lt;=1)))),"ERROR: LOW/BASE/HIGH",IF(NOT(OR(AND(COUNTBLANK($R85:$T85)=3,COUNTBLANK($U85:$W85)=3),AND(COUNT($R85:$T85)=3,COUNT($U85:$W85)=3))),"ERROR: TRANSFER ASSUMPTION",IF(AND(COUNTA($F85:$W85)&gt;0,$X85=""),"ERROR: SOURCE","READY")))))))))))))</x:f>
      </x:c>
    </x:row>
    <x:row r="86">
      <x:c r="A86" s="30"/>
      <x:c r="B86" s="30"/>
      <x:c r="C86" s="30"/>
      <x:c r="D86" s="30"/>
      <x:c r="E86" s="30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9"/>
      <x:c r="V86" s="39"/>
      <x:c r="W86" s="39"/>
      <x:c r="X86" s="30"/>
      <x:c r="Y86" s="30"/>
      <x:c r="Z86" s="30"/>
      <x:c r="AA86" s="34" t="str">
        <x:f>IF($A86="","",IF(OR($A86&lt;&gt;TRIM($A86),NOT(EXACT($A86,UPPER($A86))),LEN($A86)&gt;64,ISNUMBER(FIND("*",$A86)),ISNUMBER(FIND("?",$A86)),ISNUMBER(FIND("~",$A86))),"ERROR: ID FORMAT",IF(COUNTIF($A$7:$A$106,$A86)&lt;&gt;1,"ERROR: DUPLICATE EXPOSURE ID",IF(COUNTIF('01_INPUT_COMPANIES'!$A$7:$A$106,$A86)&lt;&gt;1,"ERROR: COMPANY ID",IF(OR($B86="",COUNTIF('92_REF_VARIABLES'!$L$21:$L$50,$B86)&lt;&gt;1),"ERROR: CURRENCY",IF(OR(NOT(ISNUMBER($C86)),$C86&lt;&gt;INT($C86),$C86&lt;2000,$C86&gt;2100),"ERROR: PRICE YEAR",IF(OR($D86="",AND($D86&lt;&gt;IFERROR(IF(INDEX('01_INPUT_COMPANIES'!$G$7:$G$106,MATCH($A86,'01_INPUT_COMPANIES'!$A$7:$A$106,0))="","",INDEX('01_INPUT_COMPANIES'!$G$7:$G$106,MATCH($A86,'01_INPUT_COMPANIES'!$A$7:$A$106,0))),""),$D86&lt;&gt;LEFT(IFERROR(IF(INDEX('01_INPUT_COMPANIES'!$G$7:$G$106,MATCH($A86,'01_INPUT_COMPANIES'!$A$7:$A$106,0))="","",INDEX('01_INPUT_COMPANIES'!$G$7:$G$106,MATCH($A86,'01_INPUT_COMPANIES'!$A$7:$A$106,0))),""),4))),"ERROR: EXPOSURE PERIOD",IF(OR(NOT(ISNUMBER($E86)),$E86&lt;=0,$E86&gt;1),"ERROR: PERIOD FRACTION",IF(OR($B86&lt;&gt;IFERROR(IF(INDEX('01_INPUT_COMPANIES'!$I$7:$I$106,MATCH($A86,'01_INPUT_COMPANIES'!$A$7:$A$106,0))="","",INDEX('01_INPUT_COMPANIES'!$I$7:$I$106,MATCH($A86,'01_INPUT_COMPANIES'!$A$7:$A$106,0))),""),$C86&lt;&gt;IFERROR(IF(INDEX('01_INPUT_COMPANIES'!$J$7:$J$106,MATCH($A86,'01_INPUT_COMPANIES'!$A$7:$A$106,0))="","",INDEX('01_INPUT_COMPANIES'!$J$7:$J$106,MATCH($A86,'01_INPUT_COMPANIES'!$A$7:$A$106,0))),"")),"ERROR: COMPANY CURRENCY/YEAR",IF(NOT(OR($Y86="A",$Y86="B",$Y86="C",$Y86="SYNTHETIC")),"ERROR: QUALITY",IF(NOT(AND(OR(COUNTBLANK($F86:$H86)=3,AND(COUNT($F86:$H86)=3,MIN($F86:$H86)&gt;=0,$F86&lt;=$G86,$G86&lt;=$H86)),OR(COUNTBLANK($I86:$K86)=3,AND(COUNT($I86:$K86)=3,MIN($I86:$K86)&gt;=0,$I86&lt;=$J86,$J86&lt;=$K86)),OR(COUNTBLANK($L86:$N86)=3,AND(COUNT($L86:$N86)=3,MIN($L86:$N86)&gt;=0,$L86&lt;=$M86,$M86&lt;=$N86)),OR(COUNTBLANK($O86:$Q86)=3,AND(COUNT($O86:$Q86)=3,MIN($O86:$Q86)&gt;=0,$O86&lt;=$P86,$P86&lt;=$Q86)),OR(COUNTBLANK($R86:$T86)=3,AND(COUNT($R86:$T86)=3,MIN($R86:$T86)&gt;=0,$R86&lt;=$S86,$S86&lt;=$T86)),OR(COUNTBLANK($U86:$W86)=3,AND(COUNT($U86:$W86)=3,MIN($U86:$W86)&gt;=0,$U86&lt;=$V86,$V86&lt;=$W86,MAX($U86:$W86)&lt;=1)))),"ERROR: LOW/BASE/HIGH",IF(NOT(OR(AND(COUNTBLANK($R86:$T86)=3,COUNTBLANK($U86:$W86)=3),AND(COUNT($R86:$T86)=3,COUNT($U86:$W86)=3))),"ERROR: TRANSFER ASSUMPTION",IF(AND(COUNTA($F86:$W86)&gt;0,$X86=""),"ERROR: SOURCE","READY")))))))))))))</x:f>
      </x:c>
    </x:row>
    <x:row r="87">
      <x:c r="A87" s="30"/>
      <x:c r="B87" s="30"/>
      <x:c r="C87" s="30"/>
      <x:c r="D87" s="30"/>
      <x:c r="E87" s="30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9"/>
      <x:c r="V87" s="39"/>
      <x:c r="W87" s="39"/>
      <x:c r="X87" s="30"/>
      <x:c r="Y87" s="30"/>
      <x:c r="Z87" s="30"/>
      <x:c r="AA87" s="34" t="str">
        <x:f>IF($A87="","",IF(OR($A87&lt;&gt;TRIM($A87),NOT(EXACT($A87,UPPER($A87))),LEN($A87)&gt;64,ISNUMBER(FIND("*",$A87)),ISNUMBER(FIND("?",$A87)),ISNUMBER(FIND("~",$A87))),"ERROR: ID FORMAT",IF(COUNTIF($A$7:$A$106,$A87)&lt;&gt;1,"ERROR: DUPLICATE EXPOSURE ID",IF(COUNTIF('01_INPUT_COMPANIES'!$A$7:$A$106,$A87)&lt;&gt;1,"ERROR: COMPANY ID",IF(OR($B87="",COUNTIF('92_REF_VARIABLES'!$L$21:$L$50,$B87)&lt;&gt;1),"ERROR: CURRENCY",IF(OR(NOT(ISNUMBER($C87)),$C87&lt;&gt;INT($C87),$C87&lt;2000,$C87&gt;2100),"ERROR: PRICE YEAR",IF(OR($D87="",AND($D87&lt;&gt;IFERROR(IF(INDEX('01_INPUT_COMPANIES'!$G$7:$G$106,MATCH($A87,'01_INPUT_COMPANIES'!$A$7:$A$106,0))="","",INDEX('01_INPUT_COMPANIES'!$G$7:$G$106,MATCH($A87,'01_INPUT_COMPANIES'!$A$7:$A$106,0))),""),$D87&lt;&gt;LEFT(IFERROR(IF(INDEX('01_INPUT_COMPANIES'!$G$7:$G$106,MATCH($A87,'01_INPUT_COMPANIES'!$A$7:$A$106,0))="","",INDEX('01_INPUT_COMPANIES'!$G$7:$G$106,MATCH($A87,'01_INPUT_COMPANIES'!$A$7:$A$106,0))),""),4))),"ERROR: EXPOSURE PERIOD",IF(OR(NOT(ISNUMBER($E87)),$E87&lt;=0,$E87&gt;1),"ERROR: PERIOD FRACTION",IF(OR($B87&lt;&gt;IFERROR(IF(INDEX('01_INPUT_COMPANIES'!$I$7:$I$106,MATCH($A87,'01_INPUT_COMPANIES'!$A$7:$A$106,0))="","",INDEX('01_INPUT_COMPANIES'!$I$7:$I$106,MATCH($A87,'01_INPUT_COMPANIES'!$A$7:$A$106,0))),""),$C87&lt;&gt;IFERROR(IF(INDEX('01_INPUT_COMPANIES'!$J$7:$J$106,MATCH($A87,'01_INPUT_COMPANIES'!$A$7:$A$106,0))="","",INDEX('01_INPUT_COMPANIES'!$J$7:$J$106,MATCH($A87,'01_INPUT_COMPANIES'!$A$7:$A$106,0))),"")),"ERROR: COMPANY CURRENCY/YEAR",IF(NOT(OR($Y87="A",$Y87="B",$Y87="C",$Y87="SYNTHETIC")),"ERROR: QUALITY",IF(NOT(AND(OR(COUNTBLANK($F87:$H87)=3,AND(COUNT($F87:$H87)=3,MIN($F87:$H87)&gt;=0,$F87&lt;=$G87,$G87&lt;=$H87)),OR(COUNTBLANK($I87:$K87)=3,AND(COUNT($I87:$K87)=3,MIN($I87:$K87)&gt;=0,$I87&lt;=$J87,$J87&lt;=$K87)),OR(COUNTBLANK($L87:$N87)=3,AND(COUNT($L87:$N87)=3,MIN($L87:$N87)&gt;=0,$L87&lt;=$M87,$M87&lt;=$N87)),OR(COUNTBLANK($O87:$Q87)=3,AND(COUNT($O87:$Q87)=3,MIN($O87:$Q87)&gt;=0,$O87&lt;=$P87,$P87&lt;=$Q87)),OR(COUNTBLANK($R87:$T87)=3,AND(COUNT($R87:$T87)=3,MIN($R87:$T87)&gt;=0,$R87&lt;=$S87,$S87&lt;=$T87)),OR(COUNTBLANK($U87:$W87)=3,AND(COUNT($U87:$W87)=3,MIN($U87:$W87)&gt;=0,$U87&lt;=$V87,$V87&lt;=$W87,MAX($U87:$W87)&lt;=1)))),"ERROR: LOW/BASE/HIGH",IF(NOT(OR(AND(COUNTBLANK($R87:$T87)=3,COUNTBLANK($U87:$W87)=3),AND(COUNT($R87:$T87)=3,COUNT($U87:$W87)=3))),"ERROR: TRANSFER ASSUMPTION",IF(AND(COUNTA($F87:$W87)&gt;0,$X87=""),"ERROR: SOURCE","READY")))))))))))))</x:f>
      </x:c>
    </x:row>
    <x:row r="88">
      <x:c r="A88" s="30"/>
      <x:c r="B88" s="30"/>
      <x:c r="C88" s="30"/>
      <x:c r="D88" s="30"/>
      <x:c r="E88" s="30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9"/>
      <x:c r="V88" s="39"/>
      <x:c r="W88" s="39"/>
      <x:c r="X88" s="30"/>
      <x:c r="Y88" s="30"/>
      <x:c r="Z88" s="30"/>
      <x:c r="AA88" s="34" t="str">
        <x:f>IF($A88="","",IF(OR($A88&lt;&gt;TRIM($A88),NOT(EXACT($A88,UPPER($A88))),LEN($A88)&gt;64,ISNUMBER(FIND("*",$A88)),ISNUMBER(FIND("?",$A88)),ISNUMBER(FIND("~",$A88))),"ERROR: ID FORMAT",IF(COUNTIF($A$7:$A$106,$A88)&lt;&gt;1,"ERROR: DUPLICATE EXPOSURE ID",IF(COUNTIF('01_INPUT_COMPANIES'!$A$7:$A$106,$A88)&lt;&gt;1,"ERROR: COMPANY ID",IF(OR($B88="",COUNTIF('92_REF_VARIABLES'!$L$21:$L$50,$B88)&lt;&gt;1),"ERROR: CURRENCY",IF(OR(NOT(ISNUMBER($C88)),$C88&lt;&gt;INT($C88),$C88&lt;2000,$C88&gt;2100),"ERROR: PRICE YEAR",IF(OR($D88="",AND($D88&lt;&gt;IFERROR(IF(INDEX('01_INPUT_COMPANIES'!$G$7:$G$106,MATCH($A88,'01_INPUT_COMPANIES'!$A$7:$A$106,0))="","",INDEX('01_INPUT_COMPANIES'!$G$7:$G$106,MATCH($A88,'01_INPUT_COMPANIES'!$A$7:$A$106,0))),""),$D88&lt;&gt;LEFT(IFERROR(IF(INDEX('01_INPUT_COMPANIES'!$G$7:$G$106,MATCH($A88,'01_INPUT_COMPANIES'!$A$7:$A$106,0))="","",INDEX('01_INPUT_COMPANIES'!$G$7:$G$106,MATCH($A88,'01_INPUT_COMPANIES'!$A$7:$A$106,0))),""),4))),"ERROR: EXPOSURE PERIOD",IF(OR(NOT(ISNUMBER($E88)),$E88&lt;=0,$E88&gt;1),"ERROR: PERIOD FRACTION",IF(OR($B88&lt;&gt;IFERROR(IF(INDEX('01_INPUT_COMPANIES'!$I$7:$I$106,MATCH($A88,'01_INPUT_COMPANIES'!$A$7:$A$106,0))="","",INDEX('01_INPUT_COMPANIES'!$I$7:$I$106,MATCH($A88,'01_INPUT_COMPANIES'!$A$7:$A$106,0))),""),$C88&lt;&gt;IFERROR(IF(INDEX('01_INPUT_COMPANIES'!$J$7:$J$106,MATCH($A88,'01_INPUT_COMPANIES'!$A$7:$A$106,0))="","",INDEX('01_INPUT_COMPANIES'!$J$7:$J$106,MATCH($A88,'01_INPUT_COMPANIES'!$A$7:$A$106,0))),"")),"ERROR: COMPANY CURRENCY/YEAR",IF(NOT(OR($Y88="A",$Y88="B",$Y88="C",$Y88="SYNTHETIC")),"ERROR: QUALITY",IF(NOT(AND(OR(COUNTBLANK($F88:$H88)=3,AND(COUNT($F88:$H88)=3,MIN($F88:$H88)&gt;=0,$F88&lt;=$G88,$G88&lt;=$H88)),OR(COUNTBLANK($I88:$K88)=3,AND(COUNT($I88:$K88)=3,MIN($I88:$K88)&gt;=0,$I88&lt;=$J88,$J88&lt;=$K88)),OR(COUNTBLANK($L88:$N88)=3,AND(COUNT($L88:$N88)=3,MIN($L88:$N88)&gt;=0,$L88&lt;=$M88,$M88&lt;=$N88)),OR(COUNTBLANK($O88:$Q88)=3,AND(COUNT($O88:$Q88)=3,MIN($O88:$Q88)&gt;=0,$O88&lt;=$P88,$P88&lt;=$Q88)),OR(COUNTBLANK($R88:$T88)=3,AND(COUNT($R88:$T88)=3,MIN($R88:$T88)&gt;=0,$R88&lt;=$S88,$S88&lt;=$T88)),OR(COUNTBLANK($U88:$W88)=3,AND(COUNT($U88:$W88)=3,MIN($U88:$W88)&gt;=0,$U88&lt;=$V88,$V88&lt;=$W88,MAX($U88:$W88)&lt;=1)))),"ERROR: LOW/BASE/HIGH",IF(NOT(OR(AND(COUNTBLANK($R88:$T88)=3,COUNTBLANK($U88:$W88)=3),AND(COUNT($R88:$T88)=3,COUNT($U88:$W88)=3))),"ERROR: TRANSFER ASSUMPTION",IF(AND(COUNTA($F88:$W88)&gt;0,$X88=""),"ERROR: SOURCE","READY")))))))))))))</x:f>
      </x:c>
    </x:row>
    <x:row r="89">
      <x:c r="A89" s="30"/>
      <x:c r="B89" s="30"/>
      <x:c r="C89" s="30"/>
      <x:c r="D89" s="30"/>
      <x:c r="E89" s="30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9"/>
      <x:c r="V89" s="39"/>
      <x:c r="W89" s="39"/>
      <x:c r="X89" s="30"/>
      <x:c r="Y89" s="30"/>
      <x:c r="Z89" s="30"/>
      <x:c r="AA89" s="34" t="str">
        <x:f>IF($A89="","",IF(OR($A89&lt;&gt;TRIM($A89),NOT(EXACT($A89,UPPER($A89))),LEN($A89)&gt;64,ISNUMBER(FIND("*",$A89)),ISNUMBER(FIND("?",$A89)),ISNUMBER(FIND("~",$A89))),"ERROR: ID FORMAT",IF(COUNTIF($A$7:$A$106,$A89)&lt;&gt;1,"ERROR: DUPLICATE EXPOSURE ID",IF(COUNTIF('01_INPUT_COMPANIES'!$A$7:$A$106,$A89)&lt;&gt;1,"ERROR: COMPANY ID",IF(OR($B89="",COUNTIF('92_REF_VARIABLES'!$L$21:$L$50,$B89)&lt;&gt;1),"ERROR: CURRENCY",IF(OR(NOT(ISNUMBER($C89)),$C89&lt;&gt;INT($C89),$C89&lt;2000,$C89&gt;2100),"ERROR: PRICE YEAR",IF(OR($D89="",AND($D89&lt;&gt;IFERROR(IF(INDEX('01_INPUT_COMPANIES'!$G$7:$G$106,MATCH($A89,'01_INPUT_COMPANIES'!$A$7:$A$106,0))="","",INDEX('01_INPUT_COMPANIES'!$G$7:$G$106,MATCH($A89,'01_INPUT_COMPANIES'!$A$7:$A$106,0))),""),$D89&lt;&gt;LEFT(IFERROR(IF(INDEX('01_INPUT_COMPANIES'!$G$7:$G$106,MATCH($A89,'01_INPUT_COMPANIES'!$A$7:$A$106,0))="","",INDEX('01_INPUT_COMPANIES'!$G$7:$G$106,MATCH($A89,'01_INPUT_COMPANIES'!$A$7:$A$106,0))),""),4))),"ERROR: EXPOSURE PERIOD",IF(OR(NOT(ISNUMBER($E89)),$E89&lt;=0,$E89&gt;1),"ERROR: PERIOD FRACTION",IF(OR($B89&lt;&gt;IFERROR(IF(INDEX('01_INPUT_COMPANIES'!$I$7:$I$106,MATCH($A89,'01_INPUT_COMPANIES'!$A$7:$A$106,0))="","",INDEX('01_INPUT_COMPANIES'!$I$7:$I$106,MATCH($A89,'01_INPUT_COMPANIES'!$A$7:$A$106,0))),""),$C89&lt;&gt;IFERROR(IF(INDEX('01_INPUT_COMPANIES'!$J$7:$J$106,MATCH($A89,'01_INPUT_COMPANIES'!$A$7:$A$106,0))="","",INDEX('01_INPUT_COMPANIES'!$J$7:$J$106,MATCH($A89,'01_INPUT_COMPANIES'!$A$7:$A$106,0))),"")),"ERROR: COMPANY CURRENCY/YEAR",IF(NOT(OR($Y89="A",$Y89="B",$Y89="C",$Y89="SYNTHETIC")),"ERROR: QUALITY",IF(NOT(AND(OR(COUNTBLANK($F89:$H89)=3,AND(COUNT($F89:$H89)=3,MIN($F89:$H89)&gt;=0,$F89&lt;=$G89,$G89&lt;=$H89)),OR(COUNTBLANK($I89:$K89)=3,AND(COUNT($I89:$K89)=3,MIN($I89:$K89)&gt;=0,$I89&lt;=$J89,$J89&lt;=$K89)),OR(COUNTBLANK($L89:$N89)=3,AND(COUNT($L89:$N89)=3,MIN($L89:$N89)&gt;=0,$L89&lt;=$M89,$M89&lt;=$N89)),OR(COUNTBLANK($O89:$Q89)=3,AND(COUNT($O89:$Q89)=3,MIN($O89:$Q89)&gt;=0,$O89&lt;=$P89,$P89&lt;=$Q89)),OR(COUNTBLANK($R89:$T89)=3,AND(COUNT($R89:$T89)=3,MIN($R89:$T89)&gt;=0,$R89&lt;=$S89,$S89&lt;=$T89)),OR(COUNTBLANK($U89:$W89)=3,AND(COUNT($U89:$W89)=3,MIN($U89:$W89)&gt;=0,$U89&lt;=$V89,$V89&lt;=$W89,MAX($U89:$W89)&lt;=1)))),"ERROR: LOW/BASE/HIGH",IF(NOT(OR(AND(COUNTBLANK($R89:$T89)=3,COUNTBLANK($U89:$W89)=3),AND(COUNT($R89:$T89)=3,COUNT($U89:$W89)=3))),"ERROR: TRANSFER ASSUMPTION",IF(AND(COUNTA($F89:$W89)&gt;0,$X89=""),"ERROR: SOURCE","READY")))))))))))))</x:f>
      </x:c>
    </x:row>
    <x:row r="90">
      <x:c r="A90" s="30"/>
      <x:c r="B90" s="30"/>
      <x:c r="C90" s="30"/>
      <x:c r="D90" s="30"/>
      <x:c r="E90" s="30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9"/>
      <x:c r="V90" s="39"/>
      <x:c r="W90" s="39"/>
      <x:c r="X90" s="30"/>
      <x:c r="Y90" s="30"/>
      <x:c r="Z90" s="30"/>
      <x:c r="AA90" s="34" t="str">
        <x:f>IF($A90="","",IF(OR($A90&lt;&gt;TRIM($A90),NOT(EXACT($A90,UPPER($A90))),LEN($A90)&gt;64,ISNUMBER(FIND("*",$A90)),ISNUMBER(FIND("?",$A90)),ISNUMBER(FIND("~",$A90))),"ERROR: ID FORMAT",IF(COUNTIF($A$7:$A$106,$A90)&lt;&gt;1,"ERROR: DUPLICATE EXPOSURE ID",IF(COUNTIF('01_INPUT_COMPANIES'!$A$7:$A$106,$A90)&lt;&gt;1,"ERROR: COMPANY ID",IF(OR($B90="",COUNTIF('92_REF_VARIABLES'!$L$21:$L$50,$B90)&lt;&gt;1),"ERROR: CURRENCY",IF(OR(NOT(ISNUMBER($C90)),$C90&lt;&gt;INT($C90),$C90&lt;2000,$C90&gt;2100),"ERROR: PRICE YEAR",IF(OR($D90="",AND($D90&lt;&gt;IFERROR(IF(INDEX('01_INPUT_COMPANIES'!$G$7:$G$106,MATCH($A90,'01_INPUT_COMPANIES'!$A$7:$A$106,0))="","",INDEX('01_INPUT_COMPANIES'!$G$7:$G$106,MATCH($A90,'01_INPUT_COMPANIES'!$A$7:$A$106,0))),""),$D90&lt;&gt;LEFT(IFERROR(IF(INDEX('01_INPUT_COMPANIES'!$G$7:$G$106,MATCH($A90,'01_INPUT_COMPANIES'!$A$7:$A$106,0))="","",INDEX('01_INPUT_COMPANIES'!$G$7:$G$106,MATCH($A90,'01_INPUT_COMPANIES'!$A$7:$A$106,0))),""),4))),"ERROR: EXPOSURE PERIOD",IF(OR(NOT(ISNUMBER($E90)),$E90&lt;=0,$E90&gt;1),"ERROR: PERIOD FRACTION",IF(OR($B90&lt;&gt;IFERROR(IF(INDEX('01_INPUT_COMPANIES'!$I$7:$I$106,MATCH($A90,'01_INPUT_COMPANIES'!$A$7:$A$106,0))="","",INDEX('01_INPUT_COMPANIES'!$I$7:$I$106,MATCH($A90,'01_INPUT_COMPANIES'!$A$7:$A$106,0))),""),$C90&lt;&gt;IFERROR(IF(INDEX('01_INPUT_COMPANIES'!$J$7:$J$106,MATCH($A90,'01_INPUT_COMPANIES'!$A$7:$A$106,0))="","",INDEX('01_INPUT_COMPANIES'!$J$7:$J$106,MATCH($A90,'01_INPUT_COMPANIES'!$A$7:$A$106,0))),"")),"ERROR: COMPANY CURRENCY/YEAR",IF(NOT(OR($Y90="A",$Y90="B",$Y90="C",$Y90="SYNTHETIC")),"ERROR: QUALITY",IF(NOT(AND(OR(COUNTBLANK($F90:$H90)=3,AND(COUNT($F90:$H90)=3,MIN($F90:$H90)&gt;=0,$F90&lt;=$G90,$G90&lt;=$H90)),OR(COUNTBLANK($I90:$K90)=3,AND(COUNT($I90:$K90)=3,MIN($I90:$K90)&gt;=0,$I90&lt;=$J90,$J90&lt;=$K90)),OR(COUNTBLANK($L90:$N90)=3,AND(COUNT($L90:$N90)=3,MIN($L90:$N90)&gt;=0,$L90&lt;=$M90,$M90&lt;=$N90)),OR(COUNTBLANK($O90:$Q90)=3,AND(COUNT($O90:$Q90)=3,MIN($O90:$Q90)&gt;=0,$O90&lt;=$P90,$P90&lt;=$Q90)),OR(COUNTBLANK($R90:$T90)=3,AND(COUNT($R90:$T90)=3,MIN($R90:$T90)&gt;=0,$R90&lt;=$S90,$S90&lt;=$T90)),OR(COUNTBLANK($U90:$W90)=3,AND(COUNT($U90:$W90)=3,MIN($U90:$W90)&gt;=0,$U90&lt;=$V90,$V90&lt;=$W90,MAX($U90:$W90)&lt;=1)))),"ERROR: LOW/BASE/HIGH",IF(NOT(OR(AND(COUNTBLANK($R90:$T90)=3,COUNTBLANK($U90:$W90)=3),AND(COUNT($R90:$T90)=3,COUNT($U90:$W90)=3))),"ERROR: TRANSFER ASSUMPTION",IF(AND(COUNTA($F90:$W90)&gt;0,$X90=""),"ERROR: SOURCE","READY")))))))))))))</x:f>
      </x:c>
    </x:row>
    <x:row r="91">
      <x:c r="A91" s="30"/>
      <x:c r="B91" s="30"/>
      <x:c r="C91" s="30"/>
      <x:c r="D91" s="30"/>
      <x:c r="E91" s="30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9"/>
      <x:c r="V91" s="39"/>
      <x:c r="W91" s="39"/>
      <x:c r="X91" s="30"/>
      <x:c r="Y91" s="30"/>
      <x:c r="Z91" s="30"/>
      <x:c r="AA91" s="34" t="str">
        <x:f>IF($A91="","",IF(OR($A91&lt;&gt;TRIM($A91),NOT(EXACT($A91,UPPER($A91))),LEN($A91)&gt;64,ISNUMBER(FIND("*",$A91)),ISNUMBER(FIND("?",$A91)),ISNUMBER(FIND("~",$A91))),"ERROR: ID FORMAT",IF(COUNTIF($A$7:$A$106,$A91)&lt;&gt;1,"ERROR: DUPLICATE EXPOSURE ID",IF(COUNTIF('01_INPUT_COMPANIES'!$A$7:$A$106,$A91)&lt;&gt;1,"ERROR: COMPANY ID",IF(OR($B91="",COUNTIF('92_REF_VARIABLES'!$L$21:$L$50,$B91)&lt;&gt;1),"ERROR: CURRENCY",IF(OR(NOT(ISNUMBER($C91)),$C91&lt;&gt;INT($C91),$C91&lt;2000,$C91&gt;2100),"ERROR: PRICE YEAR",IF(OR($D91="",AND($D91&lt;&gt;IFERROR(IF(INDEX('01_INPUT_COMPANIES'!$G$7:$G$106,MATCH($A91,'01_INPUT_COMPANIES'!$A$7:$A$106,0))="","",INDEX('01_INPUT_COMPANIES'!$G$7:$G$106,MATCH($A91,'01_INPUT_COMPANIES'!$A$7:$A$106,0))),""),$D91&lt;&gt;LEFT(IFERROR(IF(INDEX('01_INPUT_COMPANIES'!$G$7:$G$106,MATCH($A91,'01_INPUT_COMPANIES'!$A$7:$A$106,0))="","",INDEX('01_INPUT_COMPANIES'!$G$7:$G$106,MATCH($A91,'01_INPUT_COMPANIES'!$A$7:$A$106,0))),""),4))),"ERROR: EXPOSURE PERIOD",IF(OR(NOT(ISNUMBER($E91)),$E91&lt;=0,$E91&gt;1),"ERROR: PERIOD FRACTION",IF(OR($B91&lt;&gt;IFERROR(IF(INDEX('01_INPUT_COMPANIES'!$I$7:$I$106,MATCH($A91,'01_INPUT_COMPANIES'!$A$7:$A$106,0))="","",INDEX('01_INPUT_COMPANIES'!$I$7:$I$106,MATCH($A91,'01_INPUT_COMPANIES'!$A$7:$A$106,0))),""),$C91&lt;&gt;IFERROR(IF(INDEX('01_INPUT_COMPANIES'!$J$7:$J$106,MATCH($A91,'01_INPUT_COMPANIES'!$A$7:$A$106,0))="","",INDEX('01_INPUT_COMPANIES'!$J$7:$J$106,MATCH($A91,'01_INPUT_COMPANIES'!$A$7:$A$106,0))),"")),"ERROR: COMPANY CURRENCY/YEAR",IF(NOT(OR($Y91="A",$Y91="B",$Y91="C",$Y91="SYNTHETIC")),"ERROR: QUALITY",IF(NOT(AND(OR(COUNTBLANK($F91:$H91)=3,AND(COUNT($F91:$H91)=3,MIN($F91:$H91)&gt;=0,$F91&lt;=$G91,$G91&lt;=$H91)),OR(COUNTBLANK($I91:$K91)=3,AND(COUNT($I91:$K91)=3,MIN($I91:$K91)&gt;=0,$I91&lt;=$J91,$J91&lt;=$K91)),OR(COUNTBLANK($L91:$N91)=3,AND(COUNT($L91:$N91)=3,MIN($L91:$N91)&gt;=0,$L91&lt;=$M91,$M91&lt;=$N91)),OR(COUNTBLANK($O91:$Q91)=3,AND(COUNT($O91:$Q91)=3,MIN($O91:$Q91)&gt;=0,$O91&lt;=$P91,$P91&lt;=$Q91)),OR(COUNTBLANK($R91:$T91)=3,AND(COUNT($R91:$T91)=3,MIN($R91:$T91)&gt;=0,$R91&lt;=$S91,$S91&lt;=$T91)),OR(COUNTBLANK($U91:$W91)=3,AND(COUNT($U91:$W91)=3,MIN($U91:$W91)&gt;=0,$U91&lt;=$V91,$V91&lt;=$W91,MAX($U91:$W91)&lt;=1)))),"ERROR: LOW/BASE/HIGH",IF(NOT(OR(AND(COUNTBLANK($R91:$T91)=3,COUNTBLANK($U91:$W91)=3),AND(COUNT($R91:$T91)=3,COUNT($U91:$W91)=3))),"ERROR: TRANSFER ASSUMPTION",IF(AND(COUNTA($F91:$W91)&gt;0,$X91=""),"ERROR: SOURCE","READY")))))))))))))</x:f>
      </x:c>
    </x:row>
    <x:row r="92">
      <x:c r="A92" s="30"/>
      <x:c r="B92" s="30"/>
      <x:c r="C92" s="30"/>
      <x:c r="D92" s="30"/>
      <x:c r="E92" s="30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9"/>
      <x:c r="V92" s="39"/>
      <x:c r="W92" s="39"/>
      <x:c r="X92" s="30"/>
      <x:c r="Y92" s="30"/>
      <x:c r="Z92" s="30"/>
      <x:c r="AA92" s="34" t="str">
        <x:f>IF($A92="","",IF(OR($A92&lt;&gt;TRIM($A92),NOT(EXACT($A92,UPPER($A92))),LEN($A92)&gt;64,ISNUMBER(FIND("*",$A92)),ISNUMBER(FIND("?",$A92)),ISNUMBER(FIND("~",$A92))),"ERROR: ID FORMAT",IF(COUNTIF($A$7:$A$106,$A92)&lt;&gt;1,"ERROR: DUPLICATE EXPOSURE ID",IF(COUNTIF('01_INPUT_COMPANIES'!$A$7:$A$106,$A92)&lt;&gt;1,"ERROR: COMPANY ID",IF(OR($B92="",COUNTIF('92_REF_VARIABLES'!$L$21:$L$50,$B92)&lt;&gt;1),"ERROR: CURRENCY",IF(OR(NOT(ISNUMBER($C92)),$C92&lt;&gt;INT($C92),$C92&lt;2000,$C92&gt;2100),"ERROR: PRICE YEAR",IF(OR($D92="",AND($D92&lt;&gt;IFERROR(IF(INDEX('01_INPUT_COMPANIES'!$G$7:$G$106,MATCH($A92,'01_INPUT_COMPANIES'!$A$7:$A$106,0))="","",INDEX('01_INPUT_COMPANIES'!$G$7:$G$106,MATCH($A92,'01_INPUT_COMPANIES'!$A$7:$A$106,0))),""),$D92&lt;&gt;LEFT(IFERROR(IF(INDEX('01_INPUT_COMPANIES'!$G$7:$G$106,MATCH($A92,'01_INPUT_COMPANIES'!$A$7:$A$106,0))="","",INDEX('01_INPUT_COMPANIES'!$G$7:$G$106,MATCH($A92,'01_INPUT_COMPANIES'!$A$7:$A$106,0))),""),4))),"ERROR: EXPOSURE PERIOD",IF(OR(NOT(ISNUMBER($E92)),$E92&lt;=0,$E92&gt;1),"ERROR: PERIOD FRACTION",IF(OR($B92&lt;&gt;IFERROR(IF(INDEX('01_INPUT_COMPANIES'!$I$7:$I$106,MATCH($A92,'01_INPUT_COMPANIES'!$A$7:$A$106,0))="","",INDEX('01_INPUT_COMPANIES'!$I$7:$I$106,MATCH($A92,'01_INPUT_COMPANIES'!$A$7:$A$106,0))),""),$C92&lt;&gt;IFERROR(IF(INDEX('01_INPUT_COMPANIES'!$J$7:$J$106,MATCH($A92,'01_INPUT_COMPANIES'!$A$7:$A$106,0))="","",INDEX('01_INPUT_COMPANIES'!$J$7:$J$106,MATCH($A92,'01_INPUT_COMPANIES'!$A$7:$A$106,0))),"")),"ERROR: COMPANY CURRENCY/YEAR",IF(NOT(OR($Y92="A",$Y92="B",$Y92="C",$Y92="SYNTHETIC")),"ERROR: QUALITY",IF(NOT(AND(OR(COUNTBLANK($F92:$H92)=3,AND(COUNT($F92:$H92)=3,MIN($F92:$H92)&gt;=0,$F92&lt;=$G92,$G92&lt;=$H92)),OR(COUNTBLANK($I92:$K92)=3,AND(COUNT($I92:$K92)=3,MIN($I92:$K92)&gt;=0,$I92&lt;=$J92,$J92&lt;=$K92)),OR(COUNTBLANK($L92:$N92)=3,AND(COUNT($L92:$N92)=3,MIN($L92:$N92)&gt;=0,$L92&lt;=$M92,$M92&lt;=$N92)),OR(COUNTBLANK($O92:$Q92)=3,AND(COUNT($O92:$Q92)=3,MIN($O92:$Q92)&gt;=0,$O92&lt;=$P92,$P92&lt;=$Q92)),OR(COUNTBLANK($R92:$T92)=3,AND(COUNT($R92:$T92)=3,MIN($R92:$T92)&gt;=0,$R92&lt;=$S92,$S92&lt;=$T92)),OR(COUNTBLANK($U92:$W92)=3,AND(COUNT($U92:$W92)=3,MIN($U92:$W92)&gt;=0,$U92&lt;=$V92,$V92&lt;=$W92,MAX($U92:$W92)&lt;=1)))),"ERROR: LOW/BASE/HIGH",IF(NOT(OR(AND(COUNTBLANK($R92:$T92)=3,COUNTBLANK($U92:$W92)=3),AND(COUNT($R92:$T92)=3,COUNT($U92:$W92)=3))),"ERROR: TRANSFER ASSUMPTION",IF(AND(COUNTA($F92:$W92)&gt;0,$X92=""),"ERROR: SOURCE","READY")))))))))))))</x:f>
      </x:c>
    </x:row>
    <x:row r="93">
      <x:c r="A93" s="30"/>
      <x:c r="B93" s="30"/>
      <x:c r="C93" s="30"/>
      <x:c r="D93" s="30"/>
      <x:c r="E93" s="30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9"/>
      <x:c r="V93" s="39"/>
      <x:c r="W93" s="39"/>
      <x:c r="X93" s="30"/>
      <x:c r="Y93" s="30"/>
      <x:c r="Z93" s="30"/>
      <x:c r="AA93" s="34" t="str">
        <x:f>IF($A93="","",IF(OR($A93&lt;&gt;TRIM($A93),NOT(EXACT($A93,UPPER($A93))),LEN($A93)&gt;64,ISNUMBER(FIND("*",$A93)),ISNUMBER(FIND("?",$A93)),ISNUMBER(FIND("~",$A93))),"ERROR: ID FORMAT",IF(COUNTIF($A$7:$A$106,$A93)&lt;&gt;1,"ERROR: DUPLICATE EXPOSURE ID",IF(COUNTIF('01_INPUT_COMPANIES'!$A$7:$A$106,$A93)&lt;&gt;1,"ERROR: COMPANY ID",IF(OR($B93="",COUNTIF('92_REF_VARIABLES'!$L$21:$L$50,$B93)&lt;&gt;1),"ERROR: CURRENCY",IF(OR(NOT(ISNUMBER($C93)),$C93&lt;&gt;INT($C93),$C93&lt;2000,$C93&gt;2100),"ERROR: PRICE YEAR",IF(OR($D93="",AND($D93&lt;&gt;IFERROR(IF(INDEX('01_INPUT_COMPANIES'!$G$7:$G$106,MATCH($A93,'01_INPUT_COMPANIES'!$A$7:$A$106,0))="","",INDEX('01_INPUT_COMPANIES'!$G$7:$G$106,MATCH($A93,'01_INPUT_COMPANIES'!$A$7:$A$106,0))),""),$D93&lt;&gt;LEFT(IFERROR(IF(INDEX('01_INPUT_COMPANIES'!$G$7:$G$106,MATCH($A93,'01_INPUT_COMPANIES'!$A$7:$A$106,0))="","",INDEX('01_INPUT_COMPANIES'!$G$7:$G$106,MATCH($A93,'01_INPUT_COMPANIES'!$A$7:$A$106,0))),""),4))),"ERROR: EXPOSURE PERIOD",IF(OR(NOT(ISNUMBER($E93)),$E93&lt;=0,$E93&gt;1),"ERROR: PERIOD FRACTION",IF(OR($B93&lt;&gt;IFERROR(IF(INDEX('01_INPUT_COMPANIES'!$I$7:$I$106,MATCH($A93,'01_INPUT_COMPANIES'!$A$7:$A$106,0))="","",INDEX('01_INPUT_COMPANIES'!$I$7:$I$106,MATCH($A93,'01_INPUT_COMPANIES'!$A$7:$A$106,0))),""),$C93&lt;&gt;IFERROR(IF(INDEX('01_INPUT_COMPANIES'!$J$7:$J$106,MATCH($A93,'01_INPUT_COMPANIES'!$A$7:$A$106,0))="","",INDEX('01_INPUT_COMPANIES'!$J$7:$J$106,MATCH($A93,'01_INPUT_COMPANIES'!$A$7:$A$106,0))),"")),"ERROR: COMPANY CURRENCY/YEAR",IF(NOT(OR($Y93="A",$Y93="B",$Y93="C",$Y93="SYNTHETIC")),"ERROR: QUALITY",IF(NOT(AND(OR(COUNTBLANK($F93:$H93)=3,AND(COUNT($F93:$H93)=3,MIN($F93:$H93)&gt;=0,$F93&lt;=$G93,$G93&lt;=$H93)),OR(COUNTBLANK($I93:$K93)=3,AND(COUNT($I93:$K93)=3,MIN($I93:$K93)&gt;=0,$I93&lt;=$J93,$J93&lt;=$K93)),OR(COUNTBLANK($L93:$N93)=3,AND(COUNT($L93:$N93)=3,MIN($L93:$N93)&gt;=0,$L93&lt;=$M93,$M93&lt;=$N93)),OR(COUNTBLANK($O93:$Q93)=3,AND(COUNT($O93:$Q93)=3,MIN($O93:$Q93)&gt;=0,$O93&lt;=$P93,$P93&lt;=$Q93)),OR(COUNTBLANK($R93:$T93)=3,AND(COUNT($R93:$T93)=3,MIN($R93:$T93)&gt;=0,$R93&lt;=$S93,$S93&lt;=$T93)),OR(COUNTBLANK($U93:$W93)=3,AND(COUNT($U93:$W93)=3,MIN($U93:$W93)&gt;=0,$U93&lt;=$V93,$V93&lt;=$W93,MAX($U93:$W93)&lt;=1)))),"ERROR: LOW/BASE/HIGH",IF(NOT(OR(AND(COUNTBLANK($R93:$T93)=3,COUNTBLANK($U93:$W93)=3),AND(COUNT($R93:$T93)=3,COUNT($U93:$W93)=3))),"ERROR: TRANSFER ASSUMPTION",IF(AND(COUNTA($F93:$W93)&gt;0,$X93=""),"ERROR: SOURCE","READY")))))))))))))</x:f>
      </x:c>
    </x:row>
    <x:row r="94">
      <x:c r="A94" s="30"/>
      <x:c r="B94" s="30"/>
      <x:c r="C94" s="30"/>
      <x:c r="D94" s="30"/>
      <x:c r="E94" s="30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9"/>
      <x:c r="V94" s="39"/>
      <x:c r="W94" s="39"/>
      <x:c r="X94" s="30"/>
      <x:c r="Y94" s="30"/>
      <x:c r="Z94" s="30"/>
      <x:c r="AA94" s="34" t="str">
        <x:f>IF($A94="","",IF(OR($A94&lt;&gt;TRIM($A94),NOT(EXACT($A94,UPPER($A94))),LEN($A94)&gt;64,ISNUMBER(FIND("*",$A94)),ISNUMBER(FIND("?",$A94)),ISNUMBER(FIND("~",$A94))),"ERROR: ID FORMAT",IF(COUNTIF($A$7:$A$106,$A94)&lt;&gt;1,"ERROR: DUPLICATE EXPOSURE ID",IF(COUNTIF('01_INPUT_COMPANIES'!$A$7:$A$106,$A94)&lt;&gt;1,"ERROR: COMPANY ID",IF(OR($B94="",COUNTIF('92_REF_VARIABLES'!$L$21:$L$50,$B94)&lt;&gt;1),"ERROR: CURRENCY",IF(OR(NOT(ISNUMBER($C94)),$C94&lt;&gt;INT($C94),$C94&lt;2000,$C94&gt;2100),"ERROR: PRICE YEAR",IF(OR($D94="",AND($D94&lt;&gt;IFERROR(IF(INDEX('01_INPUT_COMPANIES'!$G$7:$G$106,MATCH($A94,'01_INPUT_COMPANIES'!$A$7:$A$106,0))="","",INDEX('01_INPUT_COMPANIES'!$G$7:$G$106,MATCH($A94,'01_INPUT_COMPANIES'!$A$7:$A$106,0))),""),$D94&lt;&gt;LEFT(IFERROR(IF(INDEX('01_INPUT_COMPANIES'!$G$7:$G$106,MATCH($A94,'01_INPUT_COMPANIES'!$A$7:$A$106,0))="","",INDEX('01_INPUT_COMPANIES'!$G$7:$G$106,MATCH($A94,'01_INPUT_COMPANIES'!$A$7:$A$106,0))),""),4))),"ERROR: EXPOSURE PERIOD",IF(OR(NOT(ISNUMBER($E94)),$E94&lt;=0,$E94&gt;1),"ERROR: PERIOD FRACTION",IF(OR($B94&lt;&gt;IFERROR(IF(INDEX('01_INPUT_COMPANIES'!$I$7:$I$106,MATCH($A94,'01_INPUT_COMPANIES'!$A$7:$A$106,0))="","",INDEX('01_INPUT_COMPANIES'!$I$7:$I$106,MATCH($A94,'01_INPUT_COMPANIES'!$A$7:$A$106,0))),""),$C94&lt;&gt;IFERROR(IF(INDEX('01_INPUT_COMPANIES'!$J$7:$J$106,MATCH($A94,'01_INPUT_COMPANIES'!$A$7:$A$106,0))="","",INDEX('01_INPUT_COMPANIES'!$J$7:$J$106,MATCH($A94,'01_INPUT_COMPANIES'!$A$7:$A$106,0))),"")),"ERROR: COMPANY CURRENCY/YEAR",IF(NOT(OR($Y94="A",$Y94="B",$Y94="C",$Y94="SYNTHETIC")),"ERROR: QUALITY",IF(NOT(AND(OR(COUNTBLANK($F94:$H94)=3,AND(COUNT($F94:$H94)=3,MIN($F94:$H94)&gt;=0,$F94&lt;=$G94,$G94&lt;=$H94)),OR(COUNTBLANK($I94:$K94)=3,AND(COUNT($I94:$K94)=3,MIN($I94:$K94)&gt;=0,$I94&lt;=$J94,$J94&lt;=$K94)),OR(COUNTBLANK($L94:$N94)=3,AND(COUNT($L94:$N94)=3,MIN($L94:$N94)&gt;=0,$L94&lt;=$M94,$M94&lt;=$N94)),OR(COUNTBLANK($O94:$Q94)=3,AND(COUNT($O94:$Q94)=3,MIN($O94:$Q94)&gt;=0,$O94&lt;=$P94,$P94&lt;=$Q94)),OR(COUNTBLANK($R94:$T94)=3,AND(COUNT($R94:$T94)=3,MIN($R94:$T94)&gt;=0,$R94&lt;=$S94,$S94&lt;=$T94)),OR(COUNTBLANK($U94:$W94)=3,AND(COUNT($U94:$W94)=3,MIN($U94:$W94)&gt;=0,$U94&lt;=$V94,$V94&lt;=$W94,MAX($U94:$W94)&lt;=1)))),"ERROR: LOW/BASE/HIGH",IF(NOT(OR(AND(COUNTBLANK($R94:$T94)=3,COUNTBLANK($U94:$W94)=3),AND(COUNT($R94:$T94)=3,COUNT($U94:$W94)=3))),"ERROR: TRANSFER ASSUMPTION",IF(AND(COUNTA($F94:$W94)&gt;0,$X94=""),"ERROR: SOURCE","READY")))))))))))))</x:f>
      </x:c>
    </x:row>
    <x:row r="95">
      <x:c r="A95" s="30"/>
      <x:c r="B95" s="30"/>
      <x:c r="C95" s="30"/>
      <x:c r="D95" s="30"/>
      <x:c r="E95" s="30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9"/>
      <x:c r="V95" s="39"/>
      <x:c r="W95" s="39"/>
      <x:c r="X95" s="30"/>
      <x:c r="Y95" s="30"/>
      <x:c r="Z95" s="30"/>
      <x:c r="AA95" s="34" t="str">
        <x:f>IF($A95="","",IF(OR($A95&lt;&gt;TRIM($A95),NOT(EXACT($A95,UPPER($A95))),LEN($A95)&gt;64,ISNUMBER(FIND("*",$A95)),ISNUMBER(FIND("?",$A95)),ISNUMBER(FIND("~",$A95))),"ERROR: ID FORMAT",IF(COUNTIF($A$7:$A$106,$A95)&lt;&gt;1,"ERROR: DUPLICATE EXPOSURE ID",IF(COUNTIF('01_INPUT_COMPANIES'!$A$7:$A$106,$A95)&lt;&gt;1,"ERROR: COMPANY ID",IF(OR($B95="",COUNTIF('92_REF_VARIABLES'!$L$21:$L$50,$B95)&lt;&gt;1),"ERROR: CURRENCY",IF(OR(NOT(ISNUMBER($C95)),$C95&lt;&gt;INT($C95),$C95&lt;2000,$C95&gt;2100),"ERROR: PRICE YEAR",IF(OR($D95="",AND($D95&lt;&gt;IFERROR(IF(INDEX('01_INPUT_COMPANIES'!$G$7:$G$106,MATCH($A95,'01_INPUT_COMPANIES'!$A$7:$A$106,0))="","",INDEX('01_INPUT_COMPANIES'!$G$7:$G$106,MATCH($A95,'01_INPUT_COMPANIES'!$A$7:$A$106,0))),""),$D95&lt;&gt;LEFT(IFERROR(IF(INDEX('01_INPUT_COMPANIES'!$G$7:$G$106,MATCH($A95,'01_INPUT_COMPANIES'!$A$7:$A$106,0))="","",INDEX('01_INPUT_COMPANIES'!$G$7:$G$106,MATCH($A95,'01_INPUT_COMPANIES'!$A$7:$A$106,0))),""),4))),"ERROR: EXPOSURE PERIOD",IF(OR(NOT(ISNUMBER($E95)),$E95&lt;=0,$E95&gt;1),"ERROR: PERIOD FRACTION",IF(OR($B95&lt;&gt;IFERROR(IF(INDEX('01_INPUT_COMPANIES'!$I$7:$I$106,MATCH($A95,'01_INPUT_COMPANIES'!$A$7:$A$106,0))="","",INDEX('01_INPUT_COMPANIES'!$I$7:$I$106,MATCH($A95,'01_INPUT_COMPANIES'!$A$7:$A$106,0))),""),$C95&lt;&gt;IFERROR(IF(INDEX('01_INPUT_COMPANIES'!$J$7:$J$106,MATCH($A95,'01_INPUT_COMPANIES'!$A$7:$A$106,0))="","",INDEX('01_INPUT_COMPANIES'!$J$7:$J$106,MATCH($A95,'01_INPUT_COMPANIES'!$A$7:$A$106,0))),"")),"ERROR: COMPANY CURRENCY/YEAR",IF(NOT(OR($Y95="A",$Y95="B",$Y95="C",$Y95="SYNTHETIC")),"ERROR: QUALITY",IF(NOT(AND(OR(COUNTBLANK($F95:$H95)=3,AND(COUNT($F95:$H95)=3,MIN($F95:$H95)&gt;=0,$F95&lt;=$G95,$G95&lt;=$H95)),OR(COUNTBLANK($I95:$K95)=3,AND(COUNT($I95:$K95)=3,MIN($I95:$K95)&gt;=0,$I95&lt;=$J95,$J95&lt;=$K95)),OR(COUNTBLANK($L95:$N95)=3,AND(COUNT($L95:$N95)=3,MIN($L95:$N95)&gt;=0,$L95&lt;=$M95,$M95&lt;=$N95)),OR(COUNTBLANK($O95:$Q95)=3,AND(COUNT($O95:$Q95)=3,MIN($O95:$Q95)&gt;=0,$O95&lt;=$P95,$P95&lt;=$Q95)),OR(COUNTBLANK($R95:$T95)=3,AND(COUNT($R95:$T95)=3,MIN($R95:$T95)&gt;=0,$R95&lt;=$S95,$S95&lt;=$T95)),OR(COUNTBLANK($U95:$W95)=3,AND(COUNT($U95:$W95)=3,MIN($U95:$W95)&gt;=0,$U95&lt;=$V95,$V95&lt;=$W95,MAX($U95:$W95)&lt;=1)))),"ERROR: LOW/BASE/HIGH",IF(NOT(OR(AND(COUNTBLANK($R95:$T95)=3,COUNTBLANK($U95:$W95)=3),AND(COUNT($R95:$T95)=3,COUNT($U95:$W95)=3))),"ERROR: TRANSFER ASSUMPTION",IF(AND(COUNTA($F95:$W95)&gt;0,$X95=""),"ERROR: SOURCE","READY")))))))))))))</x:f>
      </x:c>
    </x:row>
    <x:row r="96">
      <x:c r="A96" s="30"/>
      <x:c r="B96" s="30"/>
      <x:c r="C96" s="30"/>
      <x:c r="D96" s="30"/>
      <x:c r="E96" s="30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9"/>
      <x:c r="V96" s="39"/>
      <x:c r="W96" s="39"/>
      <x:c r="X96" s="30"/>
      <x:c r="Y96" s="30"/>
      <x:c r="Z96" s="30"/>
      <x:c r="AA96" s="34" t="str">
        <x:f>IF($A96="","",IF(OR($A96&lt;&gt;TRIM($A96),NOT(EXACT($A96,UPPER($A96))),LEN($A96)&gt;64,ISNUMBER(FIND("*",$A96)),ISNUMBER(FIND("?",$A96)),ISNUMBER(FIND("~",$A96))),"ERROR: ID FORMAT",IF(COUNTIF($A$7:$A$106,$A96)&lt;&gt;1,"ERROR: DUPLICATE EXPOSURE ID",IF(COUNTIF('01_INPUT_COMPANIES'!$A$7:$A$106,$A96)&lt;&gt;1,"ERROR: COMPANY ID",IF(OR($B96="",COUNTIF('92_REF_VARIABLES'!$L$21:$L$50,$B96)&lt;&gt;1),"ERROR: CURRENCY",IF(OR(NOT(ISNUMBER($C96)),$C96&lt;&gt;INT($C96),$C96&lt;2000,$C96&gt;2100),"ERROR: PRICE YEAR",IF(OR($D96="",AND($D96&lt;&gt;IFERROR(IF(INDEX('01_INPUT_COMPANIES'!$G$7:$G$106,MATCH($A96,'01_INPUT_COMPANIES'!$A$7:$A$106,0))="","",INDEX('01_INPUT_COMPANIES'!$G$7:$G$106,MATCH($A96,'01_INPUT_COMPANIES'!$A$7:$A$106,0))),""),$D96&lt;&gt;LEFT(IFERROR(IF(INDEX('01_INPUT_COMPANIES'!$G$7:$G$106,MATCH($A96,'01_INPUT_COMPANIES'!$A$7:$A$106,0))="","",INDEX('01_INPUT_COMPANIES'!$G$7:$G$106,MATCH($A96,'01_INPUT_COMPANIES'!$A$7:$A$106,0))),""),4))),"ERROR: EXPOSURE PERIOD",IF(OR(NOT(ISNUMBER($E96)),$E96&lt;=0,$E96&gt;1),"ERROR: PERIOD FRACTION",IF(OR($B96&lt;&gt;IFERROR(IF(INDEX('01_INPUT_COMPANIES'!$I$7:$I$106,MATCH($A96,'01_INPUT_COMPANIES'!$A$7:$A$106,0))="","",INDEX('01_INPUT_COMPANIES'!$I$7:$I$106,MATCH($A96,'01_INPUT_COMPANIES'!$A$7:$A$106,0))),""),$C96&lt;&gt;IFERROR(IF(INDEX('01_INPUT_COMPANIES'!$J$7:$J$106,MATCH($A96,'01_INPUT_COMPANIES'!$A$7:$A$106,0))="","",INDEX('01_INPUT_COMPANIES'!$J$7:$J$106,MATCH($A96,'01_INPUT_COMPANIES'!$A$7:$A$106,0))),"")),"ERROR: COMPANY CURRENCY/YEAR",IF(NOT(OR($Y96="A",$Y96="B",$Y96="C",$Y96="SYNTHETIC")),"ERROR: QUALITY",IF(NOT(AND(OR(COUNTBLANK($F96:$H96)=3,AND(COUNT($F96:$H96)=3,MIN($F96:$H96)&gt;=0,$F96&lt;=$G96,$G96&lt;=$H96)),OR(COUNTBLANK($I96:$K96)=3,AND(COUNT($I96:$K96)=3,MIN($I96:$K96)&gt;=0,$I96&lt;=$J96,$J96&lt;=$K96)),OR(COUNTBLANK($L96:$N96)=3,AND(COUNT($L96:$N96)=3,MIN($L96:$N96)&gt;=0,$L96&lt;=$M96,$M96&lt;=$N96)),OR(COUNTBLANK($O96:$Q96)=3,AND(COUNT($O96:$Q96)=3,MIN($O96:$Q96)&gt;=0,$O96&lt;=$P96,$P96&lt;=$Q96)),OR(COUNTBLANK($R96:$T96)=3,AND(COUNT($R96:$T96)=3,MIN($R96:$T96)&gt;=0,$R96&lt;=$S96,$S96&lt;=$T96)),OR(COUNTBLANK($U96:$W96)=3,AND(COUNT($U96:$W96)=3,MIN($U96:$W96)&gt;=0,$U96&lt;=$V96,$V96&lt;=$W96,MAX($U96:$W96)&lt;=1)))),"ERROR: LOW/BASE/HIGH",IF(NOT(OR(AND(COUNTBLANK($R96:$T96)=3,COUNTBLANK($U96:$W96)=3),AND(COUNT($R96:$T96)=3,COUNT($U96:$W96)=3))),"ERROR: TRANSFER ASSUMPTION",IF(AND(COUNTA($F96:$W96)&gt;0,$X96=""),"ERROR: SOURCE","READY")))))))))))))</x:f>
      </x:c>
    </x:row>
    <x:row r="97">
      <x:c r="A97" s="30"/>
      <x:c r="B97" s="30"/>
      <x:c r="C97" s="30"/>
      <x:c r="D97" s="30"/>
      <x:c r="E97" s="30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9"/>
      <x:c r="V97" s="39"/>
      <x:c r="W97" s="39"/>
      <x:c r="X97" s="30"/>
      <x:c r="Y97" s="30"/>
      <x:c r="Z97" s="30"/>
      <x:c r="AA97" s="34" t="str">
        <x:f>IF($A97="","",IF(OR($A97&lt;&gt;TRIM($A97),NOT(EXACT($A97,UPPER($A97))),LEN($A97)&gt;64,ISNUMBER(FIND("*",$A97)),ISNUMBER(FIND("?",$A97)),ISNUMBER(FIND("~",$A97))),"ERROR: ID FORMAT",IF(COUNTIF($A$7:$A$106,$A97)&lt;&gt;1,"ERROR: DUPLICATE EXPOSURE ID",IF(COUNTIF('01_INPUT_COMPANIES'!$A$7:$A$106,$A97)&lt;&gt;1,"ERROR: COMPANY ID",IF(OR($B97="",COUNTIF('92_REF_VARIABLES'!$L$21:$L$50,$B97)&lt;&gt;1),"ERROR: CURRENCY",IF(OR(NOT(ISNUMBER($C97)),$C97&lt;&gt;INT($C97),$C97&lt;2000,$C97&gt;2100),"ERROR: PRICE YEAR",IF(OR($D97="",AND($D97&lt;&gt;IFERROR(IF(INDEX('01_INPUT_COMPANIES'!$G$7:$G$106,MATCH($A97,'01_INPUT_COMPANIES'!$A$7:$A$106,0))="","",INDEX('01_INPUT_COMPANIES'!$G$7:$G$106,MATCH($A97,'01_INPUT_COMPANIES'!$A$7:$A$106,0))),""),$D97&lt;&gt;LEFT(IFERROR(IF(INDEX('01_INPUT_COMPANIES'!$G$7:$G$106,MATCH($A97,'01_INPUT_COMPANIES'!$A$7:$A$106,0))="","",INDEX('01_INPUT_COMPANIES'!$G$7:$G$106,MATCH($A97,'01_INPUT_COMPANIES'!$A$7:$A$106,0))),""),4))),"ERROR: EXPOSURE PERIOD",IF(OR(NOT(ISNUMBER($E97)),$E97&lt;=0,$E97&gt;1),"ERROR: PERIOD FRACTION",IF(OR($B97&lt;&gt;IFERROR(IF(INDEX('01_INPUT_COMPANIES'!$I$7:$I$106,MATCH($A97,'01_INPUT_COMPANIES'!$A$7:$A$106,0))="","",INDEX('01_INPUT_COMPANIES'!$I$7:$I$106,MATCH($A97,'01_INPUT_COMPANIES'!$A$7:$A$106,0))),""),$C97&lt;&gt;IFERROR(IF(INDEX('01_INPUT_COMPANIES'!$J$7:$J$106,MATCH($A97,'01_INPUT_COMPANIES'!$A$7:$A$106,0))="","",INDEX('01_INPUT_COMPANIES'!$J$7:$J$106,MATCH($A97,'01_INPUT_COMPANIES'!$A$7:$A$106,0))),"")),"ERROR: COMPANY CURRENCY/YEAR",IF(NOT(OR($Y97="A",$Y97="B",$Y97="C",$Y97="SYNTHETIC")),"ERROR: QUALITY",IF(NOT(AND(OR(COUNTBLANK($F97:$H97)=3,AND(COUNT($F97:$H97)=3,MIN($F97:$H97)&gt;=0,$F97&lt;=$G97,$G97&lt;=$H97)),OR(COUNTBLANK($I97:$K97)=3,AND(COUNT($I97:$K97)=3,MIN($I97:$K97)&gt;=0,$I97&lt;=$J97,$J97&lt;=$K97)),OR(COUNTBLANK($L97:$N97)=3,AND(COUNT($L97:$N97)=3,MIN($L97:$N97)&gt;=0,$L97&lt;=$M97,$M97&lt;=$N97)),OR(COUNTBLANK($O97:$Q97)=3,AND(COUNT($O97:$Q97)=3,MIN($O97:$Q97)&gt;=0,$O97&lt;=$P97,$P97&lt;=$Q97)),OR(COUNTBLANK($R97:$T97)=3,AND(COUNT($R97:$T97)=3,MIN($R97:$T97)&gt;=0,$R97&lt;=$S97,$S97&lt;=$T97)),OR(COUNTBLANK($U97:$W97)=3,AND(COUNT($U97:$W97)=3,MIN($U97:$W97)&gt;=0,$U97&lt;=$V97,$V97&lt;=$W97,MAX($U97:$W97)&lt;=1)))),"ERROR: LOW/BASE/HIGH",IF(NOT(OR(AND(COUNTBLANK($R97:$T97)=3,COUNTBLANK($U97:$W97)=3),AND(COUNT($R97:$T97)=3,COUNT($U97:$W97)=3))),"ERROR: TRANSFER ASSUMPTION",IF(AND(COUNTA($F97:$W97)&gt;0,$X97=""),"ERROR: SOURCE","READY")))))))))))))</x:f>
      </x:c>
    </x:row>
    <x:row r="98">
      <x:c r="A98" s="30"/>
      <x:c r="B98" s="30"/>
      <x:c r="C98" s="30"/>
      <x:c r="D98" s="30"/>
      <x:c r="E98" s="30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9"/>
      <x:c r="V98" s="39"/>
      <x:c r="W98" s="39"/>
      <x:c r="X98" s="30"/>
      <x:c r="Y98" s="30"/>
      <x:c r="Z98" s="30"/>
      <x:c r="AA98" s="34" t="str">
        <x:f>IF($A98="","",IF(OR($A98&lt;&gt;TRIM($A98),NOT(EXACT($A98,UPPER($A98))),LEN($A98)&gt;64,ISNUMBER(FIND("*",$A98)),ISNUMBER(FIND("?",$A98)),ISNUMBER(FIND("~",$A98))),"ERROR: ID FORMAT",IF(COUNTIF($A$7:$A$106,$A98)&lt;&gt;1,"ERROR: DUPLICATE EXPOSURE ID",IF(COUNTIF('01_INPUT_COMPANIES'!$A$7:$A$106,$A98)&lt;&gt;1,"ERROR: COMPANY ID",IF(OR($B98="",COUNTIF('92_REF_VARIABLES'!$L$21:$L$50,$B98)&lt;&gt;1),"ERROR: CURRENCY",IF(OR(NOT(ISNUMBER($C98)),$C98&lt;&gt;INT($C98),$C98&lt;2000,$C98&gt;2100),"ERROR: PRICE YEAR",IF(OR($D98="",AND($D98&lt;&gt;IFERROR(IF(INDEX('01_INPUT_COMPANIES'!$G$7:$G$106,MATCH($A98,'01_INPUT_COMPANIES'!$A$7:$A$106,0))="","",INDEX('01_INPUT_COMPANIES'!$G$7:$G$106,MATCH($A98,'01_INPUT_COMPANIES'!$A$7:$A$106,0))),""),$D98&lt;&gt;LEFT(IFERROR(IF(INDEX('01_INPUT_COMPANIES'!$G$7:$G$106,MATCH($A98,'01_INPUT_COMPANIES'!$A$7:$A$106,0))="","",INDEX('01_INPUT_COMPANIES'!$G$7:$G$106,MATCH($A98,'01_INPUT_COMPANIES'!$A$7:$A$106,0))),""),4))),"ERROR: EXPOSURE PERIOD",IF(OR(NOT(ISNUMBER($E98)),$E98&lt;=0,$E98&gt;1),"ERROR: PERIOD FRACTION",IF(OR($B98&lt;&gt;IFERROR(IF(INDEX('01_INPUT_COMPANIES'!$I$7:$I$106,MATCH($A98,'01_INPUT_COMPANIES'!$A$7:$A$106,0))="","",INDEX('01_INPUT_COMPANIES'!$I$7:$I$106,MATCH($A98,'01_INPUT_COMPANIES'!$A$7:$A$106,0))),""),$C98&lt;&gt;IFERROR(IF(INDEX('01_INPUT_COMPANIES'!$J$7:$J$106,MATCH($A98,'01_INPUT_COMPANIES'!$A$7:$A$106,0))="","",INDEX('01_INPUT_COMPANIES'!$J$7:$J$106,MATCH($A98,'01_INPUT_COMPANIES'!$A$7:$A$106,0))),"")),"ERROR: COMPANY CURRENCY/YEAR",IF(NOT(OR($Y98="A",$Y98="B",$Y98="C",$Y98="SYNTHETIC")),"ERROR: QUALITY",IF(NOT(AND(OR(COUNTBLANK($F98:$H98)=3,AND(COUNT($F98:$H98)=3,MIN($F98:$H98)&gt;=0,$F98&lt;=$G98,$G98&lt;=$H98)),OR(COUNTBLANK($I98:$K98)=3,AND(COUNT($I98:$K98)=3,MIN($I98:$K98)&gt;=0,$I98&lt;=$J98,$J98&lt;=$K98)),OR(COUNTBLANK($L98:$N98)=3,AND(COUNT($L98:$N98)=3,MIN($L98:$N98)&gt;=0,$L98&lt;=$M98,$M98&lt;=$N98)),OR(COUNTBLANK($O98:$Q98)=3,AND(COUNT($O98:$Q98)=3,MIN($O98:$Q98)&gt;=0,$O98&lt;=$P98,$P98&lt;=$Q98)),OR(COUNTBLANK($R98:$T98)=3,AND(COUNT($R98:$T98)=3,MIN($R98:$T98)&gt;=0,$R98&lt;=$S98,$S98&lt;=$T98)),OR(COUNTBLANK($U98:$W98)=3,AND(COUNT($U98:$W98)=3,MIN($U98:$W98)&gt;=0,$U98&lt;=$V98,$V98&lt;=$W98,MAX($U98:$W98)&lt;=1)))),"ERROR: LOW/BASE/HIGH",IF(NOT(OR(AND(COUNTBLANK($R98:$T98)=3,COUNTBLANK($U98:$W98)=3),AND(COUNT($R98:$T98)=3,COUNT($U98:$W98)=3))),"ERROR: TRANSFER ASSUMPTION",IF(AND(COUNTA($F98:$W98)&gt;0,$X98=""),"ERROR: SOURCE","READY")))))))))))))</x:f>
      </x:c>
    </x:row>
    <x:row r="99">
      <x:c r="A99" s="30"/>
      <x:c r="B99" s="30"/>
      <x:c r="C99" s="30"/>
      <x:c r="D99" s="30"/>
      <x:c r="E99" s="30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9"/>
      <x:c r="V99" s="39"/>
      <x:c r="W99" s="39"/>
      <x:c r="X99" s="30"/>
      <x:c r="Y99" s="30"/>
      <x:c r="Z99" s="30"/>
      <x:c r="AA99" s="34" t="str">
        <x:f>IF($A99="","",IF(OR($A99&lt;&gt;TRIM($A99),NOT(EXACT($A99,UPPER($A99))),LEN($A99)&gt;64,ISNUMBER(FIND("*",$A99)),ISNUMBER(FIND("?",$A99)),ISNUMBER(FIND("~",$A99))),"ERROR: ID FORMAT",IF(COUNTIF($A$7:$A$106,$A99)&lt;&gt;1,"ERROR: DUPLICATE EXPOSURE ID",IF(COUNTIF('01_INPUT_COMPANIES'!$A$7:$A$106,$A99)&lt;&gt;1,"ERROR: COMPANY ID",IF(OR($B99="",COUNTIF('92_REF_VARIABLES'!$L$21:$L$50,$B99)&lt;&gt;1),"ERROR: CURRENCY",IF(OR(NOT(ISNUMBER($C99)),$C99&lt;&gt;INT($C99),$C99&lt;2000,$C99&gt;2100),"ERROR: PRICE YEAR",IF(OR($D99="",AND($D99&lt;&gt;IFERROR(IF(INDEX('01_INPUT_COMPANIES'!$G$7:$G$106,MATCH($A99,'01_INPUT_COMPANIES'!$A$7:$A$106,0))="","",INDEX('01_INPUT_COMPANIES'!$G$7:$G$106,MATCH($A99,'01_INPUT_COMPANIES'!$A$7:$A$106,0))),""),$D99&lt;&gt;LEFT(IFERROR(IF(INDEX('01_INPUT_COMPANIES'!$G$7:$G$106,MATCH($A99,'01_INPUT_COMPANIES'!$A$7:$A$106,0))="","",INDEX('01_INPUT_COMPANIES'!$G$7:$G$106,MATCH($A99,'01_INPUT_COMPANIES'!$A$7:$A$106,0))),""),4))),"ERROR: EXPOSURE PERIOD",IF(OR(NOT(ISNUMBER($E99)),$E99&lt;=0,$E99&gt;1),"ERROR: PERIOD FRACTION",IF(OR($B99&lt;&gt;IFERROR(IF(INDEX('01_INPUT_COMPANIES'!$I$7:$I$106,MATCH($A99,'01_INPUT_COMPANIES'!$A$7:$A$106,0))="","",INDEX('01_INPUT_COMPANIES'!$I$7:$I$106,MATCH($A99,'01_INPUT_COMPANIES'!$A$7:$A$106,0))),""),$C99&lt;&gt;IFERROR(IF(INDEX('01_INPUT_COMPANIES'!$J$7:$J$106,MATCH($A99,'01_INPUT_COMPANIES'!$A$7:$A$106,0))="","",INDEX('01_INPUT_COMPANIES'!$J$7:$J$106,MATCH($A99,'01_INPUT_COMPANIES'!$A$7:$A$106,0))),"")),"ERROR: COMPANY CURRENCY/YEAR",IF(NOT(OR($Y99="A",$Y99="B",$Y99="C",$Y99="SYNTHETIC")),"ERROR: QUALITY",IF(NOT(AND(OR(COUNTBLANK($F99:$H99)=3,AND(COUNT($F99:$H99)=3,MIN($F99:$H99)&gt;=0,$F99&lt;=$G99,$G99&lt;=$H99)),OR(COUNTBLANK($I99:$K99)=3,AND(COUNT($I99:$K99)=3,MIN($I99:$K99)&gt;=0,$I99&lt;=$J99,$J99&lt;=$K99)),OR(COUNTBLANK($L99:$N99)=3,AND(COUNT($L99:$N99)=3,MIN($L99:$N99)&gt;=0,$L99&lt;=$M99,$M99&lt;=$N99)),OR(COUNTBLANK($O99:$Q99)=3,AND(COUNT($O99:$Q99)=3,MIN($O99:$Q99)&gt;=0,$O99&lt;=$P99,$P99&lt;=$Q99)),OR(COUNTBLANK($R99:$T99)=3,AND(COUNT($R99:$T99)=3,MIN($R99:$T99)&gt;=0,$R99&lt;=$S99,$S99&lt;=$T99)),OR(COUNTBLANK($U99:$W99)=3,AND(COUNT($U99:$W99)=3,MIN($U99:$W99)&gt;=0,$U99&lt;=$V99,$V99&lt;=$W99,MAX($U99:$W99)&lt;=1)))),"ERROR: LOW/BASE/HIGH",IF(NOT(OR(AND(COUNTBLANK($R99:$T99)=3,COUNTBLANK($U99:$W99)=3),AND(COUNT($R99:$T99)=3,COUNT($U99:$W99)=3))),"ERROR: TRANSFER ASSUMPTION",IF(AND(COUNTA($F99:$W99)&gt;0,$X99=""),"ERROR: SOURCE","READY")))))))))))))</x:f>
      </x:c>
    </x:row>
    <x:row r="100">
      <x:c r="A100" s="30"/>
      <x:c r="B100" s="30"/>
      <x:c r="C100" s="30"/>
      <x:c r="D100" s="30"/>
      <x:c r="E100" s="30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9"/>
      <x:c r="V100" s="39"/>
      <x:c r="W100" s="39"/>
      <x:c r="X100" s="30"/>
      <x:c r="Y100" s="30"/>
      <x:c r="Z100" s="30"/>
      <x:c r="AA100" s="34" t="str">
        <x:f>IF($A100="","",IF(OR($A100&lt;&gt;TRIM($A100),NOT(EXACT($A100,UPPER($A100))),LEN($A100)&gt;64,ISNUMBER(FIND("*",$A100)),ISNUMBER(FIND("?",$A100)),ISNUMBER(FIND("~",$A100))),"ERROR: ID FORMAT",IF(COUNTIF($A$7:$A$106,$A100)&lt;&gt;1,"ERROR: DUPLICATE EXPOSURE ID",IF(COUNTIF('01_INPUT_COMPANIES'!$A$7:$A$106,$A100)&lt;&gt;1,"ERROR: COMPANY ID",IF(OR($B100="",COUNTIF('92_REF_VARIABLES'!$L$21:$L$50,$B100)&lt;&gt;1),"ERROR: CURRENCY",IF(OR(NOT(ISNUMBER($C100)),$C100&lt;&gt;INT($C100),$C100&lt;2000,$C100&gt;2100),"ERROR: PRICE YEAR",IF(OR($D100="",AND($D100&lt;&gt;IFERROR(IF(INDEX('01_INPUT_COMPANIES'!$G$7:$G$106,MATCH($A100,'01_INPUT_COMPANIES'!$A$7:$A$106,0))="","",INDEX('01_INPUT_COMPANIES'!$G$7:$G$106,MATCH($A100,'01_INPUT_COMPANIES'!$A$7:$A$106,0))),""),$D100&lt;&gt;LEFT(IFERROR(IF(INDEX('01_INPUT_COMPANIES'!$G$7:$G$106,MATCH($A100,'01_INPUT_COMPANIES'!$A$7:$A$106,0))="","",INDEX('01_INPUT_COMPANIES'!$G$7:$G$106,MATCH($A100,'01_INPUT_COMPANIES'!$A$7:$A$106,0))),""),4))),"ERROR: EXPOSURE PERIOD",IF(OR(NOT(ISNUMBER($E100)),$E100&lt;=0,$E100&gt;1),"ERROR: PERIOD FRACTION",IF(OR($B100&lt;&gt;IFERROR(IF(INDEX('01_INPUT_COMPANIES'!$I$7:$I$106,MATCH($A100,'01_INPUT_COMPANIES'!$A$7:$A$106,0))="","",INDEX('01_INPUT_COMPANIES'!$I$7:$I$106,MATCH($A100,'01_INPUT_COMPANIES'!$A$7:$A$106,0))),""),$C100&lt;&gt;IFERROR(IF(INDEX('01_INPUT_COMPANIES'!$J$7:$J$106,MATCH($A100,'01_INPUT_COMPANIES'!$A$7:$A$106,0))="","",INDEX('01_INPUT_COMPANIES'!$J$7:$J$106,MATCH($A100,'01_INPUT_COMPANIES'!$A$7:$A$106,0))),"")),"ERROR: COMPANY CURRENCY/YEAR",IF(NOT(OR($Y100="A",$Y100="B",$Y100="C",$Y100="SYNTHETIC")),"ERROR: QUALITY",IF(NOT(AND(OR(COUNTBLANK($F100:$H100)=3,AND(COUNT($F100:$H100)=3,MIN($F100:$H100)&gt;=0,$F100&lt;=$G100,$G100&lt;=$H100)),OR(COUNTBLANK($I100:$K100)=3,AND(COUNT($I100:$K100)=3,MIN($I100:$K100)&gt;=0,$I100&lt;=$J100,$J100&lt;=$K100)),OR(COUNTBLANK($L100:$N100)=3,AND(COUNT($L100:$N100)=3,MIN($L100:$N100)&gt;=0,$L100&lt;=$M100,$M100&lt;=$N100)),OR(COUNTBLANK($O100:$Q100)=3,AND(COUNT($O100:$Q100)=3,MIN($O100:$Q100)&gt;=0,$O100&lt;=$P100,$P100&lt;=$Q100)),OR(COUNTBLANK($R100:$T100)=3,AND(COUNT($R100:$T100)=3,MIN($R100:$T100)&gt;=0,$R100&lt;=$S100,$S100&lt;=$T100)),OR(COUNTBLANK($U100:$W100)=3,AND(COUNT($U100:$W100)=3,MIN($U100:$W100)&gt;=0,$U100&lt;=$V100,$V100&lt;=$W100,MAX($U100:$W100)&lt;=1)))),"ERROR: LOW/BASE/HIGH",IF(NOT(OR(AND(COUNTBLANK($R100:$T100)=3,COUNTBLANK($U100:$W100)=3),AND(COUNT($R100:$T100)=3,COUNT($U100:$W100)=3))),"ERROR: TRANSFER ASSUMPTION",IF(AND(COUNTA($F100:$W100)&gt;0,$X100=""),"ERROR: SOURCE","READY")))))))))))))</x:f>
      </x:c>
    </x:row>
    <x:row r="101">
      <x:c r="A101" s="30"/>
      <x:c r="B101" s="30"/>
      <x:c r="C101" s="30"/>
      <x:c r="D101" s="30"/>
      <x:c r="E101" s="30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9"/>
      <x:c r="V101" s="39"/>
      <x:c r="W101" s="39"/>
      <x:c r="X101" s="30"/>
      <x:c r="Y101" s="30"/>
      <x:c r="Z101" s="30"/>
      <x:c r="AA101" s="34" t="str">
        <x:f>IF($A101="","",IF(OR($A101&lt;&gt;TRIM($A101),NOT(EXACT($A101,UPPER($A101))),LEN($A101)&gt;64,ISNUMBER(FIND("*",$A101)),ISNUMBER(FIND("?",$A101)),ISNUMBER(FIND("~",$A101))),"ERROR: ID FORMAT",IF(COUNTIF($A$7:$A$106,$A101)&lt;&gt;1,"ERROR: DUPLICATE EXPOSURE ID",IF(COUNTIF('01_INPUT_COMPANIES'!$A$7:$A$106,$A101)&lt;&gt;1,"ERROR: COMPANY ID",IF(OR($B101="",COUNTIF('92_REF_VARIABLES'!$L$21:$L$50,$B101)&lt;&gt;1),"ERROR: CURRENCY",IF(OR(NOT(ISNUMBER($C101)),$C101&lt;&gt;INT($C101),$C101&lt;2000,$C101&gt;2100),"ERROR: PRICE YEAR",IF(OR($D101="",AND($D101&lt;&gt;IFERROR(IF(INDEX('01_INPUT_COMPANIES'!$G$7:$G$106,MATCH($A101,'01_INPUT_COMPANIES'!$A$7:$A$106,0))="","",INDEX('01_INPUT_COMPANIES'!$G$7:$G$106,MATCH($A101,'01_INPUT_COMPANIES'!$A$7:$A$106,0))),""),$D101&lt;&gt;LEFT(IFERROR(IF(INDEX('01_INPUT_COMPANIES'!$G$7:$G$106,MATCH($A101,'01_INPUT_COMPANIES'!$A$7:$A$106,0))="","",INDEX('01_INPUT_COMPANIES'!$G$7:$G$106,MATCH($A101,'01_INPUT_COMPANIES'!$A$7:$A$106,0))),""),4))),"ERROR: EXPOSURE PERIOD",IF(OR(NOT(ISNUMBER($E101)),$E101&lt;=0,$E101&gt;1),"ERROR: PERIOD FRACTION",IF(OR($B101&lt;&gt;IFERROR(IF(INDEX('01_INPUT_COMPANIES'!$I$7:$I$106,MATCH($A101,'01_INPUT_COMPANIES'!$A$7:$A$106,0))="","",INDEX('01_INPUT_COMPANIES'!$I$7:$I$106,MATCH($A101,'01_INPUT_COMPANIES'!$A$7:$A$106,0))),""),$C101&lt;&gt;IFERROR(IF(INDEX('01_INPUT_COMPANIES'!$J$7:$J$106,MATCH($A101,'01_INPUT_COMPANIES'!$A$7:$A$106,0))="","",INDEX('01_INPUT_COMPANIES'!$J$7:$J$106,MATCH($A101,'01_INPUT_COMPANIES'!$A$7:$A$106,0))),"")),"ERROR: COMPANY CURRENCY/YEAR",IF(NOT(OR($Y101="A",$Y101="B",$Y101="C",$Y101="SYNTHETIC")),"ERROR: QUALITY",IF(NOT(AND(OR(COUNTBLANK($F101:$H101)=3,AND(COUNT($F101:$H101)=3,MIN($F101:$H101)&gt;=0,$F101&lt;=$G101,$G101&lt;=$H101)),OR(COUNTBLANK($I101:$K101)=3,AND(COUNT($I101:$K101)=3,MIN($I101:$K101)&gt;=0,$I101&lt;=$J101,$J101&lt;=$K101)),OR(COUNTBLANK($L101:$N101)=3,AND(COUNT($L101:$N101)=3,MIN($L101:$N101)&gt;=0,$L101&lt;=$M101,$M101&lt;=$N101)),OR(COUNTBLANK($O101:$Q101)=3,AND(COUNT($O101:$Q101)=3,MIN($O101:$Q101)&gt;=0,$O101&lt;=$P101,$P101&lt;=$Q101)),OR(COUNTBLANK($R101:$T101)=3,AND(COUNT($R101:$T101)=3,MIN($R101:$T101)&gt;=0,$R101&lt;=$S101,$S101&lt;=$T101)),OR(COUNTBLANK($U101:$W101)=3,AND(COUNT($U101:$W101)=3,MIN($U101:$W101)&gt;=0,$U101&lt;=$V101,$V101&lt;=$W101,MAX($U101:$W101)&lt;=1)))),"ERROR: LOW/BASE/HIGH",IF(NOT(OR(AND(COUNTBLANK($R101:$T101)=3,COUNTBLANK($U101:$W101)=3),AND(COUNT($R101:$T101)=3,COUNT($U101:$W101)=3))),"ERROR: TRANSFER ASSUMPTION",IF(AND(COUNTA($F101:$W101)&gt;0,$X101=""),"ERROR: SOURCE","READY")))))))))))))</x:f>
      </x:c>
    </x:row>
    <x:row r="102">
      <x:c r="A102" s="30"/>
      <x:c r="B102" s="30"/>
      <x:c r="C102" s="30"/>
      <x:c r="D102" s="30"/>
      <x:c r="E102" s="30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9"/>
      <x:c r="V102" s="39"/>
      <x:c r="W102" s="39"/>
      <x:c r="X102" s="30"/>
      <x:c r="Y102" s="30"/>
      <x:c r="Z102" s="30"/>
      <x:c r="AA102" s="34" t="str">
        <x:f>IF($A102="","",IF(OR($A102&lt;&gt;TRIM($A102),NOT(EXACT($A102,UPPER($A102))),LEN($A102)&gt;64,ISNUMBER(FIND("*",$A102)),ISNUMBER(FIND("?",$A102)),ISNUMBER(FIND("~",$A102))),"ERROR: ID FORMAT",IF(COUNTIF($A$7:$A$106,$A102)&lt;&gt;1,"ERROR: DUPLICATE EXPOSURE ID",IF(COUNTIF('01_INPUT_COMPANIES'!$A$7:$A$106,$A102)&lt;&gt;1,"ERROR: COMPANY ID",IF(OR($B102="",COUNTIF('92_REF_VARIABLES'!$L$21:$L$50,$B102)&lt;&gt;1),"ERROR: CURRENCY",IF(OR(NOT(ISNUMBER($C102)),$C102&lt;&gt;INT($C102),$C102&lt;2000,$C102&gt;2100),"ERROR: PRICE YEAR",IF(OR($D102="",AND($D102&lt;&gt;IFERROR(IF(INDEX('01_INPUT_COMPANIES'!$G$7:$G$106,MATCH($A102,'01_INPUT_COMPANIES'!$A$7:$A$106,0))="","",INDEX('01_INPUT_COMPANIES'!$G$7:$G$106,MATCH($A102,'01_INPUT_COMPANIES'!$A$7:$A$106,0))),""),$D102&lt;&gt;LEFT(IFERROR(IF(INDEX('01_INPUT_COMPANIES'!$G$7:$G$106,MATCH($A102,'01_INPUT_COMPANIES'!$A$7:$A$106,0))="","",INDEX('01_INPUT_COMPANIES'!$G$7:$G$106,MATCH($A102,'01_INPUT_COMPANIES'!$A$7:$A$106,0))),""),4))),"ERROR: EXPOSURE PERIOD",IF(OR(NOT(ISNUMBER($E102)),$E102&lt;=0,$E102&gt;1),"ERROR: PERIOD FRACTION",IF(OR($B102&lt;&gt;IFERROR(IF(INDEX('01_INPUT_COMPANIES'!$I$7:$I$106,MATCH($A102,'01_INPUT_COMPANIES'!$A$7:$A$106,0))="","",INDEX('01_INPUT_COMPANIES'!$I$7:$I$106,MATCH($A102,'01_INPUT_COMPANIES'!$A$7:$A$106,0))),""),$C102&lt;&gt;IFERROR(IF(INDEX('01_INPUT_COMPANIES'!$J$7:$J$106,MATCH($A102,'01_INPUT_COMPANIES'!$A$7:$A$106,0))="","",INDEX('01_INPUT_COMPANIES'!$J$7:$J$106,MATCH($A102,'01_INPUT_COMPANIES'!$A$7:$A$106,0))),"")),"ERROR: COMPANY CURRENCY/YEAR",IF(NOT(OR($Y102="A",$Y102="B",$Y102="C",$Y102="SYNTHETIC")),"ERROR: QUALITY",IF(NOT(AND(OR(COUNTBLANK($F102:$H102)=3,AND(COUNT($F102:$H102)=3,MIN($F102:$H102)&gt;=0,$F102&lt;=$G102,$G102&lt;=$H102)),OR(COUNTBLANK($I102:$K102)=3,AND(COUNT($I102:$K102)=3,MIN($I102:$K102)&gt;=0,$I102&lt;=$J102,$J102&lt;=$K102)),OR(COUNTBLANK($L102:$N102)=3,AND(COUNT($L102:$N102)=3,MIN($L102:$N102)&gt;=0,$L102&lt;=$M102,$M102&lt;=$N102)),OR(COUNTBLANK($O102:$Q102)=3,AND(COUNT($O102:$Q102)=3,MIN($O102:$Q102)&gt;=0,$O102&lt;=$P102,$P102&lt;=$Q102)),OR(COUNTBLANK($R102:$T102)=3,AND(COUNT($R102:$T102)=3,MIN($R102:$T102)&gt;=0,$R102&lt;=$S102,$S102&lt;=$T102)),OR(COUNTBLANK($U102:$W102)=3,AND(COUNT($U102:$W102)=3,MIN($U102:$W102)&gt;=0,$U102&lt;=$V102,$V102&lt;=$W102,MAX($U102:$W102)&lt;=1)))),"ERROR: LOW/BASE/HIGH",IF(NOT(OR(AND(COUNTBLANK($R102:$T102)=3,COUNTBLANK($U102:$W102)=3),AND(COUNT($R102:$T102)=3,COUNT($U102:$W102)=3))),"ERROR: TRANSFER ASSUMPTION",IF(AND(COUNTA($F102:$W102)&gt;0,$X102=""),"ERROR: SOURCE","READY")))))))))))))</x:f>
      </x:c>
    </x:row>
    <x:row r="103">
      <x:c r="A103" s="30"/>
      <x:c r="B103" s="30"/>
      <x:c r="C103" s="30"/>
      <x:c r="D103" s="30"/>
      <x:c r="E103" s="30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9"/>
      <x:c r="V103" s="39"/>
      <x:c r="W103" s="39"/>
      <x:c r="X103" s="30"/>
      <x:c r="Y103" s="30"/>
      <x:c r="Z103" s="30"/>
      <x:c r="AA103" s="34" t="str">
        <x:f>IF($A103="","",IF(OR($A103&lt;&gt;TRIM($A103),NOT(EXACT($A103,UPPER($A103))),LEN($A103)&gt;64,ISNUMBER(FIND("*",$A103)),ISNUMBER(FIND("?",$A103)),ISNUMBER(FIND("~",$A103))),"ERROR: ID FORMAT",IF(COUNTIF($A$7:$A$106,$A103)&lt;&gt;1,"ERROR: DUPLICATE EXPOSURE ID",IF(COUNTIF('01_INPUT_COMPANIES'!$A$7:$A$106,$A103)&lt;&gt;1,"ERROR: COMPANY ID",IF(OR($B103="",COUNTIF('92_REF_VARIABLES'!$L$21:$L$50,$B103)&lt;&gt;1),"ERROR: CURRENCY",IF(OR(NOT(ISNUMBER($C103)),$C103&lt;&gt;INT($C103),$C103&lt;2000,$C103&gt;2100),"ERROR: PRICE YEAR",IF(OR($D103="",AND($D103&lt;&gt;IFERROR(IF(INDEX('01_INPUT_COMPANIES'!$G$7:$G$106,MATCH($A103,'01_INPUT_COMPANIES'!$A$7:$A$106,0))="","",INDEX('01_INPUT_COMPANIES'!$G$7:$G$106,MATCH($A103,'01_INPUT_COMPANIES'!$A$7:$A$106,0))),""),$D103&lt;&gt;LEFT(IFERROR(IF(INDEX('01_INPUT_COMPANIES'!$G$7:$G$106,MATCH($A103,'01_INPUT_COMPANIES'!$A$7:$A$106,0))="","",INDEX('01_INPUT_COMPANIES'!$G$7:$G$106,MATCH($A103,'01_INPUT_COMPANIES'!$A$7:$A$106,0))),""),4))),"ERROR: EXPOSURE PERIOD",IF(OR(NOT(ISNUMBER($E103)),$E103&lt;=0,$E103&gt;1),"ERROR: PERIOD FRACTION",IF(OR($B103&lt;&gt;IFERROR(IF(INDEX('01_INPUT_COMPANIES'!$I$7:$I$106,MATCH($A103,'01_INPUT_COMPANIES'!$A$7:$A$106,0))="","",INDEX('01_INPUT_COMPANIES'!$I$7:$I$106,MATCH($A103,'01_INPUT_COMPANIES'!$A$7:$A$106,0))),""),$C103&lt;&gt;IFERROR(IF(INDEX('01_INPUT_COMPANIES'!$J$7:$J$106,MATCH($A103,'01_INPUT_COMPANIES'!$A$7:$A$106,0))="","",INDEX('01_INPUT_COMPANIES'!$J$7:$J$106,MATCH($A103,'01_INPUT_COMPANIES'!$A$7:$A$106,0))),"")),"ERROR: COMPANY CURRENCY/YEAR",IF(NOT(OR($Y103="A",$Y103="B",$Y103="C",$Y103="SYNTHETIC")),"ERROR: QUALITY",IF(NOT(AND(OR(COUNTBLANK($F103:$H103)=3,AND(COUNT($F103:$H103)=3,MIN($F103:$H103)&gt;=0,$F103&lt;=$G103,$G103&lt;=$H103)),OR(COUNTBLANK($I103:$K103)=3,AND(COUNT($I103:$K103)=3,MIN($I103:$K103)&gt;=0,$I103&lt;=$J103,$J103&lt;=$K103)),OR(COUNTBLANK($L103:$N103)=3,AND(COUNT($L103:$N103)=3,MIN($L103:$N103)&gt;=0,$L103&lt;=$M103,$M103&lt;=$N103)),OR(COUNTBLANK($O103:$Q103)=3,AND(COUNT($O103:$Q103)=3,MIN($O103:$Q103)&gt;=0,$O103&lt;=$P103,$P103&lt;=$Q103)),OR(COUNTBLANK($R103:$T103)=3,AND(COUNT($R103:$T103)=3,MIN($R103:$T103)&gt;=0,$R103&lt;=$S103,$S103&lt;=$T103)),OR(COUNTBLANK($U103:$W103)=3,AND(COUNT($U103:$W103)=3,MIN($U103:$W103)&gt;=0,$U103&lt;=$V103,$V103&lt;=$W103,MAX($U103:$W103)&lt;=1)))),"ERROR: LOW/BASE/HIGH",IF(NOT(OR(AND(COUNTBLANK($R103:$T103)=3,COUNTBLANK($U103:$W103)=3),AND(COUNT($R103:$T103)=3,COUNT($U103:$W103)=3))),"ERROR: TRANSFER ASSUMPTION",IF(AND(COUNTA($F103:$W103)&gt;0,$X103=""),"ERROR: SOURCE","READY")))))))))))))</x:f>
      </x:c>
    </x:row>
    <x:row r="104">
      <x:c r="A104" s="30"/>
      <x:c r="B104" s="30"/>
      <x:c r="C104" s="30"/>
      <x:c r="D104" s="30"/>
      <x:c r="E104" s="30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9"/>
      <x:c r="V104" s="39"/>
      <x:c r="W104" s="39"/>
      <x:c r="X104" s="30"/>
      <x:c r="Y104" s="30"/>
      <x:c r="Z104" s="30"/>
      <x:c r="AA104" s="34" t="str">
        <x:f>IF($A104="","",IF(OR($A104&lt;&gt;TRIM($A104),NOT(EXACT($A104,UPPER($A104))),LEN($A104)&gt;64,ISNUMBER(FIND("*",$A104)),ISNUMBER(FIND("?",$A104)),ISNUMBER(FIND("~",$A104))),"ERROR: ID FORMAT",IF(COUNTIF($A$7:$A$106,$A104)&lt;&gt;1,"ERROR: DUPLICATE EXPOSURE ID",IF(COUNTIF('01_INPUT_COMPANIES'!$A$7:$A$106,$A104)&lt;&gt;1,"ERROR: COMPANY ID",IF(OR($B104="",COUNTIF('92_REF_VARIABLES'!$L$21:$L$50,$B104)&lt;&gt;1),"ERROR: CURRENCY",IF(OR(NOT(ISNUMBER($C104)),$C104&lt;&gt;INT($C104),$C104&lt;2000,$C104&gt;2100),"ERROR: PRICE YEAR",IF(OR($D104="",AND($D104&lt;&gt;IFERROR(IF(INDEX('01_INPUT_COMPANIES'!$G$7:$G$106,MATCH($A104,'01_INPUT_COMPANIES'!$A$7:$A$106,0))="","",INDEX('01_INPUT_COMPANIES'!$G$7:$G$106,MATCH($A104,'01_INPUT_COMPANIES'!$A$7:$A$106,0))),""),$D104&lt;&gt;LEFT(IFERROR(IF(INDEX('01_INPUT_COMPANIES'!$G$7:$G$106,MATCH($A104,'01_INPUT_COMPANIES'!$A$7:$A$106,0))="","",INDEX('01_INPUT_COMPANIES'!$G$7:$G$106,MATCH($A104,'01_INPUT_COMPANIES'!$A$7:$A$106,0))),""),4))),"ERROR: EXPOSURE PERIOD",IF(OR(NOT(ISNUMBER($E104)),$E104&lt;=0,$E104&gt;1),"ERROR: PERIOD FRACTION",IF(OR($B104&lt;&gt;IFERROR(IF(INDEX('01_INPUT_COMPANIES'!$I$7:$I$106,MATCH($A104,'01_INPUT_COMPANIES'!$A$7:$A$106,0))="","",INDEX('01_INPUT_COMPANIES'!$I$7:$I$106,MATCH($A104,'01_INPUT_COMPANIES'!$A$7:$A$106,0))),""),$C104&lt;&gt;IFERROR(IF(INDEX('01_INPUT_COMPANIES'!$J$7:$J$106,MATCH($A104,'01_INPUT_COMPANIES'!$A$7:$A$106,0))="","",INDEX('01_INPUT_COMPANIES'!$J$7:$J$106,MATCH($A104,'01_INPUT_COMPANIES'!$A$7:$A$106,0))),"")),"ERROR: COMPANY CURRENCY/YEAR",IF(NOT(OR($Y104="A",$Y104="B",$Y104="C",$Y104="SYNTHETIC")),"ERROR: QUALITY",IF(NOT(AND(OR(COUNTBLANK($F104:$H104)=3,AND(COUNT($F104:$H104)=3,MIN($F104:$H104)&gt;=0,$F104&lt;=$G104,$G104&lt;=$H104)),OR(COUNTBLANK($I104:$K104)=3,AND(COUNT($I104:$K104)=3,MIN($I104:$K104)&gt;=0,$I104&lt;=$J104,$J104&lt;=$K104)),OR(COUNTBLANK($L104:$N104)=3,AND(COUNT($L104:$N104)=3,MIN($L104:$N104)&gt;=0,$L104&lt;=$M104,$M104&lt;=$N104)),OR(COUNTBLANK($O104:$Q104)=3,AND(COUNT($O104:$Q104)=3,MIN($O104:$Q104)&gt;=0,$O104&lt;=$P104,$P104&lt;=$Q104)),OR(COUNTBLANK($R104:$T104)=3,AND(COUNT($R104:$T104)=3,MIN($R104:$T104)&gt;=0,$R104&lt;=$S104,$S104&lt;=$T104)),OR(COUNTBLANK($U104:$W104)=3,AND(COUNT($U104:$W104)=3,MIN($U104:$W104)&gt;=0,$U104&lt;=$V104,$V104&lt;=$W104,MAX($U104:$W104)&lt;=1)))),"ERROR: LOW/BASE/HIGH",IF(NOT(OR(AND(COUNTBLANK($R104:$T104)=3,COUNTBLANK($U104:$W104)=3),AND(COUNT($R104:$T104)=3,COUNT($U104:$W104)=3))),"ERROR: TRANSFER ASSUMPTION",IF(AND(COUNTA($F104:$W104)&gt;0,$X104=""),"ERROR: SOURCE","READY")))))))))))))</x:f>
      </x:c>
    </x:row>
    <x:row r="105">
      <x:c r="A105" s="30"/>
      <x:c r="B105" s="30"/>
      <x:c r="C105" s="30"/>
      <x:c r="D105" s="30"/>
      <x:c r="E105" s="30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9"/>
      <x:c r="V105" s="39"/>
      <x:c r="W105" s="39"/>
      <x:c r="X105" s="30"/>
      <x:c r="Y105" s="30"/>
      <x:c r="Z105" s="30"/>
      <x:c r="AA105" s="34" t="str">
        <x:f>IF($A105="","",IF(OR($A105&lt;&gt;TRIM($A105),NOT(EXACT($A105,UPPER($A105))),LEN($A105)&gt;64,ISNUMBER(FIND("*",$A105)),ISNUMBER(FIND("?",$A105)),ISNUMBER(FIND("~",$A105))),"ERROR: ID FORMAT",IF(COUNTIF($A$7:$A$106,$A105)&lt;&gt;1,"ERROR: DUPLICATE EXPOSURE ID",IF(COUNTIF('01_INPUT_COMPANIES'!$A$7:$A$106,$A105)&lt;&gt;1,"ERROR: COMPANY ID",IF(OR($B105="",COUNTIF('92_REF_VARIABLES'!$L$21:$L$50,$B105)&lt;&gt;1),"ERROR: CURRENCY",IF(OR(NOT(ISNUMBER($C105)),$C105&lt;&gt;INT($C105),$C105&lt;2000,$C105&gt;2100),"ERROR: PRICE YEAR",IF(OR($D105="",AND($D105&lt;&gt;IFERROR(IF(INDEX('01_INPUT_COMPANIES'!$G$7:$G$106,MATCH($A105,'01_INPUT_COMPANIES'!$A$7:$A$106,0))="","",INDEX('01_INPUT_COMPANIES'!$G$7:$G$106,MATCH($A105,'01_INPUT_COMPANIES'!$A$7:$A$106,0))),""),$D105&lt;&gt;LEFT(IFERROR(IF(INDEX('01_INPUT_COMPANIES'!$G$7:$G$106,MATCH($A105,'01_INPUT_COMPANIES'!$A$7:$A$106,0))="","",INDEX('01_INPUT_COMPANIES'!$G$7:$G$106,MATCH($A105,'01_INPUT_COMPANIES'!$A$7:$A$106,0))),""),4))),"ERROR: EXPOSURE PERIOD",IF(OR(NOT(ISNUMBER($E105)),$E105&lt;=0,$E105&gt;1),"ERROR: PERIOD FRACTION",IF(OR($B105&lt;&gt;IFERROR(IF(INDEX('01_INPUT_COMPANIES'!$I$7:$I$106,MATCH($A105,'01_INPUT_COMPANIES'!$A$7:$A$106,0))="","",INDEX('01_INPUT_COMPANIES'!$I$7:$I$106,MATCH($A105,'01_INPUT_COMPANIES'!$A$7:$A$106,0))),""),$C105&lt;&gt;IFERROR(IF(INDEX('01_INPUT_COMPANIES'!$J$7:$J$106,MATCH($A105,'01_INPUT_COMPANIES'!$A$7:$A$106,0))="","",INDEX('01_INPUT_COMPANIES'!$J$7:$J$106,MATCH($A105,'01_INPUT_COMPANIES'!$A$7:$A$106,0))),"")),"ERROR: COMPANY CURRENCY/YEAR",IF(NOT(OR($Y105="A",$Y105="B",$Y105="C",$Y105="SYNTHETIC")),"ERROR: QUALITY",IF(NOT(AND(OR(COUNTBLANK($F105:$H105)=3,AND(COUNT($F105:$H105)=3,MIN($F105:$H105)&gt;=0,$F105&lt;=$G105,$G105&lt;=$H105)),OR(COUNTBLANK($I105:$K105)=3,AND(COUNT($I105:$K105)=3,MIN($I105:$K105)&gt;=0,$I105&lt;=$J105,$J105&lt;=$K105)),OR(COUNTBLANK($L105:$N105)=3,AND(COUNT($L105:$N105)=3,MIN($L105:$N105)&gt;=0,$L105&lt;=$M105,$M105&lt;=$N105)),OR(COUNTBLANK($O105:$Q105)=3,AND(COUNT($O105:$Q105)=3,MIN($O105:$Q105)&gt;=0,$O105&lt;=$P105,$P105&lt;=$Q105)),OR(COUNTBLANK($R105:$T105)=3,AND(COUNT($R105:$T105)=3,MIN($R105:$T105)&gt;=0,$R105&lt;=$S105,$S105&lt;=$T105)),OR(COUNTBLANK($U105:$W105)=3,AND(COUNT($U105:$W105)=3,MIN($U105:$W105)&gt;=0,$U105&lt;=$V105,$V105&lt;=$W105,MAX($U105:$W105)&lt;=1)))),"ERROR: LOW/BASE/HIGH",IF(NOT(OR(AND(COUNTBLANK($R105:$T105)=3,COUNTBLANK($U105:$W105)=3),AND(COUNT($R105:$T105)=3,COUNT($U105:$W105)=3))),"ERROR: TRANSFER ASSUMPTION",IF(AND(COUNTA($F105:$W105)&gt;0,$X105=""),"ERROR: SOURCE","READY")))))))))))))</x:f>
      </x:c>
    </x:row>
    <x:row r="106">
      <x:c r="A106" s="30"/>
      <x:c r="B106" s="30"/>
      <x:c r="C106" s="30"/>
      <x:c r="D106" s="30"/>
      <x:c r="E106" s="30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9"/>
      <x:c r="V106" s="39"/>
      <x:c r="W106" s="39"/>
      <x:c r="X106" s="30"/>
      <x:c r="Y106" s="30"/>
      <x:c r="Z106" s="30"/>
      <x:c r="AA106" s="34" t="str">
        <x:f>IF($A106="","",IF(OR($A106&lt;&gt;TRIM($A106),NOT(EXACT($A106,UPPER($A106))),LEN($A106)&gt;64,ISNUMBER(FIND("*",$A106)),ISNUMBER(FIND("?",$A106)),ISNUMBER(FIND("~",$A106))),"ERROR: ID FORMAT",IF(COUNTIF($A$7:$A$106,$A106)&lt;&gt;1,"ERROR: DUPLICATE EXPOSURE ID",IF(COUNTIF('01_INPUT_COMPANIES'!$A$7:$A$106,$A106)&lt;&gt;1,"ERROR: COMPANY ID",IF(OR($B106="",COUNTIF('92_REF_VARIABLES'!$L$21:$L$50,$B106)&lt;&gt;1),"ERROR: CURRENCY",IF(OR(NOT(ISNUMBER($C106)),$C106&lt;&gt;INT($C106),$C106&lt;2000,$C106&gt;2100),"ERROR: PRICE YEAR",IF(OR($D106="",AND($D106&lt;&gt;IFERROR(IF(INDEX('01_INPUT_COMPANIES'!$G$7:$G$106,MATCH($A106,'01_INPUT_COMPANIES'!$A$7:$A$106,0))="","",INDEX('01_INPUT_COMPANIES'!$G$7:$G$106,MATCH($A106,'01_INPUT_COMPANIES'!$A$7:$A$106,0))),""),$D106&lt;&gt;LEFT(IFERROR(IF(INDEX('01_INPUT_COMPANIES'!$G$7:$G$106,MATCH($A106,'01_INPUT_COMPANIES'!$A$7:$A$106,0))="","",INDEX('01_INPUT_COMPANIES'!$G$7:$G$106,MATCH($A106,'01_INPUT_COMPANIES'!$A$7:$A$106,0))),""),4))),"ERROR: EXPOSURE PERIOD",IF(OR(NOT(ISNUMBER($E106)),$E106&lt;=0,$E106&gt;1),"ERROR: PERIOD FRACTION",IF(OR($B106&lt;&gt;IFERROR(IF(INDEX('01_INPUT_COMPANIES'!$I$7:$I$106,MATCH($A106,'01_INPUT_COMPANIES'!$A$7:$A$106,0))="","",INDEX('01_INPUT_COMPANIES'!$I$7:$I$106,MATCH($A106,'01_INPUT_COMPANIES'!$A$7:$A$106,0))),""),$C106&lt;&gt;IFERROR(IF(INDEX('01_INPUT_COMPANIES'!$J$7:$J$106,MATCH($A106,'01_INPUT_COMPANIES'!$A$7:$A$106,0))="","",INDEX('01_INPUT_COMPANIES'!$J$7:$J$106,MATCH($A106,'01_INPUT_COMPANIES'!$A$7:$A$106,0))),"")),"ERROR: COMPANY CURRENCY/YEAR",IF(NOT(OR($Y106="A",$Y106="B",$Y106="C",$Y106="SYNTHETIC")),"ERROR: QUALITY",IF(NOT(AND(OR(COUNTBLANK($F106:$H106)=3,AND(COUNT($F106:$H106)=3,MIN($F106:$H106)&gt;=0,$F106&lt;=$G106,$G106&lt;=$H106)),OR(COUNTBLANK($I106:$K106)=3,AND(COUNT($I106:$K106)=3,MIN($I106:$K106)&gt;=0,$I106&lt;=$J106,$J106&lt;=$K106)),OR(COUNTBLANK($L106:$N106)=3,AND(COUNT($L106:$N106)=3,MIN($L106:$N106)&gt;=0,$L106&lt;=$M106,$M106&lt;=$N106)),OR(COUNTBLANK($O106:$Q106)=3,AND(COUNT($O106:$Q106)=3,MIN($O106:$Q106)&gt;=0,$O106&lt;=$P106,$P106&lt;=$Q106)),OR(COUNTBLANK($R106:$T106)=3,AND(COUNT($R106:$T106)=3,MIN($R106:$T106)&gt;=0,$R106&lt;=$S106,$S106&lt;=$T106)),OR(COUNTBLANK($U106:$W106)=3,AND(COUNT($U106:$W106)=3,MIN($U106:$W106)&gt;=0,$U106&lt;=$V106,$V106&lt;=$W106,MAX($U106:$W106)&lt;=1)))),"ERROR: LOW/BASE/HIGH",IF(NOT(OR(AND(COUNTBLANK($R106:$T106)=3,COUNTBLANK($U106:$W106)=3),AND(COUNT($R106:$T106)=3,COUNT($U106:$W106)=3))),"ERROR: TRANSFER ASSUMPTION",IF(AND(COUNTA($F106:$W106)&gt;0,$X106=""),"ERROR: SOURCE","READY")))))))))))))</x:f>
      </x:c>
    </x:row>
  </x:sheetData>
  <x:mergeCells>
    <x:mergeCell ref="A1:AA1"/>
    <x:mergeCell ref="A2:AA3"/>
  </x:mergeCells>
  <x:conditionalFormatting sqref="AA7:AA106">
    <x:cfRule type="containsText" dxfId="6" priority="1" operator="containsText" text="ERROR"/>
    <x:cfRule type="containsText" dxfId="7" priority="2" operator="containsText" text="READY"/>
  </x:conditionalFormatting>
  <x:dataValidations count="7">
    <x:dataValidation type="list" sqref="A7:A106">
      <x:formula1>INDIRECT("'01_INPUT_COMPANIES'!$A$7:$A$106")</x:formula1>
    </x:dataValidation>
    <x:dataValidation type="list" sqref="B7:B106">
      <x:formula1>"AED,AUD,BRL,CAD,CHF,CNY,DKK,EUR,GBP,HKD,IDR,INR,JPY,KRW,MXN,MYR,NOK,NZD,PHP,PLN,RUB,SAR,SEK,SGD,THB,TRY,TWD,USD,VND,ZAR"</x:formula1>
    </x:dataValidation>
    <x:dataValidation type="whole" operator="between" sqref="C7:C106">
      <x:formula1>2000</x:formula1>
      <x:formula2>2100</x:formula2>
    </x:dataValidation>
    <x:dataValidation type="decimal" operator="between" sqref="E7:E106">
      <x:formula1>0.000001</x:formula1>
      <x:formula2>1</x:formula2>
    </x:dataValidation>
    <x:dataValidation type="decimal" operator="greaterThanOrEqual" sqref="F7:W106">
      <x:formula1>0</x:formula1>
    </x:dataValidation>
    <x:dataValidation type="decimal" operator="between" sqref="U7:W106">
      <x:formula1>0</x:formula1>
      <x:formula2>1</x:formula2>
    </x:dataValidation>
    <x:dataValidation type="list" sqref="Y7:Y106">
      <x:formula1>"A,B,C,SYNTHETIC"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64b7d693f4be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34" hidden="0" customWidth="1"/>
    <x:col min="3" max="3" width="23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1" max="11" width="30" hidden="0" customWidth="1"/>
    <x:col min="12" max="12" width="18" hidden="0" customWidth="1"/>
    <x:col min="13" max="13" width="18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0" customHeight="1">
      <x:c r="A1" s="3" t="str">
        <x:v>03 | 두 회사 상세 비교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4" customHeight="1">
      <x:c r="A2" s="7" t="str">
        <x:v>A-B 부호를 사용합니다. 국내-해외 적격 pair도 ‘역차별 가설 관련 구조적 부담격차’이며 법적·인과적 판정이 아닙니다.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4">
      <x:c r="A4" s="9" t="str">
        <x:v>회사 A 관측 ID</x:v>
      </x:c>
      <x:c r="B4" s="48" t="str">
        <x:v>SYN-A</x:v>
      </x:c>
    </x:row>
    <x:row r="5">
      <x:c r="A5" s="9" t="str">
        <x:v>회사 B 관측 ID</x:v>
      </x:c>
      <x:c r="B5" s="48" t="str">
        <x:v>SYN-B</x:v>
      </x:c>
    </x:row>
    <x:row r="7">
      <x:c r="A7" s="13" t="str">
        <x:v>지표</x:v>
      </x:c>
      <x:c r="B7" s="13" t="str">
        <x:v>A</x:v>
      </x:c>
      <x:c r="C7" s="13" t="str">
        <x:v>B</x:v>
      </x:c>
      <x:c r="D7" s="13" t="str">
        <x:v>A-B</x:v>
      </x:c>
    </x:row>
    <x:row r="8">
      <x:c r="A8" s="17" t="str">
        <x:v>CPII</x:v>
      </x:c>
      <x:c r="B8" s="49" t="n">
        <x:f>IF(OR(COUNTIF('01_INPUT_COMPANIES'!$A$7:$A$106,$B$4)&lt;&gt;1,NOT(OR(LEFT(IFERROR(IF(INDEX('91_CALC_SCORES'!$AB$7:$AB$106,MATCH($B$4,'91_CALC_SCORES'!$A$7:$A$106,0))="","",INDEX('91_CALC_SCORES'!$AB$7:$AB$106,MATCH($B$4,'91_CALC_SCORES'!$A$7:$A$106,0))),""),4)="PASS",LEFT(IFERROR(IF(INDEX('91_CALC_SCORES'!$AB$7:$AB$106,MATCH($B$4,'91_CALC_SCORES'!$A$7:$A$106,0))="","",INDEX('91_CALC_SCORES'!$AB$7:$AB$106,MATCH($B$4,'91_CALC_SCORES'!$A$7:$A$106,0))),""),5)="READY"))),"",IFERROR(IF(COUNT(INDEX('91_CALC_SCORES'!$Y$7:$Y$106,MATCH($B$4,'91_CALC_SCORES'!$A$7:$A$106,0)))=0,"",INDEX('91_CALC_SCORES'!$Y$7:$Y$106,MATCH($B$4,'91_CALC_SCORES'!$A$7:$A$106,0))),""))</x:f>
        <x:v>39.89561107334345</x:v>
      </x:c>
      <x:c r="C8" s="49" t="n">
        <x:f>IF(OR(COUNTIF('01_INPUT_COMPANIES'!$A$7:$A$106,$B$5)&lt;&gt;1,NOT(OR(LEFT(IFERROR(IF(INDEX('91_CALC_SCORES'!$AB$7:$AB$106,MATCH($B$5,'91_CALC_SCORES'!$A$7:$A$106,0))="","",INDEX('91_CALC_SCORES'!$AB$7:$AB$106,MATCH($B$5,'91_CALC_SCORES'!$A$7:$A$106,0))),""),4)="PASS",LEFT(IFERROR(IF(INDEX('91_CALC_SCORES'!$AB$7:$AB$106,MATCH($B$5,'91_CALC_SCORES'!$A$7:$A$106,0))="","",INDEX('91_CALC_SCORES'!$AB$7:$AB$106,MATCH($B$5,'91_CALC_SCORES'!$A$7:$A$106,0))),""),5)="READY"))),"",IFERROR(IF(COUNT(INDEX('91_CALC_SCORES'!$Y$7:$Y$106,MATCH($B$5,'91_CALC_SCORES'!$A$7:$A$106,0)))=0,"",INDEX('91_CALC_SCORES'!$Y$7:$Y$106,MATCH($B$5,'91_CALC_SCORES'!$A$7:$A$106,0))),""))</x:f>
        <x:v>32.21744929663617</x:v>
      </x:c>
      <x:c r="D8" s="49" t="n">
        <x:f>IF(OR($A$14&lt;&gt;"비교 가능",COUNT(B8:C8)&lt;&gt;2),"",B8-C8)</x:f>
        <x:v>7.6781617767072845</x:v>
      </x:c>
    </x:row>
    <x:row r="9">
      <x:c r="A9" s="17" t="str">
        <x:v>I_reg</x:v>
      </x:c>
      <x:c r="B9" s="49" t="n">
        <x:f>IF(OR(COUNTIF('01_INPUT_COMPANIES'!$A$7:$A$106,$B$4)&lt;&gt;1,NOT(OR(LEFT(IFERROR(IF(INDEX('91_CALC_SCORES'!$AB$7:$AB$106,MATCH($B$4,'91_CALC_SCORES'!$A$7:$A$106,0))="","",INDEX('91_CALC_SCORES'!$AB$7:$AB$106,MATCH($B$4,'91_CALC_SCORES'!$A$7:$A$106,0))),""),4)="PASS",LEFT(IFERROR(IF(INDEX('91_CALC_SCORES'!$AB$7:$AB$106,MATCH($B$4,'91_CALC_SCORES'!$A$7:$A$106,0))="","",INDEX('91_CALC_SCORES'!$AB$7:$AB$106,MATCH($B$4,'91_CALC_SCORES'!$A$7:$A$106,0))),""),5)="READY"))),"",IFERROR(IF(COUNT(INDEX('91_CALC_SCORES'!$V$7:$V$106,MATCH($B$4,'91_CALC_SCORES'!$A$7:$A$106,0)))=0,"",INDEX('91_CALC_SCORES'!$V$7:$V$106,MATCH($B$4,'91_CALC_SCORES'!$A$7:$A$106,0))),""))</x:f>
        <x:v>12.73816318764949</x:v>
      </x:c>
      <x:c r="C9" s="49" t="n">
        <x:f>IF(OR(COUNTIF('01_INPUT_COMPANIES'!$A$7:$A$106,$B$5)&lt;&gt;1,NOT(OR(LEFT(IFERROR(IF(INDEX('91_CALC_SCORES'!$AB$7:$AB$106,MATCH($B$5,'91_CALC_SCORES'!$A$7:$A$106,0))="","",INDEX('91_CALC_SCORES'!$AB$7:$AB$106,MATCH($B$5,'91_CALC_SCORES'!$A$7:$A$106,0))),""),4)="PASS",LEFT(IFERROR(IF(INDEX('91_CALC_SCORES'!$AB$7:$AB$106,MATCH($B$5,'91_CALC_SCORES'!$A$7:$A$106,0))="","",INDEX('91_CALC_SCORES'!$AB$7:$AB$106,MATCH($B$5,'91_CALC_SCORES'!$A$7:$A$106,0))),""),5)="READY"))),"",IFERROR(IF(COUNT(INDEX('91_CALC_SCORES'!$V$7:$V$106,MATCH($B$5,'91_CALC_SCORES'!$A$7:$A$106,0)))=0,"",INDEX('91_CALC_SCORES'!$V$7:$V$106,MATCH($B$5,'91_CALC_SCORES'!$A$7:$A$106,0))),""))</x:f>
        <x:v>5.086363883452924</x:v>
      </x:c>
      <x:c r="D9" s="49" t="n">
        <x:f>IF(OR($A$14&lt;&gt;"비교 가능",COUNT(B9:C9)&lt;&gt;2),"",B9-C9)</x:f>
        <x:v>7.651799304196567</x:v>
      </x:c>
    </x:row>
    <x:row r="10">
      <x:c r="A10" s="17" t="str">
        <x:v>I_risk</x:v>
      </x:c>
      <x:c r="B10" s="49" t="n">
        <x:f>IF(OR(COUNTIF('01_INPUT_COMPANIES'!$A$7:$A$106,$B$4)&lt;&gt;1,NOT(OR(LEFT(IFERROR(IF(INDEX('91_CALC_SCORES'!$AB$7:$AB$106,MATCH($B$4,'91_CALC_SCORES'!$A$7:$A$106,0))="","",INDEX('91_CALC_SCORES'!$AB$7:$AB$106,MATCH($B$4,'91_CALC_SCORES'!$A$7:$A$106,0))),""),4)="PASS",LEFT(IFERROR(IF(INDEX('91_CALC_SCORES'!$AB$7:$AB$106,MATCH($B$4,'91_CALC_SCORES'!$A$7:$A$106,0))="","",INDEX('91_CALC_SCORES'!$AB$7:$AB$106,MATCH($B$4,'91_CALC_SCORES'!$A$7:$A$106,0))),""),5)="READY"))),"",IFERROR(IF(COUNT(INDEX('91_CALC_SCORES'!$W$7:$W$106,MATCH($B$4,'91_CALC_SCORES'!$A$7:$A$106,0)))=0,"",INDEX('91_CALC_SCORES'!$W$7:$W$106,MATCH($B$4,'91_CALC_SCORES'!$A$7:$A$106,0))),""))</x:f>
        <x:v>73.35805758258167</x:v>
      </x:c>
      <x:c r="C10" s="49" t="n">
        <x:f>IF(OR(COUNTIF('01_INPUT_COMPANIES'!$A$7:$A$106,$B$5)&lt;&gt;1,NOT(OR(LEFT(IFERROR(IF(INDEX('91_CALC_SCORES'!$AB$7:$AB$106,MATCH($B$5,'91_CALC_SCORES'!$A$7:$A$106,0))="","",INDEX('91_CALC_SCORES'!$AB$7:$AB$106,MATCH($B$5,'91_CALC_SCORES'!$A$7:$A$106,0))),""),4)="PASS",LEFT(IFERROR(IF(INDEX('91_CALC_SCORES'!$AB$7:$AB$106,MATCH($B$5,'91_CALC_SCORES'!$A$7:$A$106,0))="","",INDEX('91_CALC_SCORES'!$AB$7:$AB$106,MATCH($B$5,'91_CALC_SCORES'!$A$7:$A$106,0))),""),5)="READY"))),"",IFERROR(IF(COUNT(INDEX('91_CALC_SCORES'!$W$7:$W$106,MATCH($B$5,'91_CALC_SCORES'!$A$7:$A$106,0)))=0,"",INDEX('91_CALC_SCORES'!$W$7:$W$106,MATCH($B$5,'91_CALC_SCORES'!$A$7:$A$106,0))),""))</x:f>
        <x:v>65.06205161020391</x:v>
      </x:c>
      <x:c r="D10" s="49" t="n">
        <x:f>IF(OR($A$14&lt;&gt;"비교 가능",COUNT(B10:C10)&lt;&gt;2),"",B10-C10)</x:f>
        <x:v>8.296005972377756</x:v>
      </x:c>
    </x:row>
    <x:row r="11">
      <x:c r="A11" s="17" t="str">
        <x:v>I_market</x:v>
      </x:c>
      <x:c r="B11" s="49" t="n">
        <x:f>IF(OR(COUNTIF('01_INPUT_COMPANIES'!$A$7:$A$106,$B$4)&lt;&gt;1,NOT(OR(LEFT(IFERROR(IF(INDEX('91_CALC_SCORES'!$AB$7:$AB$106,MATCH($B$4,'91_CALC_SCORES'!$A$7:$A$106,0))="","",INDEX('91_CALC_SCORES'!$AB$7:$AB$106,MATCH($B$4,'91_CALC_SCORES'!$A$7:$A$106,0))),""),4)="PASS",LEFT(IFERROR(IF(INDEX('91_CALC_SCORES'!$AB$7:$AB$106,MATCH($B$4,'91_CALC_SCORES'!$A$7:$A$106,0))="","",INDEX('91_CALC_SCORES'!$AB$7:$AB$106,MATCH($B$4,'91_CALC_SCORES'!$A$7:$A$106,0))),""),5)="READY"))),"",IFERROR(IF(COUNT(INDEX('91_CALC_SCORES'!$X$7:$X$106,MATCH($B$4,'91_CALC_SCORES'!$A$7:$A$106,0)))=0,"",INDEX('91_CALC_SCORES'!$X$7:$X$106,MATCH($B$4,'91_CALC_SCORES'!$A$7:$A$106,0))),""))</x:f>
        <x:v>33.590612449799195</x:v>
      </x:c>
      <x:c r="C11" s="49" t="n">
        <x:f>IF(OR(COUNTIF('01_INPUT_COMPANIES'!$A$7:$A$106,$B$5)&lt;&gt;1,NOT(OR(LEFT(IFERROR(IF(INDEX('91_CALC_SCORES'!$AB$7:$AB$106,MATCH($B$5,'91_CALC_SCORES'!$A$7:$A$106,0))="","",INDEX('91_CALC_SCORES'!$AB$7:$AB$106,MATCH($B$5,'91_CALC_SCORES'!$A$7:$A$106,0))),""),4)="PASS",LEFT(IFERROR(IF(INDEX('91_CALC_SCORES'!$AB$7:$AB$106,MATCH($B$5,'91_CALC_SCORES'!$A$7:$A$106,0))="","",INDEX('91_CALC_SCORES'!$AB$7:$AB$106,MATCH($B$5,'91_CALC_SCORES'!$A$7:$A$106,0))),""),5)="READY"))),"",IFERROR(IF(COUNT(INDEX('91_CALC_SCORES'!$X$7:$X$106,MATCH($B$5,'91_CALC_SCORES'!$A$7:$A$106,0)))=0,"",INDEX('91_CALC_SCORES'!$X$7:$X$106,MATCH($B$5,'91_CALC_SCORES'!$A$7:$A$106,0))),""))</x:f>
        <x:v>26.503932396251674</x:v>
      </x:c>
      <x:c r="D11" s="49" t="n">
        <x:f>IF(OR($A$14&lt;&gt;"비교 가능",COUNT(B11:C11)&lt;&gt;2),"",B11-C11)</x:f>
        <x:v>7.086680053547521</x:v>
      </x:c>
    </x:row>
    <x:row r="13">
      <x:c r="A13" s="13" t="str">
        <x:v>비교상태</x:v>
      </x:c>
      <x:c r="B13" s="13" t="str">
        <x:v>Pair 유형</x:v>
      </x:c>
      <x:c r="C13" s="13" t="str">
        <x:v>결합지원</x:v>
      </x:c>
      <x:c r="D13" s="13" t="str">
        <x:v>주의</x:v>
      </x:c>
    </x:row>
    <x:row r="14" ht="60" customHeight="1">
      <x:c r="A14" s="52" t="str">
        <x:f>IF(OR($B$4="",$B$5=""),"선택 필요",IF($B$4=$B$5,"N/A: 동일 관측 선택",IF(OR(COUNTIF('01_INPUT_COMPANIES'!$A$7:$A$106,$B$4)&lt;&gt;1,COUNTIF('01_INPUT_COMPANIES'!$A$7:$A$106,$B$5)&lt;&gt;1),"N/A: ID 없음/중복",IF(OR(NOT(OR(LEFT(IFERROR(IF(INDEX('91_CALC_SCORES'!$AB$7:$AB$106,MATCH($B$4,'91_CALC_SCORES'!$A$7:$A$106,0))="","",INDEX('91_CALC_SCORES'!$AB$7:$AB$106,MATCH($B$4,'91_CALC_SCORES'!$A$7:$A$106,0))),""),4)="PASS",LEFT(IFERROR(IF(INDEX('91_CALC_SCORES'!$AB$7:$AB$106,MATCH($B$4,'91_CALC_SCORES'!$A$7:$A$106,0))="","",INDEX('91_CALC_SCORES'!$AB$7:$AB$106,MATCH($B$4,'91_CALC_SCORES'!$A$7:$A$106,0))),""),5)="READY")),NOT(OR(LEFT(IFERROR(IF(INDEX('91_CALC_SCORES'!$AB$7:$AB$106,MATCH($B$5,'91_CALC_SCORES'!$A$7:$A$106,0))="","",INDEX('91_CALC_SCORES'!$AB$7:$AB$106,MATCH($B$5,'91_CALC_SCORES'!$A$7:$A$106,0))),""),4)="PASS",LEFT(IFERROR(IF(INDEX('91_CALC_SCORES'!$AB$7:$AB$106,MATCH($B$5,'91_CALC_SCORES'!$A$7:$A$106,0))="","",INDEX('91_CALC_SCORES'!$AB$7:$AB$106,MATCH($B$5,'91_CALC_SCORES'!$A$7:$A$106,0))),""),5)="READY"))),"N/A: 입력 검증 실패",IF(OR(IFERROR(IF(INDEX('91_CALC_SCORES'!$K$7:$K$106,MATCH($B$4,'91_CALC_SCORES'!$A$7:$A$106,0))="","",INDEX('91_CALC_SCORES'!$K$7:$K$106,MATCH($B$4,'91_CALC_SCORES'!$A$7:$A$106,0))),"")="",IFERROR(IF(INDEX('91_CALC_SCORES'!$K$7:$K$106,MATCH($B$5,'91_CALC_SCORES'!$A$7:$A$106,0))="","",INDEX('91_CALC_SCORES'!$K$7:$K$106,MATCH($B$5,'91_CALC_SCORES'!$A$7:$A$106,0))),"")="",NOT(EXACT(IFERROR(IF(INDEX('91_CALC_SCORES'!$K$7:$K$106,MATCH($B$4,'91_CALC_SCORES'!$A$7:$A$106,0))="","",INDEX('91_CALC_SCORES'!$K$7:$K$106,MATCH($B$4,'91_CALC_SCORES'!$A$7:$A$106,0))),""),IFERROR(IF(INDEX('91_CALC_SCORES'!$K$7:$K$106,MATCH($B$5,'91_CALC_SCORES'!$A$7:$A$106,0))="","",INDEX('91_CALC_SCORES'!$K$7:$K$106,MATCH($B$5,'91_CALC_SCORES'!$A$7:$A$106,0))),"")))),"N/A: cohort 불일치","비교 가능")))))</x:f>
        <x:v>비교 가능</x:v>
      </x:c>
      <x:c r="B14" s="52" t="str">
        <x:f>IF(A14&lt;&gt;"비교 가능","해석 불가",IF(AND(OR(AND(IFERROR(IF(INDEX('91_CALC_SCORES'!$C$7:$C$106,MATCH($B$4,'91_CALC_SCORES'!$A$7:$A$106,0))="","",INDEX('91_CALC_SCORES'!$C$7:$C$106,MATCH($B$4,'91_CALC_SCORES'!$A$7:$A$106,0))),"")="domestic",IFERROR(IF(INDEX('91_CALC_SCORES'!$C$7:$C$106,MATCH($B$5,'91_CALC_SCORES'!$A$7:$A$106,0))="","",INDEX('91_CALC_SCORES'!$C$7:$C$106,MATCH($B$5,'91_CALC_SCORES'!$A$7:$A$106,0))),"")="foreign"),AND(IFERROR(IF(INDEX('91_CALC_SCORES'!$C$7:$C$106,MATCH($B$4,'91_CALC_SCORES'!$A$7:$A$106,0))="","",INDEX('91_CALC_SCORES'!$C$7:$C$106,MATCH($B$4,'91_CALC_SCORES'!$A$7:$A$106,0))),"")="foreign",IFERROR(IF(INDEX('91_CALC_SCORES'!$C$7:$C$106,MATCH($B$5,'91_CALC_SCORES'!$A$7:$A$106,0))="","",INDEX('91_CALC_SCORES'!$C$7:$C$106,MATCH($B$5,'91_CALC_SCORES'!$A$7:$A$106,0))),"")="domestic")),OR(IFERROR(IF(INDEX('91_CALC_SCORES'!$I$7:$I$106,MATCH($B$4,'91_CALC_SCORES'!$A$7:$A$106,0))="","",INDEX('91_CALC_SCORES'!$I$7:$I$106,MATCH($B$4,'91_CALC_SCORES'!$A$7:$A$106,0))),"")="A",IFERROR(IF(INDEX('91_CALC_SCORES'!$I$7:$I$106,MATCH($B$4,'91_CALC_SCORES'!$A$7:$A$106,0))="","",INDEX('91_CALC_SCORES'!$I$7:$I$106,MATCH($B$4,'91_CALC_SCORES'!$A$7:$A$106,0))),"")="B",IFERROR(IF(INDEX('91_CALC_SCORES'!$I$7:$I$106,MATCH($B$4,'91_CALC_SCORES'!$A$7:$A$106,0))="","",INDEX('91_CALC_SCORES'!$I$7:$I$106,MATCH($B$4,'91_CALC_SCORES'!$A$7:$A$106,0))),"")="SYNTHETIC"),OR(IFERROR(IF(INDEX('91_CALC_SCORES'!$I$7:$I$106,MATCH($B$5,'91_CALC_SCORES'!$A$7:$A$106,0))="","",INDEX('91_CALC_SCORES'!$I$7:$I$106,MATCH($B$5,'91_CALC_SCORES'!$A$7:$A$106,0))),"")="A",IFERROR(IF(INDEX('91_CALC_SCORES'!$I$7:$I$106,MATCH($B$5,'91_CALC_SCORES'!$A$7:$A$106,0))="","",INDEX('91_CALC_SCORES'!$I$7:$I$106,MATCH($B$5,'91_CALC_SCORES'!$A$7:$A$106,0))),"")="B",IFERROR(IF(INDEX('91_CALC_SCORES'!$I$7:$I$106,MATCH($B$5,'91_CALC_SCORES'!$A$7:$A$106,0))="","",INDEX('91_CALC_SCORES'!$I$7:$I$106,MATCH($B$5,'91_CALC_SCORES'!$A$7:$A$106,0))),"")="SYNTHETIC"),OR(IFERROR(IF(INDEX('91_CALC_SCORES'!$J$7:$J$106,MATCH($B$4,'91_CALC_SCORES'!$A$7:$A$106,0))="","",INDEX('91_CALC_SCORES'!$J$7:$J$106,MATCH($B$4,'91_CALC_SCORES'!$A$7:$A$106,0))),"")="direct",IFERROR(IF(INDEX('91_CALC_SCORES'!$J$7:$J$106,MATCH($B$4,'91_CALC_SCORES'!$A$7:$A$106,0))="","",INDEX('91_CALC_SCORES'!$J$7:$J$106,MATCH($B$4,'91_CALC_SCORES'!$A$7:$A$106,0))),"")="derived"),OR(IFERROR(IF(INDEX('91_CALC_SCORES'!$J$7:$J$106,MATCH($B$5,'91_CALC_SCORES'!$A$7:$A$106,0))="","",INDEX('91_CALC_SCORES'!$J$7:$J$106,MATCH($B$5,'91_CALC_SCORES'!$A$7:$A$106,0))),"")="direct",IFERROR(IF(INDEX('91_CALC_SCORES'!$J$7:$J$106,MATCH($B$5,'91_CALC_SCORES'!$A$7:$A$106,0))="","",INDEX('91_CALC_SCORES'!$J$7:$J$106,MATCH($B$5,'91_CALC_SCORES'!$A$7:$A$106,0))),"")="derived")),"역차별 가설 관련 구조적 부담격차","구조적 부담격차"))</x:f>
        <x:v>역차별 가설 관련 구조적 부담격차</x:v>
      </x:c>
      <x:c r="C14" s="52" t="str">
        <x:f>"10변수 결합완전 2/159"</x:f>
        <x:v>10변수 결합완전 2/159</x:v>
      </x:c>
      <x:c r="D14" s="52" t="str">
        <x:f>"연구 베타·저지원 22.22%·기업 백분위 아님"</x:f>
        <x:v>연구 베타·저지원 22.22%·기업 백분위 아님</x:v>
      </x:c>
    </x:row>
    <x:row r="16">
      <x:c r="A16" s="13" t="str">
        <x:v>Feature</x:v>
      </x:c>
      <x:c r="B16" s="13" t="str">
        <x:v>하위지수</x:v>
      </x:c>
      <x:c r="C16" s="13" t="str">
        <x:v>원값 A</x:v>
      </x:c>
      <x:c r="D16" s="13" t="str">
        <x:v>원값 B</x:v>
      </x:c>
      <x:c r="E16" s="13" t="str">
        <x:v>정규화 A</x:v>
      </x:c>
      <x:c r="F16" s="13" t="str">
        <x:v>정규화 B</x:v>
      </x:c>
      <x:c r="G16" s="13" t="str">
        <x:v>가중치</x:v>
      </x:c>
      <x:c r="H16" s="13" t="str">
        <x:v>점수기여(A-B)</x:v>
      </x:c>
      <x:c r="I16" s="13" t="str">
        <x:v>역할</x:v>
      </x:c>
    </x:row>
    <x:row r="17">
      <x:c r="A17" s="17" t="str">
        <x:f>'92_REF_VARIABLES'!$B$7</x:f>
        <x:v>유효세율 격차</x:v>
      </x:c>
      <x:c r="B17" s="17" t="str">
        <x:f>'92_REF_VARIABLES'!$C$7</x:f>
        <x:v>I_reg</x:v>
      </x:c>
      <x:c r="C17" s="53" t="n">
        <x:f>IF($A$14&lt;&gt;"비교 가능","",SUMIFS('90_CALC_FEATURES'!$E$7:$E$1006,'90_CALC_FEATURES'!$B$7:$B$1006,$B$4,'90_CALC_FEATURES'!$D$7:$D$1006,'92_REF_VARIABLES'!$A$7))</x:f>
        <x:v>-0.02</x:v>
      </x:c>
      <x:c r="D17" s="53" t="n">
        <x:f>IF($A$14&lt;&gt;"비교 가능","",SUMIFS('90_CALC_FEATURES'!$E$7:$E$1006,'90_CALC_FEATURES'!$B$7:$B$1006,$B$5,'90_CALC_FEATURES'!$D$7:$D$1006,'92_REF_VARIABLES'!$A$7))</x:f>
        <x:v>-0.055</x:v>
      </x:c>
      <x:c r="E17" s="53" t="n">
        <x:f>IF($A$14&lt;&gt;"비교 가능","",SUMIFS('90_CALC_FEATURES'!$I$7:$I$1006,'90_CALC_FEATURES'!$B$7:$B$1006,$B$4,'90_CALC_FEATURES'!$D$7:$D$1006,'92_REF_VARIABLES'!$A$7))</x:f>
        <x:v>0.2534246575342466</x:v>
      </x:c>
      <x:c r="F17" s="53" t="n">
        <x:f>IF($A$14&lt;&gt;"비교 가능","",SUMIFS('90_CALC_FEATURES'!$I$7:$I$1006,'90_CALC_FEATURES'!$B$7:$B$1006,$B$5,'90_CALC_FEATURES'!$D$7:$D$1006,'92_REF_VARIABLES'!$A$7))</x:f>
        <x:v>0.10273972602739725</x:v>
      </x:c>
      <x:c r="G17" s="53" t="n">
        <x:f>'92_REF_VARIABLES'!$I$7</x:f>
        <x:v>0.1111111111111111</x:v>
      </x:c>
      <x:c r="H17" s="53" t="n">
        <x:f>IF(COUNT(E17:F17)&lt;&gt;2,"",100*G17*(E17-F17))</x:f>
        <x:v>1.6742770167427703</x:v>
      </x:c>
      <x:c r="I17" s="17" t="str">
        <x:f>IF(COUNT(H17)=0,"",IF(ABS(H17)&lt;=0.000000000001,"중립",IF(H17*$D$8&gt;0,"격차 확대","격차 상쇄")))</x:f>
        <x:v>격차 확대</x:v>
      </x:c>
    </x:row>
    <x:row r="18">
      <x:c r="A18" s="17" t="str">
        <x:f>'92_REF_VARIABLES'!$B$8</x:f>
        <x:v>인프라 비용·해외의존 결합비율</x:v>
      </x:c>
      <x:c r="B18" s="17" t="str">
        <x:f>'92_REF_VARIABLES'!$C$8</x:f>
        <x:v>I_reg</x:v>
      </x:c>
      <x:c r="C18" s="53" t="n">
        <x:f>IF($A$14&lt;&gt;"비교 가능","",SUMIFS('90_CALC_FEATURES'!$E$7:$E$1006,'90_CALC_FEATURES'!$B$7:$B$1006,$B$4,'90_CALC_FEATURES'!$D$7:$D$1006,'92_REF_VARIABLES'!$A$8))</x:f>
        <x:v>0.1332</x:v>
      </x:c>
      <x:c r="D18" s="53" t="n">
        <x:f>IF($A$14&lt;&gt;"비교 가능","",SUMIFS('90_CALC_FEATURES'!$E$7:$E$1006,'90_CALC_FEATURES'!$B$7:$B$1006,$B$5,'90_CALC_FEATURES'!$D$7:$D$1006,'92_REF_VARIABLES'!$A$8))</x:f>
        <x:v>0.06405</x:v>
      </x:c>
      <x:c r="E18" s="53" t="n">
        <x:f>IF($A$14&lt;&gt;"비교 가능","",SUMIFS('90_CALC_FEATURES'!$I$7:$I$1006,'90_CALC_FEATURES'!$B$7:$B$1006,$B$4,'90_CALC_FEATURES'!$D$7:$D$1006,'92_REF_VARIABLES'!$A$8))</x:f>
        <x:v>0.07142857142857142</x:v>
      </x:c>
      <x:c r="F18" s="53" t="n">
        <x:f>IF($A$14&lt;&gt;"비교 가능","",SUMIFS('90_CALC_FEATURES'!$I$7:$I$1006,'90_CALC_FEATURES'!$B$7:$B$1006,$B$5,'90_CALC_FEATURES'!$D$7:$D$1006,'92_REF_VARIABLES'!$A$8))</x:f>
        <x:v>0.023809523809523808</x:v>
      </x:c>
      <x:c r="G18" s="53" t="n">
        <x:f>'92_REF_VARIABLES'!$I$8</x:f>
        <x:v>0.1111111111111111</x:v>
      </x:c>
      <x:c r="H18" s="53" t="n">
        <x:f>IF(COUNT(E18:F18)&lt;&gt;2,"",100*G18*(E18-F18))</x:f>
        <x:v>0.5291005291005291</x:v>
      </x:c>
      <x:c r="I18" s="17" t="str">
        <x:f>IF(COUNT(H18)=0,"",IF(ABS(H18)&lt;=0.000000000001,"중립",IF(H18*$D$8&gt;0,"격차 확대","격차 상쇄")))</x:f>
        <x:v>격차 확대</x:v>
      </x:c>
    </x:row>
    <x:row r="19">
      <x:c r="A19" s="17" t="str">
        <x:f>'92_REF_VARIABLES'!$B$9</x:f>
        <x:v>네트워크 비용률</x:v>
      </x:c>
      <x:c r="B19" s="17" t="str">
        <x:f>'92_REF_VARIABLES'!$C$9</x:f>
        <x:v>I_reg</x:v>
      </x:c>
      <x:c r="C19" s="53" t="n">
        <x:f>IF($A$14&lt;&gt;"비교 가능","",SUMIFS('90_CALC_FEATURES'!$E$7:$E$1006,'90_CALC_FEATURES'!$B$7:$B$1006,$B$4,'90_CALC_FEATURES'!$D$7:$D$1006,'92_REF_VARIABLES'!$A$9))</x:f>
        <x:v>0.18</x:v>
      </x:c>
      <x:c r="D19" s="53" t="n">
        <x:f>IF($A$14&lt;&gt;"비교 가능","",SUMIFS('90_CALC_FEATURES'!$E$7:$E$1006,'90_CALC_FEATURES'!$B$7:$B$1006,$B$5,'90_CALC_FEATURES'!$D$7:$D$1006,'92_REF_VARIABLES'!$A$9))</x:f>
        <x:v>0.105</x:v>
      </x:c>
      <x:c r="E19" s="53" t="n">
        <x:f>IF($A$14&lt;&gt;"비교 가능","",SUMIFS('90_CALC_FEATURES'!$I$7:$I$1006,'90_CALC_FEATURES'!$B$7:$B$1006,$B$4,'90_CALC_FEATURES'!$D$7:$D$1006,'92_REF_VARIABLES'!$A$9))</x:f>
        <x:v>0.057291666666666664</x:v>
      </x:c>
      <x:c r="F19" s="53" t="n">
        <x:f>IF($A$14&lt;&gt;"비교 가능","",SUMIFS('90_CALC_FEATURES'!$I$7:$I$1006,'90_CALC_FEATURES'!$B$7:$B$1006,$B$5,'90_CALC_FEATURES'!$D$7:$D$1006,'92_REF_VARIABLES'!$A$9))</x:f>
        <x:v>0.026041666666666668</x:v>
      </x:c>
      <x:c r="G19" s="53" t="n">
        <x:f>'92_REF_VARIABLES'!$I$9</x:f>
        <x:v>0.1111111111111111</x:v>
      </x:c>
      <x:c r="H19" s="53" t="n">
        <x:f>IF(COUNT(E19:F19)&lt;&gt;2,"",100*G19*(E19-F19))</x:f>
        <x:v>0.34722222222222215</x:v>
      </x:c>
      <x:c r="I19" s="17" t="str">
        <x:f>IF(COUNT(H19)=0,"",IF(ABS(H19)&lt;=0.000000000001,"중립",IF(H19*$D$8&gt;0,"격차 확대","격차 상쇄")))</x:f>
        <x:v>격차 확대</x:v>
      </x:c>
    </x:row>
    <x:row r="20">
      <x:c r="A20" s="17" t="str">
        <x:f>'92_REF_VARIABLES'!$B$10</x:f>
        <x:v>세전이익 기반 회수 대리값</x:v>
      </x:c>
      <x:c r="B20" s="17" t="str">
        <x:f>'92_REF_VARIABLES'!$C$10</x:f>
        <x:v>I_risk</x:v>
      </x:c>
      <x:c r="C20" s="53" t="n">
        <x:f>IF($A$14&lt;&gt;"비교 가능","",SUMIFS('90_CALC_FEATURES'!$E$7:$E$1006,'90_CALC_FEATURES'!$B$7:$B$1006,$B$4,'90_CALC_FEATURES'!$D$7:$D$1006,'92_REF_VARIABLES'!$A$10))</x:f>
        <x:v>0.42</x:v>
      </x:c>
      <x:c r="D20" s="53" t="n">
        <x:f>IF($A$14&lt;&gt;"비교 가능","",SUMIFS('90_CALC_FEATURES'!$E$7:$E$1006,'90_CALC_FEATURES'!$B$7:$B$1006,$B$5,'90_CALC_FEATURES'!$D$7:$D$1006,'92_REF_VARIABLES'!$A$10))</x:f>
        <x:v>0.73</x:v>
      </x:c>
      <x:c r="E20" s="53" t="n">
        <x:f>IF($A$14&lt;&gt;"비교 가능","",SUMIFS('90_CALC_FEATURES'!$I$7:$I$1006,'90_CALC_FEATURES'!$B$7:$B$1006,$B$4,'90_CALC_FEATURES'!$D$7:$D$1006,'92_REF_VARIABLES'!$A$10))</x:f>
        <x:v>0.675531914893617</x:v>
      </x:c>
      <x:c r="F20" s="53" t="n">
        <x:f>IF($A$14&lt;&gt;"비교 가능","",SUMIFS('90_CALC_FEATURES'!$I$7:$I$1006,'90_CALC_FEATURES'!$B$7:$B$1006,$B$5,'90_CALC_FEATURES'!$D$7:$D$1006,'92_REF_VARIABLES'!$A$10))</x:f>
        <x:v>0.48404255319148937</x:v>
      </x:c>
      <x:c r="G20" s="53" t="n">
        <x:f>'92_REF_VARIABLES'!$I$10</x:f>
        <x:v>0.08333333333333333</x:v>
      </x:c>
      <x:c r="H20" s="53" t="n">
        <x:f>IF(COUNT(E20:F20)&lt;&gt;2,"",100*G20*(E20-F20))</x:f>
        <x:v>1.5957446808510631</x:v>
      </x:c>
      <x:c r="I20" s="17" t="str">
        <x:f>IF(COUNT(H20)=0,"",IF(ABS(H20)&lt;=0.000000000001,"중립",IF(H20*$D$8&gt;0,"격차 확대","격차 상쇄")))</x:f>
        <x:v>격차 확대</x:v>
      </x:c>
    </x:row>
    <x:row r="21">
      <x:c r="A21" s="17" t="str">
        <x:f>'92_REF_VARIABLES'!$B$11</x:f>
        <x:v>자금조달비용 스프레드</x:v>
      </x:c>
      <x:c r="B21" s="17" t="str">
        <x:f>'92_REF_VARIABLES'!$C$11</x:f>
        <x:v>I_risk</x:v>
      </x:c>
      <x:c r="C21" s="53" t="n">
        <x:f>IF($A$14&lt;&gt;"비교 가능","",SUMIFS('90_CALC_FEATURES'!$E$7:$E$1006,'90_CALC_FEATURES'!$B$7:$B$1006,$B$4,'90_CALC_FEATURES'!$D$7:$D$1006,'92_REF_VARIABLES'!$A$11))</x:f>
        <x:v>0.012</x:v>
      </x:c>
      <x:c r="D21" s="53" t="n">
        <x:f>IF($A$14&lt;&gt;"비교 가능","",SUMIFS('90_CALC_FEATURES'!$E$7:$E$1006,'90_CALC_FEATURES'!$B$7:$B$1006,$B$5,'90_CALC_FEATURES'!$D$7:$D$1006,'92_REF_VARIABLES'!$A$11))</x:f>
        <x:v>0.004</x:v>
      </x:c>
      <x:c r="E21" s="53" t="n">
        <x:f>IF($A$14&lt;&gt;"비교 가능","",SUMIFS('90_CALC_FEATURES'!$I$7:$I$1006,'90_CALC_FEATURES'!$B$7:$B$1006,$B$4,'90_CALC_FEATURES'!$D$7:$D$1006,'92_REF_VARIABLES'!$A$11))</x:f>
        <x:v>0.7982456140350878</x:v>
      </x:c>
      <x:c r="F21" s="53" t="n">
        <x:f>IF($A$14&lt;&gt;"비교 가능","",SUMIFS('90_CALC_FEATURES'!$I$7:$I$1006,'90_CALC_FEATURES'!$B$7:$B$1006,$B$5,'90_CALC_FEATURES'!$D$7:$D$1006,'92_REF_VARIABLES'!$A$11))</x:f>
        <x:v>0.6578947368421053</x:v>
      </x:c>
      <x:c r="G21" s="53" t="n">
        <x:f>'92_REF_VARIABLES'!$I$11</x:f>
        <x:v>0.08333333333333333</x:v>
      </x:c>
      <x:c r="H21" s="53" t="n">
        <x:f>IF(COUNT(E21:F21)&lt;&gt;2,"",100*G21*(E21-F21))</x:f>
        <x:v>1.1695906432748535</x:v>
      </x:c>
      <x:c r="I21" s="17" t="str">
        <x:f>IF(COUNT(H21)=0,"",IF(ABS(H21)&lt;=0.000000000001,"중립",IF(H21*$D$8&gt;0,"격차 확대","격차 상쇄")))</x:f>
        <x:v>격차 확대</x:v>
      </x:c>
    </x:row>
    <x:row r="22">
      <x:c r="A22" s="17" t="str">
        <x:f>'92_REF_VARIABLES'!$B$12</x:f>
        <x:v>투자 회수율</x:v>
      </x:c>
      <x:c r="B22" s="17" t="str">
        <x:f>'92_REF_VARIABLES'!$C$12</x:f>
        <x:v>I_risk</x:v>
      </x:c>
      <x:c r="C22" s="53" t="n">
        <x:f>IF($A$14&lt;&gt;"비교 가능","",SUMIFS('90_CALC_FEATURES'!$E$7:$E$1006,'90_CALC_FEATURES'!$B$7:$B$1006,$B$4,'90_CALC_FEATURES'!$D$7:$D$1006,'92_REF_VARIABLES'!$A$12))</x:f>
        <x:v>3.2</x:v>
      </x:c>
      <x:c r="D22" s="53" t="n">
        <x:f>IF($A$14&lt;&gt;"비교 가능","",SUMIFS('90_CALC_FEATURES'!$E$7:$E$1006,'90_CALC_FEATURES'!$B$7:$B$1006,$B$5,'90_CALC_FEATURES'!$D$7:$D$1006,'92_REF_VARIABLES'!$A$12))</x:f>
        <x:v>4.1</x:v>
      </x:c>
      <x:c r="E22" s="53" t="n">
        <x:f>IF($A$14&lt;&gt;"비교 가능","",SUMIFS('90_CALC_FEATURES'!$I$7:$I$1006,'90_CALC_FEATURES'!$B$7:$B$1006,$B$4,'90_CALC_FEATURES'!$D$7:$D$1006,'92_REF_VARIABLES'!$A$12))</x:f>
        <x:v>0.6968085106382979</x:v>
      </x:c>
      <x:c r="F22" s="53" t="n">
        <x:f>IF($A$14&lt;&gt;"비교 가능","",SUMIFS('90_CALC_FEATURES'!$I$7:$I$1006,'90_CALC_FEATURES'!$B$7:$B$1006,$B$5,'90_CALC_FEATURES'!$D$7:$D$1006,'92_REF_VARIABLES'!$A$12))</x:f>
        <x:v>0.6968085106382979</x:v>
      </x:c>
      <x:c r="G22" s="53" t="n">
        <x:f>'92_REF_VARIABLES'!$I$12</x:f>
        <x:v>0.08333333333333333</x:v>
      </x:c>
      <x:c r="H22" s="53" t="n">
        <x:f>IF(COUNT(E22:F22)&lt;&gt;2,"",100*G22*(E22-F22))</x:f>
        <x:v>0</x:v>
      </x:c>
      <x:c r="I22" s="17" t="str">
        <x:f>IF(COUNT(H22)=0,"",IF(ABS(H22)&lt;=0.000000000001,"중립",IF(H22*$D$8&gt;0,"격차 확대","격차 상쇄")))</x:f>
        <x:v>중립</x:v>
      </x:c>
    </x:row>
    <x:row r="23">
      <x:c r="A23" s="17" t="str">
        <x:f>'92_REF_VARIABLES'!$B$13</x:f>
        <x:v>IP 자산화 결손</x:v>
      </x:c>
      <x:c r="B23" s="17" t="str">
        <x:f>'92_REF_VARIABLES'!$C$13</x:f>
        <x:v>I_risk</x:v>
      </x:c>
      <x:c r="C23" s="53" t="n">
        <x:f>IF($A$14&lt;&gt;"비교 가능","",SUMIFS('90_CALC_FEATURES'!$E$7:$E$1006,'90_CALC_FEATURES'!$B$7:$B$1006,$B$4,'90_CALC_FEATURES'!$D$7:$D$1006,'92_REF_VARIABLES'!$A$13))</x:f>
        <x:v>0.08</x:v>
      </x:c>
      <x:c r="D23" s="53" t="n">
        <x:f>IF($A$14&lt;&gt;"비교 가능","",SUMIFS('90_CALC_FEATURES'!$E$7:$E$1006,'90_CALC_FEATURES'!$B$7:$B$1006,$B$5,'90_CALC_FEATURES'!$D$7:$D$1006,'92_REF_VARIABLES'!$A$13))</x:f>
        <x:v>0.025</x:v>
      </x:c>
      <x:c r="E23" s="53" t="n">
        <x:f>IF($A$14&lt;&gt;"비교 가능","",SUMIFS('90_CALC_FEATURES'!$I$7:$I$1006,'90_CALC_FEATURES'!$B$7:$B$1006,$B$4,'90_CALC_FEATURES'!$D$7:$D$1006,'92_REF_VARIABLES'!$A$13))</x:f>
        <x:v>0.7637362637362637</x:v>
      </x:c>
      <x:c r="F23" s="53" t="n">
        <x:f>IF($A$14&lt;&gt;"비교 가능","",SUMIFS('90_CALC_FEATURES'!$I$7:$I$1006,'90_CALC_FEATURES'!$B$7:$B$1006,$B$5,'90_CALC_FEATURES'!$D$7:$D$1006,'92_REF_VARIABLES'!$A$13))</x:f>
        <x:v>0.7637362637362637</x:v>
      </x:c>
      <x:c r="G23" s="53" t="n">
        <x:f>'92_REF_VARIABLES'!$I$13</x:f>
        <x:v>0.08333333333333333</x:v>
      </x:c>
      <x:c r="H23" s="53" t="n">
        <x:f>IF(COUNT(E23:F23)&lt;&gt;2,"",100*G23*(E23-F23))</x:f>
        <x:v>0</x:v>
      </x:c>
      <x:c r="I23" s="17" t="str">
        <x:f>IF(COUNT(H23)=0,"",IF(ABS(H23)&lt;=0.000000000001,"중립",IF(H23*$D$8&gt;0,"격차 확대","격차 상쇄")))</x:f>
        <x:v>중립</x:v>
      </x:c>
    </x:row>
    <x:row r="24">
      <x:c r="A24" s="17" t="str">
        <x:f>'92_REF_VARIABLES'!$B$14</x:f>
        <x:v>시장간 전이 대리지수</x:v>
      </x:c>
      <x:c r="B24" s="17" t="str">
        <x:f>'92_REF_VARIABLES'!$C$14</x:f>
        <x:v>I_market</x:v>
      </x:c>
      <x:c r="C24" s="53" t="n">
        <x:f>IF($A$14&lt;&gt;"비교 가능","",SUMIFS('90_CALC_FEATURES'!$E$7:$E$1006,'90_CALC_FEATURES'!$B$7:$B$1006,$B$4,'90_CALC_FEATURES'!$D$7:$D$1006,'92_REF_VARIABLES'!$A$14))</x:f>
        <x:v>0.28</x:v>
      </x:c>
      <x:c r="D24" s="53" t="n">
        <x:f>IF($A$14&lt;&gt;"비교 가능","",SUMIFS('90_CALC_FEATURES'!$E$7:$E$1006,'90_CALC_FEATURES'!$B$7:$B$1006,$B$5,'90_CALC_FEATURES'!$D$7:$D$1006,'92_REF_VARIABLES'!$A$14))</x:f>
        <x:v>0.16</x:v>
      </x:c>
      <x:c r="E24" s="53" t="n">
        <x:f>IF($A$14&lt;&gt;"비교 가능","",SUMIFS('90_CALC_FEATURES'!$I$7:$I$1006,'90_CALC_FEATURES'!$B$7:$B$1006,$B$4,'90_CALC_FEATURES'!$D$7:$D$1006,'92_REF_VARIABLES'!$A$14))</x:f>
        <x:v>0.5</x:v>
      </x:c>
      <x:c r="F24" s="53" t="n">
        <x:f>IF($A$14&lt;&gt;"비교 가능","",SUMIFS('90_CALC_FEATURES'!$I$7:$I$1006,'90_CALC_FEATURES'!$B$7:$B$1006,$B$5,'90_CALC_FEATURES'!$D$7:$D$1006,'92_REF_VARIABLES'!$A$14))</x:f>
        <x:v>0.5</x:v>
      </x:c>
      <x:c r="G24" s="53" t="n">
        <x:f>'92_REF_VARIABLES'!$I$14</x:f>
        <x:v>0.1111111111111111</x:v>
      </x:c>
      <x:c r="H24" s="53" t="n">
        <x:f>IF(COUNT(E24:F24)&lt;&gt;2,"",100*G24*(E24-F24))</x:f>
        <x:v>0</x:v>
      </x:c>
      <x:c r="I24" s="17" t="str">
        <x:f>IF(COUNT(H24)=0,"",IF(ABS(H24)&lt;=0.000000000001,"중립",IF(H24*$D$8&gt;0,"격차 확대","격차 상쇄")))</x:f>
        <x:v>중립</x:v>
      </x:c>
    </x:row>
    <x:row r="25">
      <x:c r="A25" s="17" t="str">
        <x:f>'92_REF_VARIABLES'!$B$15</x:f>
        <x:v>해외의존비율</x:v>
      </x:c>
      <x:c r="B25" s="17" t="str">
        <x:f>'92_REF_VARIABLES'!$C$15</x:f>
        <x:v>I_market</x:v>
      </x:c>
      <x:c r="C25" s="53" t="n">
        <x:f>IF($A$14&lt;&gt;"비교 가능","",SUMIFS('90_CALC_FEATURES'!$E$7:$E$1006,'90_CALC_FEATURES'!$B$7:$B$1006,$B$4,'90_CALC_FEATURES'!$D$7:$D$1006,'92_REF_VARIABLES'!$A$15))</x:f>
        <x:v>0.74</x:v>
      </x:c>
      <x:c r="D25" s="53" t="n">
        <x:f>IF($A$14&lt;&gt;"비교 가능","",SUMIFS('90_CALC_FEATURES'!$E$7:$E$1006,'90_CALC_FEATURES'!$B$7:$B$1006,$B$5,'90_CALC_FEATURES'!$D$7:$D$1006,'92_REF_VARIABLES'!$A$15))</x:f>
        <x:v>0.61</x:v>
      </x:c>
      <x:c r="E25" s="53" t="n">
        <x:f>IF($A$14&lt;&gt;"비교 가능","",SUMIFS('90_CALC_FEATURES'!$I$7:$I$1006,'90_CALC_FEATURES'!$B$7:$B$1006,$B$4,'90_CALC_FEATURES'!$D$7:$D$1006,'92_REF_VARIABLES'!$A$15))</x:f>
        <x:v>0.21084337349397592</x:v>
      </x:c>
      <x:c r="F25" s="53" t="n">
        <x:f>IF($A$14&lt;&gt;"비교 가능","",SUMIFS('90_CALC_FEATURES'!$I$7:$I$1006,'90_CALC_FEATURES'!$B$7:$B$1006,$B$5,'90_CALC_FEATURES'!$D$7:$D$1006,'92_REF_VARIABLES'!$A$15))</x:f>
        <x:v>0.10240963855421686</x:v>
      </x:c>
      <x:c r="G25" s="53" t="n">
        <x:f>'92_REF_VARIABLES'!$I$15</x:f>
        <x:v>0.1111111111111111</x:v>
      </x:c>
      <x:c r="H25" s="53" t="n">
        <x:f>IF(COUNT(E25:F25)&lt;&gt;2,"",100*G25*(E25-F25))</x:f>
        <x:v>1.2048192771084338</x:v>
      </x:c>
      <x:c r="I25" s="17" t="str">
        <x:f>IF(COUNT(H25)=0,"",IF(ABS(H25)&lt;=0.000000000001,"중립",IF(H25*$D$8&gt;0,"격차 확대","격차 상쇄")))</x:f>
        <x:v>격차 확대</x:v>
      </x:c>
    </x:row>
    <x:row r="26">
      <x:c r="A26" s="17" t="str">
        <x:f>'92_REF_VARIABLES'!$B$16</x:f>
        <x:v>비용 대비 설비투자 압박률</x:v>
      </x:c>
      <x:c r="B26" s="17" t="str">
        <x:f>'92_REF_VARIABLES'!$C$16</x:f>
        <x:v>I_market</x:v>
      </x:c>
      <x:c r="C26" s="53" t="n">
        <x:f>IF($A$14&lt;&gt;"비교 가능","",SUMIFS('90_CALC_FEATURES'!$E$7:$E$1006,'90_CALC_FEATURES'!$B$7:$B$1006,$B$4,'90_CALC_FEATURES'!$D$7:$D$1006,'92_REF_VARIABLES'!$A$16))</x:f>
        <x:v>8.5</x:v>
      </x:c>
      <x:c r="D26" s="53" t="n">
        <x:f>IF($A$14&lt;&gt;"비교 가능","",SUMIFS('90_CALC_FEATURES'!$E$7:$E$1006,'90_CALC_FEATURES'!$B$7:$B$1006,$B$5,'90_CALC_FEATURES'!$D$7:$D$1006,'92_REF_VARIABLES'!$A$16))</x:f>
        <x:v>4</x:v>
      </x:c>
      <x:c r="E26" s="53" t="n">
        <x:f>IF($A$14&lt;&gt;"비교 가능","",SUMIFS('90_CALC_FEATURES'!$I$7:$I$1006,'90_CALC_FEATURES'!$B$7:$B$1006,$B$4,'90_CALC_FEATURES'!$D$7:$D$1006,'92_REF_VARIABLES'!$A$16))</x:f>
        <x:v>0.296875</x:v>
      </x:c>
      <x:c r="F26" s="53" t="n">
        <x:f>IF($A$14&lt;&gt;"비교 가능","",SUMIFS('90_CALC_FEATURES'!$I$7:$I$1006,'90_CALC_FEATURES'!$B$7:$B$1006,$B$5,'90_CALC_FEATURES'!$D$7:$D$1006,'92_REF_VARIABLES'!$A$16))</x:f>
        <x:v>0.19270833333333334</x:v>
      </x:c>
      <x:c r="G26" s="53" t="n">
        <x:f>'92_REF_VARIABLES'!$I$16</x:f>
        <x:v>0.1111111111111111</x:v>
      </x:c>
      <x:c r="H26" s="53" t="n">
        <x:f>IF(COUNT(E26:F26)&lt;&gt;2,"",100*G26*(E26-F26))</x:f>
        <x:v>1.1574074074074072</x:v>
      </x:c>
      <x:c r="I26" s="17" t="str">
        <x:f>IF(COUNT(H26)=0,"",IF(ABS(H26)&lt;=0.000000000001,"중립",IF(H26*$D$8&gt;0,"격차 확대","격차 상쇄")))</x:f>
        <x:v>격차 확대</x:v>
      </x:c>
    </x:row>
    <x:row r="28">
      <x:c r="A28" s="55" t="str">
        <x:v>기여도 합 = ΔCPII (반올림 전 값으로 검증)</x:v>
      </x:c>
      <x:c r="B28" s="55"/>
      <x:c r="C28" s="55"/>
      <x:c r="D28" s="55"/>
      <x:c r="E28" s="55"/>
      <x:c r="F28" s="55"/>
      <x:c r="G28" s="55"/>
      <x:c r="H28" s="56" t="n">
        <x:f>IF($A$14&lt;&gt;"비교 가능","",SUM(H17:H26))</x:f>
        <x:v>7.678161776707279</x:v>
      </x:c>
      <x:c r="I28" s="55" t="str">
        <x:f>IF($A$14&lt;&gt;"비교 가능","N/A",IF(ABS(H28-$D$8)&lt;=0.0000000001,"PASS","CHECK"))</x:f>
        <x:v>PASS</x:v>
      </x:c>
    </x:row>
    <x:row r="32" ht="15" hidden="0" customHeight="1">
      <x:c r="K32" s="26" t="str">
        <x:v>Feature</x:v>
      </x:c>
      <x:c r="L32" t="str">
        <x:v>기여도</x:v>
      </x:c>
    </x:row>
    <x:row r="33" ht="15" hidden="0" customHeight="1">
      <x:c r="K33" s="26" t="str">
        <x:v>유효세율</x:v>
      </x:c>
      <x:c r="L33" t="n">
        <x:f>H17</x:f>
        <x:v>1.6742770167427703</x:v>
      </x:c>
    </x:row>
    <x:row r="34" ht="15" hidden="0" customHeight="1">
      <x:c r="K34" s="26" t="str">
        <x:v>인프라 결합</x:v>
      </x:c>
      <x:c r="L34" t="n">
        <x:f>H18</x:f>
        <x:v>0.5291005291005291</x:v>
      </x:c>
    </x:row>
    <x:row r="35" ht="15" hidden="0" customHeight="1">
      <x:c r="K35" s="26" t="str">
        <x:v>네트워크 비용</x:v>
      </x:c>
      <x:c r="L35" t="n">
        <x:f>H19</x:f>
        <x:v>0.34722222222222215</x:v>
      </x:c>
    </x:row>
    <x:row r="36" ht="15" hidden="0" customHeight="1">
      <x:c r="K36" s="26" t="str">
        <x:v>세전이익 회수</x:v>
      </x:c>
      <x:c r="L36" t="n">
        <x:f>H20</x:f>
        <x:v>1.5957446808510631</x:v>
      </x:c>
    </x:row>
    <x:row r="37" ht="15" hidden="0" customHeight="1">
      <x:c r="K37" s="26" t="str">
        <x:v>조달금리</x:v>
      </x:c>
      <x:c r="L37" t="n">
        <x:f>H21</x:f>
        <x:v>1.1695906432748535</x:v>
      </x:c>
    </x:row>
    <x:row r="38" ht="15" hidden="0" customHeight="1">
      <x:c r="K38" s="26" t="str">
        <x:v>투자 회수</x:v>
      </x:c>
      <x:c r="L38" t="n">
        <x:f>H22</x:f>
        <x:v>0</x:v>
      </x:c>
    </x:row>
    <x:row r="39" ht="15" hidden="0" customHeight="1">
      <x:c r="K39" s="26" t="str">
        <x:v>IP 자산화</x:v>
      </x:c>
      <x:c r="L39" t="n">
        <x:f>H23</x:f>
        <x:v>0</x:v>
      </x:c>
    </x:row>
    <x:row r="40" ht="15" hidden="0" customHeight="1">
      <x:c r="K40" s="26" t="str">
        <x:v>시장간 전이</x:v>
      </x:c>
      <x:c r="L40" t="n">
        <x:f>H24</x:f>
        <x:v>0</x:v>
      </x:c>
    </x:row>
    <x:row r="41" ht="15" hidden="0" customHeight="1">
      <x:c r="K41" s="26" t="str">
        <x:v>해외의존</x:v>
      </x:c>
      <x:c r="L41" t="n">
        <x:f>H25</x:f>
        <x:v>1.2048192771084338</x:v>
      </x:c>
    </x:row>
    <x:row r="42" ht="15" hidden="0" customHeight="1">
      <x:c r="K42" s="26" t="str">
        <x:v>설비투자 압박</x:v>
      </x:c>
      <x:c r="L42" t="n">
        <x:f>H26</x:f>
        <x:v>1.1574074074074072</x:v>
      </x:c>
    </x:row>
    <x:row r="45">
      <x:c r="K45" t="str">
        <x:v>지표</x:v>
      </x:c>
      <x:c r="L45" t="str">
        <x:v>A</x:v>
      </x:c>
      <x:c r="M45" t="str">
        <x:v>B</x:v>
      </x:c>
    </x:row>
    <x:row r="46">
      <x:c r="K46" t="str">
        <x:v>CPII</x:v>
      </x:c>
      <x:c r="L46" t="n">
        <x:f>B8</x:f>
        <x:v>39.89561107334345</x:v>
      </x:c>
      <x:c r="M46" t="n">
        <x:f>C8</x:f>
        <x:v>32.21744929663617</x:v>
      </x:c>
    </x:row>
    <x:row r="47">
      <x:c r="K47" t="str">
        <x:v>I_reg</x:v>
      </x:c>
      <x:c r="L47" t="n">
        <x:f>B9</x:f>
        <x:v>12.73816318764949</x:v>
      </x:c>
      <x:c r="M47" t="n">
        <x:f>C9</x:f>
        <x:v>5.086363883452924</x:v>
      </x:c>
    </x:row>
    <x:row r="48">
      <x:c r="K48" t="str">
        <x:v>I_risk</x:v>
      </x:c>
      <x:c r="L48" t="n">
        <x:f>B10</x:f>
        <x:v>73.35805758258167</x:v>
      </x:c>
      <x:c r="M48" t="n">
        <x:f>C10</x:f>
        <x:v>65.06205161020391</x:v>
      </x:c>
    </x:row>
    <x:row r="49">
      <x:c r="K49" t="str">
        <x:v>I_market</x:v>
      </x:c>
      <x:c r="L49" t="n">
        <x:f>B11</x:f>
        <x:v>33.590612449799195</x:v>
      </x:c>
      <x:c r="M49" t="n">
        <x:f>C11</x:f>
        <x:v>26.503932396251674</x:v>
      </x:c>
    </x:row>
  </x:sheetData>
  <x:mergeCells>
    <x:mergeCell ref="A1:R1"/>
    <x:mergeCell ref="A2:R3"/>
    <x:mergeCell ref="A28:G28"/>
  </x:mergeCells>
  <x:dataValidations count="1">
    <x:dataValidation type="list" sqref="B4:B5">
      <x:formula1>INDIRECT("'01_INPUT_COMPANIES'!$A$7:$A$106")</x:formula1>
    </x:dataValidation>
  </x:dataValidations>
  <x:pageMargins left="0.7" right="0.7" top="0.75" bottom="0.75" header="0.3" footer="0.3"/>
  <x:drawing xmlns:r="http://schemas.openxmlformats.org/officeDocument/2006/relationships" r:id="R1956060e351d415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40" max="40" width="22" hidden="0" customWidth="1"/>
    <x:col min="41" max="41" width="22" hidden="0" customWidth="1"/>
    <x:col min="1" max="1" width="18" hidden="0" customWidth="1"/>
    <x:col min="2" max="2" width="22" hidden="0" customWidth="1"/>
    <x:col min="3" max="3" width="60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</x:cols>
  <x:sheetData>
    <x:row r="1" ht="30" customHeight="1">
      <x:c r="A1" s="3" t="str">
        <x:v>04 | n개 회사 Cohort별 비교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24" customHeight="1">
      <x:c r="A2" s="7" t="str">
        <x:v>최대 100개 회사를 동일 엔진으로 계산합니다. 순위는 같은 cohort 안에서만 부여되고, 다른 cohort의 pair matrix 셀은 N/A입니다.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</x:row>
    <x:row r="5">
      <x:c r="I5" s="13" t="str">
        <x:v>Pair gap matrix (A행-B열, 화면 30개; 초과 시 Python CSV export)</x:v>
      </x:c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  <x:c r="AL5" s="13"/>
      <x:c r="AM5" s="13"/>
    </x:row>
    <x:row r="6">
      <x:c r="A6" s="13" t="str">
        <x:v>관측 ID</x:v>
      </x:c>
      <x:c r="B6" s="13" t="str">
        <x:v>회사명</x:v>
      </x:c>
      <x:c r="C6" s="13" t="str">
        <x:v>Cohort</x:v>
      </x:c>
      <x:c r="D6" s="13" t="str">
        <x:v>CPII</x:v>
      </x:c>
      <x:c r="E6" s="13" t="str">
        <x:v>Cohort 부담순위</x:v>
      </x:c>
      <x:c r="F6" s="13" t="str">
        <x:v>상태</x:v>
      </x:c>
      <x:c r="G6" s="13" t="str">
        <x:v>주의</x:v>
      </x:c>
      <x:c r="I6" s="13" t="str">
        <x:v>A-B</x:v>
      </x:c>
      <x:c r="J6" s="13" t="str">
        <x:f>IF($A$7="","",$A$7)</x:f>
        <x:v>SYN-A</x:v>
      </x:c>
      <x:c r="K6" s="13" t="str">
        <x:f>IF($A$8="","",$A$8)</x:f>
        <x:v>SYN-B</x:v>
      </x:c>
      <x:c r="L6" s="13" t="str">
        <x:f>IF($A$9="","",$A$9)</x:f>
        <x:v>SYN-C</x:v>
      </x:c>
      <x:c r="M6" s="13" t="str">
        <x:f>IF($A$10="","",$A$10)</x:f>
        <x:v>SYN-D</x:v>
      </x:c>
      <x:c r="N6" s="13" t="str">
        <x:f>IF($A$11="","",$A$11)</x:f>
      </x:c>
      <x:c r="O6" s="13" t="str">
        <x:f>IF($A$12="","",$A$12)</x:f>
      </x:c>
      <x:c r="P6" s="13" t="str">
        <x:f>IF($A$13="","",$A$13)</x:f>
      </x:c>
      <x:c r="Q6" s="13" t="str">
        <x:f>IF($A$14="","",$A$14)</x:f>
      </x:c>
      <x:c r="R6" s="13" t="str">
        <x:f>IF($A$15="","",$A$15)</x:f>
      </x:c>
      <x:c r="S6" s="13" t="str">
        <x:f>IF($A$16="","",$A$16)</x:f>
      </x:c>
      <x:c r="T6" s="13" t="str">
        <x:f>IF($A$17="","",$A$17)</x:f>
      </x:c>
      <x:c r="U6" s="13" t="str">
        <x:f>IF($A$18="","",$A$18)</x:f>
      </x:c>
      <x:c r="V6" s="13" t="str">
        <x:f>IF($A$19="","",$A$19)</x:f>
      </x:c>
      <x:c r="W6" s="13" t="str">
        <x:f>IF($A$20="","",$A$20)</x:f>
      </x:c>
      <x:c r="X6" s="13" t="str">
        <x:f>IF($A$21="","",$A$21)</x:f>
      </x:c>
      <x:c r="Y6" s="13" t="str">
        <x:f>IF($A$22="","",$A$22)</x:f>
      </x:c>
      <x:c r="Z6" s="13" t="str">
        <x:f>IF($A$23="","",$A$23)</x:f>
      </x:c>
      <x:c r="AA6" s="13" t="str">
        <x:f>IF($A$24="","",$A$24)</x:f>
      </x:c>
      <x:c r="AB6" s="13" t="str">
        <x:f>IF($A$25="","",$A$25)</x:f>
      </x:c>
      <x:c r="AC6" s="13" t="str">
        <x:f>IF($A$26="","",$A$26)</x:f>
      </x:c>
      <x:c r="AD6" s="13" t="str">
        <x:f>IF($A$27="","",$A$27)</x:f>
      </x:c>
      <x:c r="AE6" s="13" t="str">
        <x:f>IF($A$28="","",$A$28)</x:f>
      </x:c>
      <x:c r="AF6" s="13" t="str">
        <x:f>IF($A$29="","",$A$29)</x:f>
      </x:c>
      <x:c r="AG6" s="13" t="str">
        <x:f>IF($A$30="","",$A$30)</x:f>
      </x:c>
      <x:c r="AH6" s="13" t="str">
        <x:f>IF($A$31="","",$A$31)</x:f>
      </x:c>
      <x:c r="AI6" s="13" t="str">
        <x:f>IF($A$32="","",$A$32)</x:f>
      </x:c>
      <x:c r="AJ6" s="13" t="str">
        <x:f>IF($A$33="","",$A$33)</x:f>
      </x:c>
      <x:c r="AK6" s="13" t="str">
        <x:f>IF($A$34="","",$A$34)</x:f>
      </x:c>
      <x:c r="AL6" s="13" t="str">
        <x:f>IF($A$35="","",$A$35)</x:f>
      </x:c>
      <x:c r="AM6" s="13" t="str">
        <x:f>IF($A$36="","",$A$36)</x:f>
      </x:c>
      <x:c r="AN6" s="13" t="str">
        <x:v>순위 검산 1~50</x:v>
      </x:c>
      <x:c r="AO6" s="13" t="str">
        <x:v>순위 검산 51~100</x:v>
      </x:c>
    </x:row>
    <x:row r="7" ht="26.399999618530273" hidden="0" customHeight="1">
      <x:c r="A7" s="34" t="str">
        <x:f>IF('91_CALC_SCORES'!A7="","",'91_CALC_SCORES'!A7)</x:f>
        <x:v>SYN-A</x:v>
      </x:c>
      <x:c r="B7" s="34" t="str">
        <x:f>IF($A7="","",'91_CALC_SCORES'!B7)</x:f>
        <x:v>가온 콘텐츠</x:v>
      </x:c>
      <x:c r="C7" s="37" t="str">
        <x:f>IF($A7="","",'91_CALC_SCORES'!K7)</x:f>
        <x:v>15:digital_content18:integrated_content5:Korea6:2025Q425:BM-DIGITAL-CONTENT-2025Q4</x:v>
      </x:c>
      <x:c r="D7" s="59" t="n">
        <x:f>IF(OR($A7="",NOT(OR(LEFT('91_CALC_SCORES'!AB7,4)="PASS",LEFT('91_CALC_SCORES'!AB7,5)="READY"))),"",'91_CALC_SCORES'!Y7)</x:f>
        <x:v>39.89561107334345</x:v>
      </x:c>
      <x:c r="E7" s="37" t="n">
        <x:f>IF(COUNT(D7)=0,"",1+SUM(AN7:AO7)-1/2)</x:f>
        <x:v>2</x:v>
      </x:c>
      <x:c r="F7" s="37" t="str">
        <x:f>IF($A7="","",'91_CALC_SCORES'!AB7)</x:f>
        <x:v>PASS</x:v>
      </x:c>
      <x:c r="G7" s="37" t="str">
        <x:f>IF(A7="","","연구 베타 | 기업 백분위 아님")</x:f>
        <x:v>연구 베타 | 기업 백분위 아님</x:v>
      </x:c>
      <x:c r="I7" s="13" t="str">
        <x:f>IF($A$7="","",$A$7)</x:f>
        <x:v>SYN-A</x:v>
      </x:c>
      <x:c r="J7" s="58" t="n">
        <x:f>IF(OR($A7="",$A$7=""),"",IF(COUNT($D7,$D$7)&lt;&gt;2,"N/A:input",IF(EXACT($C7,$C$7),$D7-$D$7,"N/A:cohort")))</x:f>
        <x:v>0</x:v>
      </x:c>
      <x:c r="K7" s="58" t="n">
        <x:f>IF(OR($A7="",$A$8=""),"",IF(COUNT($D7,$D$8)&lt;&gt;2,"N/A:input",IF(EXACT($C7,$C$8),$D7-$D$8,"N/A:cohort")))</x:f>
        <x:v>7.6781617767072845</x:v>
      </x:c>
      <x:c r="L7" s="58" t="n">
        <x:f>IF(OR($A7="",$A$9=""),"",IF(COUNT($D7,$D$9)&lt;&gt;2,"N/A:input",IF(EXACT($C7,$C$9),$D7-$D$9,"N/A:cohort")))</x:f>
        <x:v>-2.8710188319350323</x:v>
      </x:c>
      <x:c r="M7" s="58" t="n">
        <x:f>IF(OR($A7="",$A$10=""),"",IF(COUNT($D7,$D$10)&lt;&gt;2,"N/A:input",IF(EXACT($C7,$C$10),$D7-$D$10,"N/A:cohort")))</x:f>
        <x:v>3.91203452449534</x:v>
      </x:c>
      <x:c r="N7" s="58" t="str">
        <x:f>IF(OR($A7="",$A$11=""),"",IF(COUNT($D7,$D$11)&lt;&gt;2,"N/A:input",IF(EXACT($C7,$C$11),$D7-$D$11,"N/A:cohort")))</x:f>
      </x:c>
      <x:c r="O7" s="58" t="str">
        <x:f>IF(OR($A7="",$A$12=""),"",IF(COUNT($D7,$D$12)&lt;&gt;2,"N/A:input",IF(EXACT($C7,$C$12),$D7-$D$12,"N/A:cohort")))</x:f>
      </x:c>
      <x:c r="P7" s="58" t="str">
        <x:f>IF(OR($A7="",$A$13=""),"",IF(COUNT($D7,$D$13)&lt;&gt;2,"N/A:input",IF(EXACT($C7,$C$13),$D7-$D$13,"N/A:cohort")))</x:f>
      </x:c>
      <x:c r="Q7" s="58" t="str">
        <x:f>IF(OR($A7="",$A$14=""),"",IF(COUNT($D7,$D$14)&lt;&gt;2,"N/A:input",IF(EXACT($C7,$C$14),$D7-$D$14,"N/A:cohort")))</x:f>
      </x:c>
      <x:c r="R7" s="58" t="str">
        <x:f>IF(OR($A7="",$A$15=""),"",IF(COUNT($D7,$D$15)&lt;&gt;2,"N/A:input",IF(EXACT($C7,$C$15),$D7-$D$15,"N/A:cohort")))</x:f>
      </x:c>
      <x:c r="S7" s="58" t="str">
        <x:f>IF(OR($A7="",$A$16=""),"",IF(COUNT($D7,$D$16)&lt;&gt;2,"N/A:input",IF(EXACT($C7,$C$16),$D7-$D$16,"N/A:cohort")))</x:f>
      </x:c>
      <x:c r="T7" s="58" t="str">
        <x:f>IF(OR($A7="",$A$17=""),"",IF(COUNT($D7,$D$17)&lt;&gt;2,"N/A:input",IF(EXACT($C7,$C$17),$D7-$D$17,"N/A:cohort")))</x:f>
      </x:c>
      <x:c r="U7" s="58" t="str">
        <x:f>IF(OR($A7="",$A$18=""),"",IF(COUNT($D7,$D$18)&lt;&gt;2,"N/A:input",IF(EXACT($C7,$C$18),$D7-$D$18,"N/A:cohort")))</x:f>
      </x:c>
      <x:c r="V7" s="58" t="str">
        <x:f>IF(OR($A7="",$A$19=""),"",IF(COUNT($D7,$D$19)&lt;&gt;2,"N/A:input",IF(EXACT($C7,$C$19),$D7-$D$19,"N/A:cohort")))</x:f>
      </x:c>
      <x:c r="W7" s="58" t="str">
        <x:f>IF(OR($A7="",$A$20=""),"",IF(COUNT($D7,$D$20)&lt;&gt;2,"N/A:input",IF(EXACT($C7,$C$20),$D7-$D$20,"N/A:cohort")))</x:f>
      </x:c>
      <x:c r="X7" s="58" t="str">
        <x:f>IF(OR($A7="",$A$21=""),"",IF(COUNT($D7,$D$21)&lt;&gt;2,"N/A:input",IF(EXACT($C7,$C$21),$D7-$D$21,"N/A:cohort")))</x:f>
      </x:c>
      <x:c r="Y7" s="58" t="str">
        <x:f>IF(OR($A7="",$A$22=""),"",IF(COUNT($D7,$D$22)&lt;&gt;2,"N/A:input",IF(EXACT($C7,$C$22),$D7-$D$22,"N/A:cohort")))</x:f>
      </x:c>
      <x:c r="Z7" s="58" t="str">
        <x:f>IF(OR($A7="",$A$23=""),"",IF(COUNT($D7,$D$23)&lt;&gt;2,"N/A:input",IF(EXACT($C7,$C$23),$D7-$D$23,"N/A:cohort")))</x:f>
      </x:c>
      <x:c r="AA7" s="58" t="str">
        <x:f>IF(OR($A7="",$A$24=""),"",IF(COUNT($D7,$D$24)&lt;&gt;2,"N/A:input",IF(EXACT($C7,$C$24),$D7-$D$24,"N/A:cohort")))</x:f>
      </x:c>
      <x:c r="AB7" s="58" t="str">
        <x:f>IF(OR($A7="",$A$25=""),"",IF(COUNT($D7,$D$25)&lt;&gt;2,"N/A:input",IF(EXACT($C7,$C$25),$D7-$D$25,"N/A:cohort")))</x:f>
      </x:c>
      <x:c r="AC7" s="58" t="str">
        <x:f>IF(OR($A7="",$A$26=""),"",IF(COUNT($D7,$D$26)&lt;&gt;2,"N/A:input",IF(EXACT($C7,$C$26),$D7-$D$26,"N/A:cohort")))</x:f>
      </x:c>
      <x:c r="AD7" s="58" t="str">
        <x:f>IF(OR($A7="",$A$27=""),"",IF(COUNT($D7,$D$27)&lt;&gt;2,"N/A:input",IF(EXACT($C7,$C$27),$D7-$D$27,"N/A:cohort")))</x:f>
      </x:c>
      <x:c r="AE7" s="58" t="str">
        <x:f>IF(OR($A7="",$A$28=""),"",IF(COUNT($D7,$D$28)&lt;&gt;2,"N/A:input",IF(EXACT($C7,$C$28),$D7-$D$28,"N/A:cohort")))</x:f>
      </x:c>
      <x:c r="AF7" s="58" t="str">
        <x:f>IF(OR($A7="",$A$29=""),"",IF(COUNT($D7,$D$29)&lt;&gt;2,"N/A:input",IF(EXACT($C7,$C$29),$D7-$D$29,"N/A:cohort")))</x:f>
      </x:c>
      <x:c r="AG7" s="58" t="str">
        <x:f>IF(OR($A7="",$A$30=""),"",IF(COUNT($D7,$D$30)&lt;&gt;2,"N/A:input",IF(EXACT($C7,$C$30),$D7-$D$30,"N/A:cohort")))</x:f>
      </x:c>
      <x:c r="AH7" s="58" t="str">
        <x:f>IF(OR($A7="",$A$31=""),"",IF(COUNT($D7,$D$31)&lt;&gt;2,"N/A:input",IF(EXACT($C7,$C$31),$D7-$D$31,"N/A:cohort")))</x:f>
      </x:c>
      <x:c r="AI7" s="58" t="str">
        <x:f>IF(OR($A7="",$A$32=""),"",IF(COUNT($D7,$D$32)&lt;&gt;2,"N/A:input",IF(EXACT($C7,$C$32),$D7-$D$32,"N/A:cohort")))</x:f>
      </x:c>
      <x:c r="AJ7" s="58" t="str">
        <x:f>IF(OR($A7="",$A$33=""),"",IF(COUNT($D7,$D$33)&lt;&gt;2,"N/A:input",IF(EXACT($C7,$C$33),$D7-$D$33,"N/A:cohort")))</x:f>
      </x:c>
      <x:c r="AK7" s="58" t="str">
        <x:f>IF(OR($A7="",$A$34=""),"",IF(COUNT($D7,$D$34)&lt;&gt;2,"N/A:input",IF(EXACT($C7,$C$34),$D7-$D$34,"N/A:cohort")))</x:f>
      </x:c>
      <x:c r="AL7" s="58" t="str">
        <x:f>IF(OR($A7="",$A$35=""),"",IF(COUNT($D7,$D$35)&lt;&gt;2,"N/A:input",IF(EXACT($C7,$C$35),$D7-$D$35,"N/A:cohort")))</x:f>
      </x:c>
      <x:c r="AM7" s="58" t="str">
        <x:f>IF(OR($A7="",$A$36=""),"",IF(COUNT($D7,$D$36)&lt;&gt;2,"N/A:input",IF(EXACT($C7,$C$36),$D7-$D$36,"N/A:cohort")))</x:f>
      </x:c>
      <x:c r="AN7" s="34" t="n">
        <x:f>IF(COUNT($D7)=0,"",SUM(IF(AND(EXACT($C$7,$C7),ISNUMBER($D$7)),($D$7&gt;$D7)+($D$7=$D7)/2,0),IF(AND(EXACT($C$8,$C7),ISNUMBER($D$8)),($D$8&gt;$D7)+($D$8=$D7)/2,0),IF(AND(EXACT($C$9,$C7),ISNUMBER($D$9)),($D$9&gt;$D7)+($D$9=$D7)/2,0),IF(AND(EXACT($C$10,$C7),ISNUMBER($D$10)),($D$10&gt;$D7)+($D$10=$D7)/2,0),IF(AND(EXACT($C$11,$C7),ISNUMBER($D$11)),($D$11&gt;$D7)+($D$11=$D7)/2,0),IF(AND(EXACT($C$12,$C7),ISNUMBER($D$12)),($D$12&gt;$D7)+($D$12=$D7)/2,0),IF(AND(EXACT($C$13,$C7),ISNUMBER($D$13)),($D$13&gt;$D7)+($D$13=$D7)/2,0),IF(AND(EXACT($C$14,$C7),ISNUMBER($D$14)),($D$14&gt;$D7)+($D$14=$D7)/2,0),IF(AND(EXACT($C$15,$C7),ISNUMBER($D$15)),($D$15&gt;$D7)+($D$15=$D7)/2,0),IF(AND(EXACT($C$16,$C7),ISNUMBER($D$16)),($D$16&gt;$D7)+($D$16=$D7)/2,0),IF(AND(EXACT($C$17,$C7),ISNUMBER($D$17)),($D$17&gt;$D7)+($D$17=$D7)/2,0),IF(AND(EXACT($C$18,$C7),ISNUMBER($D$18)),($D$18&gt;$D7)+($D$18=$D7)/2,0),IF(AND(EXACT($C$19,$C7),ISNUMBER($D$19)),($D$19&gt;$D7)+($D$19=$D7)/2,0),IF(AND(EXACT($C$20,$C7),ISNUMBER($D$20)),($D$20&gt;$D7)+($D$20=$D7)/2,0),IF(AND(EXACT($C$21,$C7),ISNUMBER($D$21)),($D$21&gt;$D7)+($D$21=$D7)/2,0),IF(AND(EXACT($C$22,$C7),ISNUMBER($D$22)),($D$22&gt;$D7)+($D$22=$D7)/2,0),IF(AND(EXACT($C$23,$C7),ISNUMBER($D$23)),($D$23&gt;$D7)+($D$23=$D7)/2,0),IF(AND(EXACT($C$24,$C7),ISNUMBER($D$24)),($D$24&gt;$D7)+($D$24=$D7)/2,0),IF(AND(EXACT($C$25,$C7),ISNUMBER($D$25)),($D$25&gt;$D7)+($D$25=$D7)/2,0),IF(AND(EXACT($C$26,$C7),ISNUMBER($D$26)),($D$26&gt;$D7)+($D$26=$D7)/2,0),IF(AND(EXACT($C$27,$C7),ISNUMBER($D$27)),($D$27&gt;$D7)+($D$27=$D7)/2,0),IF(AND(EXACT($C$28,$C7),ISNUMBER($D$28)),($D$28&gt;$D7)+($D$28=$D7)/2,0),IF(AND(EXACT($C$29,$C7),ISNUMBER($D$29)),($D$29&gt;$D7)+($D$29=$D7)/2,0),IF(AND(EXACT($C$30,$C7),ISNUMBER($D$30)),($D$30&gt;$D7)+($D$30=$D7)/2,0),IF(AND(EXACT($C$31,$C7),ISNUMBER($D$31)),($D$31&gt;$D7)+($D$31=$D7)/2,0),IF(AND(EXACT($C$32,$C7),ISNUMBER($D$32)),($D$32&gt;$D7)+($D$32=$D7)/2,0),IF(AND(EXACT($C$33,$C7),ISNUMBER($D$33)),($D$33&gt;$D7)+($D$33=$D7)/2,0),IF(AND(EXACT($C$34,$C7),ISNUMBER($D$34)),($D$34&gt;$D7)+($D$34=$D7)/2,0),IF(AND(EXACT($C$35,$C7),ISNUMBER($D$35)),($D$35&gt;$D7)+($D$35=$D7)/2,0),IF(AND(EXACT($C$36,$C7),ISNUMBER($D$36)),($D$36&gt;$D7)+($D$36=$D7)/2,0),IF(AND(EXACT($C$37,$C7),ISNUMBER($D$37)),($D$37&gt;$D7)+($D$37=$D7)/2,0),IF(AND(EXACT($C$38,$C7),ISNUMBER($D$38)),($D$38&gt;$D7)+($D$38=$D7)/2,0),IF(AND(EXACT($C$39,$C7),ISNUMBER($D$39)),($D$39&gt;$D7)+($D$39=$D7)/2,0),IF(AND(EXACT($C$40,$C7),ISNUMBER($D$40)),($D$40&gt;$D7)+($D$40=$D7)/2,0),IF(AND(EXACT($C$41,$C7),ISNUMBER($D$41)),($D$41&gt;$D7)+($D$41=$D7)/2,0),IF(AND(EXACT($C$42,$C7),ISNUMBER($D$42)),($D$42&gt;$D7)+($D$42=$D7)/2,0),IF(AND(EXACT($C$43,$C7),ISNUMBER($D$43)),($D$43&gt;$D7)+($D$43=$D7)/2,0),IF(AND(EXACT($C$44,$C7),ISNUMBER($D$44)),($D$44&gt;$D7)+($D$44=$D7)/2,0),IF(AND(EXACT($C$45,$C7),ISNUMBER($D$45)),($D$45&gt;$D7)+($D$45=$D7)/2,0),IF(AND(EXACT($C$46,$C7),ISNUMBER($D$46)),($D$46&gt;$D7)+($D$46=$D7)/2,0),IF(AND(EXACT($C$47,$C7),ISNUMBER($D$47)),($D$47&gt;$D7)+($D$47=$D7)/2,0),IF(AND(EXACT($C$48,$C7),ISNUMBER($D$48)),($D$48&gt;$D7)+($D$48=$D7)/2,0),IF(AND(EXACT($C$49,$C7),ISNUMBER($D$49)),($D$49&gt;$D7)+($D$49=$D7)/2,0),IF(AND(EXACT($C$50,$C7),ISNUMBER($D$50)),($D$50&gt;$D7)+($D$50=$D7)/2,0),IF(AND(EXACT($C$51,$C7),ISNUMBER($D$51)),($D$51&gt;$D7)+($D$51=$D7)/2,0),IF(AND(EXACT($C$52,$C7),ISNUMBER($D$52)),($D$52&gt;$D7)+($D$52=$D7)/2,0),IF(AND(EXACT($C$53,$C7),ISNUMBER($D$53)),($D$53&gt;$D7)+($D$53=$D7)/2,0),IF(AND(EXACT($C$54,$C7),ISNUMBER($D$54)),($D$54&gt;$D7)+($D$54=$D7)/2,0),IF(AND(EXACT($C$55,$C7),ISNUMBER($D$55)),($D$55&gt;$D7)+($D$55=$D7)/2,0),IF(AND(EXACT($C$56,$C7),ISNUMBER($D$56)),($D$56&gt;$D7)+($D$56=$D7)/2,0)))</x:f>
        <x:v>1.5</x:v>
      </x:c>
      <x:c r="AO7" s="34" t="n">
        <x:f>IF(COUNT($D7)=0,"",SUM(IF(AND(EXACT($C$57,$C7),ISNUMBER($D$57)),($D$57&gt;$D7)+($D$57=$D7)/2,0),IF(AND(EXACT($C$58,$C7),ISNUMBER($D$58)),($D$58&gt;$D7)+($D$58=$D7)/2,0),IF(AND(EXACT($C$59,$C7),ISNUMBER($D$59)),($D$59&gt;$D7)+($D$59=$D7)/2,0),IF(AND(EXACT($C$60,$C7),ISNUMBER($D$60)),($D$60&gt;$D7)+($D$60=$D7)/2,0),IF(AND(EXACT($C$61,$C7),ISNUMBER($D$61)),($D$61&gt;$D7)+($D$61=$D7)/2,0),IF(AND(EXACT($C$62,$C7),ISNUMBER($D$62)),($D$62&gt;$D7)+($D$62=$D7)/2,0),IF(AND(EXACT($C$63,$C7),ISNUMBER($D$63)),($D$63&gt;$D7)+($D$63=$D7)/2,0),IF(AND(EXACT($C$64,$C7),ISNUMBER($D$64)),($D$64&gt;$D7)+($D$64=$D7)/2,0),IF(AND(EXACT($C$65,$C7),ISNUMBER($D$65)),($D$65&gt;$D7)+($D$65=$D7)/2,0),IF(AND(EXACT($C$66,$C7),ISNUMBER($D$66)),($D$66&gt;$D7)+($D$66=$D7)/2,0),IF(AND(EXACT($C$67,$C7),ISNUMBER($D$67)),($D$67&gt;$D7)+($D$67=$D7)/2,0),IF(AND(EXACT($C$68,$C7),ISNUMBER($D$68)),($D$68&gt;$D7)+($D$68=$D7)/2,0),IF(AND(EXACT($C$69,$C7),ISNUMBER($D$69)),($D$69&gt;$D7)+($D$69=$D7)/2,0),IF(AND(EXACT($C$70,$C7),ISNUMBER($D$70)),($D$70&gt;$D7)+($D$70=$D7)/2,0),IF(AND(EXACT($C$71,$C7),ISNUMBER($D$71)),($D$71&gt;$D7)+($D$71=$D7)/2,0),IF(AND(EXACT($C$72,$C7),ISNUMBER($D$72)),($D$72&gt;$D7)+($D$72=$D7)/2,0),IF(AND(EXACT($C$73,$C7),ISNUMBER($D$73)),($D$73&gt;$D7)+($D$73=$D7)/2,0),IF(AND(EXACT($C$74,$C7),ISNUMBER($D$74)),($D$74&gt;$D7)+($D$74=$D7)/2,0),IF(AND(EXACT($C$75,$C7),ISNUMBER($D$75)),($D$75&gt;$D7)+($D$75=$D7)/2,0),IF(AND(EXACT($C$76,$C7),ISNUMBER($D$76)),($D$76&gt;$D7)+($D$76=$D7)/2,0),IF(AND(EXACT($C$77,$C7),ISNUMBER($D$77)),($D$77&gt;$D7)+($D$77=$D7)/2,0),IF(AND(EXACT($C$78,$C7),ISNUMBER($D$78)),($D$78&gt;$D7)+($D$78=$D7)/2,0),IF(AND(EXACT($C$79,$C7),ISNUMBER($D$79)),($D$79&gt;$D7)+($D$79=$D7)/2,0),IF(AND(EXACT($C$80,$C7),ISNUMBER($D$80)),($D$80&gt;$D7)+($D$80=$D7)/2,0),IF(AND(EXACT($C$81,$C7),ISNUMBER($D$81)),($D$81&gt;$D7)+($D$81=$D7)/2,0),IF(AND(EXACT($C$82,$C7),ISNUMBER($D$82)),($D$82&gt;$D7)+($D$82=$D7)/2,0),IF(AND(EXACT($C$83,$C7),ISNUMBER($D$83)),($D$83&gt;$D7)+($D$83=$D7)/2,0),IF(AND(EXACT($C$84,$C7),ISNUMBER($D$84)),($D$84&gt;$D7)+($D$84=$D7)/2,0),IF(AND(EXACT($C$85,$C7),ISNUMBER($D$85)),($D$85&gt;$D7)+($D$85=$D7)/2,0),IF(AND(EXACT($C$86,$C7),ISNUMBER($D$86)),($D$86&gt;$D7)+($D$86=$D7)/2,0),IF(AND(EXACT($C$87,$C7),ISNUMBER($D$87)),($D$87&gt;$D7)+($D$87=$D7)/2,0),IF(AND(EXACT($C$88,$C7),ISNUMBER($D$88)),($D$88&gt;$D7)+($D$88=$D7)/2,0),IF(AND(EXACT($C$89,$C7),ISNUMBER($D$89)),($D$89&gt;$D7)+($D$89=$D7)/2,0),IF(AND(EXACT($C$90,$C7),ISNUMBER($D$90)),($D$90&gt;$D7)+($D$90=$D7)/2,0),IF(AND(EXACT($C$91,$C7),ISNUMBER($D$91)),($D$91&gt;$D7)+($D$91=$D7)/2,0),IF(AND(EXACT($C$92,$C7),ISNUMBER($D$92)),($D$92&gt;$D7)+($D$92=$D7)/2,0),IF(AND(EXACT($C$93,$C7),ISNUMBER($D$93)),($D$93&gt;$D7)+($D$93=$D7)/2,0),IF(AND(EXACT($C$94,$C7),ISNUMBER($D$94)),($D$94&gt;$D7)+($D$94=$D7)/2,0),IF(AND(EXACT($C$95,$C7),ISNUMBER($D$95)),($D$95&gt;$D7)+($D$95=$D7)/2,0),IF(AND(EXACT($C$96,$C7),ISNUMBER($D$96)),($D$96&gt;$D7)+($D$96=$D7)/2,0),IF(AND(EXACT($C$97,$C7),ISNUMBER($D$97)),($D$97&gt;$D7)+($D$97=$D7)/2,0),IF(AND(EXACT($C$98,$C7),ISNUMBER($D$98)),($D$98&gt;$D7)+($D$98=$D7)/2,0),IF(AND(EXACT($C$99,$C7),ISNUMBER($D$99)),($D$99&gt;$D7)+($D$99=$D7)/2,0),IF(AND(EXACT($C$100,$C7),ISNUMBER($D$100)),($D$100&gt;$D7)+($D$100=$D7)/2,0),IF(AND(EXACT($C$101,$C7),ISNUMBER($D$101)),($D$101&gt;$D7)+($D$101=$D7)/2,0),IF(AND(EXACT($C$102,$C7),ISNUMBER($D$102)),($D$102&gt;$D7)+($D$102=$D7)/2,0),IF(AND(EXACT($C$103,$C7),ISNUMBER($D$103)),($D$103&gt;$D7)+($D$103=$D7)/2,0),IF(AND(EXACT($C$104,$C7),ISNUMBER($D$104)),($D$104&gt;$D7)+($D$104=$D7)/2,0),IF(AND(EXACT($C$105,$C7),ISNUMBER($D$105)),($D$105&gt;$D7)+($D$105=$D7)/2,0),IF(AND(EXACT($C$106,$C7),ISNUMBER($D$106)),($D$106&gt;$D7)+($D$106=$D7)/2,0)))</x:f>
        <x:v>0</x:v>
      </x:c>
    </x:row>
    <x:row r="8" ht="26.399999618530273" hidden="0" customHeight="1">
      <x:c r="A8" s="34" t="str">
        <x:f>IF('91_CALC_SCORES'!A8="","",'91_CALC_SCORES'!A8)</x:f>
        <x:v>SYN-B</x:v>
      </x:c>
      <x:c r="B8" s="34" t="str">
        <x:f>IF($A8="","",'91_CALC_SCORES'!B8)</x:f>
        <x:v>누리 미디어</x:v>
      </x:c>
      <x:c r="C8" s="37" t="str">
        <x:f>IF($A8="","",'91_CALC_SCORES'!K8)</x:f>
        <x:v>15:digital_content18:integrated_content5:Korea6:2025Q425:BM-DIGITAL-CONTENT-2025Q4</x:v>
      </x:c>
      <x:c r="D8" s="59" t="n">
        <x:f>IF(OR($A8="",NOT(OR(LEFT('91_CALC_SCORES'!AB8,4)="PASS",LEFT('91_CALC_SCORES'!AB8,5)="READY"))),"",'91_CALC_SCORES'!Y8)</x:f>
        <x:v>32.21744929663617</x:v>
      </x:c>
      <x:c r="E8" s="37" t="n">
        <x:f>IF(COUNT(D8)=0,"",1+SUM(AN8:AO8)-1/2)</x:f>
        <x:v>4</x:v>
      </x:c>
      <x:c r="F8" s="37" t="str">
        <x:f>IF($A8="","",'91_CALC_SCORES'!AB8)</x:f>
        <x:v>PASS</x:v>
      </x:c>
      <x:c r="G8" s="37" t="str">
        <x:f>IF(A8="","","연구 베타 | 기업 백분위 아님")</x:f>
        <x:v>연구 베타 | 기업 백분위 아님</x:v>
      </x:c>
      <x:c r="I8" s="13" t="str">
        <x:f>IF($A$8="","",$A$8)</x:f>
        <x:v>SYN-B</x:v>
      </x:c>
      <x:c r="J8" s="58" t="n">
        <x:f>IF(OR($A8="",$A$7=""),"",IF(COUNT($D8,$D$7)&lt;&gt;2,"N/A:input",IF(EXACT($C8,$C$7),$D8-$D$7,"N/A:cohort")))</x:f>
        <x:v>-7.6781617767072845</x:v>
      </x:c>
      <x:c r="K8" s="58" t="n">
        <x:f>IF(OR($A8="",$A$8=""),"",IF(COUNT($D8,$D$8)&lt;&gt;2,"N/A:input",IF(EXACT($C8,$C$8),$D8-$D$8,"N/A:cohort")))</x:f>
        <x:v>0</x:v>
      </x:c>
      <x:c r="L8" s="58" t="n">
        <x:f>IF(OR($A8="",$A$9=""),"",IF(COUNT($D8,$D$9)&lt;&gt;2,"N/A:input",IF(EXACT($C8,$C$9),$D8-$D$9,"N/A:cohort")))</x:f>
        <x:v>-10.549180608642317</x:v>
      </x:c>
      <x:c r="M8" s="58" t="n">
        <x:f>IF(OR($A8="",$A$10=""),"",IF(COUNT($D8,$D$10)&lt;&gt;2,"N/A:input",IF(EXACT($C8,$C$10),$D8-$D$10,"N/A:cohort")))</x:f>
        <x:v>-3.7661272522119447</x:v>
      </x:c>
      <x:c r="N8" s="58" t="str">
        <x:f>IF(OR($A8="",$A$11=""),"",IF(COUNT($D8,$D$11)&lt;&gt;2,"N/A:input",IF(EXACT($C8,$C$11),$D8-$D$11,"N/A:cohort")))</x:f>
      </x:c>
      <x:c r="O8" s="58" t="str">
        <x:f>IF(OR($A8="",$A$12=""),"",IF(COUNT($D8,$D$12)&lt;&gt;2,"N/A:input",IF(EXACT($C8,$C$12),$D8-$D$12,"N/A:cohort")))</x:f>
      </x:c>
      <x:c r="P8" s="58" t="str">
        <x:f>IF(OR($A8="",$A$13=""),"",IF(COUNT($D8,$D$13)&lt;&gt;2,"N/A:input",IF(EXACT($C8,$C$13),$D8-$D$13,"N/A:cohort")))</x:f>
      </x:c>
      <x:c r="Q8" s="58" t="str">
        <x:f>IF(OR($A8="",$A$14=""),"",IF(COUNT($D8,$D$14)&lt;&gt;2,"N/A:input",IF(EXACT($C8,$C$14),$D8-$D$14,"N/A:cohort")))</x:f>
      </x:c>
      <x:c r="R8" s="58" t="str">
        <x:f>IF(OR($A8="",$A$15=""),"",IF(COUNT($D8,$D$15)&lt;&gt;2,"N/A:input",IF(EXACT($C8,$C$15),$D8-$D$15,"N/A:cohort")))</x:f>
      </x:c>
      <x:c r="S8" s="58" t="str">
        <x:f>IF(OR($A8="",$A$16=""),"",IF(COUNT($D8,$D$16)&lt;&gt;2,"N/A:input",IF(EXACT($C8,$C$16),$D8-$D$16,"N/A:cohort")))</x:f>
      </x:c>
      <x:c r="T8" s="58" t="str">
        <x:f>IF(OR($A8="",$A$17=""),"",IF(COUNT($D8,$D$17)&lt;&gt;2,"N/A:input",IF(EXACT($C8,$C$17),$D8-$D$17,"N/A:cohort")))</x:f>
      </x:c>
      <x:c r="U8" s="58" t="str">
        <x:f>IF(OR($A8="",$A$18=""),"",IF(COUNT($D8,$D$18)&lt;&gt;2,"N/A:input",IF(EXACT($C8,$C$18),$D8-$D$18,"N/A:cohort")))</x:f>
      </x:c>
      <x:c r="V8" s="58" t="str">
        <x:f>IF(OR($A8="",$A$19=""),"",IF(COUNT($D8,$D$19)&lt;&gt;2,"N/A:input",IF(EXACT($C8,$C$19),$D8-$D$19,"N/A:cohort")))</x:f>
      </x:c>
      <x:c r="W8" s="58" t="str">
        <x:f>IF(OR($A8="",$A$20=""),"",IF(COUNT($D8,$D$20)&lt;&gt;2,"N/A:input",IF(EXACT($C8,$C$20),$D8-$D$20,"N/A:cohort")))</x:f>
      </x:c>
      <x:c r="X8" s="58" t="str">
        <x:f>IF(OR($A8="",$A$21=""),"",IF(COUNT($D8,$D$21)&lt;&gt;2,"N/A:input",IF(EXACT($C8,$C$21),$D8-$D$21,"N/A:cohort")))</x:f>
      </x:c>
      <x:c r="Y8" s="58" t="str">
        <x:f>IF(OR($A8="",$A$22=""),"",IF(COUNT($D8,$D$22)&lt;&gt;2,"N/A:input",IF(EXACT($C8,$C$22),$D8-$D$22,"N/A:cohort")))</x:f>
      </x:c>
      <x:c r="Z8" s="58" t="str">
        <x:f>IF(OR($A8="",$A$23=""),"",IF(COUNT($D8,$D$23)&lt;&gt;2,"N/A:input",IF(EXACT($C8,$C$23),$D8-$D$23,"N/A:cohort")))</x:f>
      </x:c>
      <x:c r="AA8" s="58" t="str">
        <x:f>IF(OR($A8="",$A$24=""),"",IF(COUNT($D8,$D$24)&lt;&gt;2,"N/A:input",IF(EXACT($C8,$C$24),$D8-$D$24,"N/A:cohort")))</x:f>
      </x:c>
      <x:c r="AB8" s="58" t="str">
        <x:f>IF(OR($A8="",$A$25=""),"",IF(COUNT($D8,$D$25)&lt;&gt;2,"N/A:input",IF(EXACT($C8,$C$25),$D8-$D$25,"N/A:cohort")))</x:f>
      </x:c>
      <x:c r="AC8" s="58" t="str">
        <x:f>IF(OR($A8="",$A$26=""),"",IF(COUNT($D8,$D$26)&lt;&gt;2,"N/A:input",IF(EXACT($C8,$C$26),$D8-$D$26,"N/A:cohort")))</x:f>
      </x:c>
      <x:c r="AD8" s="58" t="str">
        <x:f>IF(OR($A8="",$A$27=""),"",IF(COUNT($D8,$D$27)&lt;&gt;2,"N/A:input",IF(EXACT($C8,$C$27),$D8-$D$27,"N/A:cohort")))</x:f>
      </x:c>
      <x:c r="AE8" s="58" t="str">
        <x:f>IF(OR($A8="",$A$28=""),"",IF(COUNT($D8,$D$28)&lt;&gt;2,"N/A:input",IF(EXACT($C8,$C$28),$D8-$D$28,"N/A:cohort")))</x:f>
      </x:c>
      <x:c r="AF8" s="58" t="str">
        <x:f>IF(OR($A8="",$A$29=""),"",IF(COUNT($D8,$D$29)&lt;&gt;2,"N/A:input",IF(EXACT($C8,$C$29),$D8-$D$29,"N/A:cohort")))</x:f>
      </x:c>
      <x:c r="AG8" s="58" t="str">
        <x:f>IF(OR($A8="",$A$30=""),"",IF(COUNT($D8,$D$30)&lt;&gt;2,"N/A:input",IF(EXACT($C8,$C$30),$D8-$D$30,"N/A:cohort")))</x:f>
      </x:c>
      <x:c r="AH8" s="58" t="str">
        <x:f>IF(OR($A8="",$A$31=""),"",IF(COUNT($D8,$D$31)&lt;&gt;2,"N/A:input",IF(EXACT($C8,$C$31),$D8-$D$31,"N/A:cohort")))</x:f>
      </x:c>
      <x:c r="AI8" s="58" t="str">
        <x:f>IF(OR($A8="",$A$32=""),"",IF(COUNT($D8,$D$32)&lt;&gt;2,"N/A:input",IF(EXACT($C8,$C$32),$D8-$D$32,"N/A:cohort")))</x:f>
      </x:c>
      <x:c r="AJ8" s="58" t="str">
        <x:f>IF(OR($A8="",$A$33=""),"",IF(COUNT($D8,$D$33)&lt;&gt;2,"N/A:input",IF(EXACT($C8,$C$33),$D8-$D$33,"N/A:cohort")))</x:f>
      </x:c>
      <x:c r="AK8" s="58" t="str">
        <x:f>IF(OR($A8="",$A$34=""),"",IF(COUNT($D8,$D$34)&lt;&gt;2,"N/A:input",IF(EXACT($C8,$C$34),$D8-$D$34,"N/A:cohort")))</x:f>
      </x:c>
      <x:c r="AL8" s="58" t="str">
        <x:f>IF(OR($A8="",$A$35=""),"",IF(COUNT($D8,$D$35)&lt;&gt;2,"N/A:input",IF(EXACT($C8,$C$35),$D8-$D$35,"N/A:cohort")))</x:f>
      </x:c>
      <x:c r="AM8" s="58" t="str">
        <x:f>IF(OR($A8="",$A$36=""),"",IF(COUNT($D8,$D$36)&lt;&gt;2,"N/A:input",IF(EXACT($C8,$C$36),$D8-$D$36,"N/A:cohort")))</x:f>
      </x:c>
      <x:c r="AN8" s="34" t="n">
        <x:f>IF(COUNT($D8)=0,"",SUM(IF(AND(EXACT($C$7,$C8),ISNUMBER($D$7)),($D$7&gt;$D8)+($D$7=$D8)/2,0),IF(AND(EXACT($C$8,$C8),ISNUMBER($D$8)),($D$8&gt;$D8)+($D$8=$D8)/2,0),IF(AND(EXACT($C$9,$C8),ISNUMBER($D$9)),($D$9&gt;$D8)+($D$9=$D8)/2,0),IF(AND(EXACT($C$10,$C8),ISNUMBER($D$10)),($D$10&gt;$D8)+($D$10=$D8)/2,0),IF(AND(EXACT($C$11,$C8),ISNUMBER($D$11)),($D$11&gt;$D8)+($D$11=$D8)/2,0),IF(AND(EXACT($C$12,$C8),ISNUMBER($D$12)),($D$12&gt;$D8)+($D$12=$D8)/2,0),IF(AND(EXACT($C$13,$C8),ISNUMBER($D$13)),($D$13&gt;$D8)+($D$13=$D8)/2,0),IF(AND(EXACT($C$14,$C8),ISNUMBER($D$14)),($D$14&gt;$D8)+($D$14=$D8)/2,0),IF(AND(EXACT($C$15,$C8),ISNUMBER($D$15)),($D$15&gt;$D8)+($D$15=$D8)/2,0),IF(AND(EXACT($C$16,$C8),ISNUMBER($D$16)),($D$16&gt;$D8)+($D$16=$D8)/2,0),IF(AND(EXACT($C$17,$C8),ISNUMBER($D$17)),($D$17&gt;$D8)+($D$17=$D8)/2,0),IF(AND(EXACT($C$18,$C8),ISNUMBER($D$18)),($D$18&gt;$D8)+($D$18=$D8)/2,0),IF(AND(EXACT($C$19,$C8),ISNUMBER($D$19)),($D$19&gt;$D8)+($D$19=$D8)/2,0),IF(AND(EXACT($C$20,$C8),ISNUMBER($D$20)),($D$20&gt;$D8)+($D$20=$D8)/2,0),IF(AND(EXACT($C$21,$C8),ISNUMBER($D$21)),($D$21&gt;$D8)+($D$21=$D8)/2,0),IF(AND(EXACT($C$22,$C8),ISNUMBER($D$22)),($D$22&gt;$D8)+($D$22=$D8)/2,0),IF(AND(EXACT($C$23,$C8),ISNUMBER($D$23)),($D$23&gt;$D8)+($D$23=$D8)/2,0),IF(AND(EXACT($C$24,$C8),ISNUMBER($D$24)),($D$24&gt;$D8)+($D$24=$D8)/2,0),IF(AND(EXACT($C$25,$C8),ISNUMBER($D$25)),($D$25&gt;$D8)+($D$25=$D8)/2,0),IF(AND(EXACT($C$26,$C8),ISNUMBER($D$26)),($D$26&gt;$D8)+($D$26=$D8)/2,0),IF(AND(EXACT($C$27,$C8),ISNUMBER($D$27)),($D$27&gt;$D8)+($D$27=$D8)/2,0),IF(AND(EXACT($C$28,$C8),ISNUMBER($D$28)),($D$28&gt;$D8)+($D$28=$D8)/2,0),IF(AND(EXACT($C$29,$C8),ISNUMBER($D$29)),($D$29&gt;$D8)+($D$29=$D8)/2,0),IF(AND(EXACT($C$30,$C8),ISNUMBER($D$30)),($D$30&gt;$D8)+($D$30=$D8)/2,0),IF(AND(EXACT($C$31,$C8),ISNUMBER($D$31)),($D$31&gt;$D8)+($D$31=$D8)/2,0),IF(AND(EXACT($C$32,$C8),ISNUMBER($D$32)),($D$32&gt;$D8)+($D$32=$D8)/2,0),IF(AND(EXACT($C$33,$C8),ISNUMBER($D$33)),($D$33&gt;$D8)+($D$33=$D8)/2,0),IF(AND(EXACT($C$34,$C8),ISNUMBER($D$34)),($D$34&gt;$D8)+($D$34=$D8)/2,0),IF(AND(EXACT($C$35,$C8),ISNUMBER($D$35)),($D$35&gt;$D8)+($D$35=$D8)/2,0),IF(AND(EXACT($C$36,$C8),ISNUMBER($D$36)),($D$36&gt;$D8)+($D$36=$D8)/2,0),IF(AND(EXACT($C$37,$C8),ISNUMBER($D$37)),($D$37&gt;$D8)+($D$37=$D8)/2,0),IF(AND(EXACT($C$38,$C8),ISNUMBER($D$38)),($D$38&gt;$D8)+($D$38=$D8)/2,0),IF(AND(EXACT($C$39,$C8),ISNUMBER($D$39)),($D$39&gt;$D8)+($D$39=$D8)/2,0),IF(AND(EXACT($C$40,$C8),ISNUMBER($D$40)),($D$40&gt;$D8)+($D$40=$D8)/2,0),IF(AND(EXACT($C$41,$C8),ISNUMBER($D$41)),($D$41&gt;$D8)+($D$41=$D8)/2,0),IF(AND(EXACT($C$42,$C8),ISNUMBER($D$42)),($D$42&gt;$D8)+($D$42=$D8)/2,0),IF(AND(EXACT($C$43,$C8),ISNUMBER($D$43)),($D$43&gt;$D8)+($D$43=$D8)/2,0),IF(AND(EXACT($C$44,$C8),ISNUMBER($D$44)),($D$44&gt;$D8)+($D$44=$D8)/2,0),IF(AND(EXACT($C$45,$C8),ISNUMBER($D$45)),($D$45&gt;$D8)+($D$45=$D8)/2,0),IF(AND(EXACT($C$46,$C8),ISNUMBER($D$46)),($D$46&gt;$D8)+($D$46=$D8)/2,0),IF(AND(EXACT($C$47,$C8),ISNUMBER($D$47)),($D$47&gt;$D8)+($D$47=$D8)/2,0),IF(AND(EXACT($C$48,$C8),ISNUMBER($D$48)),($D$48&gt;$D8)+($D$48=$D8)/2,0),IF(AND(EXACT($C$49,$C8),ISNUMBER($D$49)),($D$49&gt;$D8)+($D$49=$D8)/2,0),IF(AND(EXACT($C$50,$C8),ISNUMBER($D$50)),($D$50&gt;$D8)+($D$50=$D8)/2,0),IF(AND(EXACT($C$51,$C8),ISNUMBER($D$51)),($D$51&gt;$D8)+($D$51=$D8)/2,0),IF(AND(EXACT($C$52,$C8),ISNUMBER($D$52)),($D$52&gt;$D8)+($D$52=$D8)/2,0),IF(AND(EXACT($C$53,$C8),ISNUMBER($D$53)),($D$53&gt;$D8)+($D$53=$D8)/2,0),IF(AND(EXACT($C$54,$C8),ISNUMBER($D$54)),($D$54&gt;$D8)+($D$54=$D8)/2,0),IF(AND(EXACT($C$55,$C8),ISNUMBER($D$55)),($D$55&gt;$D8)+($D$55=$D8)/2,0),IF(AND(EXACT($C$56,$C8),ISNUMBER($D$56)),($D$56&gt;$D8)+($D$56=$D8)/2,0)))</x:f>
        <x:v>3.5</x:v>
      </x:c>
      <x:c r="AO8" s="34" t="n">
        <x:f>IF(COUNT($D8)=0,"",SUM(IF(AND(EXACT($C$57,$C8),ISNUMBER($D$57)),($D$57&gt;$D8)+($D$57=$D8)/2,0),IF(AND(EXACT($C$58,$C8),ISNUMBER($D$58)),($D$58&gt;$D8)+($D$58=$D8)/2,0),IF(AND(EXACT($C$59,$C8),ISNUMBER($D$59)),($D$59&gt;$D8)+($D$59=$D8)/2,0),IF(AND(EXACT($C$60,$C8),ISNUMBER($D$60)),($D$60&gt;$D8)+($D$60=$D8)/2,0),IF(AND(EXACT($C$61,$C8),ISNUMBER($D$61)),($D$61&gt;$D8)+($D$61=$D8)/2,0),IF(AND(EXACT($C$62,$C8),ISNUMBER($D$62)),($D$62&gt;$D8)+($D$62=$D8)/2,0),IF(AND(EXACT($C$63,$C8),ISNUMBER($D$63)),($D$63&gt;$D8)+($D$63=$D8)/2,0),IF(AND(EXACT($C$64,$C8),ISNUMBER($D$64)),($D$64&gt;$D8)+($D$64=$D8)/2,0),IF(AND(EXACT($C$65,$C8),ISNUMBER($D$65)),($D$65&gt;$D8)+($D$65=$D8)/2,0),IF(AND(EXACT($C$66,$C8),ISNUMBER($D$66)),($D$66&gt;$D8)+($D$66=$D8)/2,0),IF(AND(EXACT($C$67,$C8),ISNUMBER($D$67)),($D$67&gt;$D8)+($D$67=$D8)/2,0),IF(AND(EXACT($C$68,$C8),ISNUMBER($D$68)),($D$68&gt;$D8)+($D$68=$D8)/2,0),IF(AND(EXACT($C$69,$C8),ISNUMBER($D$69)),($D$69&gt;$D8)+($D$69=$D8)/2,0),IF(AND(EXACT($C$70,$C8),ISNUMBER($D$70)),($D$70&gt;$D8)+($D$70=$D8)/2,0),IF(AND(EXACT($C$71,$C8),ISNUMBER($D$71)),($D$71&gt;$D8)+($D$71=$D8)/2,0),IF(AND(EXACT($C$72,$C8),ISNUMBER($D$72)),($D$72&gt;$D8)+($D$72=$D8)/2,0),IF(AND(EXACT($C$73,$C8),ISNUMBER($D$73)),($D$73&gt;$D8)+($D$73=$D8)/2,0),IF(AND(EXACT($C$74,$C8),ISNUMBER($D$74)),($D$74&gt;$D8)+($D$74=$D8)/2,0),IF(AND(EXACT($C$75,$C8),ISNUMBER($D$75)),($D$75&gt;$D8)+($D$75=$D8)/2,0),IF(AND(EXACT($C$76,$C8),ISNUMBER($D$76)),($D$76&gt;$D8)+($D$76=$D8)/2,0),IF(AND(EXACT($C$77,$C8),ISNUMBER($D$77)),($D$77&gt;$D8)+($D$77=$D8)/2,0),IF(AND(EXACT($C$78,$C8),ISNUMBER($D$78)),($D$78&gt;$D8)+($D$78=$D8)/2,0),IF(AND(EXACT($C$79,$C8),ISNUMBER($D$79)),($D$79&gt;$D8)+($D$79=$D8)/2,0),IF(AND(EXACT($C$80,$C8),ISNUMBER($D$80)),($D$80&gt;$D8)+($D$80=$D8)/2,0),IF(AND(EXACT($C$81,$C8),ISNUMBER($D$81)),($D$81&gt;$D8)+($D$81=$D8)/2,0),IF(AND(EXACT($C$82,$C8),ISNUMBER($D$82)),($D$82&gt;$D8)+($D$82=$D8)/2,0),IF(AND(EXACT($C$83,$C8),ISNUMBER($D$83)),($D$83&gt;$D8)+($D$83=$D8)/2,0),IF(AND(EXACT($C$84,$C8),ISNUMBER($D$84)),($D$84&gt;$D8)+($D$84=$D8)/2,0),IF(AND(EXACT($C$85,$C8),ISNUMBER($D$85)),($D$85&gt;$D8)+($D$85=$D8)/2,0),IF(AND(EXACT($C$86,$C8),ISNUMBER($D$86)),($D$86&gt;$D8)+($D$86=$D8)/2,0),IF(AND(EXACT($C$87,$C8),ISNUMBER($D$87)),($D$87&gt;$D8)+($D$87=$D8)/2,0),IF(AND(EXACT($C$88,$C8),ISNUMBER($D$88)),($D$88&gt;$D8)+($D$88=$D8)/2,0),IF(AND(EXACT($C$89,$C8),ISNUMBER($D$89)),($D$89&gt;$D8)+($D$89=$D8)/2,0),IF(AND(EXACT($C$90,$C8),ISNUMBER($D$90)),($D$90&gt;$D8)+($D$90=$D8)/2,0),IF(AND(EXACT($C$91,$C8),ISNUMBER($D$91)),($D$91&gt;$D8)+($D$91=$D8)/2,0),IF(AND(EXACT($C$92,$C8),ISNUMBER($D$92)),($D$92&gt;$D8)+($D$92=$D8)/2,0),IF(AND(EXACT($C$93,$C8),ISNUMBER($D$93)),($D$93&gt;$D8)+($D$93=$D8)/2,0),IF(AND(EXACT($C$94,$C8),ISNUMBER($D$94)),($D$94&gt;$D8)+($D$94=$D8)/2,0),IF(AND(EXACT($C$95,$C8),ISNUMBER($D$95)),($D$95&gt;$D8)+($D$95=$D8)/2,0),IF(AND(EXACT($C$96,$C8),ISNUMBER($D$96)),($D$96&gt;$D8)+($D$96=$D8)/2,0),IF(AND(EXACT($C$97,$C8),ISNUMBER($D$97)),($D$97&gt;$D8)+($D$97=$D8)/2,0),IF(AND(EXACT($C$98,$C8),ISNUMBER($D$98)),($D$98&gt;$D8)+($D$98=$D8)/2,0),IF(AND(EXACT($C$99,$C8),ISNUMBER($D$99)),($D$99&gt;$D8)+($D$99=$D8)/2,0),IF(AND(EXACT($C$100,$C8),ISNUMBER($D$100)),($D$100&gt;$D8)+($D$100=$D8)/2,0),IF(AND(EXACT($C$101,$C8),ISNUMBER($D$101)),($D$101&gt;$D8)+($D$101=$D8)/2,0),IF(AND(EXACT($C$102,$C8),ISNUMBER($D$102)),($D$102&gt;$D8)+($D$102=$D8)/2,0),IF(AND(EXACT($C$103,$C8),ISNUMBER($D$103)),($D$103&gt;$D8)+($D$103=$D8)/2,0),IF(AND(EXACT($C$104,$C8),ISNUMBER($D$104)),($D$104&gt;$D8)+($D$104=$D8)/2,0),IF(AND(EXACT($C$105,$C8),ISNUMBER($D$105)),($D$105&gt;$D8)+($D$105=$D8)/2,0),IF(AND(EXACT($C$106,$C8),ISNUMBER($D$106)),($D$106&gt;$D8)+($D$106=$D8)/2,0)))</x:f>
        <x:v>0</x:v>
      </x:c>
    </x:row>
    <x:row r="9" ht="26.399999618530273" hidden="0" customHeight="1">
      <x:c r="A9" s="34" t="str">
        <x:f>IF('91_CALC_SCORES'!A9="","",'91_CALC_SCORES'!A9)</x:f>
        <x:v>SYN-C</x:v>
      </x:c>
      <x:c r="B9" s="34" t="str">
        <x:f>IF($A9="","",'91_CALC_SCORES'!B9)</x:f>
        <x:v>다온 스토리</x:v>
      </x:c>
      <x:c r="C9" s="37" t="str">
        <x:f>IF($A9="","",'91_CALC_SCORES'!K9)</x:f>
        <x:v>15:digital_content18:integrated_content5:Korea6:2025Q425:BM-DIGITAL-CONTENT-2025Q4</x:v>
      </x:c>
      <x:c r="D9" s="59" t="n">
        <x:f>IF(OR($A9="",NOT(OR(LEFT('91_CALC_SCORES'!AB9,4)="PASS",LEFT('91_CALC_SCORES'!AB9,5)="READY"))),"",'91_CALC_SCORES'!Y9)</x:f>
        <x:v>42.766629905278485</x:v>
      </x:c>
      <x:c r="E9" s="37" t="n">
        <x:f>IF(COUNT(D9)=0,"",1+SUM(AN9:AO9)-1/2)</x:f>
        <x:v>1</x:v>
      </x:c>
      <x:c r="F9" s="37" t="str">
        <x:f>IF($A9="","",'91_CALC_SCORES'!AB9)</x:f>
        <x:v>PASS</x:v>
      </x:c>
      <x:c r="G9" s="37" t="str">
        <x:f>IF(A9="","","연구 베타 | 기업 백분위 아님")</x:f>
        <x:v>연구 베타 | 기업 백분위 아님</x:v>
      </x:c>
      <x:c r="I9" s="13" t="str">
        <x:f>IF($A$9="","",$A$9)</x:f>
        <x:v>SYN-C</x:v>
      </x:c>
      <x:c r="J9" s="58" t="n">
        <x:f>IF(OR($A9="",$A$7=""),"",IF(COUNT($D9,$D$7)&lt;&gt;2,"N/A:input",IF(EXACT($C9,$C$7),$D9-$D$7,"N/A:cohort")))</x:f>
        <x:v>2.8710188319350323</x:v>
      </x:c>
      <x:c r="K9" s="58" t="n">
        <x:f>IF(OR($A9="",$A$8=""),"",IF(COUNT($D9,$D$8)&lt;&gt;2,"N/A:input",IF(EXACT($C9,$C$8),$D9-$D$8,"N/A:cohort")))</x:f>
        <x:v>10.549180608642317</x:v>
      </x:c>
      <x:c r="L9" s="58" t="n">
        <x:f>IF(OR($A9="",$A$9=""),"",IF(COUNT($D9,$D$9)&lt;&gt;2,"N/A:input",IF(EXACT($C9,$C$9),$D9-$D$9,"N/A:cohort")))</x:f>
        <x:v>0</x:v>
      </x:c>
      <x:c r="M9" s="58" t="n">
        <x:f>IF(OR($A9="",$A$10=""),"",IF(COUNT($D9,$D$10)&lt;&gt;2,"N/A:input",IF(EXACT($C9,$C$10),$D9-$D$10,"N/A:cohort")))</x:f>
        <x:v>6.783053356430372</x:v>
      </x:c>
      <x:c r="N9" s="58" t="str">
        <x:f>IF(OR($A9="",$A$11=""),"",IF(COUNT($D9,$D$11)&lt;&gt;2,"N/A:input",IF(EXACT($C9,$C$11),$D9-$D$11,"N/A:cohort")))</x:f>
      </x:c>
      <x:c r="O9" s="58" t="str">
        <x:f>IF(OR($A9="",$A$12=""),"",IF(COUNT($D9,$D$12)&lt;&gt;2,"N/A:input",IF(EXACT($C9,$C$12),$D9-$D$12,"N/A:cohort")))</x:f>
      </x:c>
      <x:c r="P9" s="58" t="str">
        <x:f>IF(OR($A9="",$A$13=""),"",IF(COUNT($D9,$D$13)&lt;&gt;2,"N/A:input",IF(EXACT($C9,$C$13),$D9-$D$13,"N/A:cohort")))</x:f>
      </x:c>
      <x:c r="Q9" s="58" t="str">
        <x:f>IF(OR($A9="",$A$14=""),"",IF(COUNT($D9,$D$14)&lt;&gt;2,"N/A:input",IF(EXACT($C9,$C$14),$D9-$D$14,"N/A:cohort")))</x:f>
      </x:c>
      <x:c r="R9" s="58" t="str">
        <x:f>IF(OR($A9="",$A$15=""),"",IF(COUNT($D9,$D$15)&lt;&gt;2,"N/A:input",IF(EXACT($C9,$C$15),$D9-$D$15,"N/A:cohort")))</x:f>
      </x:c>
      <x:c r="S9" s="58" t="str">
        <x:f>IF(OR($A9="",$A$16=""),"",IF(COUNT($D9,$D$16)&lt;&gt;2,"N/A:input",IF(EXACT($C9,$C$16),$D9-$D$16,"N/A:cohort")))</x:f>
      </x:c>
      <x:c r="T9" s="58" t="str">
        <x:f>IF(OR($A9="",$A$17=""),"",IF(COUNT($D9,$D$17)&lt;&gt;2,"N/A:input",IF(EXACT($C9,$C$17),$D9-$D$17,"N/A:cohort")))</x:f>
      </x:c>
      <x:c r="U9" s="58" t="str">
        <x:f>IF(OR($A9="",$A$18=""),"",IF(COUNT($D9,$D$18)&lt;&gt;2,"N/A:input",IF(EXACT($C9,$C$18),$D9-$D$18,"N/A:cohort")))</x:f>
      </x:c>
      <x:c r="V9" s="58" t="str">
        <x:f>IF(OR($A9="",$A$19=""),"",IF(COUNT($D9,$D$19)&lt;&gt;2,"N/A:input",IF(EXACT($C9,$C$19),$D9-$D$19,"N/A:cohort")))</x:f>
      </x:c>
      <x:c r="W9" s="58" t="str">
        <x:f>IF(OR($A9="",$A$20=""),"",IF(COUNT($D9,$D$20)&lt;&gt;2,"N/A:input",IF(EXACT($C9,$C$20),$D9-$D$20,"N/A:cohort")))</x:f>
      </x:c>
      <x:c r="X9" s="58" t="str">
        <x:f>IF(OR($A9="",$A$21=""),"",IF(COUNT($D9,$D$21)&lt;&gt;2,"N/A:input",IF(EXACT($C9,$C$21),$D9-$D$21,"N/A:cohort")))</x:f>
      </x:c>
      <x:c r="Y9" s="58" t="str">
        <x:f>IF(OR($A9="",$A$22=""),"",IF(COUNT($D9,$D$22)&lt;&gt;2,"N/A:input",IF(EXACT($C9,$C$22),$D9-$D$22,"N/A:cohort")))</x:f>
      </x:c>
      <x:c r="Z9" s="58" t="str">
        <x:f>IF(OR($A9="",$A$23=""),"",IF(COUNT($D9,$D$23)&lt;&gt;2,"N/A:input",IF(EXACT($C9,$C$23),$D9-$D$23,"N/A:cohort")))</x:f>
      </x:c>
      <x:c r="AA9" s="58" t="str">
        <x:f>IF(OR($A9="",$A$24=""),"",IF(COUNT($D9,$D$24)&lt;&gt;2,"N/A:input",IF(EXACT($C9,$C$24),$D9-$D$24,"N/A:cohort")))</x:f>
      </x:c>
      <x:c r="AB9" s="58" t="str">
        <x:f>IF(OR($A9="",$A$25=""),"",IF(COUNT($D9,$D$25)&lt;&gt;2,"N/A:input",IF(EXACT($C9,$C$25),$D9-$D$25,"N/A:cohort")))</x:f>
      </x:c>
      <x:c r="AC9" s="58" t="str">
        <x:f>IF(OR($A9="",$A$26=""),"",IF(COUNT($D9,$D$26)&lt;&gt;2,"N/A:input",IF(EXACT($C9,$C$26),$D9-$D$26,"N/A:cohort")))</x:f>
      </x:c>
      <x:c r="AD9" s="58" t="str">
        <x:f>IF(OR($A9="",$A$27=""),"",IF(COUNT($D9,$D$27)&lt;&gt;2,"N/A:input",IF(EXACT($C9,$C$27),$D9-$D$27,"N/A:cohort")))</x:f>
      </x:c>
      <x:c r="AE9" s="58" t="str">
        <x:f>IF(OR($A9="",$A$28=""),"",IF(COUNT($D9,$D$28)&lt;&gt;2,"N/A:input",IF(EXACT($C9,$C$28),$D9-$D$28,"N/A:cohort")))</x:f>
      </x:c>
      <x:c r="AF9" s="58" t="str">
        <x:f>IF(OR($A9="",$A$29=""),"",IF(COUNT($D9,$D$29)&lt;&gt;2,"N/A:input",IF(EXACT($C9,$C$29),$D9-$D$29,"N/A:cohort")))</x:f>
      </x:c>
      <x:c r="AG9" s="58" t="str">
        <x:f>IF(OR($A9="",$A$30=""),"",IF(COUNT($D9,$D$30)&lt;&gt;2,"N/A:input",IF(EXACT($C9,$C$30),$D9-$D$30,"N/A:cohort")))</x:f>
      </x:c>
      <x:c r="AH9" s="58" t="str">
        <x:f>IF(OR($A9="",$A$31=""),"",IF(COUNT($D9,$D$31)&lt;&gt;2,"N/A:input",IF(EXACT($C9,$C$31),$D9-$D$31,"N/A:cohort")))</x:f>
      </x:c>
      <x:c r="AI9" s="58" t="str">
        <x:f>IF(OR($A9="",$A$32=""),"",IF(COUNT($D9,$D$32)&lt;&gt;2,"N/A:input",IF(EXACT($C9,$C$32),$D9-$D$32,"N/A:cohort")))</x:f>
      </x:c>
      <x:c r="AJ9" s="58" t="str">
        <x:f>IF(OR($A9="",$A$33=""),"",IF(COUNT($D9,$D$33)&lt;&gt;2,"N/A:input",IF(EXACT($C9,$C$33),$D9-$D$33,"N/A:cohort")))</x:f>
      </x:c>
      <x:c r="AK9" s="58" t="str">
        <x:f>IF(OR($A9="",$A$34=""),"",IF(COUNT($D9,$D$34)&lt;&gt;2,"N/A:input",IF(EXACT($C9,$C$34),$D9-$D$34,"N/A:cohort")))</x:f>
      </x:c>
      <x:c r="AL9" s="58" t="str">
        <x:f>IF(OR($A9="",$A$35=""),"",IF(COUNT($D9,$D$35)&lt;&gt;2,"N/A:input",IF(EXACT($C9,$C$35),$D9-$D$35,"N/A:cohort")))</x:f>
      </x:c>
      <x:c r="AM9" s="58" t="str">
        <x:f>IF(OR($A9="",$A$36=""),"",IF(COUNT($D9,$D$36)&lt;&gt;2,"N/A:input",IF(EXACT($C9,$C$36),$D9-$D$36,"N/A:cohort")))</x:f>
      </x:c>
      <x:c r="AN9" s="34" t="n">
        <x:f>IF(COUNT($D9)=0,"",SUM(IF(AND(EXACT($C$7,$C9),ISNUMBER($D$7)),($D$7&gt;$D9)+($D$7=$D9)/2,0),IF(AND(EXACT($C$8,$C9),ISNUMBER($D$8)),($D$8&gt;$D9)+($D$8=$D9)/2,0),IF(AND(EXACT($C$9,$C9),ISNUMBER($D$9)),($D$9&gt;$D9)+($D$9=$D9)/2,0),IF(AND(EXACT($C$10,$C9),ISNUMBER($D$10)),($D$10&gt;$D9)+($D$10=$D9)/2,0),IF(AND(EXACT($C$11,$C9),ISNUMBER($D$11)),($D$11&gt;$D9)+($D$11=$D9)/2,0),IF(AND(EXACT($C$12,$C9),ISNUMBER($D$12)),($D$12&gt;$D9)+($D$12=$D9)/2,0),IF(AND(EXACT($C$13,$C9),ISNUMBER($D$13)),($D$13&gt;$D9)+($D$13=$D9)/2,0),IF(AND(EXACT($C$14,$C9),ISNUMBER($D$14)),($D$14&gt;$D9)+($D$14=$D9)/2,0),IF(AND(EXACT($C$15,$C9),ISNUMBER($D$15)),($D$15&gt;$D9)+($D$15=$D9)/2,0),IF(AND(EXACT($C$16,$C9),ISNUMBER($D$16)),($D$16&gt;$D9)+($D$16=$D9)/2,0),IF(AND(EXACT($C$17,$C9),ISNUMBER($D$17)),($D$17&gt;$D9)+($D$17=$D9)/2,0),IF(AND(EXACT($C$18,$C9),ISNUMBER($D$18)),($D$18&gt;$D9)+($D$18=$D9)/2,0),IF(AND(EXACT($C$19,$C9),ISNUMBER($D$19)),($D$19&gt;$D9)+($D$19=$D9)/2,0),IF(AND(EXACT($C$20,$C9),ISNUMBER($D$20)),($D$20&gt;$D9)+($D$20=$D9)/2,0),IF(AND(EXACT($C$21,$C9),ISNUMBER($D$21)),($D$21&gt;$D9)+($D$21=$D9)/2,0),IF(AND(EXACT($C$22,$C9),ISNUMBER($D$22)),($D$22&gt;$D9)+($D$22=$D9)/2,0),IF(AND(EXACT($C$23,$C9),ISNUMBER($D$23)),($D$23&gt;$D9)+($D$23=$D9)/2,0),IF(AND(EXACT($C$24,$C9),ISNUMBER($D$24)),($D$24&gt;$D9)+($D$24=$D9)/2,0),IF(AND(EXACT($C$25,$C9),ISNUMBER($D$25)),($D$25&gt;$D9)+($D$25=$D9)/2,0),IF(AND(EXACT($C$26,$C9),ISNUMBER($D$26)),($D$26&gt;$D9)+($D$26=$D9)/2,0),IF(AND(EXACT($C$27,$C9),ISNUMBER($D$27)),($D$27&gt;$D9)+($D$27=$D9)/2,0),IF(AND(EXACT($C$28,$C9),ISNUMBER($D$28)),($D$28&gt;$D9)+($D$28=$D9)/2,0),IF(AND(EXACT($C$29,$C9),ISNUMBER($D$29)),($D$29&gt;$D9)+($D$29=$D9)/2,0),IF(AND(EXACT($C$30,$C9),ISNUMBER($D$30)),($D$30&gt;$D9)+($D$30=$D9)/2,0),IF(AND(EXACT($C$31,$C9),ISNUMBER($D$31)),($D$31&gt;$D9)+($D$31=$D9)/2,0),IF(AND(EXACT($C$32,$C9),ISNUMBER($D$32)),($D$32&gt;$D9)+($D$32=$D9)/2,0),IF(AND(EXACT($C$33,$C9),ISNUMBER($D$33)),($D$33&gt;$D9)+($D$33=$D9)/2,0),IF(AND(EXACT($C$34,$C9),ISNUMBER($D$34)),($D$34&gt;$D9)+($D$34=$D9)/2,0),IF(AND(EXACT($C$35,$C9),ISNUMBER($D$35)),($D$35&gt;$D9)+($D$35=$D9)/2,0),IF(AND(EXACT($C$36,$C9),ISNUMBER($D$36)),($D$36&gt;$D9)+($D$36=$D9)/2,0),IF(AND(EXACT($C$37,$C9),ISNUMBER($D$37)),($D$37&gt;$D9)+($D$37=$D9)/2,0),IF(AND(EXACT($C$38,$C9),ISNUMBER($D$38)),($D$38&gt;$D9)+($D$38=$D9)/2,0),IF(AND(EXACT($C$39,$C9),ISNUMBER($D$39)),($D$39&gt;$D9)+($D$39=$D9)/2,0),IF(AND(EXACT($C$40,$C9),ISNUMBER($D$40)),($D$40&gt;$D9)+($D$40=$D9)/2,0),IF(AND(EXACT($C$41,$C9),ISNUMBER($D$41)),($D$41&gt;$D9)+($D$41=$D9)/2,0),IF(AND(EXACT($C$42,$C9),ISNUMBER($D$42)),($D$42&gt;$D9)+($D$42=$D9)/2,0),IF(AND(EXACT($C$43,$C9),ISNUMBER($D$43)),($D$43&gt;$D9)+($D$43=$D9)/2,0),IF(AND(EXACT($C$44,$C9),ISNUMBER($D$44)),($D$44&gt;$D9)+($D$44=$D9)/2,0),IF(AND(EXACT($C$45,$C9),ISNUMBER($D$45)),($D$45&gt;$D9)+($D$45=$D9)/2,0),IF(AND(EXACT($C$46,$C9),ISNUMBER($D$46)),($D$46&gt;$D9)+($D$46=$D9)/2,0),IF(AND(EXACT($C$47,$C9),ISNUMBER($D$47)),($D$47&gt;$D9)+($D$47=$D9)/2,0),IF(AND(EXACT($C$48,$C9),ISNUMBER($D$48)),($D$48&gt;$D9)+($D$48=$D9)/2,0),IF(AND(EXACT($C$49,$C9),ISNUMBER($D$49)),($D$49&gt;$D9)+($D$49=$D9)/2,0),IF(AND(EXACT($C$50,$C9),ISNUMBER($D$50)),($D$50&gt;$D9)+($D$50=$D9)/2,0),IF(AND(EXACT($C$51,$C9),ISNUMBER($D$51)),($D$51&gt;$D9)+($D$51=$D9)/2,0),IF(AND(EXACT($C$52,$C9),ISNUMBER($D$52)),($D$52&gt;$D9)+($D$52=$D9)/2,0),IF(AND(EXACT($C$53,$C9),ISNUMBER($D$53)),($D$53&gt;$D9)+($D$53=$D9)/2,0),IF(AND(EXACT($C$54,$C9),ISNUMBER($D$54)),($D$54&gt;$D9)+($D$54=$D9)/2,0),IF(AND(EXACT($C$55,$C9),ISNUMBER($D$55)),($D$55&gt;$D9)+($D$55=$D9)/2,0),IF(AND(EXACT($C$56,$C9),ISNUMBER($D$56)),($D$56&gt;$D9)+($D$56=$D9)/2,0)))</x:f>
        <x:v>0.5</x:v>
      </x:c>
      <x:c r="AO9" s="34" t="n">
        <x:f>IF(COUNT($D9)=0,"",SUM(IF(AND(EXACT($C$57,$C9),ISNUMBER($D$57)),($D$57&gt;$D9)+($D$57=$D9)/2,0),IF(AND(EXACT($C$58,$C9),ISNUMBER($D$58)),($D$58&gt;$D9)+($D$58=$D9)/2,0),IF(AND(EXACT($C$59,$C9),ISNUMBER($D$59)),($D$59&gt;$D9)+($D$59=$D9)/2,0),IF(AND(EXACT($C$60,$C9),ISNUMBER($D$60)),($D$60&gt;$D9)+($D$60=$D9)/2,0),IF(AND(EXACT($C$61,$C9),ISNUMBER($D$61)),($D$61&gt;$D9)+($D$61=$D9)/2,0),IF(AND(EXACT($C$62,$C9),ISNUMBER($D$62)),($D$62&gt;$D9)+($D$62=$D9)/2,0),IF(AND(EXACT($C$63,$C9),ISNUMBER($D$63)),($D$63&gt;$D9)+($D$63=$D9)/2,0),IF(AND(EXACT($C$64,$C9),ISNUMBER($D$64)),($D$64&gt;$D9)+($D$64=$D9)/2,0),IF(AND(EXACT($C$65,$C9),ISNUMBER($D$65)),($D$65&gt;$D9)+($D$65=$D9)/2,0),IF(AND(EXACT($C$66,$C9),ISNUMBER($D$66)),($D$66&gt;$D9)+($D$66=$D9)/2,0),IF(AND(EXACT($C$67,$C9),ISNUMBER($D$67)),($D$67&gt;$D9)+($D$67=$D9)/2,0),IF(AND(EXACT($C$68,$C9),ISNUMBER($D$68)),($D$68&gt;$D9)+($D$68=$D9)/2,0),IF(AND(EXACT($C$69,$C9),ISNUMBER($D$69)),($D$69&gt;$D9)+($D$69=$D9)/2,0),IF(AND(EXACT($C$70,$C9),ISNUMBER($D$70)),($D$70&gt;$D9)+($D$70=$D9)/2,0),IF(AND(EXACT($C$71,$C9),ISNUMBER($D$71)),($D$71&gt;$D9)+($D$71=$D9)/2,0),IF(AND(EXACT($C$72,$C9),ISNUMBER($D$72)),($D$72&gt;$D9)+($D$72=$D9)/2,0),IF(AND(EXACT($C$73,$C9),ISNUMBER($D$73)),($D$73&gt;$D9)+($D$73=$D9)/2,0),IF(AND(EXACT($C$74,$C9),ISNUMBER($D$74)),($D$74&gt;$D9)+($D$74=$D9)/2,0),IF(AND(EXACT($C$75,$C9),ISNUMBER($D$75)),($D$75&gt;$D9)+($D$75=$D9)/2,0),IF(AND(EXACT($C$76,$C9),ISNUMBER($D$76)),($D$76&gt;$D9)+($D$76=$D9)/2,0),IF(AND(EXACT($C$77,$C9),ISNUMBER($D$77)),($D$77&gt;$D9)+($D$77=$D9)/2,0),IF(AND(EXACT($C$78,$C9),ISNUMBER($D$78)),($D$78&gt;$D9)+($D$78=$D9)/2,0),IF(AND(EXACT($C$79,$C9),ISNUMBER($D$79)),($D$79&gt;$D9)+($D$79=$D9)/2,0),IF(AND(EXACT($C$80,$C9),ISNUMBER($D$80)),($D$80&gt;$D9)+($D$80=$D9)/2,0),IF(AND(EXACT($C$81,$C9),ISNUMBER($D$81)),($D$81&gt;$D9)+($D$81=$D9)/2,0),IF(AND(EXACT($C$82,$C9),ISNUMBER($D$82)),($D$82&gt;$D9)+($D$82=$D9)/2,0),IF(AND(EXACT($C$83,$C9),ISNUMBER($D$83)),($D$83&gt;$D9)+($D$83=$D9)/2,0),IF(AND(EXACT($C$84,$C9),ISNUMBER($D$84)),($D$84&gt;$D9)+($D$84=$D9)/2,0),IF(AND(EXACT($C$85,$C9),ISNUMBER($D$85)),($D$85&gt;$D9)+($D$85=$D9)/2,0),IF(AND(EXACT($C$86,$C9),ISNUMBER($D$86)),($D$86&gt;$D9)+($D$86=$D9)/2,0),IF(AND(EXACT($C$87,$C9),ISNUMBER($D$87)),($D$87&gt;$D9)+($D$87=$D9)/2,0),IF(AND(EXACT($C$88,$C9),ISNUMBER($D$88)),($D$88&gt;$D9)+($D$88=$D9)/2,0),IF(AND(EXACT($C$89,$C9),ISNUMBER($D$89)),($D$89&gt;$D9)+($D$89=$D9)/2,0),IF(AND(EXACT($C$90,$C9),ISNUMBER($D$90)),($D$90&gt;$D9)+($D$90=$D9)/2,0),IF(AND(EXACT($C$91,$C9),ISNUMBER($D$91)),($D$91&gt;$D9)+($D$91=$D9)/2,0),IF(AND(EXACT($C$92,$C9),ISNUMBER($D$92)),($D$92&gt;$D9)+($D$92=$D9)/2,0),IF(AND(EXACT($C$93,$C9),ISNUMBER($D$93)),($D$93&gt;$D9)+($D$93=$D9)/2,0),IF(AND(EXACT($C$94,$C9),ISNUMBER($D$94)),($D$94&gt;$D9)+($D$94=$D9)/2,0),IF(AND(EXACT($C$95,$C9),ISNUMBER($D$95)),($D$95&gt;$D9)+($D$95=$D9)/2,0),IF(AND(EXACT($C$96,$C9),ISNUMBER($D$96)),($D$96&gt;$D9)+($D$96=$D9)/2,0),IF(AND(EXACT($C$97,$C9),ISNUMBER($D$97)),($D$97&gt;$D9)+($D$97=$D9)/2,0),IF(AND(EXACT($C$98,$C9),ISNUMBER($D$98)),($D$98&gt;$D9)+($D$98=$D9)/2,0),IF(AND(EXACT($C$99,$C9),ISNUMBER($D$99)),($D$99&gt;$D9)+($D$99=$D9)/2,0),IF(AND(EXACT($C$100,$C9),ISNUMBER($D$100)),($D$100&gt;$D9)+($D$100=$D9)/2,0),IF(AND(EXACT($C$101,$C9),ISNUMBER($D$101)),($D$101&gt;$D9)+($D$101=$D9)/2,0),IF(AND(EXACT($C$102,$C9),ISNUMBER($D$102)),($D$102&gt;$D9)+($D$102=$D9)/2,0),IF(AND(EXACT($C$103,$C9),ISNUMBER($D$103)),($D$103&gt;$D9)+($D$103=$D9)/2,0),IF(AND(EXACT($C$104,$C9),ISNUMBER($D$104)),($D$104&gt;$D9)+($D$104=$D9)/2,0),IF(AND(EXACT($C$105,$C9),ISNUMBER($D$105)),($D$105&gt;$D9)+($D$105=$D9)/2,0),IF(AND(EXACT($C$106,$C9),ISNUMBER($D$106)),($D$106&gt;$D9)+($D$106=$D9)/2,0)))</x:f>
        <x:v>0</x:v>
      </x:c>
    </x:row>
    <x:row r="10" ht="26.399999618530273" hidden="0" customHeight="1">
      <x:c r="A10" s="34" t="str">
        <x:f>IF('91_CALC_SCORES'!A10="","",'91_CALC_SCORES'!A10)</x:f>
        <x:v>SYN-D</x:v>
      </x:c>
      <x:c r="B10" s="34" t="str">
        <x:f>IF($A10="","",'91_CALC_SCORES'!B10)</x:f>
        <x:v>라온 플레이</x:v>
      </x:c>
      <x:c r="C10" s="37" t="str">
        <x:f>IF($A10="","",'91_CALC_SCORES'!K10)</x:f>
        <x:v>15:digital_content18:integrated_content5:Korea6:2025Q425:BM-DIGITAL-CONTENT-2025Q4</x:v>
      </x:c>
      <x:c r="D10" s="59" t="n">
        <x:f>IF(OR($A10="",NOT(OR(LEFT('91_CALC_SCORES'!AB10,4)="PASS",LEFT('91_CALC_SCORES'!AB10,5)="READY"))),"",'91_CALC_SCORES'!Y10)</x:f>
        <x:v>35.98357654884811</x:v>
      </x:c>
      <x:c r="E10" s="37" t="n">
        <x:f>IF(COUNT(D10)=0,"",1+SUM(AN10:AO10)-1/2)</x:f>
        <x:v>3</x:v>
      </x:c>
      <x:c r="F10" s="37" t="str">
        <x:f>IF($A10="","",'91_CALC_SCORES'!AB10)</x:f>
        <x:v>PASS</x:v>
      </x:c>
      <x:c r="G10" s="37" t="str">
        <x:f>IF(A10="","","연구 베타 | 기업 백분위 아님")</x:f>
        <x:v>연구 베타 | 기업 백분위 아님</x:v>
      </x:c>
      <x:c r="I10" s="13" t="str">
        <x:f>IF($A$10="","",$A$10)</x:f>
        <x:v>SYN-D</x:v>
      </x:c>
      <x:c r="J10" s="58" t="n">
        <x:f>IF(OR($A10="",$A$7=""),"",IF(COUNT($D10,$D$7)&lt;&gt;2,"N/A:input",IF(EXACT($C10,$C$7),$D10-$D$7,"N/A:cohort")))</x:f>
        <x:v>-3.91203452449534</x:v>
      </x:c>
      <x:c r="K10" s="58" t="n">
        <x:f>IF(OR($A10="",$A$8=""),"",IF(COUNT($D10,$D$8)&lt;&gt;2,"N/A:input",IF(EXACT($C10,$C$8),$D10-$D$8,"N/A:cohort")))</x:f>
        <x:v>3.7661272522119447</x:v>
      </x:c>
      <x:c r="L10" s="58" t="n">
        <x:f>IF(OR($A10="",$A$9=""),"",IF(COUNT($D10,$D$9)&lt;&gt;2,"N/A:input",IF(EXACT($C10,$C$9),$D10-$D$9,"N/A:cohort")))</x:f>
        <x:v>-6.783053356430372</x:v>
      </x:c>
      <x:c r="M10" s="58" t="n">
        <x:f>IF(OR($A10="",$A$10=""),"",IF(COUNT($D10,$D$10)&lt;&gt;2,"N/A:input",IF(EXACT($C10,$C$10),$D10-$D$10,"N/A:cohort")))</x:f>
        <x:v>0</x:v>
      </x:c>
      <x:c r="N10" s="58" t="str">
        <x:f>IF(OR($A10="",$A$11=""),"",IF(COUNT($D10,$D$11)&lt;&gt;2,"N/A:input",IF(EXACT($C10,$C$11),$D10-$D$11,"N/A:cohort")))</x:f>
      </x:c>
      <x:c r="O10" s="58" t="str">
        <x:f>IF(OR($A10="",$A$12=""),"",IF(COUNT($D10,$D$12)&lt;&gt;2,"N/A:input",IF(EXACT($C10,$C$12),$D10-$D$12,"N/A:cohort")))</x:f>
      </x:c>
      <x:c r="P10" s="58" t="str">
        <x:f>IF(OR($A10="",$A$13=""),"",IF(COUNT($D10,$D$13)&lt;&gt;2,"N/A:input",IF(EXACT($C10,$C$13),$D10-$D$13,"N/A:cohort")))</x:f>
      </x:c>
      <x:c r="Q10" s="58" t="str">
        <x:f>IF(OR($A10="",$A$14=""),"",IF(COUNT($D10,$D$14)&lt;&gt;2,"N/A:input",IF(EXACT($C10,$C$14),$D10-$D$14,"N/A:cohort")))</x:f>
      </x:c>
      <x:c r="R10" s="58" t="str">
        <x:f>IF(OR($A10="",$A$15=""),"",IF(COUNT($D10,$D$15)&lt;&gt;2,"N/A:input",IF(EXACT($C10,$C$15),$D10-$D$15,"N/A:cohort")))</x:f>
      </x:c>
      <x:c r="S10" s="58" t="str">
        <x:f>IF(OR($A10="",$A$16=""),"",IF(COUNT($D10,$D$16)&lt;&gt;2,"N/A:input",IF(EXACT($C10,$C$16),$D10-$D$16,"N/A:cohort")))</x:f>
      </x:c>
      <x:c r="T10" s="58" t="str">
        <x:f>IF(OR($A10="",$A$17=""),"",IF(COUNT($D10,$D$17)&lt;&gt;2,"N/A:input",IF(EXACT($C10,$C$17),$D10-$D$17,"N/A:cohort")))</x:f>
      </x:c>
      <x:c r="U10" s="58" t="str">
        <x:f>IF(OR($A10="",$A$18=""),"",IF(COUNT($D10,$D$18)&lt;&gt;2,"N/A:input",IF(EXACT($C10,$C$18),$D10-$D$18,"N/A:cohort")))</x:f>
      </x:c>
      <x:c r="V10" s="58" t="str">
        <x:f>IF(OR($A10="",$A$19=""),"",IF(COUNT($D10,$D$19)&lt;&gt;2,"N/A:input",IF(EXACT($C10,$C$19),$D10-$D$19,"N/A:cohort")))</x:f>
      </x:c>
      <x:c r="W10" s="58" t="str">
        <x:f>IF(OR($A10="",$A$20=""),"",IF(COUNT($D10,$D$20)&lt;&gt;2,"N/A:input",IF(EXACT($C10,$C$20),$D10-$D$20,"N/A:cohort")))</x:f>
      </x:c>
      <x:c r="X10" s="58" t="str">
        <x:f>IF(OR($A10="",$A$21=""),"",IF(COUNT($D10,$D$21)&lt;&gt;2,"N/A:input",IF(EXACT($C10,$C$21),$D10-$D$21,"N/A:cohort")))</x:f>
      </x:c>
      <x:c r="Y10" s="58" t="str">
        <x:f>IF(OR($A10="",$A$22=""),"",IF(COUNT($D10,$D$22)&lt;&gt;2,"N/A:input",IF(EXACT($C10,$C$22),$D10-$D$22,"N/A:cohort")))</x:f>
      </x:c>
      <x:c r="Z10" s="58" t="str">
        <x:f>IF(OR($A10="",$A$23=""),"",IF(COUNT($D10,$D$23)&lt;&gt;2,"N/A:input",IF(EXACT($C10,$C$23),$D10-$D$23,"N/A:cohort")))</x:f>
      </x:c>
      <x:c r="AA10" s="58" t="str">
        <x:f>IF(OR($A10="",$A$24=""),"",IF(COUNT($D10,$D$24)&lt;&gt;2,"N/A:input",IF(EXACT($C10,$C$24),$D10-$D$24,"N/A:cohort")))</x:f>
      </x:c>
      <x:c r="AB10" s="58" t="str">
        <x:f>IF(OR($A10="",$A$25=""),"",IF(COUNT($D10,$D$25)&lt;&gt;2,"N/A:input",IF(EXACT($C10,$C$25),$D10-$D$25,"N/A:cohort")))</x:f>
      </x:c>
      <x:c r="AC10" s="58" t="str">
        <x:f>IF(OR($A10="",$A$26=""),"",IF(COUNT($D10,$D$26)&lt;&gt;2,"N/A:input",IF(EXACT($C10,$C$26),$D10-$D$26,"N/A:cohort")))</x:f>
      </x:c>
      <x:c r="AD10" s="58" t="str">
        <x:f>IF(OR($A10="",$A$27=""),"",IF(COUNT($D10,$D$27)&lt;&gt;2,"N/A:input",IF(EXACT($C10,$C$27),$D10-$D$27,"N/A:cohort")))</x:f>
      </x:c>
      <x:c r="AE10" s="58" t="str">
        <x:f>IF(OR($A10="",$A$28=""),"",IF(COUNT($D10,$D$28)&lt;&gt;2,"N/A:input",IF(EXACT($C10,$C$28),$D10-$D$28,"N/A:cohort")))</x:f>
      </x:c>
      <x:c r="AF10" s="58" t="str">
        <x:f>IF(OR($A10="",$A$29=""),"",IF(COUNT($D10,$D$29)&lt;&gt;2,"N/A:input",IF(EXACT($C10,$C$29),$D10-$D$29,"N/A:cohort")))</x:f>
      </x:c>
      <x:c r="AG10" s="58" t="str">
        <x:f>IF(OR($A10="",$A$30=""),"",IF(COUNT($D10,$D$30)&lt;&gt;2,"N/A:input",IF(EXACT($C10,$C$30),$D10-$D$30,"N/A:cohort")))</x:f>
      </x:c>
      <x:c r="AH10" s="58" t="str">
        <x:f>IF(OR($A10="",$A$31=""),"",IF(COUNT($D10,$D$31)&lt;&gt;2,"N/A:input",IF(EXACT($C10,$C$31),$D10-$D$31,"N/A:cohort")))</x:f>
      </x:c>
      <x:c r="AI10" s="58" t="str">
        <x:f>IF(OR($A10="",$A$32=""),"",IF(COUNT($D10,$D$32)&lt;&gt;2,"N/A:input",IF(EXACT($C10,$C$32),$D10-$D$32,"N/A:cohort")))</x:f>
      </x:c>
      <x:c r="AJ10" s="58" t="str">
        <x:f>IF(OR($A10="",$A$33=""),"",IF(COUNT($D10,$D$33)&lt;&gt;2,"N/A:input",IF(EXACT($C10,$C$33),$D10-$D$33,"N/A:cohort")))</x:f>
      </x:c>
      <x:c r="AK10" s="58" t="str">
        <x:f>IF(OR($A10="",$A$34=""),"",IF(COUNT($D10,$D$34)&lt;&gt;2,"N/A:input",IF(EXACT($C10,$C$34),$D10-$D$34,"N/A:cohort")))</x:f>
      </x:c>
      <x:c r="AL10" s="58" t="str">
        <x:f>IF(OR($A10="",$A$35=""),"",IF(COUNT($D10,$D$35)&lt;&gt;2,"N/A:input",IF(EXACT($C10,$C$35),$D10-$D$35,"N/A:cohort")))</x:f>
      </x:c>
      <x:c r="AM10" s="58" t="str">
        <x:f>IF(OR($A10="",$A$36=""),"",IF(COUNT($D10,$D$36)&lt;&gt;2,"N/A:input",IF(EXACT($C10,$C$36),$D10-$D$36,"N/A:cohort")))</x:f>
      </x:c>
      <x:c r="AN10" s="34" t="n">
        <x:f>IF(COUNT($D10)=0,"",SUM(IF(AND(EXACT($C$7,$C10),ISNUMBER($D$7)),($D$7&gt;$D10)+($D$7=$D10)/2,0),IF(AND(EXACT($C$8,$C10),ISNUMBER($D$8)),($D$8&gt;$D10)+($D$8=$D10)/2,0),IF(AND(EXACT($C$9,$C10),ISNUMBER($D$9)),($D$9&gt;$D10)+($D$9=$D10)/2,0),IF(AND(EXACT($C$10,$C10),ISNUMBER($D$10)),($D$10&gt;$D10)+($D$10=$D10)/2,0),IF(AND(EXACT($C$11,$C10),ISNUMBER($D$11)),($D$11&gt;$D10)+($D$11=$D10)/2,0),IF(AND(EXACT($C$12,$C10),ISNUMBER($D$12)),($D$12&gt;$D10)+($D$12=$D10)/2,0),IF(AND(EXACT($C$13,$C10),ISNUMBER($D$13)),($D$13&gt;$D10)+($D$13=$D10)/2,0),IF(AND(EXACT($C$14,$C10),ISNUMBER($D$14)),($D$14&gt;$D10)+($D$14=$D10)/2,0),IF(AND(EXACT($C$15,$C10),ISNUMBER($D$15)),($D$15&gt;$D10)+($D$15=$D10)/2,0),IF(AND(EXACT($C$16,$C10),ISNUMBER($D$16)),($D$16&gt;$D10)+($D$16=$D10)/2,0),IF(AND(EXACT($C$17,$C10),ISNUMBER($D$17)),($D$17&gt;$D10)+($D$17=$D10)/2,0),IF(AND(EXACT($C$18,$C10),ISNUMBER($D$18)),($D$18&gt;$D10)+($D$18=$D10)/2,0),IF(AND(EXACT($C$19,$C10),ISNUMBER($D$19)),($D$19&gt;$D10)+($D$19=$D10)/2,0),IF(AND(EXACT($C$20,$C10),ISNUMBER($D$20)),($D$20&gt;$D10)+($D$20=$D10)/2,0),IF(AND(EXACT($C$21,$C10),ISNUMBER($D$21)),($D$21&gt;$D10)+($D$21=$D10)/2,0),IF(AND(EXACT($C$22,$C10),ISNUMBER($D$22)),($D$22&gt;$D10)+($D$22=$D10)/2,0),IF(AND(EXACT($C$23,$C10),ISNUMBER($D$23)),($D$23&gt;$D10)+($D$23=$D10)/2,0),IF(AND(EXACT($C$24,$C10),ISNUMBER($D$24)),($D$24&gt;$D10)+($D$24=$D10)/2,0),IF(AND(EXACT($C$25,$C10),ISNUMBER($D$25)),($D$25&gt;$D10)+($D$25=$D10)/2,0),IF(AND(EXACT($C$26,$C10),ISNUMBER($D$26)),($D$26&gt;$D10)+($D$26=$D10)/2,0),IF(AND(EXACT($C$27,$C10),ISNUMBER($D$27)),($D$27&gt;$D10)+($D$27=$D10)/2,0),IF(AND(EXACT($C$28,$C10),ISNUMBER($D$28)),($D$28&gt;$D10)+($D$28=$D10)/2,0),IF(AND(EXACT($C$29,$C10),ISNUMBER($D$29)),($D$29&gt;$D10)+($D$29=$D10)/2,0),IF(AND(EXACT($C$30,$C10),ISNUMBER($D$30)),($D$30&gt;$D10)+($D$30=$D10)/2,0),IF(AND(EXACT($C$31,$C10),ISNUMBER($D$31)),($D$31&gt;$D10)+($D$31=$D10)/2,0),IF(AND(EXACT($C$32,$C10),ISNUMBER($D$32)),($D$32&gt;$D10)+($D$32=$D10)/2,0),IF(AND(EXACT($C$33,$C10),ISNUMBER($D$33)),($D$33&gt;$D10)+($D$33=$D10)/2,0),IF(AND(EXACT($C$34,$C10),ISNUMBER($D$34)),($D$34&gt;$D10)+($D$34=$D10)/2,0),IF(AND(EXACT($C$35,$C10),ISNUMBER($D$35)),($D$35&gt;$D10)+($D$35=$D10)/2,0),IF(AND(EXACT($C$36,$C10),ISNUMBER($D$36)),($D$36&gt;$D10)+($D$36=$D10)/2,0),IF(AND(EXACT($C$37,$C10),ISNUMBER($D$37)),($D$37&gt;$D10)+($D$37=$D10)/2,0),IF(AND(EXACT($C$38,$C10),ISNUMBER($D$38)),($D$38&gt;$D10)+($D$38=$D10)/2,0),IF(AND(EXACT($C$39,$C10),ISNUMBER($D$39)),($D$39&gt;$D10)+($D$39=$D10)/2,0),IF(AND(EXACT($C$40,$C10),ISNUMBER($D$40)),($D$40&gt;$D10)+($D$40=$D10)/2,0),IF(AND(EXACT($C$41,$C10),ISNUMBER($D$41)),($D$41&gt;$D10)+($D$41=$D10)/2,0),IF(AND(EXACT($C$42,$C10),ISNUMBER($D$42)),($D$42&gt;$D10)+($D$42=$D10)/2,0),IF(AND(EXACT($C$43,$C10),ISNUMBER($D$43)),($D$43&gt;$D10)+($D$43=$D10)/2,0),IF(AND(EXACT($C$44,$C10),ISNUMBER($D$44)),($D$44&gt;$D10)+($D$44=$D10)/2,0),IF(AND(EXACT($C$45,$C10),ISNUMBER($D$45)),($D$45&gt;$D10)+($D$45=$D10)/2,0),IF(AND(EXACT($C$46,$C10),ISNUMBER($D$46)),($D$46&gt;$D10)+($D$46=$D10)/2,0),IF(AND(EXACT($C$47,$C10),ISNUMBER($D$47)),($D$47&gt;$D10)+($D$47=$D10)/2,0),IF(AND(EXACT($C$48,$C10),ISNUMBER($D$48)),($D$48&gt;$D10)+($D$48=$D10)/2,0),IF(AND(EXACT($C$49,$C10),ISNUMBER($D$49)),($D$49&gt;$D10)+($D$49=$D10)/2,0),IF(AND(EXACT($C$50,$C10),ISNUMBER($D$50)),($D$50&gt;$D10)+($D$50=$D10)/2,0),IF(AND(EXACT($C$51,$C10),ISNUMBER($D$51)),($D$51&gt;$D10)+($D$51=$D10)/2,0),IF(AND(EXACT($C$52,$C10),ISNUMBER($D$52)),($D$52&gt;$D10)+($D$52=$D10)/2,0),IF(AND(EXACT($C$53,$C10),ISNUMBER($D$53)),($D$53&gt;$D10)+($D$53=$D10)/2,0),IF(AND(EXACT($C$54,$C10),ISNUMBER($D$54)),($D$54&gt;$D10)+($D$54=$D10)/2,0),IF(AND(EXACT($C$55,$C10),ISNUMBER($D$55)),($D$55&gt;$D10)+($D$55=$D10)/2,0),IF(AND(EXACT($C$56,$C10),ISNUMBER($D$56)),($D$56&gt;$D10)+($D$56=$D10)/2,0)))</x:f>
        <x:v>2.5</x:v>
      </x:c>
      <x:c r="AO10" s="34" t="n">
        <x:f>IF(COUNT($D10)=0,"",SUM(IF(AND(EXACT($C$57,$C10),ISNUMBER($D$57)),($D$57&gt;$D10)+($D$57=$D10)/2,0),IF(AND(EXACT($C$58,$C10),ISNUMBER($D$58)),($D$58&gt;$D10)+($D$58=$D10)/2,0),IF(AND(EXACT($C$59,$C10),ISNUMBER($D$59)),($D$59&gt;$D10)+($D$59=$D10)/2,0),IF(AND(EXACT($C$60,$C10),ISNUMBER($D$60)),($D$60&gt;$D10)+($D$60=$D10)/2,0),IF(AND(EXACT($C$61,$C10),ISNUMBER($D$61)),($D$61&gt;$D10)+($D$61=$D10)/2,0),IF(AND(EXACT($C$62,$C10),ISNUMBER($D$62)),($D$62&gt;$D10)+($D$62=$D10)/2,0),IF(AND(EXACT($C$63,$C10),ISNUMBER($D$63)),($D$63&gt;$D10)+($D$63=$D10)/2,0),IF(AND(EXACT($C$64,$C10),ISNUMBER($D$64)),($D$64&gt;$D10)+($D$64=$D10)/2,0),IF(AND(EXACT($C$65,$C10),ISNUMBER($D$65)),($D$65&gt;$D10)+($D$65=$D10)/2,0),IF(AND(EXACT($C$66,$C10),ISNUMBER($D$66)),($D$66&gt;$D10)+($D$66=$D10)/2,0),IF(AND(EXACT($C$67,$C10),ISNUMBER($D$67)),($D$67&gt;$D10)+($D$67=$D10)/2,0),IF(AND(EXACT($C$68,$C10),ISNUMBER($D$68)),($D$68&gt;$D10)+($D$68=$D10)/2,0),IF(AND(EXACT($C$69,$C10),ISNUMBER($D$69)),($D$69&gt;$D10)+($D$69=$D10)/2,0),IF(AND(EXACT($C$70,$C10),ISNUMBER($D$70)),($D$70&gt;$D10)+($D$70=$D10)/2,0),IF(AND(EXACT($C$71,$C10),ISNUMBER($D$71)),($D$71&gt;$D10)+($D$71=$D10)/2,0),IF(AND(EXACT($C$72,$C10),ISNUMBER($D$72)),($D$72&gt;$D10)+($D$72=$D10)/2,0),IF(AND(EXACT($C$73,$C10),ISNUMBER($D$73)),($D$73&gt;$D10)+($D$73=$D10)/2,0),IF(AND(EXACT($C$74,$C10),ISNUMBER($D$74)),($D$74&gt;$D10)+($D$74=$D10)/2,0),IF(AND(EXACT($C$75,$C10),ISNUMBER($D$75)),($D$75&gt;$D10)+($D$75=$D10)/2,0),IF(AND(EXACT($C$76,$C10),ISNUMBER($D$76)),($D$76&gt;$D10)+($D$76=$D10)/2,0),IF(AND(EXACT($C$77,$C10),ISNUMBER($D$77)),($D$77&gt;$D10)+($D$77=$D10)/2,0),IF(AND(EXACT($C$78,$C10),ISNUMBER($D$78)),($D$78&gt;$D10)+($D$78=$D10)/2,0),IF(AND(EXACT($C$79,$C10),ISNUMBER($D$79)),($D$79&gt;$D10)+($D$79=$D10)/2,0),IF(AND(EXACT($C$80,$C10),ISNUMBER($D$80)),($D$80&gt;$D10)+($D$80=$D10)/2,0),IF(AND(EXACT($C$81,$C10),ISNUMBER($D$81)),($D$81&gt;$D10)+($D$81=$D10)/2,0),IF(AND(EXACT($C$82,$C10),ISNUMBER($D$82)),($D$82&gt;$D10)+($D$82=$D10)/2,0),IF(AND(EXACT($C$83,$C10),ISNUMBER($D$83)),($D$83&gt;$D10)+($D$83=$D10)/2,0),IF(AND(EXACT($C$84,$C10),ISNUMBER($D$84)),($D$84&gt;$D10)+($D$84=$D10)/2,0),IF(AND(EXACT($C$85,$C10),ISNUMBER($D$85)),($D$85&gt;$D10)+($D$85=$D10)/2,0),IF(AND(EXACT($C$86,$C10),ISNUMBER($D$86)),($D$86&gt;$D10)+($D$86=$D10)/2,0),IF(AND(EXACT($C$87,$C10),ISNUMBER($D$87)),($D$87&gt;$D10)+($D$87=$D10)/2,0),IF(AND(EXACT($C$88,$C10),ISNUMBER($D$88)),($D$88&gt;$D10)+($D$88=$D10)/2,0),IF(AND(EXACT($C$89,$C10),ISNUMBER($D$89)),($D$89&gt;$D10)+($D$89=$D10)/2,0),IF(AND(EXACT($C$90,$C10),ISNUMBER($D$90)),($D$90&gt;$D10)+($D$90=$D10)/2,0),IF(AND(EXACT($C$91,$C10),ISNUMBER($D$91)),($D$91&gt;$D10)+($D$91=$D10)/2,0),IF(AND(EXACT($C$92,$C10),ISNUMBER($D$92)),($D$92&gt;$D10)+($D$92=$D10)/2,0),IF(AND(EXACT($C$93,$C10),ISNUMBER($D$93)),($D$93&gt;$D10)+($D$93=$D10)/2,0),IF(AND(EXACT($C$94,$C10),ISNUMBER($D$94)),($D$94&gt;$D10)+($D$94=$D10)/2,0),IF(AND(EXACT($C$95,$C10),ISNUMBER($D$95)),($D$95&gt;$D10)+($D$95=$D10)/2,0),IF(AND(EXACT($C$96,$C10),ISNUMBER($D$96)),($D$96&gt;$D10)+($D$96=$D10)/2,0),IF(AND(EXACT($C$97,$C10),ISNUMBER($D$97)),($D$97&gt;$D10)+($D$97=$D10)/2,0),IF(AND(EXACT($C$98,$C10),ISNUMBER($D$98)),($D$98&gt;$D10)+($D$98=$D10)/2,0),IF(AND(EXACT($C$99,$C10),ISNUMBER($D$99)),($D$99&gt;$D10)+($D$99=$D10)/2,0),IF(AND(EXACT($C$100,$C10),ISNUMBER($D$100)),($D$100&gt;$D10)+($D$100=$D10)/2,0),IF(AND(EXACT($C$101,$C10),ISNUMBER($D$101)),($D$101&gt;$D10)+($D$101=$D10)/2,0),IF(AND(EXACT($C$102,$C10),ISNUMBER($D$102)),($D$102&gt;$D10)+($D$102=$D10)/2,0),IF(AND(EXACT($C$103,$C10),ISNUMBER($D$103)),($D$103&gt;$D10)+($D$103=$D10)/2,0),IF(AND(EXACT($C$104,$C10),ISNUMBER($D$104)),($D$104&gt;$D10)+($D$104=$D10)/2,0),IF(AND(EXACT($C$105,$C10),ISNUMBER($D$105)),($D$105&gt;$D10)+($D$105=$D10)/2,0),IF(AND(EXACT($C$106,$C10),ISNUMBER($D$106)),($D$106&gt;$D10)+($D$106=$D10)/2,0)))</x:f>
        <x:v>0</x:v>
      </x:c>
    </x:row>
    <x:row r="11">
      <x:c r="A11" s="34" t="str">
        <x:f>IF('91_CALC_SCORES'!A11="","",'91_CALC_SCORES'!A11)</x:f>
      </x:c>
      <x:c r="B11" s="34" t="str">
        <x:f>IF($A11="","",'91_CALC_SCORES'!B11)</x:f>
      </x:c>
      <x:c r="C11" s="34" t="str">
        <x:f>IF($A11="","",'91_CALC_SCORES'!K11)</x:f>
      </x:c>
      <x:c r="D11" s="57" t="str">
        <x:f>IF(OR($A11="",NOT(OR(LEFT('91_CALC_SCORES'!AB11,4)="PASS",LEFT('91_CALC_SCORES'!AB11,5)="READY"))),"",'91_CALC_SCORES'!Y11)</x:f>
      </x:c>
      <x:c r="E11" s="34" t="str">
        <x:f>IF(COUNT(D11)=0,"",1+SUM(AN11:AO11)-1/2)</x:f>
      </x:c>
      <x:c r="F11" s="34" t="str">
        <x:f>IF($A11="","",'91_CALC_SCORES'!AB11)</x:f>
      </x:c>
      <x:c r="G11" s="34" t="str">
        <x:f>IF(A11="","","연구 베타 | 기업 백분위 아님")</x:f>
      </x:c>
      <x:c r="I11" s="13" t="str">
        <x:f>IF($A$11="","",$A$11)</x:f>
      </x:c>
      <x:c r="J11" s="58" t="str">
        <x:f>IF(OR($A11="",$A$7=""),"",IF(COUNT($D11,$D$7)&lt;&gt;2,"N/A:input",IF(EXACT($C11,$C$7),$D11-$D$7,"N/A:cohort")))</x:f>
      </x:c>
      <x:c r="K11" s="58" t="str">
        <x:f>IF(OR($A11="",$A$8=""),"",IF(COUNT($D11,$D$8)&lt;&gt;2,"N/A:input",IF(EXACT($C11,$C$8),$D11-$D$8,"N/A:cohort")))</x:f>
      </x:c>
      <x:c r="L11" s="58" t="str">
        <x:f>IF(OR($A11="",$A$9=""),"",IF(COUNT($D11,$D$9)&lt;&gt;2,"N/A:input",IF(EXACT($C11,$C$9),$D11-$D$9,"N/A:cohort")))</x:f>
      </x:c>
      <x:c r="M11" s="58" t="str">
        <x:f>IF(OR($A11="",$A$10=""),"",IF(COUNT($D11,$D$10)&lt;&gt;2,"N/A:input",IF(EXACT($C11,$C$10),$D11-$D$10,"N/A:cohort")))</x:f>
      </x:c>
      <x:c r="N11" s="58" t="str">
        <x:f>IF(OR($A11="",$A$11=""),"",IF(COUNT($D11,$D$11)&lt;&gt;2,"N/A:input",IF(EXACT($C11,$C$11),$D11-$D$11,"N/A:cohort")))</x:f>
      </x:c>
      <x:c r="O11" s="58" t="str">
        <x:f>IF(OR($A11="",$A$12=""),"",IF(COUNT($D11,$D$12)&lt;&gt;2,"N/A:input",IF(EXACT($C11,$C$12),$D11-$D$12,"N/A:cohort")))</x:f>
      </x:c>
      <x:c r="P11" s="58" t="str">
        <x:f>IF(OR($A11="",$A$13=""),"",IF(COUNT($D11,$D$13)&lt;&gt;2,"N/A:input",IF(EXACT($C11,$C$13),$D11-$D$13,"N/A:cohort")))</x:f>
      </x:c>
      <x:c r="Q11" s="58" t="str">
        <x:f>IF(OR($A11="",$A$14=""),"",IF(COUNT($D11,$D$14)&lt;&gt;2,"N/A:input",IF(EXACT($C11,$C$14),$D11-$D$14,"N/A:cohort")))</x:f>
      </x:c>
      <x:c r="R11" s="58" t="str">
        <x:f>IF(OR($A11="",$A$15=""),"",IF(COUNT($D11,$D$15)&lt;&gt;2,"N/A:input",IF(EXACT($C11,$C$15),$D11-$D$15,"N/A:cohort")))</x:f>
      </x:c>
      <x:c r="S11" s="58" t="str">
        <x:f>IF(OR($A11="",$A$16=""),"",IF(COUNT($D11,$D$16)&lt;&gt;2,"N/A:input",IF(EXACT($C11,$C$16),$D11-$D$16,"N/A:cohort")))</x:f>
      </x:c>
      <x:c r="T11" s="58" t="str">
        <x:f>IF(OR($A11="",$A$17=""),"",IF(COUNT($D11,$D$17)&lt;&gt;2,"N/A:input",IF(EXACT($C11,$C$17),$D11-$D$17,"N/A:cohort")))</x:f>
      </x:c>
      <x:c r="U11" s="58" t="str">
        <x:f>IF(OR($A11="",$A$18=""),"",IF(COUNT($D11,$D$18)&lt;&gt;2,"N/A:input",IF(EXACT($C11,$C$18),$D11-$D$18,"N/A:cohort")))</x:f>
      </x:c>
      <x:c r="V11" s="58" t="str">
        <x:f>IF(OR($A11="",$A$19=""),"",IF(COUNT($D11,$D$19)&lt;&gt;2,"N/A:input",IF(EXACT($C11,$C$19),$D11-$D$19,"N/A:cohort")))</x:f>
      </x:c>
      <x:c r="W11" s="58" t="str">
        <x:f>IF(OR($A11="",$A$20=""),"",IF(COUNT($D11,$D$20)&lt;&gt;2,"N/A:input",IF(EXACT($C11,$C$20),$D11-$D$20,"N/A:cohort")))</x:f>
      </x:c>
      <x:c r="X11" s="58" t="str">
        <x:f>IF(OR($A11="",$A$21=""),"",IF(COUNT($D11,$D$21)&lt;&gt;2,"N/A:input",IF(EXACT($C11,$C$21),$D11-$D$21,"N/A:cohort")))</x:f>
      </x:c>
      <x:c r="Y11" s="58" t="str">
        <x:f>IF(OR($A11="",$A$22=""),"",IF(COUNT($D11,$D$22)&lt;&gt;2,"N/A:input",IF(EXACT($C11,$C$22),$D11-$D$22,"N/A:cohort")))</x:f>
      </x:c>
      <x:c r="Z11" s="58" t="str">
        <x:f>IF(OR($A11="",$A$23=""),"",IF(COUNT($D11,$D$23)&lt;&gt;2,"N/A:input",IF(EXACT($C11,$C$23),$D11-$D$23,"N/A:cohort")))</x:f>
      </x:c>
      <x:c r="AA11" s="58" t="str">
        <x:f>IF(OR($A11="",$A$24=""),"",IF(COUNT($D11,$D$24)&lt;&gt;2,"N/A:input",IF(EXACT($C11,$C$24),$D11-$D$24,"N/A:cohort")))</x:f>
      </x:c>
      <x:c r="AB11" s="58" t="str">
        <x:f>IF(OR($A11="",$A$25=""),"",IF(COUNT($D11,$D$25)&lt;&gt;2,"N/A:input",IF(EXACT($C11,$C$25),$D11-$D$25,"N/A:cohort")))</x:f>
      </x:c>
      <x:c r="AC11" s="58" t="str">
        <x:f>IF(OR($A11="",$A$26=""),"",IF(COUNT($D11,$D$26)&lt;&gt;2,"N/A:input",IF(EXACT($C11,$C$26),$D11-$D$26,"N/A:cohort")))</x:f>
      </x:c>
      <x:c r="AD11" s="58" t="str">
        <x:f>IF(OR($A11="",$A$27=""),"",IF(COUNT($D11,$D$27)&lt;&gt;2,"N/A:input",IF(EXACT($C11,$C$27),$D11-$D$27,"N/A:cohort")))</x:f>
      </x:c>
      <x:c r="AE11" s="58" t="str">
        <x:f>IF(OR($A11="",$A$28=""),"",IF(COUNT($D11,$D$28)&lt;&gt;2,"N/A:input",IF(EXACT($C11,$C$28),$D11-$D$28,"N/A:cohort")))</x:f>
      </x:c>
      <x:c r="AF11" s="58" t="str">
        <x:f>IF(OR($A11="",$A$29=""),"",IF(COUNT($D11,$D$29)&lt;&gt;2,"N/A:input",IF(EXACT($C11,$C$29),$D11-$D$29,"N/A:cohort")))</x:f>
      </x:c>
      <x:c r="AG11" s="58" t="str">
        <x:f>IF(OR($A11="",$A$30=""),"",IF(COUNT($D11,$D$30)&lt;&gt;2,"N/A:input",IF(EXACT($C11,$C$30),$D11-$D$30,"N/A:cohort")))</x:f>
      </x:c>
      <x:c r="AH11" s="58" t="str">
        <x:f>IF(OR($A11="",$A$31=""),"",IF(COUNT($D11,$D$31)&lt;&gt;2,"N/A:input",IF(EXACT($C11,$C$31),$D11-$D$31,"N/A:cohort")))</x:f>
      </x:c>
      <x:c r="AI11" s="58" t="str">
        <x:f>IF(OR($A11="",$A$32=""),"",IF(COUNT($D11,$D$32)&lt;&gt;2,"N/A:input",IF(EXACT($C11,$C$32),$D11-$D$32,"N/A:cohort")))</x:f>
      </x:c>
      <x:c r="AJ11" s="58" t="str">
        <x:f>IF(OR($A11="",$A$33=""),"",IF(COUNT($D11,$D$33)&lt;&gt;2,"N/A:input",IF(EXACT($C11,$C$33),$D11-$D$33,"N/A:cohort")))</x:f>
      </x:c>
      <x:c r="AK11" s="58" t="str">
        <x:f>IF(OR($A11="",$A$34=""),"",IF(COUNT($D11,$D$34)&lt;&gt;2,"N/A:input",IF(EXACT($C11,$C$34),$D11-$D$34,"N/A:cohort")))</x:f>
      </x:c>
      <x:c r="AL11" s="58" t="str">
        <x:f>IF(OR($A11="",$A$35=""),"",IF(COUNT($D11,$D$35)&lt;&gt;2,"N/A:input",IF(EXACT($C11,$C$35),$D11-$D$35,"N/A:cohort")))</x:f>
      </x:c>
      <x:c r="AM11" s="58" t="str">
        <x:f>IF(OR($A11="",$A$36=""),"",IF(COUNT($D11,$D$36)&lt;&gt;2,"N/A:input",IF(EXACT($C11,$C$36),$D11-$D$36,"N/A:cohort")))</x:f>
      </x:c>
      <x:c r="AN11" s="34" t="str">
        <x:f>IF(COUNT($D11)=0,"",SUM(IF(AND(EXACT($C$7,$C11),ISNUMBER($D$7)),($D$7&gt;$D11)+($D$7=$D11)/2,0),IF(AND(EXACT($C$8,$C11),ISNUMBER($D$8)),($D$8&gt;$D11)+($D$8=$D11)/2,0),IF(AND(EXACT($C$9,$C11),ISNUMBER($D$9)),($D$9&gt;$D11)+($D$9=$D11)/2,0),IF(AND(EXACT($C$10,$C11),ISNUMBER($D$10)),($D$10&gt;$D11)+($D$10=$D11)/2,0),IF(AND(EXACT($C$11,$C11),ISNUMBER($D$11)),($D$11&gt;$D11)+($D$11=$D11)/2,0),IF(AND(EXACT($C$12,$C11),ISNUMBER($D$12)),($D$12&gt;$D11)+($D$12=$D11)/2,0),IF(AND(EXACT($C$13,$C11),ISNUMBER($D$13)),($D$13&gt;$D11)+($D$13=$D11)/2,0),IF(AND(EXACT($C$14,$C11),ISNUMBER($D$14)),($D$14&gt;$D11)+($D$14=$D11)/2,0),IF(AND(EXACT($C$15,$C11),ISNUMBER($D$15)),($D$15&gt;$D11)+($D$15=$D11)/2,0),IF(AND(EXACT($C$16,$C11),ISNUMBER($D$16)),($D$16&gt;$D11)+($D$16=$D11)/2,0),IF(AND(EXACT($C$17,$C11),ISNUMBER($D$17)),($D$17&gt;$D11)+($D$17=$D11)/2,0),IF(AND(EXACT($C$18,$C11),ISNUMBER($D$18)),($D$18&gt;$D11)+($D$18=$D11)/2,0),IF(AND(EXACT($C$19,$C11),ISNUMBER($D$19)),($D$19&gt;$D11)+($D$19=$D11)/2,0),IF(AND(EXACT($C$20,$C11),ISNUMBER($D$20)),($D$20&gt;$D11)+($D$20=$D11)/2,0),IF(AND(EXACT($C$21,$C11),ISNUMBER($D$21)),($D$21&gt;$D11)+($D$21=$D11)/2,0),IF(AND(EXACT($C$22,$C11),ISNUMBER($D$22)),($D$22&gt;$D11)+($D$22=$D11)/2,0),IF(AND(EXACT($C$23,$C11),ISNUMBER($D$23)),($D$23&gt;$D11)+($D$23=$D11)/2,0),IF(AND(EXACT($C$24,$C11),ISNUMBER($D$24)),($D$24&gt;$D11)+($D$24=$D11)/2,0),IF(AND(EXACT($C$25,$C11),ISNUMBER($D$25)),($D$25&gt;$D11)+($D$25=$D11)/2,0),IF(AND(EXACT($C$26,$C11),ISNUMBER($D$26)),($D$26&gt;$D11)+($D$26=$D11)/2,0),IF(AND(EXACT($C$27,$C11),ISNUMBER($D$27)),($D$27&gt;$D11)+($D$27=$D11)/2,0),IF(AND(EXACT($C$28,$C11),ISNUMBER($D$28)),($D$28&gt;$D11)+($D$28=$D11)/2,0),IF(AND(EXACT($C$29,$C11),ISNUMBER($D$29)),($D$29&gt;$D11)+($D$29=$D11)/2,0),IF(AND(EXACT($C$30,$C11),ISNUMBER($D$30)),($D$30&gt;$D11)+($D$30=$D11)/2,0),IF(AND(EXACT($C$31,$C11),ISNUMBER($D$31)),($D$31&gt;$D11)+($D$31=$D11)/2,0),IF(AND(EXACT($C$32,$C11),ISNUMBER($D$32)),($D$32&gt;$D11)+($D$32=$D11)/2,0),IF(AND(EXACT($C$33,$C11),ISNUMBER($D$33)),($D$33&gt;$D11)+($D$33=$D11)/2,0),IF(AND(EXACT($C$34,$C11),ISNUMBER($D$34)),($D$34&gt;$D11)+($D$34=$D11)/2,0),IF(AND(EXACT($C$35,$C11),ISNUMBER($D$35)),($D$35&gt;$D11)+($D$35=$D11)/2,0),IF(AND(EXACT($C$36,$C11),ISNUMBER($D$36)),($D$36&gt;$D11)+($D$36=$D11)/2,0),IF(AND(EXACT($C$37,$C11),ISNUMBER($D$37)),($D$37&gt;$D11)+($D$37=$D11)/2,0),IF(AND(EXACT($C$38,$C11),ISNUMBER($D$38)),($D$38&gt;$D11)+($D$38=$D11)/2,0),IF(AND(EXACT($C$39,$C11),ISNUMBER($D$39)),($D$39&gt;$D11)+($D$39=$D11)/2,0),IF(AND(EXACT($C$40,$C11),ISNUMBER($D$40)),($D$40&gt;$D11)+($D$40=$D11)/2,0),IF(AND(EXACT($C$41,$C11),ISNUMBER($D$41)),($D$41&gt;$D11)+($D$41=$D11)/2,0),IF(AND(EXACT($C$42,$C11),ISNUMBER($D$42)),($D$42&gt;$D11)+($D$42=$D11)/2,0),IF(AND(EXACT($C$43,$C11),ISNUMBER($D$43)),($D$43&gt;$D11)+($D$43=$D11)/2,0),IF(AND(EXACT($C$44,$C11),ISNUMBER($D$44)),($D$44&gt;$D11)+($D$44=$D11)/2,0),IF(AND(EXACT($C$45,$C11),ISNUMBER($D$45)),($D$45&gt;$D11)+($D$45=$D11)/2,0),IF(AND(EXACT($C$46,$C11),ISNUMBER($D$46)),($D$46&gt;$D11)+($D$46=$D11)/2,0),IF(AND(EXACT($C$47,$C11),ISNUMBER($D$47)),($D$47&gt;$D11)+($D$47=$D11)/2,0),IF(AND(EXACT($C$48,$C11),ISNUMBER($D$48)),($D$48&gt;$D11)+($D$48=$D11)/2,0),IF(AND(EXACT($C$49,$C11),ISNUMBER($D$49)),($D$49&gt;$D11)+($D$49=$D11)/2,0),IF(AND(EXACT($C$50,$C11),ISNUMBER($D$50)),($D$50&gt;$D11)+($D$50=$D11)/2,0),IF(AND(EXACT($C$51,$C11),ISNUMBER($D$51)),($D$51&gt;$D11)+($D$51=$D11)/2,0),IF(AND(EXACT($C$52,$C11),ISNUMBER($D$52)),($D$52&gt;$D11)+($D$52=$D11)/2,0),IF(AND(EXACT($C$53,$C11),ISNUMBER($D$53)),($D$53&gt;$D11)+($D$53=$D11)/2,0),IF(AND(EXACT($C$54,$C11),ISNUMBER($D$54)),($D$54&gt;$D11)+($D$54=$D11)/2,0),IF(AND(EXACT($C$55,$C11),ISNUMBER($D$55)),($D$55&gt;$D11)+($D$55=$D11)/2,0),IF(AND(EXACT($C$56,$C11),ISNUMBER($D$56)),($D$56&gt;$D11)+($D$56=$D11)/2,0)))</x:f>
      </x:c>
      <x:c r="AO11" s="34" t="str">
        <x:f>IF(COUNT($D11)=0,"",SUM(IF(AND(EXACT($C$57,$C11),ISNUMBER($D$57)),($D$57&gt;$D11)+($D$57=$D11)/2,0),IF(AND(EXACT($C$58,$C11),ISNUMBER($D$58)),($D$58&gt;$D11)+($D$58=$D11)/2,0),IF(AND(EXACT($C$59,$C11),ISNUMBER($D$59)),($D$59&gt;$D11)+($D$59=$D11)/2,0),IF(AND(EXACT($C$60,$C11),ISNUMBER($D$60)),($D$60&gt;$D11)+($D$60=$D11)/2,0),IF(AND(EXACT($C$61,$C11),ISNUMBER($D$61)),($D$61&gt;$D11)+($D$61=$D11)/2,0),IF(AND(EXACT($C$62,$C11),ISNUMBER($D$62)),($D$62&gt;$D11)+($D$62=$D11)/2,0),IF(AND(EXACT($C$63,$C11),ISNUMBER($D$63)),($D$63&gt;$D11)+($D$63=$D11)/2,0),IF(AND(EXACT($C$64,$C11),ISNUMBER($D$64)),($D$64&gt;$D11)+($D$64=$D11)/2,0),IF(AND(EXACT($C$65,$C11),ISNUMBER($D$65)),($D$65&gt;$D11)+($D$65=$D11)/2,0),IF(AND(EXACT($C$66,$C11),ISNUMBER($D$66)),($D$66&gt;$D11)+($D$66=$D11)/2,0),IF(AND(EXACT($C$67,$C11),ISNUMBER($D$67)),($D$67&gt;$D11)+($D$67=$D11)/2,0),IF(AND(EXACT($C$68,$C11),ISNUMBER($D$68)),($D$68&gt;$D11)+($D$68=$D11)/2,0),IF(AND(EXACT($C$69,$C11),ISNUMBER($D$69)),($D$69&gt;$D11)+($D$69=$D11)/2,0),IF(AND(EXACT($C$70,$C11),ISNUMBER($D$70)),($D$70&gt;$D11)+($D$70=$D11)/2,0),IF(AND(EXACT($C$71,$C11),ISNUMBER($D$71)),($D$71&gt;$D11)+($D$71=$D11)/2,0),IF(AND(EXACT($C$72,$C11),ISNUMBER($D$72)),($D$72&gt;$D11)+($D$72=$D11)/2,0),IF(AND(EXACT($C$73,$C11),ISNUMBER($D$73)),($D$73&gt;$D11)+($D$73=$D11)/2,0),IF(AND(EXACT($C$74,$C11),ISNUMBER($D$74)),($D$74&gt;$D11)+($D$74=$D11)/2,0),IF(AND(EXACT($C$75,$C11),ISNUMBER($D$75)),($D$75&gt;$D11)+($D$75=$D11)/2,0),IF(AND(EXACT($C$76,$C11),ISNUMBER($D$76)),($D$76&gt;$D11)+($D$76=$D11)/2,0),IF(AND(EXACT($C$77,$C11),ISNUMBER($D$77)),($D$77&gt;$D11)+($D$77=$D11)/2,0),IF(AND(EXACT($C$78,$C11),ISNUMBER($D$78)),($D$78&gt;$D11)+($D$78=$D11)/2,0),IF(AND(EXACT($C$79,$C11),ISNUMBER($D$79)),($D$79&gt;$D11)+($D$79=$D11)/2,0),IF(AND(EXACT($C$80,$C11),ISNUMBER($D$80)),($D$80&gt;$D11)+($D$80=$D11)/2,0),IF(AND(EXACT($C$81,$C11),ISNUMBER($D$81)),($D$81&gt;$D11)+($D$81=$D11)/2,0),IF(AND(EXACT($C$82,$C11),ISNUMBER($D$82)),($D$82&gt;$D11)+($D$82=$D11)/2,0),IF(AND(EXACT($C$83,$C11),ISNUMBER($D$83)),($D$83&gt;$D11)+($D$83=$D11)/2,0),IF(AND(EXACT($C$84,$C11),ISNUMBER($D$84)),($D$84&gt;$D11)+($D$84=$D11)/2,0),IF(AND(EXACT($C$85,$C11),ISNUMBER($D$85)),($D$85&gt;$D11)+($D$85=$D11)/2,0),IF(AND(EXACT($C$86,$C11),ISNUMBER($D$86)),($D$86&gt;$D11)+($D$86=$D11)/2,0),IF(AND(EXACT($C$87,$C11),ISNUMBER($D$87)),($D$87&gt;$D11)+($D$87=$D11)/2,0),IF(AND(EXACT($C$88,$C11),ISNUMBER($D$88)),($D$88&gt;$D11)+($D$88=$D11)/2,0),IF(AND(EXACT($C$89,$C11),ISNUMBER($D$89)),($D$89&gt;$D11)+($D$89=$D11)/2,0),IF(AND(EXACT($C$90,$C11),ISNUMBER($D$90)),($D$90&gt;$D11)+($D$90=$D11)/2,0),IF(AND(EXACT($C$91,$C11),ISNUMBER($D$91)),($D$91&gt;$D11)+($D$91=$D11)/2,0),IF(AND(EXACT($C$92,$C11),ISNUMBER($D$92)),($D$92&gt;$D11)+($D$92=$D11)/2,0),IF(AND(EXACT($C$93,$C11),ISNUMBER($D$93)),($D$93&gt;$D11)+($D$93=$D11)/2,0),IF(AND(EXACT($C$94,$C11),ISNUMBER($D$94)),($D$94&gt;$D11)+($D$94=$D11)/2,0),IF(AND(EXACT($C$95,$C11),ISNUMBER($D$95)),($D$95&gt;$D11)+($D$95=$D11)/2,0),IF(AND(EXACT($C$96,$C11),ISNUMBER($D$96)),($D$96&gt;$D11)+($D$96=$D11)/2,0),IF(AND(EXACT($C$97,$C11),ISNUMBER($D$97)),($D$97&gt;$D11)+($D$97=$D11)/2,0),IF(AND(EXACT($C$98,$C11),ISNUMBER($D$98)),($D$98&gt;$D11)+($D$98=$D11)/2,0),IF(AND(EXACT($C$99,$C11),ISNUMBER($D$99)),($D$99&gt;$D11)+($D$99=$D11)/2,0),IF(AND(EXACT($C$100,$C11),ISNUMBER($D$100)),($D$100&gt;$D11)+($D$100=$D11)/2,0),IF(AND(EXACT($C$101,$C11),ISNUMBER($D$101)),($D$101&gt;$D11)+($D$101=$D11)/2,0),IF(AND(EXACT($C$102,$C11),ISNUMBER($D$102)),($D$102&gt;$D11)+($D$102=$D11)/2,0),IF(AND(EXACT($C$103,$C11),ISNUMBER($D$103)),($D$103&gt;$D11)+($D$103=$D11)/2,0),IF(AND(EXACT($C$104,$C11),ISNUMBER($D$104)),($D$104&gt;$D11)+($D$104=$D11)/2,0),IF(AND(EXACT($C$105,$C11),ISNUMBER($D$105)),($D$105&gt;$D11)+($D$105=$D11)/2,0),IF(AND(EXACT($C$106,$C11),ISNUMBER($D$106)),($D$106&gt;$D11)+($D$106=$D11)/2,0)))</x:f>
      </x:c>
    </x:row>
    <x:row r="12">
      <x:c r="A12" s="34" t="str">
        <x:f>IF('91_CALC_SCORES'!A12="","",'91_CALC_SCORES'!A12)</x:f>
      </x:c>
      <x:c r="B12" s="34" t="str">
        <x:f>IF($A12="","",'91_CALC_SCORES'!B12)</x:f>
      </x:c>
      <x:c r="C12" s="34" t="str">
        <x:f>IF($A12="","",'91_CALC_SCORES'!K12)</x:f>
      </x:c>
      <x:c r="D12" s="57" t="str">
        <x:f>IF(OR($A12="",NOT(OR(LEFT('91_CALC_SCORES'!AB12,4)="PASS",LEFT('91_CALC_SCORES'!AB12,5)="READY"))),"",'91_CALC_SCORES'!Y12)</x:f>
      </x:c>
      <x:c r="E12" s="34" t="str">
        <x:f>IF(COUNT(D12)=0,"",1+SUM(AN12:AO12)-1/2)</x:f>
      </x:c>
      <x:c r="F12" s="34" t="str">
        <x:f>IF($A12="","",'91_CALC_SCORES'!AB12)</x:f>
      </x:c>
      <x:c r="G12" s="34" t="str">
        <x:f>IF(A12="","","연구 베타 | 기업 백분위 아님")</x:f>
      </x:c>
      <x:c r="I12" s="13" t="str">
        <x:f>IF($A$12="","",$A$12)</x:f>
      </x:c>
      <x:c r="J12" s="58" t="str">
        <x:f>IF(OR($A12="",$A$7=""),"",IF(COUNT($D12,$D$7)&lt;&gt;2,"N/A:input",IF(EXACT($C12,$C$7),$D12-$D$7,"N/A:cohort")))</x:f>
      </x:c>
      <x:c r="K12" s="58" t="str">
        <x:f>IF(OR($A12="",$A$8=""),"",IF(COUNT($D12,$D$8)&lt;&gt;2,"N/A:input",IF(EXACT($C12,$C$8),$D12-$D$8,"N/A:cohort")))</x:f>
      </x:c>
      <x:c r="L12" s="58" t="str">
        <x:f>IF(OR($A12="",$A$9=""),"",IF(COUNT($D12,$D$9)&lt;&gt;2,"N/A:input",IF(EXACT($C12,$C$9),$D12-$D$9,"N/A:cohort")))</x:f>
      </x:c>
      <x:c r="M12" s="58" t="str">
        <x:f>IF(OR($A12="",$A$10=""),"",IF(COUNT($D12,$D$10)&lt;&gt;2,"N/A:input",IF(EXACT($C12,$C$10),$D12-$D$10,"N/A:cohort")))</x:f>
      </x:c>
      <x:c r="N12" s="58" t="str">
        <x:f>IF(OR($A12="",$A$11=""),"",IF(COUNT($D12,$D$11)&lt;&gt;2,"N/A:input",IF(EXACT($C12,$C$11),$D12-$D$11,"N/A:cohort")))</x:f>
      </x:c>
      <x:c r="O12" s="58" t="str">
        <x:f>IF(OR($A12="",$A$12=""),"",IF(COUNT($D12,$D$12)&lt;&gt;2,"N/A:input",IF(EXACT($C12,$C$12),$D12-$D$12,"N/A:cohort")))</x:f>
      </x:c>
      <x:c r="P12" s="58" t="str">
        <x:f>IF(OR($A12="",$A$13=""),"",IF(COUNT($D12,$D$13)&lt;&gt;2,"N/A:input",IF(EXACT($C12,$C$13),$D12-$D$13,"N/A:cohort")))</x:f>
      </x:c>
      <x:c r="Q12" s="58" t="str">
        <x:f>IF(OR($A12="",$A$14=""),"",IF(COUNT($D12,$D$14)&lt;&gt;2,"N/A:input",IF(EXACT($C12,$C$14),$D12-$D$14,"N/A:cohort")))</x:f>
      </x:c>
      <x:c r="R12" s="58" t="str">
        <x:f>IF(OR($A12="",$A$15=""),"",IF(COUNT($D12,$D$15)&lt;&gt;2,"N/A:input",IF(EXACT($C12,$C$15),$D12-$D$15,"N/A:cohort")))</x:f>
      </x:c>
      <x:c r="S12" s="58" t="str">
        <x:f>IF(OR($A12="",$A$16=""),"",IF(COUNT($D12,$D$16)&lt;&gt;2,"N/A:input",IF(EXACT($C12,$C$16),$D12-$D$16,"N/A:cohort")))</x:f>
      </x:c>
      <x:c r="T12" s="58" t="str">
        <x:f>IF(OR($A12="",$A$17=""),"",IF(COUNT($D12,$D$17)&lt;&gt;2,"N/A:input",IF(EXACT($C12,$C$17),$D12-$D$17,"N/A:cohort")))</x:f>
      </x:c>
      <x:c r="U12" s="58" t="str">
        <x:f>IF(OR($A12="",$A$18=""),"",IF(COUNT($D12,$D$18)&lt;&gt;2,"N/A:input",IF(EXACT($C12,$C$18),$D12-$D$18,"N/A:cohort")))</x:f>
      </x:c>
      <x:c r="V12" s="58" t="str">
        <x:f>IF(OR($A12="",$A$19=""),"",IF(COUNT($D12,$D$19)&lt;&gt;2,"N/A:input",IF(EXACT($C12,$C$19),$D12-$D$19,"N/A:cohort")))</x:f>
      </x:c>
      <x:c r="W12" s="58" t="str">
        <x:f>IF(OR($A12="",$A$20=""),"",IF(COUNT($D12,$D$20)&lt;&gt;2,"N/A:input",IF(EXACT($C12,$C$20),$D12-$D$20,"N/A:cohort")))</x:f>
      </x:c>
      <x:c r="X12" s="58" t="str">
        <x:f>IF(OR($A12="",$A$21=""),"",IF(COUNT($D12,$D$21)&lt;&gt;2,"N/A:input",IF(EXACT($C12,$C$21),$D12-$D$21,"N/A:cohort")))</x:f>
      </x:c>
      <x:c r="Y12" s="58" t="str">
        <x:f>IF(OR($A12="",$A$22=""),"",IF(COUNT($D12,$D$22)&lt;&gt;2,"N/A:input",IF(EXACT($C12,$C$22),$D12-$D$22,"N/A:cohort")))</x:f>
      </x:c>
      <x:c r="Z12" s="58" t="str">
        <x:f>IF(OR($A12="",$A$23=""),"",IF(COUNT($D12,$D$23)&lt;&gt;2,"N/A:input",IF(EXACT($C12,$C$23),$D12-$D$23,"N/A:cohort")))</x:f>
      </x:c>
      <x:c r="AA12" s="58" t="str">
        <x:f>IF(OR($A12="",$A$24=""),"",IF(COUNT($D12,$D$24)&lt;&gt;2,"N/A:input",IF(EXACT($C12,$C$24),$D12-$D$24,"N/A:cohort")))</x:f>
      </x:c>
      <x:c r="AB12" s="58" t="str">
        <x:f>IF(OR($A12="",$A$25=""),"",IF(COUNT($D12,$D$25)&lt;&gt;2,"N/A:input",IF(EXACT($C12,$C$25),$D12-$D$25,"N/A:cohort")))</x:f>
      </x:c>
      <x:c r="AC12" s="58" t="str">
        <x:f>IF(OR($A12="",$A$26=""),"",IF(COUNT($D12,$D$26)&lt;&gt;2,"N/A:input",IF(EXACT($C12,$C$26),$D12-$D$26,"N/A:cohort")))</x:f>
      </x:c>
      <x:c r="AD12" s="58" t="str">
        <x:f>IF(OR($A12="",$A$27=""),"",IF(COUNT($D12,$D$27)&lt;&gt;2,"N/A:input",IF(EXACT($C12,$C$27),$D12-$D$27,"N/A:cohort")))</x:f>
      </x:c>
      <x:c r="AE12" s="58" t="str">
        <x:f>IF(OR($A12="",$A$28=""),"",IF(COUNT($D12,$D$28)&lt;&gt;2,"N/A:input",IF(EXACT($C12,$C$28),$D12-$D$28,"N/A:cohort")))</x:f>
      </x:c>
      <x:c r="AF12" s="58" t="str">
        <x:f>IF(OR($A12="",$A$29=""),"",IF(COUNT($D12,$D$29)&lt;&gt;2,"N/A:input",IF(EXACT($C12,$C$29),$D12-$D$29,"N/A:cohort")))</x:f>
      </x:c>
      <x:c r="AG12" s="58" t="str">
        <x:f>IF(OR($A12="",$A$30=""),"",IF(COUNT($D12,$D$30)&lt;&gt;2,"N/A:input",IF(EXACT($C12,$C$30),$D12-$D$30,"N/A:cohort")))</x:f>
      </x:c>
      <x:c r="AH12" s="58" t="str">
        <x:f>IF(OR($A12="",$A$31=""),"",IF(COUNT($D12,$D$31)&lt;&gt;2,"N/A:input",IF(EXACT($C12,$C$31),$D12-$D$31,"N/A:cohort")))</x:f>
      </x:c>
      <x:c r="AI12" s="58" t="str">
        <x:f>IF(OR($A12="",$A$32=""),"",IF(COUNT($D12,$D$32)&lt;&gt;2,"N/A:input",IF(EXACT($C12,$C$32),$D12-$D$32,"N/A:cohort")))</x:f>
      </x:c>
      <x:c r="AJ12" s="58" t="str">
        <x:f>IF(OR($A12="",$A$33=""),"",IF(COUNT($D12,$D$33)&lt;&gt;2,"N/A:input",IF(EXACT($C12,$C$33),$D12-$D$33,"N/A:cohort")))</x:f>
      </x:c>
      <x:c r="AK12" s="58" t="str">
        <x:f>IF(OR($A12="",$A$34=""),"",IF(COUNT($D12,$D$34)&lt;&gt;2,"N/A:input",IF(EXACT($C12,$C$34),$D12-$D$34,"N/A:cohort")))</x:f>
      </x:c>
      <x:c r="AL12" s="58" t="str">
        <x:f>IF(OR($A12="",$A$35=""),"",IF(COUNT($D12,$D$35)&lt;&gt;2,"N/A:input",IF(EXACT($C12,$C$35),$D12-$D$35,"N/A:cohort")))</x:f>
      </x:c>
      <x:c r="AM12" s="58" t="str">
        <x:f>IF(OR($A12="",$A$36=""),"",IF(COUNT($D12,$D$36)&lt;&gt;2,"N/A:input",IF(EXACT($C12,$C$36),$D12-$D$36,"N/A:cohort")))</x:f>
      </x:c>
      <x:c r="AN12" s="34" t="str">
        <x:f>IF(COUNT($D12)=0,"",SUM(IF(AND(EXACT($C$7,$C12),ISNUMBER($D$7)),($D$7&gt;$D12)+($D$7=$D12)/2,0),IF(AND(EXACT($C$8,$C12),ISNUMBER($D$8)),($D$8&gt;$D12)+($D$8=$D12)/2,0),IF(AND(EXACT($C$9,$C12),ISNUMBER($D$9)),($D$9&gt;$D12)+($D$9=$D12)/2,0),IF(AND(EXACT($C$10,$C12),ISNUMBER($D$10)),($D$10&gt;$D12)+($D$10=$D12)/2,0),IF(AND(EXACT($C$11,$C12),ISNUMBER($D$11)),($D$11&gt;$D12)+($D$11=$D12)/2,0),IF(AND(EXACT($C$12,$C12),ISNUMBER($D$12)),($D$12&gt;$D12)+($D$12=$D12)/2,0),IF(AND(EXACT($C$13,$C12),ISNUMBER($D$13)),($D$13&gt;$D12)+($D$13=$D12)/2,0),IF(AND(EXACT($C$14,$C12),ISNUMBER($D$14)),($D$14&gt;$D12)+($D$14=$D12)/2,0),IF(AND(EXACT($C$15,$C12),ISNUMBER($D$15)),($D$15&gt;$D12)+($D$15=$D12)/2,0),IF(AND(EXACT($C$16,$C12),ISNUMBER($D$16)),($D$16&gt;$D12)+($D$16=$D12)/2,0),IF(AND(EXACT($C$17,$C12),ISNUMBER($D$17)),($D$17&gt;$D12)+($D$17=$D12)/2,0),IF(AND(EXACT($C$18,$C12),ISNUMBER($D$18)),($D$18&gt;$D12)+($D$18=$D12)/2,0),IF(AND(EXACT($C$19,$C12),ISNUMBER($D$19)),($D$19&gt;$D12)+($D$19=$D12)/2,0),IF(AND(EXACT($C$20,$C12),ISNUMBER($D$20)),($D$20&gt;$D12)+($D$20=$D12)/2,0),IF(AND(EXACT($C$21,$C12),ISNUMBER($D$21)),($D$21&gt;$D12)+($D$21=$D12)/2,0),IF(AND(EXACT($C$22,$C12),ISNUMBER($D$22)),($D$22&gt;$D12)+($D$22=$D12)/2,0),IF(AND(EXACT($C$23,$C12),ISNUMBER($D$23)),($D$23&gt;$D12)+($D$23=$D12)/2,0),IF(AND(EXACT($C$24,$C12),ISNUMBER($D$24)),($D$24&gt;$D12)+($D$24=$D12)/2,0),IF(AND(EXACT($C$25,$C12),ISNUMBER($D$25)),($D$25&gt;$D12)+($D$25=$D12)/2,0),IF(AND(EXACT($C$26,$C12),ISNUMBER($D$26)),($D$26&gt;$D12)+($D$26=$D12)/2,0),IF(AND(EXACT($C$27,$C12),ISNUMBER($D$27)),($D$27&gt;$D12)+($D$27=$D12)/2,0),IF(AND(EXACT($C$28,$C12),ISNUMBER($D$28)),($D$28&gt;$D12)+($D$28=$D12)/2,0),IF(AND(EXACT($C$29,$C12),ISNUMBER($D$29)),($D$29&gt;$D12)+($D$29=$D12)/2,0),IF(AND(EXACT($C$30,$C12),ISNUMBER($D$30)),($D$30&gt;$D12)+($D$30=$D12)/2,0),IF(AND(EXACT($C$31,$C12),ISNUMBER($D$31)),($D$31&gt;$D12)+($D$31=$D12)/2,0),IF(AND(EXACT($C$32,$C12),ISNUMBER($D$32)),($D$32&gt;$D12)+($D$32=$D12)/2,0),IF(AND(EXACT($C$33,$C12),ISNUMBER($D$33)),($D$33&gt;$D12)+($D$33=$D12)/2,0),IF(AND(EXACT($C$34,$C12),ISNUMBER($D$34)),($D$34&gt;$D12)+($D$34=$D12)/2,0),IF(AND(EXACT($C$35,$C12),ISNUMBER($D$35)),($D$35&gt;$D12)+($D$35=$D12)/2,0),IF(AND(EXACT($C$36,$C12),ISNUMBER($D$36)),($D$36&gt;$D12)+($D$36=$D12)/2,0),IF(AND(EXACT($C$37,$C12),ISNUMBER($D$37)),($D$37&gt;$D12)+($D$37=$D12)/2,0),IF(AND(EXACT($C$38,$C12),ISNUMBER($D$38)),($D$38&gt;$D12)+($D$38=$D12)/2,0),IF(AND(EXACT($C$39,$C12),ISNUMBER($D$39)),($D$39&gt;$D12)+($D$39=$D12)/2,0),IF(AND(EXACT($C$40,$C12),ISNUMBER($D$40)),($D$40&gt;$D12)+($D$40=$D12)/2,0),IF(AND(EXACT($C$41,$C12),ISNUMBER($D$41)),($D$41&gt;$D12)+($D$41=$D12)/2,0),IF(AND(EXACT($C$42,$C12),ISNUMBER($D$42)),($D$42&gt;$D12)+($D$42=$D12)/2,0),IF(AND(EXACT($C$43,$C12),ISNUMBER($D$43)),($D$43&gt;$D12)+($D$43=$D12)/2,0),IF(AND(EXACT($C$44,$C12),ISNUMBER($D$44)),($D$44&gt;$D12)+($D$44=$D12)/2,0),IF(AND(EXACT($C$45,$C12),ISNUMBER($D$45)),($D$45&gt;$D12)+($D$45=$D12)/2,0),IF(AND(EXACT($C$46,$C12),ISNUMBER($D$46)),($D$46&gt;$D12)+($D$46=$D12)/2,0),IF(AND(EXACT($C$47,$C12),ISNUMBER($D$47)),($D$47&gt;$D12)+($D$47=$D12)/2,0),IF(AND(EXACT($C$48,$C12),ISNUMBER($D$48)),($D$48&gt;$D12)+($D$48=$D12)/2,0),IF(AND(EXACT($C$49,$C12),ISNUMBER($D$49)),($D$49&gt;$D12)+($D$49=$D12)/2,0),IF(AND(EXACT($C$50,$C12),ISNUMBER($D$50)),($D$50&gt;$D12)+($D$50=$D12)/2,0),IF(AND(EXACT($C$51,$C12),ISNUMBER($D$51)),($D$51&gt;$D12)+($D$51=$D12)/2,0),IF(AND(EXACT($C$52,$C12),ISNUMBER($D$52)),($D$52&gt;$D12)+($D$52=$D12)/2,0),IF(AND(EXACT($C$53,$C12),ISNUMBER($D$53)),($D$53&gt;$D12)+($D$53=$D12)/2,0),IF(AND(EXACT($C$54,$C12),ISNUMBER($D$54)),($D$54&gt;$D12)+($D$54=$D12)/2,0),IF(AND(EXACT($C$55,$C12),ISNUMBER($D$55)),($D$55&gt;$D12)+($D$55=$D12)/2,0),IF(AND(EXACT($C$56,$C12),ISNUMBER($D$56)),($D$56&gt;$D12)+($D$56=$D12)/2,0)))</x:f>
      </x:c>
      <x:c r="AO12" s="34" t="str">
        <x:f>IF(COUNT($D12)=0,"",SUM(IF(AND(EXACT($C$57,$C12),ISNUMBER($D$57)),($D$57&gt;$D12)+($D$57=$D12)/2,0),IF(AND(EXACT($C$58,$C12),ISNUMBER($D$58)),($D$58&gt;$D12)+($D$58=$D12)/2,0),IF(AND(EXACT($C$59,$C12),ISNUMBER($D$59)),($D$59&gt;$D12)+($D$59=$D12)/2,0),IF(AND(EXACT($C$60,$C12),ISNUMBER($D$60)),($D$60&gt;$D12)+($D$60=$D12)/2,0),IF(AND(EXACT($C$61,$C12),ISNUMBER($D$61)),($D$61&gt;$D12)+($D$61=$D12)/2,0),IF(AND(EXACT($C$62,$C12),ISNUMBER($D$62)),($D$62&gt;$D12)+($D$62=$D12)/2,0),IF(AND(EXACT($C$63,$C12),ISNUMBER($D$63)),($D$63&gt;$D12)+($D$63=$D12)/2,0),IF(AND(EXACT($C$64,$C12),ISNUMBER($D$64)),($D$64&gt;$D12)+($D$64=$D12)/2,0),IF(AND(EXACT($C$65,$C12),ISNUMBER($D$65)),($D$65&gt;$D12)+($D$65=$D12)/2,0),IF(AND(EXACT($C$66,$C12),ISNUMBER($D$66)),($D$66&gt;$D12)+($D$66=$D12)/2,0),IF(AND(EXACT($C$67,$C12),ISNUMBER($D$67)),($D$67&gt;$D12)+($D$67=$D12)/2,0),IF(AND(EXACT($C$68,$C12),ISNUMBER($D$68)),($D$68&gt;$D12)+($D$68=$D12)/2,0),IF(AND(EXACT($C$69,$C12),ISNUMBER($D$69)),($D$69&gt;$D12)+($D$69=$D12)/2,0),IF(AND(EXACT($C$70,$C12),ISNUMBER($D$70)),($D$70&gt;$D12)+($D$70=$D12)/2,0),IF(AND(EXACT($C$71,$C12),ISNUMBER($D$71)),($D$71&gt;$D12)+($D$71=$D12)/2,0),IF(AND(EXACT($C$72,$C12),ISNUMBER($D$72)),($D$72&gt;$D12)+($D$72=$D12)/2,0),IF(AND(EXACT($C$73,$C12),ISNUMBER($D$73)),($D$73&gt;$D12)+($D$73=$D12)/2,0),IF(AND(EXACT($C$74,$C12),ISNUMBER($D$74)),($D$74&gt;$D12)+($D$74=$D12)/2,0),IF(AND(EXACT($C$75,$C12),ISNUMBER($D$75)),($D$75&gt;$D12)+($D$75=$D12)/2,0),IF(AND(EXACT($C$76,$C12),ISNUMBER($D$76)),($D$76&gt;$D12)+($D$76=$D12)/2,0),IF(AND(EXACT($C$77,$C12),ISNUMBER($D$77)),($D$77&gt;$D12)+($D$77=$D12)/2,0),IF(AND(EXACT($C$78,$C12),ISNUMBER($D$78)),($D$78&gt;$D12)+($D$78=$D12)/2,0),IF(AND(EXACT($C$79,$C12),ISNUMBER($D$79)),($D$79&gt;$D12)+($D$79=$D12)/2,0),IF(AND(EXACT($C$80,$C12),ISNUMBER($D$80)),($D$80&gt;$D12)+($D$80=$D12)/2,0),IF(AND(EXACT($C$81,$C12),ISNUMBER($D$81)),($D$81&gt;$D12)+($D$81=$D12)/2,0),IF(AND(EXACT($C$82,$C12),ISNUMBER($D$82)),($D$82&gt;$D12)+($D$82=$D12)/2,0),IF(AND(EXACT($C$83,$C12),ISNUMBER($D$83)),($D$83&gt;$D12)+($D$83=$D12)/2,0),IF(AND(EXACT($C$84,$C12),ISNUMBER($D$84)),($D$84&gt;$D12)+($D$84=$D12)/2,0),IF(AND(EXACT($C$85,$C12),ISNUMBER($D$85)),($D$85&gt;$D12)+($D$85=$D12)/2,0),IF(AND(EXACT($C$86,$C12),ISNUMBER($D$86)),($D$86&gt;$D12)+($D$86=$D12)/2,0),IF(AND(EXACT($C$87,$C12),ISNUMBER($D$87)),($D$87&gt;$D12)+($D$87=$D12)/2,0),IF(AND(EXACT($C$88,$C12),ISNUMBER($D$88)),($D$88&gt;$D12)+($D$88=$D12)/2,0),IF(AND(EXACT($C$89,$C12),ISNUMBER($D$89)),($D$89&gt;$D12)+($D$89=$D12)/2,0),IF(AND(EXACT($C$90,$C12),ISNUMBER($D$90)),($D$90&gt;$D12)+($D$90=$D12)/2,0),IF(AND(EXACT($C$91,$C12),ISNUMBER($D$91)),($D$91&gt;$D12)+($D$91=$D12)/2,0),IF(AND(EXACT($C$92,$C12),ISNUMBER($D$92)),($D$92&gt;$D12)+($D$92=$D12)/2,0),IF(AND(EXACT($C$93,$C12),ISNUMBER($D$93)),($D$93&gt;$D12)+($D$93=$D12)/2,0),IF(AND(EXACT($C$94,$C12),ISNUMBER($D$94)),($D$94&gt;$D12)+($D$94=$D12)/2,0),IF(AND(EXACT($C$95,$C12),ISNUMBER($D$95)),($D$95&gt;$D12)+($D$95=$D12)/2,0),IF(AND(EXACT($C$96,$C12),ISNUMBER($D$96)),($D$96&gt;$D12)+($D$96=$D12)/2,0),IF(AND(EXACT($C$97,$C12),ISNUMBER($D$97)),($D$97&gt;$D12)+($D$97=$D12)/2,0),IF(AND(EXACT($C$98,$C12),ISNUMBER($D$98)),($D$98&gt;$D12)+($D$98=$D12)/2,0),IF(AND(EXACT($C$99,$C12),ISNUMBER($D$99)),($D$99&gt;$D12)+($D$99=$D12)/2,0),IF(AND(EXACT($C$100,$C12),ISNUMBER($D$100)),($D$100&gt;$D12)+($D$100=$D12)/2,0),IF(AND(EXACT($C$101,$C12),ISNUMBER($D$101)),($D$101&gt;$D12)+($D$101=$D12)/2,0),IF(AND(EXACT($C$102,$C12),ISNUMBER($D$102)),($D$102&gt;$D12)+($D$102=$D12)/2,0),IF(AND(EXACT($C$103,$C12),ISNUMBER($D$103)),($D$103&gt;$D12)+($D$103=$D12)/2,0),IF(AND(EXACT($C$104,$C12),ISNUMBER($D$104)),($D$104&gt;$D12)+($D$104=$D12)/2,0),IF(AND(EXACT($C$105,$C12),ISNUMBER($D$105)),($D$105&gt;$D12)+($D$105=$D12)/2,0),IF(AND(EXACT($C$106,$C12),ISNUMBER($D$106)),($D$106&gt;$D12)+($D$106=$D12)/2,0)))</x:f>
      </x:c>
    </x:row>
    <x:row r="13">
      <x:c r="A13" s="34" t="str">
        <x:f>IF('91_CALC_SCORES'!A13="","",'91_CALC_SCORES'!A13)</x:f>
      </x:c>
      <x:c r="B13" s="34" t="str">
        <x:f>IF($A13="","",'91_CALC_SCORES'!B13)</x:f>
      </x:c>
      <x:c r="C13" s="34" t="str">
        <x:f>IF($A13="","",'91_CALC_SCORES'!K13)</x:f>
      </x:c>
      <x:c r="D13" s="57" t="str">
        <x:f>IF(OR($A13="",NOT(OR(LEFT('91_CALC_SCORES'!AB13,4)="PASS",LEFT('91_CALC_SCORES'!AB13,5)="READY"))),"",'91_CALC_SCORES'!Y13)</x:f>
      </x:c>
      <x:c r="E13" s="34" t="str">
        <x:f>IF(COUNT(D13)=0,"",1+SUM(AN13:AO13)-1/2)</x:f>
      </x:c>
      <x:c r="F13" s="34" t="str">
        <x:f>IF($A13="","",'91_CALC_SCORES'!AB13)</x:f>
      </x:c>
      <x:c r="G13" s="34" t="str">
        <x:f>IF(A13="","","연구 베타 | 기업 백분위 아님")</x:f>
      </x:c>
      <x:c r="I13" s="13" t="str">
        <x:f>IF($A$13="","",$A$13)</x:f>
      </x:c>
      <x:c r="J13" s="58" t="str">
        <x:f>IF(OR($A13="",$A$7=""),"",IF(COUNT($D13,$D$7)&lt;&gt;2,"N/A:input",IF(EXACT($C13,$C$7),$D13-$D$7,"N/A:cohort")))</x:f>
      </x:c>
      <x:c r="K13" s="58" t="str">
        <x:f>IF(OR($A13="",$A$8=""),"",IF(COUNT($D13,$D$8)&lt;&gt;2,"N/A:input",IF(EXACT($C13,$C$8),$D13-$D$8,"N/A:cohort")))</x:f>
      </x:c>
      <x:c r="L13" s="58" t="str">
        <x:f>IF(OR($A13="",$A$9=""),"",IF(COUNT($D13,$D$9)&lt;&gt;2,"N/A:input",IF(EXACT($C13,$C$9),$D13-$D$9,"N/A:cohort")))</x:f>
      </x:c>
      <x:c r="M13" s="58" t="str">
        <x:f>IF(OR($A13="",$A$10=""),"",IF(COUNT($D13,$D$10)&lt;&gt;2,"N/A:input",IF(EXACT($C13,$C$10),$D13-$D$10,"N/A:cohort")))</x:f>
      </x:c>
      <x:c r="N13" s="58" t="str">
        <x:f>IF(OR($A13="",$A$11=""),"",IF(COUNT($D13,$D$11)&lt;&gt;2,"N/A:input",IF(EXACT($C13,$C$11),$D13-$D$11,"N/A:cohort")))</x:f>
      </x:c>
      <x:c r="O13" s="58" t="str">
        <x:f>IF(OR($A13="",$A$12=""),"",IF(COUNT($D13,$D$12)&lt;&gt;2,"N/A:input",IF(EXACT($C13,$C$12),$D13-$D$12,"N/A:cohort")))</x:f>
      </x:c>
      <x:c r="P13" s="58" t="str">
        <x:f>IF(OR($A13="",$A$13=""),"",IF(COUNT($D13,$D$13)&lt;&gt;2,"N/A:input",IF(EXACT($C13,$C$13),$D13-$D$13,"N/A:cohort")))</x:f>
      </x:c>
      <x:c r="Q13" s="58" t="str">
        <x:f>IF(OR($A13="",$A$14=""),"",IF(COUNT($D13,$D$14)&lt;&gt;2,"N/A:input",IF(EXACT($C13,$C$14),$D13-$D$14,"N/A:cohort")))</x:f>
      </x:c>
      <x:c r="R13" s="58" t="str">
        <x:f>IF(OR($A13="",$A$15=""),"",IF(COUNT($D13,$D$15)&lt;&gt;2,"N/A:input",IF(EXACT($C13,$C$15),$D13-$D$15,"N/A:cohort")))</x:f>
      </x:c>
      <x:c r="S13" s="58" t="str">
        <x:f>IF(OR($A13="",$A$16=""),"",IF(COUNT($D13,$D$16)&lt;&gt;2,"N/A:input",IF(EXACT($C13,$C$16),$D13-$D$16,"N/A:cohort")))</x:f>
      </x:c>
      <x:c r="T13" s="58" t="str">
        <x:f>IF(OR($A13="",$A$17=""),"",IF(COUNT($D13,$D$17)&lt;&gt;2,"N/A:input",IF(EXACT($C13,$C$17),$D13-$D$17,"N/A:cohort")))</x:f>
      </x:c>
      <x:c r="U13" s="58" t="str">
        <x:f>IF(OR($A13="",$A$18=""),"",IF(COUNT($D13,$D$18)&lt;&gt;2,"N/A:input",IF(EXACT($C13,$C$18),$D13-$D$18,"N/A:cohort")))</x:f>
      </x:c>
      <x:c r="V13" s="58" t="str">
        <x:f>IF(OR($A13="",$A$19=""),"",IF(COUNT($D13,$D$19)&lt;&gt;2,"N/A:input",IF(EXACT($C13,$C$19),$D13-$D$19,"N/A:cohort")))</x:f>
      </x:c>
      <x:c r="W13" s="58" t="str">
        <x:f>IF(OR($A13="",$A$20=""),"",IF(COUNT($D13,$D$20)&lt;&gt;2,"N/A:input",IF(EXACT($C13,$C$20),$D13-$D$20,"N/A:cohort")))</x:f>
      </x:c>
      <x:c r="X13" s="58" t="str">
        <x:f>IF(OR($A13="",$A$21=""),"",IF(COUNT($D13,$D$21)&lt;&gt;2,"N/A:input",IF(EXACT($C13,$C$21),$D13-$D$21,"N/A:cohort")))</x:f>
      </x:c>
      <x:c r="Y13" s="58" t="str">
        <x:f>IF(OR($A13="",$A$22=""),"",IF(COUNT($D13,$D$22)&lt;&gt;2,"N/A:input",IF(EXACT($C13,$C$22),$D13-$D$22,"N/A:cohort")))</x:f>
      </x:c>
      <x:c r="Z13" s="58" t="str">
        <x:f>IF(OR($A13="",$A$23=""),"",IF(COUNT($D13,$D$23)&lt;&gt;2,"N/A:input",IF(EXACT($C13,$C$23),$D13-$D$23,"N/A:cohort")))</x:f>
      </x:c>
      <x:c r="AA13" s="58" t="str">
        <x:f>IF(OR($A13="",$A$24=""),"",IF(COUNT($D13,$D$24)&lt;&gt;2,"N/A:input",IF(EXACT($C13,$C$24),$D13-$D$24,"N/A:cohort")))</x:f>
      </x:c>
      <x:c r="AB13" s="58" t="str">
        <x:f>IF(OR($A13="",$A$25=""),"",IF(COUNT($D13,$D$25)&lt;&gt;2,"N/A:input",IF(EXACT($C13,$C$25),$D13-$D$25,"N/A:cohort")))</x:f>
      </x:c>
      <x:c r="AC13" s="58" t="str">
        <x:f>IF(OR($A13="",$A$26=""),"",IF(COUNT($D13,$D$26)&lt;&gt;2,"N/A:input",IF(EXACT($C13,$C$26),$D13-$D$26,"N/A:cohort")))</x:f>
      </x:c>
      <x:c r="AD13" s="58" t="str">
        <x:f>IF(OR($A13="",$A$27=""),"",IF(COUNT($D13,$D$27)&lt;&gt;2,"N/A:input",IF(EXACT($C13,$C$27),$D13-$D$27,"N/A:cohort")))</x:f>
      </x:c>
      <x:c r="AE13" s="58" t="str">
        <x:f>IF(OR($A13="",$A$28=""),"",IF(COUNT($D13,$D$28)&lt;&gt;2,"N/A:input",IF(EXACT($C13,$C$28),$D13-$D$28,"N/A:cohort")))</x:f>
      </x:c>
      <x:c r="AF13" s="58" t="str">
        <x:f>IF(OR($A13="",$A$29=""),"",IF(COUNT($D13,$D$29)&lt;&gt;2,"N/A:input",IF(EXACT($C13,$C$29),$D13-$D$29,"N/A:cohort")))</x:f>
      </x:c>
      <x:c r="AG13" s="58" t="str">
        <x:f>IF(OR($A13="",$A$30=""),"",IF(COUNT($D13,$D$30)&lt;&gt;2,"N/A:input",IF(EXACT($C13,$C$30),$D13-$D$30,"N/A:cohort")))</x:f>
      </x:c>
      <x:c r="AH13" s="58" t="str">
        <x:f>IF(OR($A13="",$A$31=""),"",IF(COUNT($D13,$D$31)&lt;&gt;2,"N/A:input",IF(EXACT($C13,$C$31),$D13-$D$31,"N/A:cohort")))</x:f>
      </x:c>
      <x:c r="AI13" s="58" t="str">
        <x:f>IF(OR($A13="",$A$32=""),"",IF(COUNT($D13,$D$32)&lt;&gt;2,"N/A:input",IF(EXACT($C13,$C$32),$D13-$D$32,"N/A:cohort")))</x:f>
      </x:c>
      <x:c r="AJ13" s="58" t="str">
        <x:f>IF(OR($A13="",$A$33=""),"",IF(COUNT($D13,$D$33)&lt;&gt;2,"N/A:input",IF(EXACT($C13,$C$33),$D13-$D$33,"N/A:cohort")))</x:f>
      </x:c>
      <x:c r="AK13" s="58" t="str">
        <x:f>IF(OR($A13="",$A$34=""),"",IF(COUNT($D13,$D$34)&lt;&gt;2,"N/A:input",IF(EXACT($C13,$C$34),$D13-$D$34,"N/A:cohort")))</x:f>
      </x:c>
      <x:c r="AL13" s="58" t="str">
        <x:f>IF(OR($A13="",$A$35=""),"",IF(COUNT($D13,$D$35)&lt;&gt;2,"N/A:input",IF(EXACT($C13,$C$35),$D13-$D$35,"N/A:cohort")))</x:f>
      </x:c>
      <x:c r="AM13" s="58" t="str">
        <x:f>IF(OR($A13="",$A$36=""),"",IF(COUNT($D13,$D$36)&lt;&gt;2,"N/A:input",IF(EXACT($C13,$C$36),$D13-$D$36,"N/A:cohort")))</x:f>
      </x:c>
      <x:c r="AN13" s="34" t="str">
        <x:f>IF(COUNT($D13)=0,"",SUM(IF(AND(EXACT($C$7,$C13),ISNUMBER($D$7)),($D$7&gt;$D13)+($D$7=$D13)/2,0),IF(AND(EXACT($C$8,$C13),ISNUMBER($D$8)),($D$8&gt;$D13)+($D$8=$D13)/2,0),IF(AND(EXACT($C$9,$C13),ISNUMBER($D$9)),($D$9&gt;$D13)+($D$9=$D13)/2,0),IF(AND(EXACT($C$10,$C13),ISNUMBER($D$10)),($D$10&gt;$D13)+($D$10=$D13)/2,0),IF(AND(EXACT($C$11,$C13),ISNUMBER($D$11)),($D$11&gt;$D13)+($D$11=$D13)/2,0),IF(AND(EXACT($C$12,$C13),ISNUMBER($D$12)),($D$12&gt;$D13)+($D$12=$D13)/2,0),IF(AND(EXACT($C$13,$C13),ISNUMBER($D$13)),($D$13&gt;$D13)+($D$13=$D13)/2,0),IF(AND(EXACT($C$14,$C13),ISNUMBER($D$14)),($D$14&gt;$D13)+($D$14=$D13)/2,0),IF(AND(EXACT($C$15,$C13),ISNUMBER($D$15)),($D$15&gt;$D13)+($D$15=$D13)/2,0),IF(AND(EXACT($C$16,$C13),ISNUMBER($D$16)),($D$16&gt;$D13)+($D$16=$D13)/2,0),IF(AND(EXACT($C$17,$C13),ISNUMBER($D$17)),($D$17&gt;$D13)+($D$17=$D13)/2,0),IF(AND(EXACT($C$18,$C13),ISNUMBER($D$18)),($D$18&gt;$D13)+($D$18=$D13)/2,0),IF(AND(EXACT($C$19,$C13),ISNUMBER($D$19)),($D$19&gt;$D13)+($D$19=$D13)/2,0),IF(AND(EXACT($C$20,$C13),ISNUMBER($D$20)),($D$20&gt;$D13)+($D$20=$D13)/2,0),IF(AND(EXACT($C$21,$C13),ISNUMBER($D$21)),($D$21&gt;$D13)+($D$21=$D13)/2,0),IF(AND(EXACT($C$22,$C13),ISNUMBER($D$22)),($D$22&gt;$D13)+($D$22=$D13)/2,0),IF(AND(EXACT($C$23,$C13),ISNUMBER($D$23)),($D$23&gt;$D13)+($D$23=$D13)/2,0),IF(AND(EXACT($C$24,$C13),ISNUMBER($D$24)),($D$24&gt;$D13)+($D$24=$D13)/2,0),IF(AND(EXACT($C$25,$C13),ISNUMBER($D$25)),($D$25&gt;$D13)+($D$25=$D13)/2,0),IF(AND(EXACT($C$26,$C13),ISNUMBER($D$26)),($D$26&gt;$D13)+($D$26=$D13)/2,0),IF(AND(EXACT($C$27,$C13),ISNUMBER($D$27)),($D$27&gt;$D13)+($D$27=$D13)/2,0),IF(AND(EXACT($C$28,$C13),ISNUMBER($D$28)),($D$28&gt;$D13)+($D$28=$D13)/2,0),IF(AND(EXACT($C$29,$C13),ISNUMBER($D$29)),($D$29&gt;$D13)+($D$29=$D13)/2,0),IF(AND(EXACT($C$30,$C13),ISNUMBER($D$30)),($D$30&gt;$D13)+($D$30=$D13)/2,0),IF(AND(EXACT($C$31,$C13),ISNUMBER($D$31)),($D$31&gt;$D13)+($D$31=$D13)/2,0),IF(AND(EXACT($C$32,$C13),ISNUMBER($D$32)),($D$32&gt;$D13)+($D$32=$D13)/2,0),IF(AND(EXACT($C$33,$C13),ISNUMBER($D$33)),($D$33&gt;$D13)+($D$33=$D13)/2,0),IF(AND(EXACT($C$34,$C13),ISNUMBER($D$34)),($D$34&gt;$D13)+($D$34=$D13)/2,0),IF(AND(EXACT($C$35,$C13),ISNUMBER($D$35)),($D$35&gt;$D13)+($D$35=$D13)/2,0),IF(AND(EXACT($C$36,$C13),ISNUMBER($D$36)),($D$36&gt;$D13)+($D$36=$D13)/2,0),IF(AND(EXACT($C$37,$C13),ISNUMBER($D$37)),($D$37&gt;$D13)+($D$37=$D13)/2,0),IF(AND(EXACT($C$38,$C13),ISNUMBER($D$38)),($D$38&gt;$D13)+($D$38=$D13)/2,0),IF(AND(EXACT($C$39,$C13),ISNUMBER($D$39)),($D$39&gt;$D13)+($D$39=$D13)/2,0),IF(AND(EXACT($C$40,$C13),ISNUMBER($D$40)),($D$40&gt;$D13)+($D$40=$D13)/2,0),IF(AND(EXACT($C$41,$C13),ISNUMBER($D$41)),($D$41&gt;$D13)+($D$41=$D13)/2,0),IF(AND(EXACT($C$42,$C13),ISNUMBER($D$42)),($D$42&gt;$D13)+($D$42=$D13)/2,0),IF(AND(EXACT($C$43,$C13),ISNUMBER($D$43)),($D$43&gt;$D13)+($D$43=$D13)/2,0),IF(AND(EXACT($C$44,$C13),ISNUMBER($D$44)),($D$44&gt;$D13)+($D$44=$D13)/2,0),IF(AND(EXACT($C$45,$C13),ISNUMBER($D$45)),($D$45&gt;$D13)+($D$45=$D13)/2,0),IF(AND(EXACT($C$46,$C13),ISNUMBER($D$46)),($D$46&gt;$D13)+($D$46=$D13)/2,0),IF(AND(EXACT($C$47,$C13),ISNUMBER($D$47)),($D$47&gt;$D13)+($D$47=$D13)/2,0),IF(AND(EXACT($C$48,$C13),ISNUMBER($D$48)),($D$48&gt;$D13)+($D$48=$D13)/2,0),IF(AND(EXACT($C$49,$C13),ISNUMBER($D$49)),($D$49&gt;$D13)+($D$49=$D13)/2,0),IF(AND(EXACT($C$50,$C13),ISNUMBER($D$50)),($D$50&gt;$D13)+($D$50=$D13)/2,0),IF(AND(EXACT($C$51,$C13),ISNUMBER($D$51)),($D$51&gt;$D13)+($D$51=$D13)/2,0),IF(AND(EXACT($C$52,$C13),ISNUMBER($D$52)),($D$52&gt;$D13)+($D$52=$D13)/2,0),IF(AND(EXACT($C$53,$C13),ISNUMBER($D$53)),($D$53&gt;$D13)+($D$53=$D13)/2,0),IF(AND(EXACT($C$54,$C13),ISNUMBER($D$54)),($D$54&gt;$D13)+($D$54=$D13)/2,0),IF(AND(EXACT($C$55,$C13),ISNUMBER($D$55)),($D$55&gt;$D13)+($D$55=$D13)/2,0),IF(AND(EXACT($C$56,$C13),ISNUMBER($D$56)),($D$56&gt;$D13)+($D$56=$D13)/2,0)))</x:f>
      </x:c>
      <x:c r="AO13" s="34" t="str">
        <x:f>IF(COUNT($D13)=0,"",SUM(IF(AND(EXACT($C$57,$C13),ISNUMBER($D$57)),($D$57&gt;$D13)+($D$57=$D13)/2,0),IF(AND(EXACT($C$58,$C13),ISNUMBER($D$58)),($D$58&gt;$D13)+($D$58=$D13)/2,0),IF(AND(EXACT($C$59,$C13),ISNUMBER($D$59)),($D$59&gt;$D13)+($D$59=$D13)/2,0),IF(AND(EXACT($C$60,$C13),ISNUMBER($D$60)),($D$60&gt;$D13)+($D$60=$D13)/2,0),IF(AND(EXACT($C$61,$C13),ISNUMBER($D$61)),($D$61&gt;$D13)+($D$61=$D13)/2,0),IF(AND(EXACT($C$62,$C13),ISNUMBER($D$62)),($D$62&gt;$D13)+($D$62=$D13)/2,0),IF(AND(EXACT($C$63,$C13),ISNUMBER($D$63)),($D$63&gt;$D13)+($D$63=$D13)/2,0),IF(AND(EXACT($C$64,$C13),ISNUMBER($D$64)),($D$64&gt;$D13)+($D$64=$D13)/2,0),IF(AND(EXACT($C$65,$C13),ISNUMBER($D$65)),($D$65&gt;$D13)+($D$65=$D13)/2,0),IF(AND(EXACT($C$66,$C13),ISNUMBER($D$66)),($D$66&gt;$D13)+($D$66=$D13)/2,0),IF(AND(EXACT($C$67,$C13),ISNUMBER($D$67)),($D$67&gt;$D13)+($D$67=$D13)/2,0),IF(AND(EXACT($C$68,$C13),ISNUMBER($D$68)),($D$68&gt;$D13)+($D$68=$D13)/2,0),IF(AND(EXACT($C$69,$C13),ISNUMBER($D$69)),($D$69&gt;$D13)+($D$69=$D13)/2,0),IF(AND(EXACT($C$70,$C13),ISNUMBER($D$70)),($D$70&gt;$D13)+($D$70=$D13)/2,0),IF(AND(EXACT($C$71,$C13),ISNUMBER($D$71)),($D$71&gt;$D13)+($D$71=$D13)/2,0),IF(AND(EXACT($C$72,$C13),ISNUMBER($D$72)),($D$72&gt;$D13)+($D$72=$D13)/2,0),IF(AND(EXACT($C$73,$C13),ISNUMBER($D$73)),($D$73&gt;$D13)+($D$73=$D13)/2,0),IF(AND(EXACT($C$74,$C13),ISNUMBER($D$74)),($D$74&gt;$D13)+($D$74=$D13)/2,0),IF(AND(EXACT($C$75,$C13),ISNUMBER($D$75)),($D$75&gt;$D13)+($D$75=$D13)/2,0),IF(AND(EXACT($C$76,$C13),ISNUMBER($D$76)),($D$76&gt;$D13)+($D$76=$D13)/2,0),IF(AND(EXACT($C$77,$C13),ISNUMBER($D$77)),($D$77&gt;$D13)+($D$77=$D13)/2,0),IF(AND(EXACT($C$78,$C13),ISNUMBER($D$78)),($D$78&gt;$D13)+($D$78=$D13)/2,0),IF(AND(EXACT($C$79,$C13),ISNUMBER($D$79)),($D$79&gt;$D13)+($D$79=$D13)/2,0),IF(AND(EXACT($C$80,$C13),ISNUMBER($D$80)),($D$80&gt;$D13)+($D$80=$D13)/2,0),IF(AND(EXACT($C$81,$C13),ISNUMBER($D$81)),($D$81&gt;$D13)+($D$81=$D13)/2,0),IF(AND(EXACT($C$82,$C13),ISNUMBER($D$82)),($D$82&gt;$D13)+($D$82=$D13)/2,0),IF(AND(EXACT($C$83,$C13),ISNUMBER($D$83)),($D$83&gt;$D13)+($D$83=$D13)/2,0),IF(AND(EXACT($C$84,$C13),ISNUMBER($D$84)),($D$84&gt;$D13)+($D$84=$D13)/2,0),IF(AND(EXACT($C$85,$C13),ISNUMBER($D$85)),($D$85&gt;$D13)+($D$85=$D13)/2,0),IF(AND(EXACT($C$86,$C13),ISNUMBER($D$86)),($D$86&gt;$D13)+($D$86=$D13)/2,0),IF(AND(EXACT($C$87,$C13),ISNUMBER($D$87)),($D$87&gt;$D13)+($D$87=$D13)/2,0),IF(AND(EXACT($C$88,$C13),ISNUMBER($D$88)),($D$88&gt;$D13)+($D$88=$D13)/2,0),IF(AND(EXACT($C$89,$C13),ISNUMBER($D$89)),($D$89&gt;$D13)+($D$89=$D13)/2,0),IF(AND(EXACT($C$90,$C13),ISNUMBER($D$90)),($D$90&gt;$D13)+($D$90=$D13)/2,0),IF(AND(EXACT($C$91,$C13),ISNUMBER($D$91)),($D$91&gt;$D13)+($D$91=$D13)/2,0),IF(AND(EXACT($C$92,$C13),ISNUMBER($D$92)),($D$92&gt;$D13)+($D$92=$D13)/2,0),IF(AND(EXACT($C$93,$C13),ISNUMBER($D$93)),($D$93&gt;$D13)+($D$93=$D13)/2,0),IF(AND(EXACT($C$94,$C13),ISNUMBER($D$94)),($D$94&gt;$D13)+($D$94=$D13)/2,0),IF(AND(EXACT($C$95,$C13),ISNUMBER($D$95)),($D$95&gt;$D13)+($D$95=$D13)/2,0),IF(AND(EXACT($C$96,$C13),ISNUMBER($D$96)),($D$96&gt;$D13)+($D$96=$D13)/2,0),IF(AND(EXACT($C$97,$C13),ISNUMBER($D$97)),($D$97&gt;$D13)+($D$97=$D13)/2,0),IF(AND(EXACT($C$98,$C13),ISNUMBER($D$98)),($D$98&gt;$D13)+($D$98=$D13)/2,0),IF(AND(EXACT($C$99,$C13),ISNUMBER($D$99)),($D$99&gt;$D13)+($D$99=$D13)/2,0),IF(AND(EXACT($C$100,$C13),ISNUMBER($D$100)),($D$100&gt;$D13)+($D$100=$D13)/2,0),IF(AND(EXACT($C$101,$C13),ISNUMBER($D$101)),($D$101&gt;$D13)+($D$101=$D13)/2,0),IF(AND(EXACT($C$102,$C13),ISNUMBER($D$102)),($D$102&gt;$D13)+($D$102=$D13)/2,0),IF(AND(EXACT($C$103,$C13),ISNUMBER($D$103)),($D$103&gt;$D13)+($D$103=$D13)/2,0),IF(AND(EXACT($C$104,$C13),ISNUMBER($D$104)),($D$104&gt;$D13)+($D$104=$D13)/2,0),IF(AND(EXACT($C$105,$C13),ISNUMBER($D$105)),($D$105&gt;$D13)+($D$105=$D13)/2,0),IF(AND(EXACT($C$106,$C13),ISNUMBER($D$106)),($D$106&gt;$D13)+($D$106=$D13)/2,0)))</x:f>
      </x:c>
    </x:row>
    <x:row r="14">
      <x:c r="A14" s="34" t="str">
        <x:f>IF('91_CALC_SCORES'!A14="","",'91_CALC_SCORES'!A14)</x:f>
      </x:c>
      <x:c r="B14" s="34" t="str">
        <x:f>IF($A14="","",'91_CALC_SCORES'!B14)</x:f>
      </x:c>
      <x:c r="C14" s="34" t="str">
        <x:f>IF($A14="","",'91_CALC_SCORES'!K14)</x:f>
      </x:c>
      <x:c r="D14" s="57" t="str">
        <x:f>IF(OR($A14="",NOT(OR(LEFT('91_CALC_SCORES'!AB14,4)="PASS",LEFT('91_CALC_SCORES'!AB14,5)="READY"))),"",'91_CALC_SCORES'!Y14)</x:f>
      </x:c>
      <x:c r="E14" s="34" t="str">
        <x:f>IF(COUNT(D14)=0,"",1+SUM(AN14:AO14)-1/2)</x:f>
      </x:c>
      <x:c r="F14" s="34" t="str">
        <x:f>IF($A14="","",'91_CALC_SCORES'!AB14)</x:f>
      </x:c>
      <x:c r="G14" s="34" t="str">
        <x:f>IF(A14="","","연구 베타 | 기업 백분위 아님")</x:f>
      </x:c>
      <x:c r="I14" s="13" t="str">
        <x:f>IF($A$14="","",$A$14)</x:f>
      </x:c>
      <x:c r="J14" s="58" t="str">
        <x:f>IF(OR($A14="",$A$7=""),"",IF(COUNT($D14,$D$7)&lt;&gt;2,"N/A:input",IF(EXACT($C14,$C$7),$D14-$D$7,"N/A:cohort")))</x:f>
      </x:c>
      <x:c r="K14" s="58" t="str">
        <x:f>IF(OR($A14="",$A$8=""),"",IF(COUNT($D14,$D$8)&lt;&gt;2,"N/A:input",IF(EXACT($C14,$C$8),$D14-$D$8,"N/A:cohort")))</x:f>
      </x:c>
      <x:c r="L14" s="58" t="str">
        <x:f>IF(OR($A14="",$A$9=""),"",IF(COUNT($D14,$D$9)&lt;&gt;2,"N/A:input",IF(EXACT($C14,$C$9),$D14-$D$9,"N/A:cohort")))</x:f>
      </x:c>
      <x:c r="M14" s="58" t="str">
        <x:f>IF(OR($A14="",$A$10=""),"",IF(COUNT($D14,$D$10)&lt;&gt;2,"N/A:input",IF(EXACT($C14,$C$10),$D14-$D$10,"N/A:cohort")))</x:f>
      </x:c>
      <x:c r="N14" s="58" t="str">
        <x:f>IF(OR($A14="",$A$11=""),"",IF(COUNT($D14,$D$11)&lt;&gt;2,"N/A:input",IF(EXACT($C14,$C$11),$D14-$D$11,"N/A:cohort")))</x:f>
      </x:c>
      <x:c r="O14" s="58" t="str">
        <x:f>IF(OR($A14="",$A$12=""),"",IF(COUNT($D14,$D$12)&lt;&gt;2,"N/A:input",IF(EXACT($C14,$C$12),$D14-$D$12,"N/A:cohort")))</x:f>
      </x:c>
      <x:c r="P14" s="58" t="str">
        <x:f>IF(OR($A14="",$A$13=""),"",IF(COUNT($D14,$D$13)&lt;&gt;2,"N/A:input",IF(EXACT($C14,$C$13),$D14-$D$13,"N/A:cohort")))</x:f>
      </x:c>
      <x:c r="Q14" s="58" t="str">
        <x:f>IF(OR($A14="",$A$14=""),"",IF(COUNT($D14,$D$14)&lt;&gt;2,"N/A:input",IF(EXACT($C14,$C$14),$D14-$D$14,"N/A:cohort")))</x:f>
      </x:c>
      <x:c r="R14" s="58" t="str">
        <x:f>IF(OR($A14="",$A$15=""),"",IF(COUNT($D14,$D$15)&lt;&gt;2,"N/A:input",IF(EXACT($C14,$C$15),$D14-$D$15,"N/A:cohort")))</x:f>
      </x:c>
      <x:c r="S14" s="58" t="str">
        <x:f>IF(OR($A14="",$A$16=""),"",IF(COUNT($D14,$D$16)&lt;&gt;2,"N/A:input",IF(EXACT($C14,$C$16),$D14-$D$16,"N/A:cohort")))</x:f>
      </x:c>
      <x:c r="T14" s="58" t="str">
        <x:f>IF(OR($A14="",$A$17=""),"",IF(COUNT($D14,$D$17)&lt;&gt;2,"N/A:input",IF(EXACT($C14,$C$17),$D14-$D$17,"N/A:cohort")))</x:f>
      </x:c>
      <x:c r="U14" s="58" t="str">
        <x:f>IF(OR($A14="",$A$18=""),"",IF(COUNT($D14,$D$18)&lt;&gt;2,"N/A:input",IF(EXACT($C14,$C$18),$D14-$D$18,"N/A:cohort")))</x:f>
      </x:c>
      <x:c r="V14" s="58" t="str">
        <x:f>IF(OR($A14="",$A$19=""),"",IF(COUNT($D14,$D$19)&lt;&gt;2,"N/A:input",IF(EXACT($C14,$C$19),$D14-$D$19,"N/A:cohort")))</x:f>
      </x:c>
      <x:c r="W14" s="58" t="str">
        <x:f>IF(OR($A14="",$A$20=""),"",IF(COUNT($D14,$D$20)&lt;&gt;2,"N/A:input",IF(EXACT($C14,$C$20),$D14-$D$20,"N/A:cohort")))</x:f>
      </x:c>
      <x:c r="X14" s="58" t="str">
        <x:f>IF(OR($A14="",$A$21=""),"",IF(COUNT($D14,$D$21)&lt;&gt;2,"N/A:input",IF(EXACT($C14,$C$21),$D14-$D$21,"N/A:cohort")))</x:f>
      </x:c>
      <x:c r="Y14" s="58" t="str">
        <x:f>IF(OR($A14="",$A$22=""),"",IF(COUNT($D14,$D$22)&lt;&gt;2,"N/A:input",IF(EXACT($C14,$C$22),$D14-$D$22,"N/A:cohort")))</x:f>
      </x:c>
      <x:c r="Z14" s="58" t="str">
        <x:f>IF(OR($A14="",$A$23=""),"",IF(COUNT($D14,$D$23)&lt;&gt;2,"N/A:input",IF(EXACT($C14,$C$23),$D14-$D$23,"N/A:cohort")))</x:f>
      </x:c>
      <x:c r="AA14" s="58" t="str">
        <x:f>IF(OR($A14="",$A$24=""),"",IF(COUNT($D14,$D$24)&lt;&gt;2,"N/A:input",IF(EXACT($C14,$C$24),$D14-$D$24,"N/A:cohort")))</x:f>
      </x:c>
      <x:c r="AB14" s="58" t="str">
        <x:f>IF(OR($A14="",$A$25=""),"",IF(COUNT($D14,$D$25)&lt;&gt;2,"N/A:input",IF(EXACT($C14,$C$25),$D14-$D$25,"N/A:cohort")))</x:f>
      </x:c>
      <x:c r="AC14" s="58" t="str">
        <x:f>IF(OR($A14="",$A$26=""),"",IF(COUNT($D14,$D$26)&lt;&gt;2,"N/A:input",IF(EXACT($C14,$C$26),$D14-$D$26,"N/A:cohort")))</x:f>
      </x:c>
      <x:c r="AD14" s="58" t="str">
        <x:f>IF(OR($A14="",$A$27=""),"",IF(COUNT($D14,$D$27)&lt;&gt;2,"N/A:input",IF(EXACT($C14,$C$27),$D14-$D$27,"N/A:cohort")))</x:f>
      </x:c>
      <x:c r="AE14" s="58" t="str">
        <x:f>IF(OR($A14="",$A$28=""),"",IF(COUNT($D14,$D$28)&lt;&gt;2,"N/A:input",IF(EXACT($C14,$C$28),$D14-$D$28,"N/A:cohort")))</x:f>
      </x:c>
      <x:c r="AF14" s="58" t="str">
        <x:f>IF(OR($A14="",$A$29=""),"",IF(COUNT($D14,$D$29)&lt;&gt;2,"N/A:input",IF(EXACT($C14,$C$29),$D14-$D$29,"N/A:cohort")))</x:f>
      </x:c>
      <x:c r="AG14" s="58" t="str">
        <x:f>IF(OR($A14="",$A$30=""),"",IF(COUNT($D14,$D$30)&lt;&gt;2,"N/A:input",IF(EXACT($C14,$C$30),$D14-$D$30,"N/A:cohort")))</x:f>
      </x:c>
      <x:c r="AH14" s="58" t="str">
        <x:f>IF(OR($A14="",$A$31=""),"",IF(COUNT($D14,$D$31)&lt;&gt;2,"N/A:input",IF(EXACT($C14,$C$31),$D14-$D$31,"N/A:cohort")))</x:f>
      </x:c>
      <x:c r="AI14" s="58" t="str">
        <x:f>IF(OR($A14="",$A$32=""),"",IF(COUNT($D14,$D$32)&lt;&gt;2,"N/A:input",IF(EXACT($C14,$C$32),$D14-$D$32,"N/A:cohort")))</x:f>
      </x:c>
      <x:c r="AJ14" s="58" t="str">
        <x:f>IF(OR($A14="",$A$33=""),"",IF(COUNT($D14,$D$33)&lt;&gt;2,"N/A:input",IF(EXACT($C14,$C$33),$D14-$D$33,"N/A:cohort")))</x:f>
      </x:c>
      <x:c r="AK14" s="58" t="str">
        <x:f>IF(OR($A14="",$A$34=""),"",IF(COUNT($D14,$D$34)&lt;&gt;2,"N/A:input",IF(EXACT($C14,$C$34),$D14-$D$34,"N/A:cohort")))</x:f>
      </x:c>
      <x:c r="AL14" s="58" t="str">
        <x:f>IF(OR($A14="",$A$35=""),"",IF(COUNT($D14,$D$35)&lt;&gt;2,"N/A:input",IF(EXACT($C14,$C$35),$D14-$D$35,"N/A:cohort")))</x:f>
      </x:c>
      <x:c r="AM14" s="58" t="str">
        <x:f>IF(OR($A14="",$A$36=""),"",IF(COUNT($D14,$D$36)&lt;&gt;2,"N/A:input",IF(EXACT($C14,$C$36),$D14-$D$36,"N/A:cohort")))</x:f>
      </x:c>
      <x:c r="AN14" s="34" t="str">
        <x:f>IF(COUNT($D14)=0,"",SUM(IF(AND(EXACT($C$7,$C14),ISNUMBER($D$7)),($D$7&gt;$D14)+($D$7=$D14)/2,0),IF(AND(EXACT($C$8,$C14),ISNUMBER($D$8)),($D$8&gt;$D14)+($D$8=$D14)/2,0),IF(AND(EXACT($C$9,$C14),ISNUMBER($D$9)),($D$9&gt;$D14)+($D$9=$D14)/2,0),IF(AND(EXACT($C$10,$C14),ISNUMBER($D$10)),($D$10&gt;$D14)+($D$10=$D14)/2,0),IF(AND(EXACT($C$11,$C14),ISNUMBER($D$11)),($D$11&gt;$D14)+($D$11=$D14)/2,0),IF(AND(EXACT($C$12,$C14),ISNUMBER($D$12)),($D$12&gt;$D14)+($D$12=$D14)/2,0),IF(AND(EXACT($C$13,$C14),ISNUMBER($D$13)),($D$13&gt;$D14)+($D$13=$D14)/2,0),IF(AND(EXACT($C$14,$C14),ISNUMBER($D$14)),($D$14&gt;$D14)+($D$14=$D14)/2,0),IF(AND(EXACT($C$15,$C14),ISNUMBER($D$15)),($D$15&gt;$D14)+($D$15=$D14)/2,0),IF(AND(EXACT($C$16,$C14),ISNUMBER($D$16)),($D$16&gt;$D14)+($D$16=$D14)/2,0),IF(AND(EXACT($C$17,$C14),ISNUMBER($D$17)),($D$17&gt;$D14)+($D$17=$D14)/2,0),IF(AND(EXACT($C$18,$C14),ISNUMBER($D$18)),($D$18&gt;$D14)+($D$18=$D14)/2,0),IF(AND(EXACT($C$19,$C14),ISNUMBER($D$19)),($D$19&gt;$D14)+($D$19=$D14)/2,0),IF(AND(EXACT($C$20,$C14),ISNUMBER($D$20)),($D$20&gt;$D14)+($D$20=$D14)/2,0),IF(AND(EXACT($C$21,$C14),ISNUMBER($D$21)),($D$21&gt;$D14)+($D$21=$D14)/2,0),IF(AND(EXACT($C$22,$C14),ISNUMBER($D$22)),($D$22&gt;$D14)+($D$22=$D14)/2,0),IF(AND(EXACT($C$23,$C14),ISNUMBER($D$23)),($D$23&gt;$D14)+($D$23=$D14)/2,0),IF(AND(EXACT($C$24,$C14),ISNUMBER($D$24)),($D$24&gt;$D14)+($D$24=$D14)/2,0),IF(AND(EXACT($C$25,$C14),ISNUMBER($D$25)),($D$25&gt;$D14)+($D$25=$D14)/2,0),IF(AND(EXACT($C$26,$C14),ISNUMBER($D$26)),($D$26&gt;$D14)+($D$26=$D14)/2,0),IF(AND(EXACT($C$27,$C14),ISNUMBER($D$27)),($D$27&gt;$D14)+($D$27=$D14)/2,0),IF(AND(EXACT($C$28,$C14),ISNUMBER($D$28)),($D$28&gt;$D14)+($D$28=$D14)/2,0),IF(AND(EXACT($C$29,$C14),ISNUMBER($D$29)),($D$29&gt;$D14)+($D$29=$D14)/2,0),IF(AND(EXACT($C$30,$C14),ISNUMBER($D$30)),($D$30&gt;$D14)+($D$30=$D14)/2,0),IF(AND(EXACT($C$31,$C14),ISNUMBER($D$31)),($D$31&gt;$D14)+($D$31=$D14)/2,0),IF(AND(EXACT($C$32,$C14),ISNUMBER($D$32)),($D$32&gt;$D14)+($D$32=$D14)/2,0),IF(AND(EXACT($C$33,$C14),ISNUMBER($D$33)),($D$33&gt;$D14)+($D$33=$D14)/2,0),IF(AND(EXACT($C$34,$C14),ISNUMBER($D$34)),($D$34&gt;$D14)+($D$34=$D14)/2,0),IF(AND(EXACT($C$35,$C14),ISNUMBER($D$35)),($D$35&gt;$D14)+($D$35=$D14)/2,0),IF(AND(EXACT($C$36,$C14),ISNUMBER($D$36)),($D$36&gt;$D14)+($D$36=$D14)/2,0),IF(AND(EXACT($C$37,$C14),ISNUMBER($D$37)),($D$37&gt;$D14)+($D$37=$D14)/2,0),IF(AND(EXACT($C$38,$C14),ISNUMBER($D$38)),($D$38&gt;$D14)+($D$38=$D14)/2,0),IF(AND(EXACT($C$39,$C14),ISNUMBER($D$39)),($D$39&gt;$D14)+($D$39=$D14)/2,0),IF(AND(EXACT($C$40,$C14),ISNUMBER($D$40)),($D$40&gt;$D14)+($D$40=$D14)/2,0),IF(AND(EXACT($C$41,$C14),ISNUMBER($D$41)),($D$41&gt;$D14)+($D$41=$D14)/2,0),IF(AND(EXACT($C$42,$C14),ISNUMBER($D$42)),($D$42&gt;$D14)+($D$42=$D14)/2,0),IF(AND(EXACT($C$43,$C14),ISNUMBER($D$43)),($D$43&gt;$D14)+($D$43=$D14)/2,0),IF(AND(EXACT($C$44,$C14),ISNUMBER($D$44)),($D$44&gt;$D14)+($D$44=$D14)/2,0),IF(AND(EXACT($C$45,$C14),ISNUMBER($D$45)),($D$45&gt;$D14)+($D$45=$D14)/2,0),IF(AND(EXACT($C$46,$C14),ISNUMBER($D$46)),($D$46&gt;$D14)+($D$46=$D14)/2,0),IF(AND(EXACT($C$47,$C14),ISNUMBER($D$47)),($D$47&gt;$D14)+($D$47=$D14)/2,0),IF(AND(EXACT($C$48,$C14),ISNUMBER($D$48)),($D$48&gt;$D14)+($D$48=$D14)/2,0),IF(AND(EXACT($C$49,$C14),ISNUMBER($D$49)),($D$49&gt;$D14)+($D$49=$D14)/2,0),IF(AND(EXACT($C$50,$C14),ISNUMBER($D$50)),($D$50&gt;$D14)+($D$50=$D14)/2,0),IF(AND(EXACT($C$51,$C14),ISNUMBER($D$51)),($D$51&gt;$D14)+($D$51=$D14)/2,0),IF(AND(EXACT($C$52,$C14),ISNUMBER($D$52)),($D$52&gt;$D14)+($D$52=$D14)/2,0),IF(AND(EXACT($C$53,$C14),ISNUMBER($D$53)),($D$53&gt;$D14)+($D$53=$D14)/2,0),IF(AND(EXACT($C$54,$C14),ISNUMBER($D$54)),($D$54&gt;$D14)+($D$54=$D14)/2,0),IF(AND(EXACT($C$55,$C14),ISNUMBER($D$55)),($D$55&gt;$D14)+($D$55=$D14)/2,0),IF(AND(EXACT($C$56,$C14),ISNUMBER($D$56)),($D$56&gt;$D14)+($D$56=$D14)/2,0)))</x:f>
      </x:c>
      <x:c r="AO14" s="34" t="str">
        <x:f>IF(COUNT($D14)=0,"",SUM(IF(AND(EXACT($C$57,$C14),ISNUMBER($D$57)),($D$57&gt;$D14)+($D$57=$D14)/2,0),IF(AND(EXACT($C$58,$C14),ISNUMBER($D$58)),($D$58&gt;$D14)+($D$58=$D14)/2,0),IF(AND(EXACT($C$59,$C14),ISNUMBER($D$59)),($D$59&gt;$D14)+($D$59=$D14)/2,0),IF(AND(EXACT($C$60,$C14),ISNUMBER($D$60)),($D$60&gt;$D14)+($D$60=$D14)/2,0),IF(AND(EXACT($C$61,$C14),ISNUMBER($D$61)),($D$61&gt;$D14)+($D$61=$D14)/2,0),IF(AND(EXACT($C$62,$C14),ISNUMBER($D$62)),($D$62&gt;$D14)+($D$62=$D14)/2,0),IF(AND(EXACT($C$63,$C14),ISNUMBER($D$63)),($D$63&gt;$D14)+($D$63=$D14)/2,0),IF(AND(EXACT($C$64,$C14),ISNUMBER($D$64)),($D$64&gt;$D14)+($D$64=$D14)/2,0),IF(AND(EXACT($C$65,$C14),ISNUMBER($D$65)),($D$65&gt;$D14)+($D$65=$D14)/2,0),IF(AND(EXACT($C$66,$C14),ISNUMBER($D$66)),($D$66&gt;$D14)+($D$66=$D14)/2,0),IF(AND(EXACT($C$67,$C14),ISNUMBER($D$67)),($D$67&gt;$D14)+($D$67=$D14)/2,0),IF(AND(EXACT($C$68,$C14),ISNUMBER($D$68)),($D$68&gt;$D14)+($D$68=$D14)/2,0),IF(AND(EXACT($C$69,$C14),ISNUMBER($D$69)),($D$69&gt;$D14)+($D$69=$D14)/2,0),IF(AND(EXACT($C$70,$C14),ISNUMBER($D$70)),($D$70&gt;$D14)+($D$70=$D14)/2,0),IF(AND(EXACT($C$71,$C14),ISNUMBER($D$71)),($D$71&gt;$D14)+($D$71=$D14)/2,0),IF(AND(EXACT($C$72,$C14),ISNUMBER($D$72)),($D$72&gt;$D14)+($D$72=$D14)/2,0),IF(AND(EXACT($C$73,$C14),ISNUMBER($D$73)),($D$73&gt;$D14)+($D$73=$D14)/2,0),IF(AND(EXACT($C$74,$C14),ISNUMBER($D$74)),($D$74&gt;$D14)+($D$74=$D14)/2,0),IF(AND(EXACT($C$75,$C14),ISNUMBER($D$75)),($D$75&gt;$D14)+($D$75=$D14)/2,0),IF(AND(EXACT($C$76,$C14),ISNUMBER($D$76)),($D$76&gt;$D14)+($D$76=$D14)/2,0),IF(AND(EXACT($C$77,$C14),ISNUMBER($D$77)),($D$77&gt;$D14)+($D$77=$D14)/2,0),IF(AND(EXACT($C$78,$C14),ISNUMBER($D$78)),($D$78&gt;$D14)+($D$78=$D14)/2,0),IF(AND(EXACT($C$79,$C14),ISNUMBER($D$79)),($D$79&gt;$D14)+($D$79=$D14)/2,0),IF(AND(EXACT($C$80,$C14),ISNUMBER($D$80)),($D$80&gt;$D14)+($D$80=$D14)/2,0),IF(AND(EXACT($C$81,$C14),ISNUMBER($D$81)),($D$81&gt;$D14)+($D$81=$D14)/2,0),IF(AND(EXACT($C$82,$C14),ISNUMBER($D$82)),($D$82&gt;$D14)+($D$82=$D14)/2,0),IF(AND(EXACT($C$83,$C14),ISNUMBER($D$83)),($D$83&gt;$D14)+($D$83=$D14)/2,0),IF(AND(EXACT($C$84,$C14),ISNUMBER($D$84)),($D$84&gt;$D14)+($D$84=$D14)/2,0),IF(AND(EXACT($C$85,$C14),ISNUMBER($D$85)),($D$85&gt;$D14)+($D$85=$D14)/2,0),IF(AND(EXACT($C$86,$C14),ISNUMBER($D$86)),($D$86&gt;$D14)+($D$86=$D14)/2,0),IF(AND(EXACT($C$87,$C14),ISNUMBER($D$87)),($D$87&gt;$D14)+($D$87=$D14)/2,0),IF(AND(EXACT($C$88,$C14),ISNUMBER($D$88)),($D$88&gt;$D14)+($D$88=$D14)/2,0),IF(AND(EXACT($C$89,$C14),ISNUMBER($D$89)),($D$89&gt;$D14)+($D$89=$D14)/2,0),IF(AND(EXACT($C$90,$C14),ISNUMBER($D$90)),($D$90&gt;$D14)+($D$90=$D14)/2,0),IF(AND(EXACT($C$91,$C14),ISNUMBER($D$91)),($D$91&gt;$D14)+($D$91=$D14)/2,0),IF(AND(EXACT($C$92,$C14),ISNUMBER($D$92)),($D$92&gt;$D14)+($D$92=$D14)/2,0),IF(AND(EXACT($C$93,$C14),ISNUMBER($D$93)),($D$93&gt;$D14)+($D$93=$D14)/2,0),IF(AND(EXACT($C$94,$C14),ISNUMBER($D$94)),($D$94&gt;$D14)+($D$94=$D14)/2,0),IF(AND(EXACT($C$95,$C14),ISNUMBER($D$95)),($D$95&gt;$D14)+($D$95=$D14)/2,0),IF(AND(EXACT($C$96,$C14),ISNUMBER($D$96)),($D$96&gt;$D14)+($D$96=$D14)/2,0),IF(AND(EXACT($C$97,$C14),ISNUMBER($D$97)),($D$97&gt;$D14)+($D$97=$D14)/2,0),IF(AND(EXACT($C$98,$C14),ISNUMBER($D$98)),($D$98&gt;$D14)+($D$98=$D14)/2,0),IF(AND(EXACT($C$99,$C14),ISNUMBER($D$99)),($D$99&gt;$D14)+($D$99=$D14)/2,0),IF(AND(EXACT($C$100,$C14),ISNUMBER($D$100)),($D$100&gt;$D14)+($D$100=$D14)/2,0),IF(AND(EXACT($C$101,$C14),ISNUMBER($D$101)),($D$101&gt;$D14)+($D$101=$D14)/2,0),IF(AND(EXACT($C$102,$C14),ISNUMBER($D$102)),($D$102&gt;$D14)+($D$102=$D14)/2,0),IF(AND(EXACT($C$103,$C14),ISNUMBER($D$103)),($D$103&gt;$D14)+($D$103=$D14)/2,0),IF(AND(EXACT($C$104,$C14),ISNUMBER($D$104)),($D$104&gt;$D14)+($D$104=$D14)/2,0),IF(AND(EXACT($C$105,$C14),ISNUMBER($D$105)),($D$105&gt;$D14)+($D$105=$D14)/2,0),IF(AND(EXACT($C$106,$C14),ISNUMBER($D$106)),($D$106&gt;$D14)+($D$106=$D14)/2,0)))</x:f>
      </x:c>
    </x:row>
    <x:row r="15">
      <x:c r="A15" s="34" t="str">
        <x:f>IF('91_CALC_SCORES'!A15="","",'91_CALC_SCORES'!A15)</x:f>
      </x:c>
      <x:c r="B15" s="34" t="str">
        <x:f>IF($A15="","",'91_CALC_SCORES'!B15)</x:f>
      </x:c>
      <x:c r="C15" s="34" t="str">
        <x:f>IF($A15="","",'91_CALC_SCORES'!K15)</x:f>
      </x:c>
      <x:c r="D15" s="57" t="str">
        <x:f>IF(OR($A15="",NOT(OR(LEFT('91_CALC_SCORES'!AB15,4)="PASS",LEFT('91_CALC_SCORES'!AB15,5)="READY"))),"",'91_CALC_SCORES'!Y15)</x:f>
      </x:c>
      <x:c r="E15" s="34" t="str">
        <x:f>IF(COUNT(D15)=0,"",1+SUM(AN15:AO15)-1/2)</x:f>
      </x:c>
      <x:c r="F15" s="34" t="str">
        <x:f>IF($A15="","",'91_CALC_SCORES'!AB15)</x:f>
      </x:c>
      <x:c r="G15" s="34" t="str">
        <x:f>IF(A15="","","연구 베타 | 기업 백분위 아님")</x:f>
      </x:c>
      <x:c r="I15" s="13" t="str">
        <x:f>IF($A$15="","",$A$15)</x:f>
      </x:c>
      <x:c r="J15" s="58" t="str">
        <x:f>IF(OR($A15="",$A$7=""),"",IF(COUNT($D15,$D$7)&lt;&gt;2,"N/A:input",IF(EXACT($C15,$C$7),$D15-$D$7,"N/A:cohort")))</x:f>
      </x:c>
      <x:c r="K15" s="58" t="str">
        <x:f>IF(OR($A15="",$A$8=""),"",IF(COUNT($D15,$D$8)&lt;&gt;2,"N/A:input",IF(EXACT($C15,$C$8),$D15-$D$8,"N/A:cohort")))</x:f>
      </x:c>
      <x:c r="L15" s="58" t="str">
        <x:f>IF(OR($A15="",$A$9=""),"",IF(COUNT($D15,$D$9)&lt;&gt;2,"N/A:input",IF(EXACT($C15,$C$9),$D15-$D$9,"N/A:cohort")))</x:f>
      </x:c>
      <x:c r="M15" s="58" t="str">
        <x:f>IF(OR($A15="",$A$10=""),"",IF(COUNT($D15,$D$10)&lt;&gt;2,"N/A:input",IF(EXACT($C15,$C$10),$D15-$D$10,"N/A:cohort")))</x:f>
      </x:c>
      <x:c r="N15" s="58" t="str">
        <x:f>IF(OR($A15="",$A$11=""),"",IF(COUNT($D15,$D$11)&lt;&gt;2,"N/A:input",IF(EXACT($C15,$C$11),$D15-$D$11,"N/A:cohort")))</x:f>
      </x:c>
      <x:c r="O15" s="58" t="str">
        <x:f>IF(OR($A15="",$A$12=""),"",IF(COUNT($D15,$D$12)&lt;&gt;2,"N/A:input",IF(EXACT($C15,$C$12),$D15-$D$12,"N/A:cohort")))</x:f>
      </x:c>
      <x:c r="P15" s="58" t="str">
        <x:f>IF(OR($A15="",$A$13=""),"",IF(COUNT($D15,$D$13)&lt;&gt;2,"N/A:input",IF(EXACT($C15,$C$13),$D15-$D$13,"N/A:cohort")))</x:f>
      </x:c>
      <x:c r="Q15" s="58" t="str">
        <x:f>IF(OR($A15="",$A$14=""),"",IF(COUNT($D15,$D$14)&lt;&gt;2,"N/A:input",IF(EXACT($C15,$C$14),$D15-$D$14,"N/A:cohort")))</x:f>
      </x:c>
      <x:c r="R15" s="58" t="str">
        <x:f>IF(OR($A15="",$A$15=""),"",IF(COUNT($D15,$D$15)&lt;&gt;2,"N/A:input",IF(EXACT($C15,$C$15),$D15-$D$15,"N/A:cohort")))</x:f>
      </x:c>
      <x:c r="S15" s="58" t="str">
        <x:f>IF(OR($A15="",$A$16=""),"",IF(COUNT($D15,$D$16)&lt;&gt;2,"N/A:input",IF(EXACT($C15,$C$16),$D15-$D$16,"N/A:cohort")))</x:f>
      </x:c>
      <x:c r="T15" s="58" t="str">
        <x:f>IF(OR($A15="",$A$17=""),"",IF(COUNT($D15,$D$17)&lt;&gt;2,"N/A:input",IF(EXACT($C15,$C$17),$D15-$D$17,"N/A:cohort")))</x:f>
      </x:c>
      <x:c r="U15" s="58" t="str">
        <x:f>IF(OR($A15="",$A$18=""),"",IF(COUNT($D15,$D$18)&lt;&gt;2,"N/A:input",IF(EXACT($C15,$C$18),$D15-$D$18,"N/A:cohort")))</x:f>
      </x:c>
      <x:c r="V15" s="58" t="str">
        <x:f>IF(OR($A15="",$A$19=""),"",IF(COUNT($D15,$D$19)&lt;&gt;2,"N/A:input",IF(EXACT($C15,$C$19),$D15-$D$19,"N/A:cohort")))</x:f>
      </x:c>
      <x:c r="W15" s="58" t="str">
        <x:f>IF(OR($A15="",$A$20=""),"",IF(COUNT($D15,$D$20)&lt;&gt;2,"N/A:input",IF(EXACT($C15,$C$20),$D15-$D$20,"N/A:cohort")))</x:f>
      </x:c>
      <x:c r="X15" s="58" t="str">
        <x:f>IF(OR($A15="",$A$21=""),"",IF(COUNT($D15,$D$21)&lt;&gt;2,"N/A:input",IF(EXACT($C15,$C$21),$D15-$D$21,"N/A:cohort")))</x:f>
      </x:c>
      <x:c r="Y15" s="58" t="str">
        <x:f>IF(OR($A15="",$A$22=""),"",IF(COUNT($D15,$D$22)&lt;&gt;2,"N/A:input",IF(EXACT($C15,$C$22),$D15-$D$22,"N/A:cohort")))</x:f>
      </x:c>
      <x:c r="Z15" s="58" t="str">
        <x:f>IF(OR($A15="",$A$23=""),"",IF(COUNT($D15,$D$23)&lt;&gt;2,"N/A:input",IF(EXACT($C15,$C$23),$D15-$D$23,"N/A:cohort")))</x:f>
      </x:c>
      <x:c r="AA15" s="58" t="str">
        <x:f>IF(OR($A15="",$A$24=""),"",IF(COUNT($D15,$D$24)&lt;&gt;2,"N/A:input",IF(EXACT($C15,$C$24),$D15-$D$24,"N/A:cohort")))</x:f>
      </x:c>
      <x:c r="AB15" s="58" t="str">
        <x:f>IF(OR($A15="",$A$25=""),"",IF(COUNT($D15,$D$25)&lt;&gt;2,"N/A:input",IF(EXACT($C15,$C$25),$D15-$D$25,"N/A:cohort")))</x:f>
      </x:c>
      <x:c r="AC15" s="58" t="str">
        <x:f>IF(OR($A15="",$A$26=""),"",IF(COUNT($D15,$D$26)&lt;&gt;2,"N/A:input",IF(EXACT($C15,$C$26),$D15-$D$26,"N/A:cohort")))</x:f>
      </x:c>
      <x:c r="AD15" s="58" t="str">
        <x:f>IF(OR($A15="",$A$27=""),"",IF(COUNT($D15,$D$27)&lt;&gt;2,"N/A:input",IF(EXACT($C15,$C$27),$D15-$D$27,"N/A:cohort")))</x:f>
      </x:c>
      <x:c r="AE15" s="58" t="str">
        <x:f>IF(OR($A15="",$A$28=""),"",IF(COUNT($D15,$D$28)&lt;&gt;2,"N/A:input",IF(EXACT($C15,$C$28),$D15-$D$28,"N/A:cohort")))</x:f>
      </x:c>
      <x:c r="AF15" s="58" t="str">
        <x:f>IF(OR($A15="",$A$29=""),"",IF(COUNT($D15,$D$29)&lt;&gt;2,"N/A:input",IF(EXACT($C15,$C$29),$D15-$D$29,"N/A:cohort")))</x:f>
      </x:c>
      <x:c r="AG15" s="58" t="str">
        <x:f>IF(OR($A15="",$A$30=""),"",IF(COUNT($D15,$D$30)&lt;&gt;2,"N/A:input",IF(EXACT($C15,$C$30),$D15-$D$30,"N/A:cohort")))</x:f>
      </x:c>
      <x:c r="AH15" s="58" t="str">
        <x:f>IF(OR($A15="",$A$31=""),"",IF(COUNT($D15,$D$31)&lt;&gt;2,"N/A:input",IF(EXACT($C15,$C$31),$D15-$D$31,"N/A:cohort")))</x:f>
      </x:c>
      <x:c r="AI15" s="58" t="str">
        <x:f>IF(OR($A15="",$A$32=""),"",IF(COUNT($D15,$D$32)&lt;&gt;2,"N/A:input",IF(EXACT($C15,$C$32),$D15-$D$32,"N/A:cohort")))</x:f>
      </x:c>
      <x:c r="AJ15" s="58" t="str">
        <x:f>IF(OR($A15="",$A$33=""),"",IF(COUNT($D15,$D$33)&lt;&gt;2,"N/A:input",IF(EXACT($C15,$C$33),$D15-$D$33,"N/A:cohort")))</x:f>
      </x:c>
      <x:c r="AK15" s="58" t="str">
        <x:f>IF(OR($A15="",$A$34=""),"",IF(COUNT($D15,$D$34)&lt;&gt;2,"N/A:input",IF(EXACT($C15,$C$34),$D15-$D$34,"N/A:cohort")))</x:f>
      </x:c>
      <x:c r="AL15" s="58" t="str">
        <x:f>IF(OR($A15="",$A$35=""),"",IF(COUNT($D15,$D$35)&lt;&gt;2,"N/A:input",IF(EXACT($C15,$C$35),$D15-$D$35,"N/A:cohort")))</x:f>
      </x:c>
      <x:c r="AM15" s="58" t="str">
        <x:f>IF(OR($A15="",$A$36=""),"",IF(COUNT($D15,$D$36)&lt;&gt;2,"N/A:input",IF(EXACT($C15,$C$36),$D15-$D$36,"N/A:cohort")))</x:f>
      </x:c>
      <x:c r="AN15" s="34" t="str">
        <x:f>IF(COUNT($D15)=0,"",SUM(IF(AND(EXACT($C$7,$C15),ISNUMBER($D$7)),($D$7&gt;$D15)+($D$7=$D15)/2,0),IF(AND(EXACT($C$8,$C15),ISNUMBER($D$8)),($D$8&gt;$D15)+($D$8=$D15)/2,0),IF(AND(EXACT($C$9,$C15),ISNUMBER($D$9)),($D$9&gt;$D15)+($D$9=$D15)/2,0),IF(AND(EXACT($C$10,$C15),ISNUMBER($D$10)),($D$10&gt;$D15)+($D$10=$D15)/2,0),IF(AND(EXACT($C$11,$C15),ISNUMBER($D$11)),($D$11&gt;$D15)+($D$11=$D15)/2,0),IF(AND(EXACT($C$12,$C15),ISNUMBER($D$12)),($D$12&gt;$D15)+($D$12=$D15)/2,0),IF(AND(EXACT($C$13,$C15),ISNUMBER($D$13)),($D$13&gt;$D15)+($D$13=$D15)/2,0),IF(AND(EXACT($C$14,$C15),ISNUMBER($D$14)),($D$14&gt;$D15)+($D$14=$D15)/2,0),IF(AND(EXACT($C$15,$C15),ISNUMBER($D$15)),($D$15&gt;$D15)+($D$15=$D15)/2,0),IF(AND(EXACT($C$16,$C15),ISNUMBER($D$16)),($D$16&gt;$D15)+($D$16=$D15)/2,0),IF(AND(EXACT($C$17,$C15),ISNUMBER($D$17)),($D$17&gt;$D15)+($D$17=$D15)/2,0),IF(AND(EXACT($C$18,$C15),ISNUMBER($D$18)),($D$18&gt;$D15)+($D$18=$D15)/2,0),IF(AND(EXACT($C$19,$C15),ISNUMBER($D$19)),($D$19&gt;$D15)+($D$19=$D15)/2,0),IF(AND(EXACT($C$20,$C15),ISNUMBER($D$20)),($D$20&gt;$D15)+($D$20=$D15)/2,0),IF(AND(EXACT($C$21,$C15),ISNUMBER($D$21)),($D$21&gt;$D15)+($D$21=$D15)/2,0),IF(AND(EXACT($C$22,$C15),ISNUMBER($D$22)),($D$22&gt;$D15)+($D$22=$D15)/2,0),IF(AND(EXACT($C$23,$C15),ISNUMBER($D$23)),($D$23&gt;$D15)+($D$23=$D15)/2,0),IF(AND(EXACT($C$24,$C15),ISNUMBER($D$24)),($D$24&gt;$D15)+($D$24=$D15)/2,0),IF(AND(EXACT($C$25,$C15),ISNUMBER($D$25)),($D$25&gt;$D15)+($D$25=$D15)/2,0),IF(AND(EXACT($C$26,$C15),ISNUMBER($D$26)),($D$26&gt;$D15)+($D$26=$D15)/2,0),IF(AND(EXACT($C$27,$C15),ISNUMBER($D$27)),($D$27&gt;$D15)+($D$27=$D15)/2,0),IF(AND(EXACT($C$28,$C15),ISNUMBER($D$28)),($D$28&gt;$D15)+($D$28=$D15)/2,0),IF(AND(EXACT($C$29,$C15),ISNUMBER($D$29)),($D$29&gt;$D15)+($D$29=$D15)/2,0),IF(AND(EXACT($C$30,$C15),ISNUMBER($D$30)),($D$30&gt;$D15)+($D$30=$D15)/2,0),IF(AND(EXACT($C$31,$C15),ISNUMBER($D$31)),($D$31&gt;$D15)+($D$31=$D15)/2,0),IF(AND(EXACT($C$32,$C15),ISNUMBER($D$32)),($D$32&gt;$D15)+($D$32=$D15)/2,0),IF(AND(EXACT($C$33,$C15),ISNUMBER($D$33)),($D$33&gt;$D15)+($D$33=$D15)/2,0),IF(AND(EXACT($C$34,$C15),ISNUMBER($D$34)),($D$34&gt;$D15)+($D$34=$D15)/2,0),IF(AND(EXACT($C$35,$C15),ISNUMBER($D$35)),($D$35&gt;$D15)+($D$35=$D15)/2,0),IF(AND(EXACT($C$36,$C15),ISNUMBER($D$36)),($D$36&gt;$D15)+($D$36=$D15)/2,0),IF(AND(EXACT($C$37,$C15),ISNUMBER($D$37)),($D$37&gt;$D15)+($D$37=$D15)/2,0),IF(AND(EXACT($C$38,$C15),ISNUMBER($D$38)),($D$38&gt;$D15)+($D$38=$D15)/2,0),IF(AND(EXACT($C$39,$C15),ISNUMBER($D$39)),($D$39&gt;$D15)+($D$39=$D15)/2,0),IF(AND(EXACT($C$40,$C15),ISNUMBER($D$40)),($D$40&gt;$D15)+($D$40=$D15)/2,0),IF(AND(EXACT($C$41,$C15),ISNUMBER($D$41)),($D$41&gt;$D15)+($D$41=$D15)/2,0),IF(AND(EXACT($C$42,$C15),ISNUMBER($D$42)),($D$42&gt;$D15)+($D$42=$D15)/2,0),IF(AND(EXACT($C$43,$C15),ISNUMBER($D$43)),($D$43&gt;$D15)+($D$43=$D15)/2,0),IF(AND(EXACT($C$44,$C15),ISNUMBER($D$44)),($D$44&gt;$D15)+($D$44=$D15)/2,0),IF(AND(EXACT($C$45,$C15),ISNUMBER($D$45)),($D$45&gt;$D15)+($D$45=$D15)/2,0),IF(AND(EXACT($C$46,$C15),ISNUMBER($D$46)),($D$46&gt;$D15)+($D$46=$D15)/2,0),IF(AND(EXACT($C$47,$C15),ISNUMBER($D$47)),($D$47&gt;$D15)+($D$47=$D15)/2,0),IF(AND(EXACT($C$48,$C15),ISNUMBER($D$48)),($D$48&gt;$D15)+($D$48=$D15)/2,0),IF(AND(EXACT($C$49,$C15),ISNUMBER($D$49)),($D$49&gt;$D15)+($D$49=$D15)/2,0),IF(AND(EXACT($C$50,$C15),ISNUMBER($D$50)),($D$50&gt;$D15)+($D$50=$D15)/2,0),IF(AND(EXACT($C$51,$C15),ISNUMBER($D$51)),($D$51&gt;$D15)+($D$51=$D15)/2,0),IF(AND(EXACT($C$52,$C15),ISNUMBER($D$52)),($D$52&gt;$D15)+($D$52=$D15)/2,0),IF(AND(EXACT($C$53,$C15),ISNUMBER($D$53)),($D$53&gt;$D15)+($D$53=$D15)/2,0),IF(AND(EXACT($C$54,$C15),ISNUMBER($D$54)),($D$54&gt;$D15)+($D$54=$D15)/2,0),IF(AND(EXACT($C$55,$C15),ISNUMBER($D$55)),($D$55&gt;$D15)+($D$55=$D15)/2,0),IF(AND(EXACT($C$56,$C15),ISNUMBER($D$56)),($D$56&gt;$D15)+($D$56=$D15)/2,0)))</x:f>
      </x:c>
      <x:c r="AO15" s="34" t="str">
        <x:f>IF(COUNT($D15)=0,"",SUM(IF(AND(EXACT($C$57,$C15),ISNUMBER($D$57)),($D$57&gt;$D15)+($D$57=$D15)/2,0),IF(AND(EXACT($C$58,$C15),ISNUMBER($D$58)),($D$58&gt;$D15)+($D$58=$D15)/2,0),IF(AND(EXACT($C$59,$C15),ISNUMBER($D$59)),($D$59&gt;$D15)+($D$59=$D15)/2,0),IF(AND(EXACT($C$60,$C15),ISNUMBER($D$60)),($D$60&gt;$D15)+($D$60=$D15)/2,0),IF(AND(EXACT($C$61,$C15),ISNUMBER($D$61)),($D$61&gt;$D15)+($D$61=$D15)/2,0),IF(AND(EXACT($C$62,$C15),ISNUMBER($D$62)),($D$62&gt;$D15)+($D$62=$D15)/2,0),IF(AND(EXACT($C$63,$C15),ISNUMBER($D$63)),($D$63&gt;$D15)+($D$63=$D15)/2,0),IF(AND(EXACT($C$64,$C15),ISNUMBER($D$64)),($D$64&gt;$D15)+($D$64=$D15)/2,0),IF(AND(EXACT($C$65,$C15),ISNUMBER($D$65)),($D$65&gt;$D15)+($D$65=$D15)/2,0),IF(AND(EXACT($C$66,$C15),ISNUMBER($D$66)),($D$66&gt;$D15)+($D$66=$D15)/2,0),IF(AND(EXACT($C$67,$C15),ISNUMBER($D$67)),($D$67&gt;$D15)+($D$67=$D15)/2,0),IF(AND(EXACT($C$68,$C15),ISNUMBER($D$68)),($D$68&gt;$D15)+($D$68=$D15)/2,0),IF(AND(EXACT($C$69,$C15),ISNUMBER($D$69)),($D$69&gt;$D15)+($D$69=$D15)/2,0),IF(AND(EXACT($C$70,$C15),ISNUMBER($D$70)),($D$70&gt;$D15)+($D$70=$D15)/2,0),IF(AND(EXACT($C$71,$C15),ISNUMBER($D$71)),($D$71&gt;$D15)+($D$71=$D15)/2,0),IF(AND(EXACT($C$72,$C15),ISNUMBER($D$72)),($D$72&gt;$D15)+($D$72=$D15)/2,0),IF(AND(EXACT($C$73,$C15),ISNUMBER($D$73)),($D$73&gt;$D15)+($D$73=$D15)/2,0),IF(AND(EXACT($C$74,$C15),ISNUMBER($D$74)),($D$74&gt;$D15)+($D$74=$D15)/2,0),IF(AND(EXACT($C$75,$C15),ISNUMBER($D$75)),($D$75&gt;$D15)+($D$75=$D15)/2,0),IF(AND(EXACT($C$76,$C15),ISNUMBER($D$76)),($D$76&gt;$D15)+($D$76=$D15)/2,0),IF(AND(EXACT($C$77,$C15),ISNUMBER($D$77)),($D$77&gt;$D15)+($D$77=$D15)/2,0),IF(AND(EXACT($C$78,$C15),ISNUMBER($D$78)),($D$78&gt;$D15)+($D$78=$D15)/2,0),IF(AND(EXACT($C$79,$C15),ISNUMBER($D$79)),($D$79&gt;$D15)+($D$79=$D15)/2,0),IF(AND(EXACT($C$80,$C15),ISNUMBER($D$80)),($D$80&gt;$D15)+($D$80=$D15)/2,0),IF(AND(EXACT($C$81,$C15),ISNUMBER($D$81)),($D$81&gt;$D15)+($D$81=$D15)/2,0),IF(AND(EXACT($C$82,$C15),ISNUMBER($D$82)),($D$82&gt;$D15)+($D$82=$D15)/2,0),IF(AND(EXACT($C$83,$C15),ISNUMBER($D$83)),($D$83&gt;$D15)+($D$83=$D15)/2,0),IF(AND(EXACT($C$84,$C15),ISNUMBER($D$84)),($D$84&gt;$D15)+($D$84=$D15)/2,0),IF(AND(EXACT($C$85,$C15),ISNUMBER($D$85)),($D$85&gt;$D15)+($D$85=$D15)/2,0),IF(AND(EXACT($C$86,$C15),ISNUMBER($D$86)),($D$86&gt;$D15)+($D$86=$D15)/2,0),IF(AND(EXACT($C$87,$C15),ISNUMBER($D$87)),($D$87&gt;$D15)+($D$87=$D15)/2,0),IF(AND(EXACT($C$88,$C15),ISNUMBER($D$88)),($D$88&gt;$D15)+($D$88=$D15)/2,0),IF(AND(EXACT($C$89,$C15),ISNUMBER($D$89)),($D$89&gt;$D15)+($D$89=$D15)/2,0),IF(AND(EXACT($C$90,$C15),ISNUMBER($D$90)),($D$90&gt;$D15)+($D$90=$D15)/2,0),IF(AND(EXACT($C$91,$C15),ISNUMBER($D$91)),($D$91&gt;$D15)+($D$91=$D15)/2,0),IF(AND(EXACT($C$92,$C15),ISNUMBER($D$92)),($D$92&gt;$D15)+($D$92=$D15)/2,0),IF(AND(EXACT($C$93,$C15),ISNUMBER($D$93)),($D$93&gt;$D15)+($D$93=$D15)/2,0),IF(AND(EXACT($C$94,$C15),ISNUMBER($D$94)),($D$94&gt;$D15)+($D$94=$D15)/2,0),IF(AND(EXACT($C$95,$C15),ISNUMBER($D$95)),($D$95&gt;$D15)+($D$95=$D15)/2,0),IF(AND(EXACT($C$96,$C15),ISNUMBER($D$96)),($D$96&gt;$D15)+($D$96=$D15)/2,0),IF(AND(EXACT($C$97,$C15),ISNUMBER($D$97)),($D$97&gt;$D15)+($D$97=$D15)/2,0),IF(AND(EXACT($C$98,$C15),ISNUMBER($D$98)),($D$98&gt;$D15)+($D$98=$D15)/2,0),IF(AND(EXACT($C$99,$C15),ISNUMBER($D$99)),($D$99&gt;$D15)+($D$99=$D15)/2,0),IF(AND(EXACT($C$100,$C15),ISNUMBER($D$100)),($D$100&gt;$D15)+($D$100=$D15)/2,0),IF(AND(EXACT($C$101,$C15),ISNUMBER($D$101)),($D$101&gt;$D15)+($D$101=$D15)/2,0),IF(AND(EXACT($C$102,$C15),ISNUMBER($D$102)),($D$102&gt;$D15)+($D$102=$D15)/2,0),IF(AND(EXACT($C$103,$C15),ISNUMBER($D$103)),($D$103&gt;$D15)+($D$103=$D15)/2,0),IF(AND(EXACT($C$104,$C15),ISNUMBER($D$104)),($D$104&gt;$D15)+($D$104=$D15)/2,0),IF(AND(EXACT($C$105,$C15),ISNUMBER($D$105)),($D$105&gt;$D15)+($D$105=$D15)/2,0),IF(AND(EXACT($C$106,$C15),ISNUMBER($D$106)),($D$106&gt;$D15)+($D$106=$D15)/2,0)))</x:f>
      </x:c>
    </x:row>
    <x:row r="16">
      <x:c r="A16" s="34" t="str">
        <x:f>IF('91_CALC_SCORES'!A16="","",'91_CALC_SCORES'!A16)</x:f>
      </x:c>
      <x:c r="B16" s="34" t="str">
        <x:f>IF($A16="","",'91_CALC_SCORES'!B16)</x:f>
      </x:c>
      <x:c r="C16" s="34" t="str">
        <x:f>IF($A16="","",'91_CALC_SCORES'!K16)</x:f>
      </x:c>
      <x:c r="D16" s="57" t="str">
        <x:f>IF(OR($A16="",NOT(OR(LEFT('91_CALC_SCORES'!AB16,4)="PASS",LEFT('91_CALC_SCORES'!AB16,5)="READY"))),"",'91_CALC_SCORES'!Y16)</x:f>
      </x:c>
      <x:c r="E16" s="34" t="str">
        <x:f>IF(COUNT(D16)=0,"",1+SUM(AN16:AO16)-1/2)</x:f>
      </x:c>
      <x:c r="F16" s="34" t="str">
        <x:f>IF($A16="","",'91_CALC_SCORES'!AB16)</x:f>
      </x:c>
      <x:c r="G16" s="34" t="str">
        <x:f>IF(A16="","","연구 베타 | 기업 백분위 아님")</x:f>
      </x:c>
      <x:c r="I16" s="13" t="str">
        <x:f>IF($A$16="","",$A$16)</x:f>
      </x:c>
      <x:c r="J16" s="58" t="str">
        <x:f>IF(OR($A16="",$A$7=""),"",IF(COUNT($D16,$D$7)&lt;&gt;2,"N/A:input",IF(EXACT($C16,$C$7),$D16-$D$7,"N/A:cohort")))</x:f>
      </x:c>
      <x:c r="K16" s="58" t="str">
        <x:f>IF(OR($A16="",$A$8=""),"",IF(COUNT($D16,$D$8)&lt;&gt;2,"N/A:input",IF(EXACT($C16,$C$8),$D16-$D$8,"N/A:cohort")))</x:f>
      </x:c>
      <x:c r="L16" s="58" t="str">
        <x:f>IF(OR($A16="",$A$9=""),"",IF(COUNT($D16,$D$9)&lt;&gt;2,"N/A:input",IF(EXACT($C16,$C$9),$D16-$D$9,"N/A:cohort")))</x:f>
      </x:c>
      <x:c r="M16" s="58" t="str">
        <x:f>IF(OR($A16="",$A$10=""),"",IF(COUNT($D16,$D$10)&lt;&gt;2,"N/A:input",IF(EXACT($C16,$C$10),$D16-$D$10,"N/A:cohort")))</x:f>
      </x:c>
      <x:c r="N16" s="58" t="str">
        <x:f>IF(OR($A16="",$A$11=""),"",IF(COUNT($D16,$D$11)&lt;&gt;2,"N/A:input",IF(EXACT($C16,$C$11),$D16-$D$11,"N/A:cohort")))</x:f>
      </x:c>
      <x:c r="O16" s="58" t="str">
        <x:f>IF(OR($A16="",$A$12=""),"",IF(COUNT($D16,$D$12)&lt;&gt;2,"N/A:input",IF(EXACT($C16,$C$12),$D16-$D$12,"N/A:cohort")))</x:f>
      </x:c>
      <x:c r="P16" s="58" t="str">
        <x:f>IF(OR($A16="",$A$13=""),"",IF(COUNT($D16,$D$13)&lt;&gt;2,"N/A:input",IF(EXACT($C16,$C$13),$D16-$D$13,"N/A:cohort")))</x:f>
      </x:c>
      <x:c r="Q16" s="58" t="str">
        <x:f>IF(OR($A16="",$A$14=""),"",IF(COUNT($D16,$D$14)&lt;&gt;2,"N/A:input",IF(EXACT($C16,$C$14),$D16-$D$14,"N/A:cohort")))</x:f>
      </x:c>
      <x:c r="R16" s="58" t="str">
        <x:f>IF(OR($A16="",$A$15=""),"",IF(COUNT($D16,$D$15)&lt;&gt;2,"N/A:input",IF(EXACT($C16,$C$15),$D16-$D$15,"N/A:cohort")))</x:f>
      </x:c>
      <x:c r="S16" s="58" t="str">
        <x:f>IF(OR($A16="",$A$16=""),"",IF(COUNT($D16,$D$16)&lt;&gt;2,"N/A:input",IF(EXACT($C16,$C$16),$D16-$D$16,"N/A:cohort")))</x:f>
      </x:c>
      <x:c r="T16" s="58" t="str">
        <x:f>IF(OR($A16="",$A$17=""),"",IF(COUNT($D16,$D$17)&lt;&gt;2,"N/A:input",IF(EXACT($C16,$C$17),$D16-$D$17,"N/A:cohort")))</x:f>
      </x:c>
      <x:c r="U16" s="58" t="str">
        <x:f>IF(OR($A16="",$A$18=""),"",IF(COUNT($D16,$D$18)&lt;&gt;2,"N/A:input",IF(EXACT($C16,$C$18),$D16-$D$18,"N/A:cohort")))</x:f>
      </x:c>
      <x:c r="V16" s="58" t="str">
        <x:f>IF(OR($A16="",$A$19=""),"",IF(COUNT($D16,$D$19)&lt;&gt;2,"N/A:input",IF(EXACT($C16,$C$19),$D16-$D$19,"N/A:cohort")))</x:f>
      </x:c>
      <x:c r="W16" s="58" t="str">
        <x:f>IF(OR($A16="",$A$20=""),"",IF(COUNT($D16,$D$20)&lt;&gt;2,"N/A:input",IF(EXACT($C16,$C$20),$D16-$D$20,"N/A:cohort")))</x:f>
      </x:c>
      <x:c r="X16" s="58" t="str">
        <x:f>IF(OR($A16="",$A$21=""),"",IF(COUNT($D16,$D$21)&lt;&gt;2,"N/A:input",IF(EXACT($C16,$C$21),$D16-$D$21,"N/A:cohort")))</x:f>
      </x:c>
      <x:c r="Y16" s="58" t="str">
        <x:f>IF(OR($A16="",$A$22=""),"",IF(COUNT($D16,$D$22)&lt;&gt;2,"N/A:input",IF(EXACT($C16,$C$22),$D16-$D$22,"N/A:cohort")))</x:f>
      </x:c>
      <x:c r="Z16" s="58" t="str">
        <x:f>IF(OR($A16="",$A$23=""),"",IF(COUNT($D16,$D$23)&lt;&gt;2,"N/A:input",IF(EXACT($C16,$C$23),$D16-$D$23,"N/A:cohort")))</x:f>
      </x:c>
      <x:c r="AA16" s="58" t="str">
        <x:f>IF(OR($A16="",$A$24=""),"",IF(COUNT($D16,$D$24)&lt;&gt;2,"N/A:input",IF(EXACT($C16,$C$24),$D16-$D$24,"N/A:cohort")))</x:f>
      </x:c>
      <x:c r="AB16" s="58" t="str">
        <x:f>IF(OR($A16="",$A$25=""),"",IF(COUNT($D16,$D$25)&lt;&gt;2,"N/A:input",IF(EXACT($C16,$C$25),$D16-$D$25,"N/A:cohort")))</x:f>
      </x:c>
      <x:c r="AC16" s="58" t="str">
        <x:f>IF(OR($A16="",$A$26=""),"",IF(COUNT($D16,$D$26)&lt;&gt;2,"N/A:input",IF(EXACT($C16,$C$26),$D16-$D$26,"N/A:cohort")))</x:f>
      </x:c>
      <x:c r="AD16" s="58" t="str">
        <x:f>IF(OR($A16="",$A$27=""),"",IF(COUNT($D16,$D$27)&lt;&gt;2,"N/A:input",IF(EXACT($C16,$C$27),$D16-$D$27,"N/A:cohort")))</x:f>
      </x:c>
      <x:c r="AE16" s="58" t="str">
        <x:f>IF(OR($A16="",$A$28=""),"",IF(COUNT($D16,$D$28)&lt;&gt;2,"N/A:input",IF(EXACT($C16,$C$28),$D16-$D$28,"N/A:cohort")))</x:f>
      </x:c>
      <x:c r="AF16" s="58" t="str">
        <x:f>IF(OR($A16="",$A$29=""),"",IF(COUNT($D16,$D$29)&lt;&gt;2,"N/A:input",IF(EXACT($C16,$C$29),$D16-$D$29,"N/A:cohort")))</x:f>
      </x:c>
      <x:c r="AG16" s="58" t="str">
        <x:f>IF(OR($A16="",$A$30=""),"",IF(COUNT($D16,$D$30)&lt;&gt;2,"N/A:input",IF(EXACT($C16,$C$30),$D16-$D$30,"N/A:cohort")))</x:f>
      </x:c>
      <x:c r="AH16" s="58" t="str">
        <x:f>IF(OR($A16="",$A$31=""),"",IF(COUNT($D16,$D$31)&lt;&gt;2,"N/A:input",IF(EXACT($C16,$C$31),$D16-$D$31,"N/A:cohort")))</x:f>
      </x:c>
      <x:c r="AI16" s="58" t="str">
        <x:f>IF(OR($A16="",$A$32=""),"",IF(COUNT($D16,$D$32)&lt;&gt;2,"N/A:input",IF(EXACT($C16,$C$32),$D16-$D$32,"N/A:cohort")))</x:f>
      </x:c>
      <x:c r="AJ16" s="58" t="str">
        <x:f>IF(OR($A16="",$A$33=""),"",IF(COUNT($D16,$D$33)&lt;&gt;2,"N/A:input",IF(EXACT($C16,$C$33),$D16-$D$33,"N/A:cohort")))</x:f>
      </x:c>
      <x:c r="AK16" s="58" t="str">
        <x:f>IF(OR($A16="",$A$34=""),"",IF(COUNT($D16,$D$34)&lt;&gt;2,"N/A:input",IF(EXACT($C16,$C$34),$D16-$D$34,"N/A:cohort")))</x:f>
      </x:c>
      <x:c r="AL16" s="58" t="str">
        <x:f>IF(OR($A16="",$A$35=""),"",IF(COUNT($D16,$D$35)&lt;&gt;2,"N/A:input",IF(EXACT($C16,$C$35),$D16-$D$35,"N/A:cohort")))</x:f>
      </x:c>
      <x:c r="AM16" s="58" t="str">
        <x:f>IF(OR($A16="",$A$36=""),"",IF(COUNT($D16,$D$36)&lt;&gt;2,"N/A:input",IF(EXACT($C16,$C$36),$D16-$D$36,"N/A:cohort")))</x:f>
      </x:c>
      <x:c r="AN16" s="34" t="str">
        <x:f>IF(COUNT($D16)=0,"",SUM(IF(AND(EXACT($C$7,$C16),ISNUMBER($D$7)),($D$7&gt;$D16)+($D$7=$D16)/2,0),IF(AND(EXACT($C$8,$C16),ISNUMBER($D$8)),($D$8&gt;$D16)+($D$8=$D16)/2,0),IF(AND(EXACT($C$9,$C16),ISNUMBER($D$9)),($D$9&gt;$D16)+($D$9=$D16)/2,0),IF(AND(EXACT($C$10,$C16),ISNUMBER($D$10)),($D$10&gt;$D16)+($D$10=$D16)/2,0),IF(AND(EXACT($C$11,$C16),ISNUMBER($D$11)),($D$11&gt;$D16)+($D$11=$D16)/2,0),IF(AND(EXACT($C$12,$C16),ISNUMBER($D$12)),($D$12&gt;$D16)+($D$12=$D16)/2,0),IF(AND(EXACT($C$13,$C16),ISNUMBER($D$13)),($D$13&gt;$D16)+($D$13=$D16)/2,0),IF(AND(EXACT($C$14,$C16),ISNUMBER($D$14)),($D$14&gt;$D16)+($D$14=$D16)/2,0),IF(AND(EXACT($C$15,$C16),ISNUMBER($D$15)),($D$15&gt;$D16)+($D$15=$D16)/2,0),IF(AND(EXACT($C$16,$C16),ISNUMBER($D$16)),($D$16&gt;$D16)+($D$16=$D16)/2,0),IF(AND(EXACT($C$17,$C16),ISNUMBER($D$17)),($D$17&gt;$D16)+($D$17=$D16)/2,0),IF(AND(EXACT($C$18,$C16),ISNUMBER($D$18)),($D$18&gt;$D16)+($D$18=$D16)/2,0),IF(AND(EXACT($C$19,$C16),ISNUMBER($D$19)),($D$19&gt;$D16)+($D$19=$D16)/2,0),IF(AND(EXACT($C$20,$C16),ISNUMBER($D$20)),($D$20&gt;$D16)+($D$20=$D16)/2,0),IF(AND(EXACT($C$21,$C16),ISNUMBER($D$21)),($D$21&gt;$D16)+($D$21=$D16)/2,0),IF(AND(EXACT($C$22,$C16),ISNUMBER($D$22)),($D$22&gt;$D16)+($D$22=$D16)/2,0),IF(AND(EXACT($C$23,$C16),ISNUMBER($D$23)),($D$23&gt;$D16)+($D$23=$D16)/2,0),IF(AND(EXACT($C$24,$C16),ISNUMBER($D$24)),($D$24&gt;$D16)+($D$24=$D16)/2,0),IF(AND(EXACT($C$25,$C16),ISNUMBER($D$25)),($D$25&gt;$D16)+($D$25=$D16)/2,0),IF(AND(EXACT($C$26,$C16),ISNUMBER($D$26)),($D$26&gt;$D16)+($D$26=$D16)/2,0),IF(AND(EXACT($C$27,$C16),ISNUMBER($D$27)),($D$27&gt;$D16)+($D$27=$D16)/2,0),IF(AND(EXACT($C$28,$C16),ISNUMBER($D$28)),($D$28&gt;$D16)+($D$28=$D16)/2,0),IF(AND(EXACT($C$29,$C16),ISNUMBER($D$29)),($D$29&gt;$D16)+($D$29=$D16)/2,0),IF(AND(EXACT($C$30,$C16),ISNUMBER($D$30)),($D$30&gt;$D16)+($D$30=$D16)/2,0),IF(AND(EXACT($C$31,$C16),ISNUMBER($D$31)),($D$31&gt;$D16)+($D$31=$D16)/2,0),IF(AND(EXACT($C$32,$C16),ISNUMBER($D$32)),($D$32&gt;$D16)+($D$32=$D16)/2,0),IF(AND(EXACT($C$33,$C16),ISNUMBER($D$33)),($D$33&gt;$D16)+($D$33=$D16)/2,0),IF(AND(EXACT($C$34,$C16),ISNUMBER($D$34)),($D$34&gt;$D16)+($D$34=$D16)/2,0),IF(AND(EXACT($C$35,$C16),ISNUMBER($D$35)),($D$35&gt;$D16)+($D$35=$D16)/2,0),IF(AND(EXACT($C$36,$C16),ISNUMBER($D$36)),($D$36&gt;$D16)+($D$36=$D16)/2,0),IF(AND(EXACT($C$37,$C16),ISNUMBER($D$37)),($D$37&gt;$D16)+($D$37=$D16)/2,0),IF(AND(EXACT($C$38,$C16),ISNUMBER($D$38)),($D$38&gt;$D16)+($D$38=$D16)/2,0),IF(AND(EXACT($C$39,$C16),ISNUMBER($D$39)),($D$39&gt;$D16)+($D$39=$D16)/2,0),IF(AND(EXACT($C$40,$C16),ISNUMBER($D$40)),($D$40&gt;$D16)+($D$40=$D16)/2,0),IF(AND(EXACT($C$41,$C16),ISNUMBER($D$41)),($D$41&gt;$D16)+($D$41=$D16)/2,0),IF(AND(EXACT($C$42,$C16),ISNUMBER($D$42)),($D$42&gt;$D16)+($D$42=$D16)/2,0),IF(AND(EXACT($C$43,$C16),ISNUMBER($D$43)),($D$43&gt;$D16)+($D$43=$D16)/2,0),IF(AND(EXACT($C$44,$C16),ISNUMBER($D$44)),($D$44&gt;$D16)+($D$44=$D16)/2,0),IF(AND(EXACT($C$45,$C16),ISNUMBER($D$45)),($D$45&gt;$D16)+($D$45=$D16)/2,0),IF(AND(EXACT($C$46,$C16),ISNUMBER($D$46)),($D$46&gt;$D16)+($D$46=$D16)/2,0),IF(AND(EXACT($C$47,$C16),ISNUMBER($D$47)),($D$47&gt;$D16)+($D$47=$D16)/2,0),IF(AND(EXACT($C$48,$C16),ISNUMBER($D$48)),($D$48&gt;$D16)+($D$48=$D16)/2,0),IF(AND(EXACT($C$49,$C16),ISNUMBER($D$49)),($D$49&gt;$D16)+($D$49=$D16)/2,0),IF(AND(EXACT($C$50,$C16),ISNUMBER($D$50)),($D$50&gt;$D16)+($D$50=$D16)/2,0),IF(AND(EXACT($C$51,$C16),ISNUMBER($D$51)),($D$51&gt;$D16)+($D$51=$D16)/2,0),IF(AND(EXACT($C$52,$C16),ISNUMBER($D$52)),($D$52&gt;$D16)+($D$52=$D16)/2,0),IF(AND(EXACT($C$53,$C16),ISNUMBER($D$53)),($D$53&gt;$D16)+($D$53=$D16)/2,0),IF(AND(EXACT($C$54,$C16),ISNUMBER($D$54)),($D$54&gt;$D16)+($D$54=$D16)/2,0),IF(AND(EXACT($C$55,$C16),ISNUMBER($D$55)),($D$55&gt;$D16)+($D$55=$D16)/2,0),IF(AND(EXACT($C$56,$C16),ISNUMBER($D$56)),($D$56&gt;$D16)+($D$56=$D16)/2,0)))</x:f>
      </x:c>
      <x:c r="AO16" s="34" t="str">
        <x:f>IF(COUNT($D16)=0,"",SUM(IF(AND(EXACT($C$57,$C16),ISNUMBER($D$57)),($D$57&gt;$D16)+($D$57=$D16)/2,0),IF(AND(EXACT($C$58,$C16),ISNUMBER($D$58)),($D$58&gt;$D16)+($D$58=$D16)/2,0),IF(AND(EXACT($C$59,$C16),ISNUMBER($D$59)),($D$59&gt;$D16)+($D$59=$D16)/2,0),IF(AND(EXACT($C$60,$C16),ISNUMBER($D$60)),($D$60&gt;$D16)+($D$60=$D16)/2,0),IF(AND(EXACT($C$61,$C16),ISNUMBER($D$61)),($D$61&gt;$D16)+($D$61=$D16)/2,0),IF(AND(EXACT($C$62,$C16),ISNUMBER($D$62)),($D$62&gt;$D16)+($D$62=$D16)/2,0),IF(AND(EXACT($C$63,$C16),ISNUMBER($D$63)),($D$63&gt;$D16)+($D$63=$D16)/2,0),IF(AND(EXACT($C$64,$C16),ISNUMBER($D$64)),($D$64&gt;$D16)+($D$64=$D16)/2,0),IF(AND(EXACT($C$65,$C16),ISNUMBER($D$65)),($D$65&gt;$D16)+($D$65=$D16)/2,0),IF(AND(EXACT($C$66,$C16),ISNUMBER($D$66)),($D$66&gt;$D16)+($D$66=$D16)/2,0),IF(AND(EXACT($C$67,$C16),ISNUMBER($D$67)),($D$67&gt;$D16)+($D$67=$D16)/2,0),IF(AND(EXACT($C$68,$C16),ISNUMBER($D$68)),($D$68&gt;$D16)+($D$68=$D16)/2,0),IF(AND(EXACT($C$69,$C16),ISNUMBER($D$69)),($D$69&gt;$D16)+($D$69=$D16)/2,0),IF(AND(EXACT($C$70,$C16),ISNUMBER($D$70)),($D$70&gt;$D16)+($D$70=$D16)/2,0),IF(AND(EXACT($C$71,$C16),ISNUMBER($D$71)),($D$71&gt;$D16)+($D$71=$D16)/2,0),IF(AND(EXACT($C$72,$C16),ISNUMBER($D$72)),($D$72&gt;$D16)+($D$72=$D16)/2,0),IF(AND(EXACT($C$73,$C16),ISNUMBER($D$73)),($D$73&gt;$D16)+($D$73=$D16)/2,0),IF(AND(EXACT($C$74,$C16),ISNUMBER($D$74)),($D$74&gt;$D16)+($D$74=$D16)/2,0),IF(AND(EXACT($C$75,$C16),ISNUMBER($D$75)),($D$75&gt;$D16)+($D$75=$D16)/2,0),IF(AND(EXACT($C$76,$C16),ISNUMBER($D$76)),($D$76&gt;$D16)+($D$76=$D16)/2,0),IF(AND(EXACT($C$77,$C16),ISNUMBER($D$77)),($D$77&gt;$D16)+($D$77=$D16)/2,0),IF(AND(EXACT($C$78,$C16),ISNUMBER($D$78)),($D$78&gt;$D16)+($D$78=$D16)/2,0),IF(AND(EXACT($C$79,$C16),ISNUMBER($D$79)),($D$79&gt;$D16)+($D$79=$D16)/2,0),IF(AND(EXACT($C$80,$C16),ISNUMBER($D$80)),($D$80&gt;$D16)+($D$80=$D16)/2,0),IF(AND(EXACT($C$81,$C16),ISNUMBER($D$81)),($D$81&gt;$D16)+($D$81=$D16)/2,0),IF(AND(EXACT($C$82,$C16),ISNUMBER($D$82)),($D$82&gt;$D16)+($D$82=$D16)/2,0),IF(AND(EXACT($C$83,$C16),ISNUMBER($D$83)),($D$83&gt;$D16)+($D$83=$D16)/2,0),IF(AND(EXACT($C$84,$C16),ISNUMBER($D$84)),($D$84&gt;$D16)+($D$84=$D16)/2,0),IF(AND(EXACT($C$85,$C16),ISNUMBER($D$85)),($D$85&gt;$D16)+($D$85=$D16)/2,0),IF(AND(EXACT($C$86,$C16),ISNUMBER($D$86)),($D$86&gt;$D16)+($D$86=$D16)/2,0),IF(AND(EXACT($C$87,$C16),ISNUMBER($D$87)),($D$87&gt;$D16)+($D$87=$D16)/2,0),IF(AND(EXACT($C$88,$C16),ISNUMBER($D$88)),($D$88&gt;$D16)+($D$88=$D16)/2,0),IF(AND(EXACT($C$89,$C16),ISNUMBER($D$89)),($D$89&gt;$D16)+($D$89=$D16)/2,0),IF(AND(EXACT($C$90,$C16),ISNUMBER($D$90)),($D$90&gt;$D16)+($D$90=$D16)/2,0),IF(AND(EXACT($C$91,$C16),ISNUMBER($D$91)),($D$91&gt;$D16)+($D$91=$D16)/2,0),IF(AND(EXACT($C$92,$C16),ISNUMBER($D$92)),($D$92&gt;$D16)+($D$92=$D16)/2,0),IF(AND(EXACT($C$93,$C16),ISNUMBER($D$93)),($D$93&gt;$D16)+($D$93=$D16)/2,0),IF(AND(EXACT($C$94,$C16),ISNUMBER($D$94)),($D$94&gt;$D16)+($D$94=$D16)/2,0),IF(AND(EXACT($C$95,$C16),ISNUMBER($D$95)),($D$95&gt;$D16)+($D$95=$D16)/2,0),IF(AND(EXACT($C$96,$C16),ISNUMBER($D$96)),($D$96&gt;$D16)+($D$96=$D16)/2,0),IF(AND(EXACT($C$97,$C16),ISNUMBER($D$97)),($D$97&gt;$D16)+($D$97=$D16)/2,0),IF(AND(EXACT($C$98,$C16),ISNUMBER($D$98)),($D$98&gt;$D16)+($D$98=$D16)/2,0),IF(AND(EXACT($C$99,$C16),ISNUMBER($D$99)),($D$99&gt;$D16)+($D$99=$D16)/2,0),IF(AND(EXACT($C$100,$C16),ISNUMBER($D$100)),($D$100&gt;$D16)+($D$100=$D16)/2,0),IF(AND(EXACT($C$101,$C16),ISNUMBER($D$101)),($D$101&gt;$D16)+($D$101=$D16)/2,0),IF(AND(EXACT($C$102,$C16),ISNUMBER($D$102)),($D$102&gt;$D16)+($D$102=$D16)/2,0),IF(AND(EXACT($C$103,$C16),ISNUMBER($D$103)),($D$103&gt;$D16)+($D$103=$D16)/2,0),IF(AND(EXACT($C$104,$C16),ISNUMBER($D$104)),($D$104&gt;$D16)+($D$104=$D16)/2,0),IF(AND(EXACT($C$105,$C16),ISNUMBER($D$105)),($D$105&gt;$D16)+($D$105=$D16)/2,0),IF(AND(EXACT($C$106,$C16),ISNUMBER($D$106)),($D$106&gt;$D16)+($D$106=$D16)/2,0)))</x:f>
      </x:c>
    </x:row>
    <x:row r="17">
      <x:c r="A17" s="34" t="str">
        <x:f>IF('91_CALC_SCORES'!A17="","",'91_CALC_SCORES'!A17)</x:f>
      </x:c>
      <x:c r="B17" s="34" t="str">
        <x:f>IF($A17="","",'91_CALC_SCORES'!B17)</x:f>
      </x:c>
      <x:c r="C17" s="34" t="str">
        <x:f>IF($A17="","",'91_CALC_SCORES'!K17)</x:f>
      </x:c>
      <x:c r="D17" s="57" t="str">
        <x:f>IF(OR($A17="",NOT(OR(LEFT('91_CALC_SCORES'!AB17,4)="PASS",LEFT('91_CALC_SCORES'!AB17,5)="READY"))),"",'91_CALC_SCORES'!Y17)</x:f>
      </x:c>
      <x:c r="E17" s="34" t="str">
        <x:f>IF(COUNT(D17)=0,"",1+SUM(AN17:AO17)-1/2)</x:f>
      </x:c>
      <x:c r="F17" s="34" t="str">
        <x:f>IF($A17="","",'91_CALC_SCORES'!AB17)</x:f>
      </x:c>
      <x:c r="G17" s="34" t="str">
        <x:f>IF(A17="","","연구 베타 | 기업 백분위 아님")</x:f>
      </x:c>
      <x:c r="I17" s="13" t="str">
        <x:f>IF($A$17="","",$A$17)</x:f>
      </x:c>
      <x:c r="J17" s="58" t="str">
        <x:f>IF(OR($A17="",$A$7=""),"",IF(COUNT($D17,$D$7)&lt;&gt;2,"N/A:input",IF(EXACT($C17,$C$7),$D17-$D$7,"N/A:cohort")))</x:f>
      </x:c>
      <x:c r="K17" s="58" t="str">
        <x:f>IF(OR($A17="",$A$8=""),"",IF(COUNT($D17,$D$8)&lt;&gt;2,"N/A:input",IF(EXACT($C17,$C$8),$D17-$D$8,"N/A:cohort")))</x:f>
      </x:c>
      <x:c r="L17" s="58" t="str">
        <x:f>IF(OR($A17="",$A$9=""),"",IF(COUNT($D17,$D$9)&lt;&gt;2,"N/A:input",IF(EXACT($C17,$C$9),$D17-$D$9,"N/A:cohort")))</x:f>
      </x:c>
      <x:c r="M17" s="58" t="str">
        <x:f>IF(OR($A17="",$A$10=""),"",IF(COUNT($D17,$D$10)&lt;&gt;2,"N/A:input",IF(EXACT($C17,$C$10),$D17-$D$10,"N/A:cohort")))</x:f>
      </x:c>
      <x:c r="N17" s="58" t="str">
        <x:f>IF(OR($A17="",$A$11=""),"",IF(COUNT($D17,$D$11)&lt;&gt;2,"N/A:input",IF(EXACT($C17,$C$11),$D17-$D$11,"N/A:cohort")))</x:f>
      </x:c>
      <x:c r="O17" s="58" t="str">
        <x:f>IF(OR($A17="",$A$12=""),"",IF(COUNT($D17,$D$12)&lt;&gt;2,"N/A:input",IF(EXACT($C17,$C$12),$D17-$D$12,"N/A:cohort")))</x:f>
      </x:c>
      <x:c r="P17" s="58" t="str">
        <x:f>IF(OR($A17="",$A$13=""),"",IF(COUNT($D17,$D$13)&lt;&gt;2,"N/A:input",IF(EXACT($C17,$C$13),$D17-$D$13,"N/A:cohort")))</x:f>
      </x:c>
      <x:c r="Q17" s="58" t="str">
        <x:f>IF(OR($A17="",$A$14=""),"",IF(COUNT($D17,$D$14)&lt;&gt;2,"N/A:input",IF(EXACT($C17,$C$14),$D17-$D$14,"N/A:cohort")))</x:f>
      </x:c>
      <x:c r="R17" s="58" t="str">
        <x:f>IF(OR($A17="",$A$15=""),"",IF(COUNT($D17,$D$15)&lt;&gt;2,"N/A:input",IF(EXACT($C17,$C$15),$D17-$D$15,"N/A:cohort")))</x:f>
      </x:c>
      <x:c r="S17" s="58" t="str">
        <x:f>IF(OR($A17="",$A$16=""),"",IF(COUNT($D17,$D$16)&lt;&gt;2,"N/A:input",IF(EXACT($C17,$C$16),$D17-$D$16,"N/A:cohort")))</x:f>
      </x:c>
      <x:c r="T17" s="58" t="str">
        <x:f>IF(OR($A17="",$A$17=""),"",IF(COUNT($D17,$D$17)&lt;&gt;2,"N/A:input",IF(EXACT($C17,$C$17),$D17-$D$17,"N/A:cohort")))</x:f>
      </x:c>
      <x:c r="U17" s="58" t="str">
        <x:f>IF(OR($A17="",$A$18=""),"",IF(COUNT($D17,$D$18)&lt;&gt;2,"N/A:input",IF(EXACT($C17,$C$18),$D17-$D$18,"N/A:cohort")))</x:f>
      </x:c>
      <x:c r="V17" s="58" t="str">
        <x:f>IF(OR($A17="",$A$19=""),"",IF(COUNT($D17,$D$19)&lt;&gt;2,"N/A:input",IF(EXACT($C17,$C$19),$D17-$D$19,"N/A:cohort")))</x:f>
      </x:c>
      <x:c r="W17" s="58" t="str">
        <x:f>IF(OR($A17="",$A$20=""),"",IF(COUNT($D17,$D$20)&lt;&gt;2,"N/A:input",IF(EXACT($C17,$C$20),$D17-$D$20,"N/A:cohort")))</x:f>
      </x:c>
      <x:c r="X17" s="58" t="str">
        <x:f>IF(OR($A17="",$A$21=""),"",IF(COUNT($D17,$D$21)&lt;&gt;2,"N/A:input",IF(EXACT($C17,$C$21),$D17-$D$21,"N/A:cohort")))</x:f>
      </x:c>
      <x:c r="Y17" s="58" t="str">
        <x:f>IF(OR($A17="",$A$22=""),"",IF(COUNT($D17,$D$22)&lt;&gt;2,"N/A:input",IF(EXACT($C17,$C$22),$D17-$D$22,"N/A:cohort")))</x:f>
      </x:c>
      <x:c r="Z17" s="58" t="str">
        <x:f>IF(OR($A17="",$A$23=""),"",IF(COUNT($D17,$D$23)&lt;&gt;2,"N/A:input",IF(EXACT($C17,$C$23),$D17-$D$23,"N/A:cohort")))</x:f>
      </x:c>
      <x:c r="AA17" s="58" t="str">
        <x:f>IF(OR($A17="",$A$24=""),"",IF(COUNT($D17,$D$24)&lt;&gt;2,"N/A:input",IF(EXACT($C17,$C$24),$D17-$D$24,"N/A:cohort")))</x:f>
      </x:c>
      <x:c r="AB17" s="58" t="str">
        <x:f>IF(OR($A17="",$A$25=""),"",IF(COUNT($D17,$D$25)&lt;&gt;2,"N/A:input",IF(EXACT($C17,$C$25),$D17-$D$25,"N/A:cohort")))</x:f>
      </x:c>
      <x:c r="AC17" s="58" t="str">
        <x:f>IF(OR($A17="",$A$26=""),"",IF(COUNT($D17,$D$26)&lt;&gt;2,"N/A:input",IF(EXACT($C17,$C$26),$D17-$D$26,"N/A:cohort")))</x:f>
      </x:c>
      <x:c r="AD17" s="58" t="str">
        <x:f>IF(OR($A17="",$A$27=""),"",IF(COUNT($D17,$D$27)&lt;&gt;2,"N/A:input",IF(EXACT($C17,$C$27),$D17-$D$27,"N/A:cohort")))</x:f>
      </x:c>
      <x:c r="AE17" s="58" t="str">
        <x:f>IF(OR($A17="",$A$28=""),"",IF(COUNT($D17,$D$28)&lt;&gt;2,"N/A:input",IF(EXACT($C17,$C$28),$D17-$D$28,"N/A:cohort")))</x:f>
      </x:c>
      <x:c r="AF17" s="58" t="str">
        <x:f>IF(OR($A17="",$A$29=""),"",IF(COUNT($D17,$D$29)&lt;&gt;2,"N/A:input",IF(EXACT($C17,$C$29),$D17-$D$29,"N/A:cohort")))</x:f>
      </x:c>
      <x:c r="AG17" s="58" t="str">
        <x:f>IF(OR($A17="",$A$30=""),"",IF(COUNT($D17,$D$30)&lt;&gt;2,"N/A:input",IF(EXACT($C17,$C$30),$D17-$D$30,"N/A:cohort")))</x:f>
      </x:c>
      <x:c r="AH17" s="58" t="str">
        <x:f>IF(OR($A17="",$A$31=""),"",IF(COUNT($D17,$D$31)&lt;&gt;2,"N/A:input",IF(EXACT($C17,$C$31),$D17-$D$31,"N/A:cohort")))</x:f>
      </x:c>
      <x:c r="AI17" s="58" t="str">
        <x:f>IF(OR($A17="",$A$32=""),"",IF(COUNT($D17,$D$32)&lt;&gt;2,"N/A:input",IF(EXACT($C17,$C$32),$D17-$D$32,"N/A:cohort")))</x:f>
      </x:c>
      <x:c r="AJ17" s="58" t="str">
        <x:f>IF(OR($A17="",$A$33=""),"",IF(COUNT($D17,$D$33)&lt;&gt;2,"N/A:input",IF(EXACT($C17,$C$33),$D17-$D$33,"N/A:cohort")))</x:f>
      </x:c>
      <x:c r="AK17" s="58" t="str">
        <x:f>IF(OR($A17="",$A$34=""),"",IF(COUNT($D17,$D$34)&lt;&gt;2,"N/A:input",IF(EXACT($C17,$C$34),$D17-$D$34,"N/A:cohort")))</x:f>
      </x:c>
      <x:c r="AL17" s="58" t="str">
        <x:f>IF(OR($A17="",$A$35=""),"",IF(COUNT($D17,$D$35)&lt;&gt;2,"N/A:input",IF(EXACT($C17,$C$35),$D17-$D$35,"N/A:cohort")))</x:f>
      </x:c>
      <x:c r="AM17" s="58" t="str">
        <x:f>IF(OR($A17="",$A$36=""),"",IF(COUNT($D17,$D$36)&lt;&gt;2,"N/A:input",IF(EXACT($C17,$C$36),$D17-$D$36,"N/A:cohort")))</x:f>
      </x:c>
      <x:c r="AN17" s="34" t="str">
        <x:f>IF(COUNT($D17)=0,"",SUM(IF(AND(EXACT($C$7,$C17),ISNUMBER($D$7)),($D$7&gt;$D17)+($D$7=$D17)/2,0),IF(AND(EXACT($C$8,$C17),ISNUMBER($D$8)),($D$8&gt;$D17)+($D$8=$D17)/2,0),IF(AND(EXACT($C$9,$C17),ISNUMBER($D$9)),($D$9&gt;$D17)+($D$9=$D17)/2,0),IF(AND(EXACT($C$10,$C17),ISNUMBER($D$10)),($D$10&gt;$D17)+($D$10=$D17)/2,0),IF(AND(EXACT($C$11,$C17),ISNUMBER($D$11)),($D$11&gt;$D17)+($D$11=$D17)/2,0),IF(AND(EXACT($C$12,$C17),ISNUMBER($D$12)),($D$12&gt;$D17)+($D$12=$D17)/2,0),IF(AND(EXACT($C$13,$C17),ISNUMBER($D$13)),($D$13&gt;$D17)+($D$13=$D17)/2,0),IF(AND(EXACT($C$14,$C17),ISNUMBER($D$14)),($D$14&gt;$D17)+($D$14=$D17)/2,0),IF(AND(EXACT($C$15,$C17),ISNUMBER($D$15)),($D$15&gt;$D17)+($D$15=$D17)/2,0),IF(AND(EXACT($C$16,$C17),ISNUMBER($D$16)),($D$16&gt;$D17)+($D$16=$D17)/2,0),IF(AND(EXACT($C$17,$C17),ISNUMBER($D$17)),($D$17&gt;$D17)+($D$17=$D17)/2,0),IF(AND(EXACT($C$18,$C17),ISNUMBER($D$18)),($D$18&gt;$D17)+($D$18=$D17)/2,0),IF(AND(EXACT($C$19,$C17),ISNUMBER($D$19)),($D$19&gt;$D17)+($D$19=$D17)/2,0),IF(AND(EXACT($C$20,$C17),ISNUMBER($D$20)),($D$20&gt;$D17)+($D$20=$D17)/2,0),IF(AND(EXACT($C$21,$C17),ISNUMBER($D$21)),($D$21&gt;$D17)+($D$21=$D17)/2,0),IF(AND(EXACT($C$22,$C17),ISNUMBER($D$22)),($D$22&gt;$D17)+($D$22=$D17)/2,0),IF(AND(EXACT($C$23,$C17),ISNUMBER($D$23)),($D$23&gt;$D17)+($D$23=$D17)/2,0),IF(AND(EXACT($C$24,$C17),ISNUMBER($D$24)),($D$24&gt;$D17)+($D$24=$D17)/2,0),IF(AND(EXACT($C$25,$C17),ISNUMBER($D$25)),($D$25&gt;$D17)+($D$25=$D17)/2,0),IF(AND(EXACT($C$26,$C17),ISNUMBER($D$26)),($D$26&gt;$D17)+($D$26=$D17)/2,0),IF(AND(EXACT($C$27,$C17),ISNUMBER($D$27)),($D$27&gt;$D17)+($D$27=$D17)/2,0),IF(AND(EXACT($C$28,$C17),ISNUMBER($D$28)),($D$28&gt;$D17)+($D$28=$D17)/2,0),IF(AND(EXACT($C$29,$C17),ISNUMBER($D$29)),($D$29&gt;$D17)+($D$29=$D17)/2,0),IF(AND(EXACT($C$30,$C17),ISNUMBER($D$30)),($D$30&gt;$D17)+($D$30=$D17)/2,0),IF(AND(EXACT($C$31,$C17),ISNUMBER($D$31)),($D$31&gt;$D17)+($D$31=$D17)/2,0),IF(AND(EXACT($C$32,$C17),ISNUMBER($D$32)),($D$32&gt;$D17)+($D$32=$D17)/2,0),IF(AND(EXACT($C$33,$C17),ISNUMBER($D$33)),($D$33&gt;$D17)+($D$33=$D17)/2,0),IF(AND(EXACT($C$34,$C17),ISNUMBER($D$34)),($D$34&gt;$D17)+($D$34=$D17)/2,0),IF(AND(EXACT($C$35,$C17),ISNUMBER($D$35)),($D$35&gt;$D17)+($D$35=$D17)/2,0),IF(AND(EXACT($C$36,$C17),ISNUMBER($D$36)),($D$36&gt;$D17)+($D$36=$D17)/2,0),IF(AND(EXACT($C$37,$C17),ISNUMBER($D$37)),($D$37&gt;$D17)+($D$37=$D17)/2,0),IF(AND(EXACT($C$38,$C17),ISNUMBER($D$38)),($D$38&gt;$D17)+($D$38=$D17)/2,0),IF(AND(EXACT($C$39,$C17),ISNUMBER($D$39)),($D$39&gt;$D17)+($D$39=$D17)/2,0),IF(AND(EXACT($C$40,$C17),ISNUMBER($D$40)),($D$40&gt;$D17)+($D$40=$D17)/2,0),IF(AND(EXACT($C$41,$C17),ISNUMBER($D$41)),($D$41&gt;$D17)+($D$41=$D17)/2,0),IF(AND(EXACT($C$42,$C17),ISNUMBER($D$42)),($D$42&gt;$D17)+($D$42=$D17)/2,0),IF(AND(EXACT($C$43,$C17),ISNUMBER($D$43)),($D$43&gt;$D17)+($D$43=$D17)/2,0),IF(AND(EXACT($C$44,$C17),ISNUMBER($D$44)),($D$44&gt;$D17)+($D$44=$D17)/2,0),IF(AND(EXACT($C$45,$C17),ISNUMBER($D$45)),($D$45&gt;$D17)+($D$45=$D17)/2,0),IF(AND(EXACT($C$46,$C17),ISNUMBER($D$46)),($D$46&gt;$D17)+($D$46=$D17)/2,0),IF(AND(EXACT($C$47,$C17),ISNUMBER($D$47)),($D$47&gt;$D17)+($D$47=$D17)/2,0),IF(AND(EXACT($C$48,$C17),ISNUMBER($D$48)),($D$48&gt;$D17)+($D$48=$D17)/2,0),IF(AND(EXACT($C$49,$C17),ISNUMBER($D$49)),($D$49&gt;$D17)+($D$49=$D17)/2,0),IF(AND(EXACT($C$50,$C17),ISNUMBER($D$50)),($D$50&gt;$D17)+($D$50=$D17)/2,0),IF(AND(EXACT($C$51,$C17),ISNUMBER($D$51)),($D$51&gt;$D17)+($D$51=$D17)/2,0),IF(AND(EXACT($C$52,$C17),ISNUMBER($D$52)),($D$52&gt;$D17)+($D$52=$D17)/2,0),IF(AND(EXACT($C$53,$C17),ISNUMBER($D$53)),($D$53&gt;$D17)+($D$53=$D17)/2,0),IF(AND(EXACT($C$54,$C17),ISNUMBER($D$54)),($D$54&gt;$D17)+($D$54=$D17)/2,0),IF(AND(EXACT($C$55,$C17),ISNUMBER($D$55)),($D$55&gt;$D17)+($D$55=$D17)/2,0),IF(AND(EXACT($C$56,$C17),ISNUMBER($D$56)),($D$56&gt;$D17)+($D$56=$D17)/2,0)))</x:f>
      </x:c>
      <x:c r="AO17" s="34" t="str">
        <x:f>IF(COUNT($D17)=0,"",SUM(IF(AND(EXACT($C$57,$C17),ISNUMBER($D$57)),($D$57&gt;$D17)+($D$57=$D17)/2,0),IF(AND(EXACT($C$58,$C17),ISNUMBER($D$58)),($D$58&gt;$D17)+($D$58=$D17)/2,0),IF(AND(EXACT($C$59,$C17),ISNUMBER($D$59)),($D$59&gt;$D17)+($D$59=$D17)/2,0),IF(AND(EXACT($C$60,$C17),ISNUMBER($D$60)),($D$60&gt;$D17)+($D$60=$D17)/2,0),IF(AND(EXACT($C$61,$C17),ISNUMBER($D$61)),($D$61&gt;$D17)+($D$61=$D17)/2,0),IF(AND(EXACT($C$62,$C17),ISNUMBER($D$62)),($D$62&gt;$D17)+($D$62=$D17)/2,0),IF(AND(EXACT($C$63,$C17),ISNUMBER($D$63)),($D$63&gt;$D17)+($D$63=$D17)/2,0),IF(AND(EXACT($C$64,$C17),ISNUMBER($D$64)),($D$64&gt;$D17)+($D$64=$D17)/2,0),IF(AND(EXACT($C$65,$C17),ISNUMBER($D$65)),($D$65&gt;$D17)+($D$65=$D17)/2,0),IF(AND(EXACT($C$66,$C17),ISNUMBER($D$66)),($D$66&gt;$D17)+($D$66=$D17)/2,0),IF(AND(EXACT($C$67,$C17),ISNUMBER($D$67)),($D$67&gt;$D17)+($D$67=$D17)/2,0),IF(AND(EXACT($C$68,$C17),ISNUMBER($D$68)),($D$68&gt;$D17)+($D$68=$D17)/2,0),IF(AND(EXACT($C$69,$C17),ISNUMBER($D$69)),($D$69&gt;$D17)+($D$69=$D17)/2,0),IF(AND(EXACT($C$70,$C17),ISNUMBER($D$70)),($D$70&gt;$D17)+($D$70=$D17)/2,0),IF(AND(EXACT($C$71,$C17),ISNUMBER($D$71)),($D$71&gt;$D17)+($D$71=$D17)/2,0),IF(AND(EXACT($C$72,$C17),ISNUMBER($D$72)),($D$72&gt;$D17)+($D$72=$D17)/2,0),IF(AND(EXACT($C$73,$C17),ISNUMBER($D$73)),($D$73&gt;$D17)+($D$73=$D17)/2,0),IF(AND(EXACT($C$74,$C17),ISNUMBER($D$74)),($D$74&gt;$D17)+($D$74=$D17)/2,0),IF(AND(EXACT($C$75,$C17),ISNUMBER($D$75)),($D$75&gt;$D17)+($D$75=$D17)/2,0),IF(AND(EXACT($C$76,$C17),ISNUMBER($D$76)),($D$76&gt;$D17)+($D$76=$D17)/2,0),IF(AND(EXACT($C$77,$C17),ISNUMBER($D$77)),($D$77&gt;$D17)+($D$77=$D17)/2,0),IF(AND(EXACT($C$78,$C17),ISNUMBER($D$78)),($D$78&gt;$D17)+($D$78=$D17)/2,0),IF(AND(EXACT($C$79,$C17),ISNUMBER($D$79)),($D$79&gt;$D17)+($D$79=$D17)/2,0),IF(AND(EXACT($C$80,$C17),ISNUMBER($D$80)),($D$80&gt;$D17)+($D$80=$D17)/2,0),IF(AND(EXACT($C$81,$C17),ISNUMBER($D$81)),($D$81&gt;$D17)+($D$81=$D17)/2,0),IF(AND(EXACT($C$82,$C17),ISNUMBER($D$82)),($D$82&gt;$D17)+($D$82=$D17)/2,0),IF(AND(EXACT($C$83,$C17),ISNUMBER($D$83)),($D$83&gt;$D17)+($D$83=$D17)/2,0),IF(AND(EXACT($C$84,$C17),ISNUMBER($D$84)),($D$84&gt;$D17)+($D$84=$D17)/2,0),IF(AND(EXACT($C$85,$C17),ISNUMBER($D$85)),($D$85&gt;$D17)+($D$85=$D17)/2,0),IF(AND(EXACT($C$86,$C17),ISNUMBER($D$86)),($D$86&gt;$D17)+($D$86=$D17)/2,0),IF(AND(EXACT($C$87,$C17),ISNUMBER($D$87)),($D$87&gt;$D17)+($D$87=$D17)/2,0),IF(AND(EXACT($C$88,$C17),ISNUMBER($D$88)),($D$88&gt;$D17)+($D$88=$D17)/2,0),IF(AND(EXACT($C$89,$C17),ISNUMBER($D$89)),($D$89&gt;$D17)+($D$89=$D17)/2,0),IF(AND(EXACT($C$90,$C17),ISNUMBER($D$90)),($D$90&gt;$D17)+($D$90=$D17)/2,0),IF(AND(EXACT($C$91,$C17),ISNUMBER($D$91)),($D$91&gt;$D17)+($D$91=$D17)/2,0),IF(AND(EXACT($C$92,$C17),ISNUMBER($D$92)),($D$92&gt;$D17)+($D$92=$D17)/2,0),IF(AND(EXACT($C$93,$C17),ISNUMBER($D$93)),($D$93&gt;$D17)+($D$93=$D17)/2,0),IF(AND(EXACT($C$94,$C17),ISNUMBER($D$94)),($D$94&gt;$D17)+($D$94=$D17)/2,0),IF(AND(EXACT($C$95,$C17),ISNUMBER($D$95)),($D$95&gt;$D17)+($D$95=$D17)/2,0),IF(AND(EXACT($C$96,$C17),ISNUMBER($D$96)),($D$96&gt;$D17)+($D$96=$D17)/2,0),IF(AND(EXACT($C$97,$C17),ISNUMBER($D$97)),($D$97&gt;$D17)+($D$97=$D17)/2,0),IF(AND(EXACT($C$98,$C17),ISNUMBER($D$98)),($D$98&gt;$D17)+($D$98=$D17)/2,0),IF(AND(EXACT($C$99,$C17),ISNUMBER($D$99)),($D$99&gt;$D17)+($D$99=$D17)/2,0),IF(AND(EXACT($C$100,$C17),ISNUMBER($D$100)),($D$100&gt;$D17)+($D$100=$D17)/2,0),IF(AND(EXACT($C$101,$C17),ISNUMBER($D$101)),($D$101&gt;$D17)+($D$101=$D17)/2,0),IF(AND(EXACT($C$102,$C17),ISNUMBER($D$102)),($D$102&gt;$D17)+($D$102=$D17)/2,0),IF(AND(EXACT($C$103,$C17),ISNUMBER($D$103)),($D$103&gt;$D17)+($D$103=$D17)/2,0),IF(AND(EXACT($C$104,$C17),ISNUMBER($D$104)),($D$104&gt;$D17)+($D$104=$D17)/2,0),IF(AND(EXACT($C$105,$C17),ISNUMBER($D$105)),($D$105&gt;$D17)+($D$105=$D17)/2,0),IF(AND(EXACT($C$106,$C17),ISNUMBER($D$106)),($D$106&gt;$D17)+($D$106=$D17)/2,0)))</x:f>
      </x:c>
    </x:row>
    <x:row r="18">
      <x:c r="A18" s="34" t="str">
        <x:f>IF('91_CALC_SCORES'!A18="","",'91_CALC_SCORES'!A18)</x:f>
      </x:c>
      <x:c r="B18" s="34" t="str">
        <x:f>IF($A18="","",'91_CALC_SCORES'!B18)</x:f>
      </x:c>
      <x:c r="C18" s="34" t="str">
        <x:f>IF($A18="","",'91_CALC_SCORES'!K18)</x:f>
      </x:c>
      <x:c r="D18" s="57" t="str">
        <x:f>IF(OR($A18="",NOT(OR(LEFT('91_CALC_SCORES'!AB18,4)="PASS",LEFT('91_CALC_SCORES'!AB18,5)="READY"))),"",'91_CALC_SCORES'!Y18)</x:f>
      </x:c>
      <x:c r="E18" s="34" t="str">
        <x:f>IF(COUNT(D18)=0,"",1+SUM(AN18:AO18)-1/2)</x:f>
      </x:c>
      <x:c r="F18" s="34" t="str">
        <x:f>IF($A18="","",'91_CALC_SCORES'!AB18)</x:f>
      </x:c>
      <x:c r="G18" s="34" t="str">
        <x:f>IF(A18="","","연구 베타 | 기업 백분위 아님")</x:f>
      </x:c>
      <x:c r="I18" s="13" t="str">
        <x:f>IF($A$18="","",$A$18)</x:f>
      </x:c>
      <x:c r="J18" s="58" t="str">
        <x:f>IF(OR($A18="",$A$7=""),"",IF(COUNT($D18,$D$7)&lt;&gt;2,"N/A:input",IF(EXACT($C18,$C$7),$D18-$D$7,"N/A:cohort")))</x:f>
      </x:c>
      <x:c r="K18" s="58" t="str">
        <x:f>IF(OR($A18="",$A$8=""),"",IF(COUNT($D18,$D$8)&lt;&gt;2,"N/A:input",IF(EXACT($C18,$C$8),$D18-$D$8,"N/A:cohort")))</x:f>
      </x:c>
      <x:c r="L18" s="58" t="str">
        <x:f>IF(OR($A18="",$A$9=""),"",IF(COUNT($D18,$D$9)&lt;&gt;2,"N/A:input",IF(EXACT($C18,$C$9),$D18-$D$9,"N/A:cohort")))</x:f>
      </x:c>
      <x:c r="M18" s="58" t="str">
        <x:f>IF(OR($A18="",$A$10=""),"",IF(COUNT($D18,$D$10)&lt;&gt;2,"N/A:input",IF(EXACT($C18,$C$10),$D18-$D$10,"N/A:cohort")))</x:f>
      </x:c>
      <x:c r="N18" s="58" t="str">
        <x:f>IF(OR($A18="",$A$11=""),"",IF(COUNT($D18,$D$11)&lt;&gt;2,"N/A:input",IF(EXACT($C18,$C$11),$D18-$D$11,"N/A:cohort")))</x:f>
      </x:c>
      <x:c r="O18" s="58" t="str">
        <x:f>IF(OR($A18="",$A$12=""),"",IF(COUNT($D18,$D$12)&lt;&gt;2,"N/A:input",IF(EXACT($C18,$C$12),$D18-$D$12,"N/A:cohort")))</x:f>
      </x:c>
      <x:c r="P18" s="58" t="str">
        <x:f>IF(OR($A18="",$A$13=""),"",IF(COUNT($D18,$D$13)&lt;&gt;2,"N/A:input",IF(EXACT($C18,$C$13),$D18-$D$13,"N/A:cohort")))</x:f>
      </x:c>
      <x:c r="Q18" s="58" t="str">
        <x:f>IF(OR($A18="",$A$14=""),"",IF(COUNT($D18,$D$14)&lt;&gt;2,"N/A:input",IF(EXACT($C18,$C$14),$D18-$D$14,"N/A:cohort")))</x:f>
      </x:c>
      <x:c r="R18" s="58" t="str">
        <x:f>IF(OR($A18="",$A$15=""),"",IF(COUNT($D18,$D$15)&lt;&gt;2,"N/A:input",IF(EXACT($C18,$C$15),$D18-$D$15,"N/A:cohort")))</x:f>
      </x:c>
      <x:c r="S18" s="58" t="str">
        <x:f>IF(OR($A18="",$A$16=""),"",IF(COUNT($D18,$D$16)&lt;&gt;2,"N/A:input",IF(EXACT($C18,$C$16),$D18-$D$16,"N/A:cohort")))</x:f>
      </x:c>
      <x:c r="T18" s="58" t="str">
        <x:f>IF(OR($A18="",$A$17=""),"",IF(COUNT($D18,$D$17)&lt;&gt;2,"N/A:input",IF(EXACT($C18,$C$17),$D18-$D$17,"N/A:cohort")))</x:f>
      </x:c>
      <x:c r="U18" s="58" t="str">
        <x:f>IF(OR($A18="",$A$18=""),"",IF(COUNT($D18,$D$18)&lt;&gt;2,"N/A:input",IF(EXACT($C18,$C$18),$D18-$D$18,"N/A:cohort")))</x:f>
      </x:c>
      <x:c r="V18" s="58" t="str">
        <x:f>IF(OR($A18="",$A$19=""),"",IF(COUNT($D18,$D$19)&lt;&gt;2,"N/A:input",IF(EXACT($C18,$C$19),$D18-$D$19,"N/A:cohort")))</x:f>
      </x:c>
      <x:c r="W18" s="58" t="str">
        <x:f>IF(OR($A18="",$A$20=""),"",IF(COUNT($D18,$D$20)&lt;&gt;2,"N/A:input",IF(EXACT($C18,$C$20),$D18-$D$20,"N/A:cohort")))</x:f>
      </x:c>
      <x:c r="X18" s="58" t="str">
        <x:f>IF(OR($A18="",$A$21=""),"",IF(COUNT($D18,$D$21)&lt;&gt;2,"N/A:input",IF(EXACT($C18,$C$21),$D18-$D$21,"N/A:cohort")))</x:f>
      </x:c>
      <x:c r="Y18" s="58" t="str">
        <x:f>IF(OR($A18="",$A$22=""),"",IF(COUNT($D18,$D$22)&lt;&gt;2,"N/A:input",IF(EXACT($C18,$C$22),$D18-$D$22,"N/A:cohort")))</x:f>
      </x:c>
      <x:c r="Z18" s="58" t="str">
        <x:f>IF(OR($A18="",$A$23=""),"",IF(COUNT($D18,$D$23)&lt;&gt;2,"N/A:input",IF(EXACT($C18,$C$23),$D18-$D$23,"N/A:cohort")))</x:f>
      </x:c>
      <x:c r="AA18" s="58" t="str">
        <x:f>IF(OR($A18="",$A$24=""),"",IF(COUNT($D18,$D$24)&lt;&gt;2,"N/A:input",IF(EXACT($C18,$C$24),$D18-$D$24,"N/A:cohort")))</x:f>
      </x:c>
      <x:c r="AB18" s="58" t="str">
        <x:f>IF(OR($A18="",$A$25=""),"",IF(COUNT($D18,$D$25)&lt;&gt;2,"N/A:input",IF(EXACT($C18,$C$25),$D18-$D$25,"N/A:cohort")))</x:f>
      </x:c>
      <x:c r="AC18" s="58" t="str">
        <x:f>IF(OR($A18="",$A$26=""),"",IF(COUNT($D18,$D$26)&lt;&gt;2,"N/A:input",IF(EXACT($C18,$C$26),$D18-$D$26,"N/A:cohort")))</x:f>
      </x:c>
      <x:c r="AD18" s="58" t="str">
        <x:f>IF(OR($A18="",$A$27=""),"",IF(COUNT($D18,$D$27)&lt;&gt;2,"N/A:input",IF(EXACT($C18,$C$27),$D18-$D$27,"N/A:cohort")))</x:f>
      </x:c>
      <x:c r="AE18" s="58" t="str">
        <x:f>IF(OR($A18="",$A$28=""),"",IF(COUNT($D18,$D$28)&lt;&gt;2,"N/A:input",IF(EXACT($C18,$C$28),$D18-$D$28,"N/A:cohort")))</x:f>
      </x:c>
      <x:c r="AF18" s="58" t="str">
        <x:f>IF(OR($A18="",$A$29=""),"",IF(COUNT($D18,$D$29)&lt;&gt;2,"N/A:input",IF(EXACT($C18,$C$29),$D18-$D$29,"N/A:cohort")))</x:f>
      </x:c>
      <x:c r="AG18" s="58" t="str">
        <x:f>IF(OR($A18="",$A$30=""),"",IF(COUNT($D18,$D$30)&lt;&gt;2,"N/A:input",IF(EXACT($C18,$C$30),$D18-$D$30,"N/A:cohort")))</x:f>
      </x:c>
      <x:c r="AH18" s="58" t="str">
        <x:f>IF(OR($A18="",$A$31=""),"",IF(COUNT($D18,$D$31)&lt;&gt;2,"N/A:input",IF(EXACT($C18,$C$31),$D18-$D$31,"N/A:cohort")))</x:f>
      </x:c>
      <x:c r="AI18" s="58" t="str">
        <x:f>IF(OR($A18="",$A$32=""),"",IF(COUNT($D18,$D$32)&lt;&gt;2,"N/A:input",IF(EXACT($C18,$C$32),$D18-$D$32,"N/A:cohort")))</x:f>
      </x:c>
      <x:c r="AJ18" s="58" t="str">
        <x:f>IF(OR($A18="",$A$33=""),"",IF(COUNT($D18,$D$33)&lt;&gt;2,"N/A:input",IF(EXACT($C18,$C$33),$D18-$D$33,"N/A:cohort")))</x:f>
      </x:c>
      <x:c r="AK18" s="58" t="str">
        <x:f>IF(OR($A18="",$A$34=""),"",IF(COUNT($D18,$D$34)&lt;&gt;2,"N/A:input",IF(EXACT($C18,$C$34),$D18-$D$34,"N/A:cohort")))</x:f>
      </x:c>
      <x:c r="AL18" s="58" t="str">
        <x:f>IF(OR($A18="",$A$35=""),"",IF(COUNT($D18,$D$35)&lt;&gt;2,"N/A:input",IF(EXACT($C18,$C$35),$D18-$D$35,"N/A:cohort")))</x:f>
      </x:c>
      <x:c r="AM18" s="58" t="str">
        <x:f>IF(OR($A18="",$A$36=""),"",IF(COUNT($D18,$D$36)&lt;&gt;2,"N/A:input",IF(EXACT($C18,$C$36),$D18-$D$36,"N/A:cohort")))</x:f>
      </x:c>
      <x:c r="AN18" s="34" t="str">
        <x:f>IF(COUNT($D18)=0,"",SUM(IF(AND(EXACT($C$7,$C18),ISNUMBER($D$7)),($D$7&gt;$D18)+($D$7=$D18)/2,0),IF(AND(EXACT($C$8,$C18),ISNUMBER($D$8)),($D$8&gt;$D18)+($D$8=$D18)/2,0),IF(AND(EXACT($C$9,$C18),ISNUMBER($D$9)),($D$9&gt;$D18)+($D$9=$D18)/2,0),IF(AND(EXACT($C$10,$C18),ISNUMBER($D$10)),($D$10&gt;$D18)+($D$10=$D18)/2,0),IF(AND(EXACT($C$11,$C18),ISNUMBER($D$11)),($D$11&gt;$D18)+($D$11=$D18)/2,0),IF(AND(EXACT($C$12,$C18),ISNUMBER($D$12)),($D$12&gt;$D18)+($D$12=$D18)/2,0),IF(AND(EXACT($C$13,$C18),ISNUMBER($D$13)),($D$13&gt;$D18)+($D$13=$D18)/2,0),IF(AND(EXACT($C$14,$C18),ISNUMBER($D$14)),($D$14&gt;$D18)+($D$14=$D18)/2,0),IF(AND(EXACT($C$15,$C18),ISNUMBER($D$15)),($D$15&gt;$D18)+($D$15=$D18)/2,0),IF(AND(EXACT($C$16,$C18),ISNUMBER($D$16)),($D$16&gt;$D18)+($D$16=$D18)/2,0),IF(AND(EXACT($C$17,$C18),ISNUMBER($D$17)),($D$17&gt;$D18)+($D$17=$D18)/2,0),IF(AND(EXACT($C$18,$C18),ISNUMBER($D$18)),($D$18&gt;$D18)+($D$18=$D18)/2,0),IF(AND(EXACT($C$19,$C18),ISNUMBER($D$19)),($D$19&gt;$D18)+($D$19=$D18)/2,0),IF(AND(EXACT($C$20,$C18),ISNUMBER($D$20)),($D$20&gt;$D18)+($D$20=$D18)/2,0),IF(AND(EXACT($C$21,$C18),ISNUMBER($D$21)),($D$21&gt;$D18)+($D$21=$D18)/2,0),IF(AND(EXACT($C$22,$C18),ISNUMBER($D$22)),($D$22&gt;$D18)+($D$22=$D18)/2,0),IF(AND(EXACT($C$23,$C18),ISNUMBER($D$23)),($D$23&gt;$D18)+($D$23=$D18)/2,0),IF(AND(EXACT($C$24,$C18),ISNUMBER($D$24)),($D$24&gt;$D18)+($D$24=$D18)/2,0),IF(AND(EXACT($C$25,$C18),ISNUMBER($D$25)),($D$25&gt;$D18)+($D$25=$D18)/2,0),IF(AND(EXACT($C$26,$C18),ISNUMBER($D$26)),($D$26&gt;$D18)+($D$26=$D18)/2,0),IF(AND(EXACT($C$27,$C18),ISNUMBER($D$27)),($D$27&gt;$D18)+($D$27=$D18)/2,0),IF(AND(EXACT($C$28,$C18),ISNUMBER($D$28)),($D$28&gt;$D18)+($D$28=$D18)/2,0),IF(AND(EXACT($C$29,$C18),ISNUMBER($D$29)),($D$29&gt;$D18)+($D$29=$D18)/2,0),IF(AND(EXACT($C$30,$C18),ISNUMBER($D$30)),($D$30&gt;$D18)+($D$30=$D18)/2,0),IF(AND(EXACT($C$31,$C18),ISNUMBER($D$31)),($D$31&gt;$D18)+($D$31=$D18)/2,0),IF(AND(EXACT($C$32,$C18),ISNUMBER($D$32)),($D$32&gt;$D18)+($D$32=$D18)/2,0),IF(AND(EXACT($C$33,$C18),ISNUMBER($D$33)),($D$33&gt;$D18)+($D$33=$D18)/2,0),IF(AND(EXACT($C$34,$C18),ISNUMBER($D$34)),($D$34&gt;$D18)+($D$34=$D18)/2,0),IF(AND(EXACT($C$35,$C18),ISNUMBER($D$35)),($D$35&gt;$D18)+($D$35=$D18)/2,0),IF(AND(EXACT($C$36,$C18),ISNUMBER($D$36)),($D$36&gt;$D18)+($D$36=$D18)/2,0),IF(AND(EXACT($C$37,$C18),ISNUMBER($D$37)),($D$37&gt;$D18)+($D$37=$D18)/2,0),IF(AND(EXACT($C$38,$C18),ISNUMBER($D$38)),($D$38&gt;$D18)+($D$38=$D18)/2,0),IF(AND(EXACT($C$39,$C18),ISNUMBER($D$39)),($D$39&gt;$D18)+($D$39=$D18)/2,0),IF(AND(EXACT($C$40,$C18),ISNUMBER($D$40)),($D$40&gt;$D18)+($D$40=$D18)/2,0),IF(AND(EXACT($C$41,$C18),ISNUMBER($D$41)),($D$41&gt;$D18)+($D$41=$D18)/2,0),IF(AND(EXACT($C$42,$C18),ISNUMBER($D$42)),($D$42&gt;$D18)+($D$42=$D18)/2,0),IF(AND(EXACT($C$43,$C18),ISNUMBER($D$43)),($D$43&gt;$D18)+($D$43=$D18)/2,0),IF(AND(EXACT($C$44,$C18),ISNUMBER($D$44)),($D$44&gt;$D18)+($D$44=$D18)/2,0),IF(AND(EXACT($C$45,$C18),ISNUMBER($D$45)),($D$45&gt;$D18)+($D$45=$D18)/2,0),IF(AND(EXACT($C$46,$C18),ISNUMBER($D$46)),($D$46&gt;$D18)+($D$46=$D18)/2,0),IF(AND(EXACT($C$47,$C18),ISNUMBER($D$47)),($D$47&gt;$D18)+($D$47=$D18)/2,0),IF(AND(EXACT($C$48,$C18),ISNUMBER($D$48)),($D$48&gt;$D18)+($D$48=$D18)/2,0),IF(AND(EXACT($C$49,$C18),ISNUMBER($D$49)),($D$49&gt;$D18)+($D$49=$D18)/2,0),IF(AND(EXACT($C$50,$C18),ISNUMBER($D$50)),($D$50&gt;$D18)+($D$50=$D18)/2,0),IF(AND(EXACT($C$51,$C18),ISNUMBER($D$51)),($D$51&gt;$D18)+($D$51=$D18)/2,0),IF(AND(EXACT($C$52,$C18),ISNUMBER($D$52)),($D$52&gt;$D18)+($D$52=$D18)/2,0),IF(AND(EXACT($C$53,$C18),ISNUMBER($D$53)),($D$53&gt;$D18)+($D$53=$D18)/2,0),IF(AND(EXACT($C$54,$C18),ISNUMBER($D$54)),($D$54&gt;$D18)+($D$54=$D18)/2,0),IF(AND(EXACT($C$55,$C18),ISNUMBER($D$55)),($D$55&gt;$D18)+($D$55=$D18)/2,0),IF(AND(EXACT($C$56,$C18),ISNUMBER($D$56)),($D$56&gt;$D18)+($D$56=$D18)/2,0)))</x:f>
      </x:c>
      <x:c r="AO18" s="34" t="str">
        <x:f>IF(COUNT($D18)=0,"",SUM(IF(AND(EXACT($C$57,$C18),ISNUMBER($D$57)),($D$57&gt;$D18)+($D$57=$D18)/2,0),IF(AND(EXACT($C$58,$C18),ISNUMBER($D$58)),($D$58&gt;$D18)+($D$58=$D18)/2,0),IF(AND(EXACT($C$59,$C18),ISNUMBER($D$59)),($D$59&gt;$D18)+($D$59=$D18)/2,0),IF(AND(EXACT($C$60,$C18),ISNUMBER($D$60)),($D$60&gt;$D18)+($D$60=$D18)/2,0),IF(AND(EXACT($C$61,$C18),ISNUMBER($D$61)),($D$61&gt;$D18)+($D$61=$D18)/2,0),IF(AND(EXACT($C$62,$C18),ISNUMBER($D$62)),($D$62&gt;$D18)+($D$62=$D18)/2,0),IF(AND(EXACT($C$63,$C18),ISNUMBER($D$63)),($D$63&gt;$D18)+($D$63=$D18)/2,0),IF(AND(EXACT($C$64,$C18),ISNUMBER($D$64)),($D$64&gt;$D18)+($D$64=$D18)/2,0),IF(AND(EXACT($C$65,$C18),ISNUMBER($D$65)),($D$65&gt;$D18)+($D$65=$D18)/2,0),IF(AND(EXACT($C$66,$C18),ISNUMBER($D$66)),($D$66&gt;$D18)+($D$66=$D18)/2,0),IF(AND(EXACT($C$67,$C18),ISNUMBER($D$67)),($D$67&gt;$D18)+($D$67=$D18)/2,0),IF(AND(EXACT($C$68,$C18),ISNUMBER($D$68)),($D$68&gt;$D18)+($D$68=$D18)/2,0),IF(AND(EXACT($C$69,$C18),ISNUMBER($D$69)),($D$69&gt;$D18)+($D$69=$D18)/2,0),IF(AND(EXACT($C$70,$C18),ISNUMBER($D$70)),($D$70&gt;$D18)+($D$70=$D18)/2,0),IF(AND(EXACT($C$71,$C18),ISNUMBER($D$71)),($D$71&gt;$D18)+($D$71=$D18)/2,0),IF(AND(EXACT($C$72,$C18),ISNUMBER($D$72)),($D$72&gt;$D18)+($D$72=$D18)/2,0),IF(AND(EXACT($C$73,$C18),ISNUMBER($D$73)),($D$73&gt;$D18)+($D$73=$D18)/2,0),IF(AND(EXACT($C$74,$C18),ISNUMBER($D$74)),($D$74&gt;$D18)+($D$74=$D18)/2,0),IF(AND(EXACT($C$75,$C18),ISNUMBER($D$75)),($D$75&gt;$D18)+($D$75=$D18)/2,0),IF(AND(EXACT($C$76,$C18),ISNUMBER($D$76)),($D$76&gt;$D18)+($D$76=$D18)/2,0),IF(AND(EXACT($C$77,$C18),ISNUMBER($D$77)),($D$77&gt;$D18)+($D$77=$D18)/2,0),IF(AND(EXACT($C$78,$C18),ISNUMBER($D$78)),($D$78&gt;$D18)+($D$78=$D18)/2,0),IF(AND(EXACT($C$79,$C18),ISNUMBER($D$79)),($D$79&gt;$D18)+($D$79=$D18)/2,0),IF(AND(EXACT($C$80,$C18),ISNUMBER($D$80)),($D$80&gt;$D18)+($D$80=$D18)/2,0),IF(AND(EXACT($C$81,$C18),ISNUMBER($D$81)),($D$81&gt;$D18)+($D$81=$D18)/2,0),IF(AND(EXACT($C$82,$C18),ISNUMBER($D$82)),($D$82&gt;$D18)+($D$82=$D18)/2,0),IF(AND(EXACT($C$83,$C18),ISNUMBER($D$83)),($D$83&gt;$D18)+($D$83=$D18)/2,0),IF(AND(EXACT($C$84,$C18),ISNUMBER($D$84)),($D$84&gt;$D18)+($D$84=$D18)/2,0),IF(AND(EXACT($C$85,$C18),ISNUMBER($D$85)),($D$85&gt;$D18)+($D$85=$D18)/2,0),IF(AND(EXACT($C$86,$C18),ISNUMBER($D$86)),($D$86&gt;$D18)+($D$86=$D18)/2,0),IF(AND(EXACT($C$87,$C18),ISNUMBER($D$87)),($D$87&gt;$D18)+($D$87=$D18)/2,0),IF(AND(EXACT($C$88,$C18),ISNUMBER($D$88)),($D$88&gt;$D18)+($D$88=$D18)/2,0),IF(AND(EXACT($C$89,$C18),ISNUMBER($D$89)),($D$89&gt;$D18)+($D$89=$D18)/2,0),IF(AND(EXACT($C$90,$C18),ISNUMBER($D$90)),($D$90&gt;$D18)+($D$90=$D18)/2,0),IF(AND(EXACT($C$91,$C18),ISNUMBER($D$91)),($D$91&gt;$D18)+($D$91=$D18)/2,0),IF(AND(EXACT($C$92,$C18),ISNUMBER($D$92)),($D$92&gt;$D18)+($D$92=$D18)/2,0),IF(AND(EXACT($C$93,$C18),ISNUMBER($D$93)),($D$93&gt;$D18)+($D$93=$D18)/2,0),IF(AND(EXACT($C$94,$C18),ISNUMBER($D$94)),($D$94&gt;$D18)+($D$94=$D18)/2,0),IF(AND(EXACT($C$95,$C18),ISNUMBER($D$95)),($D$95&gt;$D18)+($D$95=$D18)/2,0),IF(AND(EXACT($C$96,$C18),ISNUMBER($D$96)),($D$96&gt;$D18)+($D$96=$D18)/2,0),IF(AND(EXACT($C$97,$C18),ISNUMBER($D$97)),($D$97&gt;$D18)+($D$97=$D18)/2,0),IF(AND(EXACT($C$98,$C18),ISNUMBER($D$98)),($D$98&gt;$D18)+($D$98=$D18)/2,0),IF(AND(EXACT($C$99,$C18),ISNUMBER($D$99)),($D$99&gt;$D18)+($D$99=$D18)/2,0),IF(AND(EXACT($C$100,$C18),ISNUMBER($D$100)),($D$100&gt;$D18)+($D$100=$D18)/2,0),IF(AND(EXACT($C$101,$C18),ISNUMBER($D$101)),($D$101&gt;$D18)+($D$101=$D18)/2,0),IF(AND(EXACT($C$102,$C18),ISNUMBER($D$102)),($D$102&gt;$D18)+($D$102=$D18)/2,0),IF(AND(EXACT($C$103,$C18),ISNUMBER($D$103)),($D$103&gt;$D18)+($D$103=$D18)/2,0),IF(AND(EXACT($C$104,$C18),ISNUMBER($D$104)),($D$104&gt;$D18)+($D$104=$D18)/2,0),IF(AND(EXACT($C$105,$C18),ISNUMBER($D$105)),($D$105&gt;$D18)+($D$105=$D18)/2,0),IF(AND(EXACT($C$106,$C18),ISNUMBER($D$106)),($D$106&gt;$D18)+($D$106=$D18)/2,0)))</x:f>
      </x:c>
    </x:row>
    <x:row r="19">
      <x:c r="A19" s="34" t="str">
        <x:f>IF('91_CALC_SCORES'!A19="","",'91_CALC_SCORES'!A19)</x:f>
      </x:c>
      <x:c r="B19" s="34" t="str">
        <x:f>IF($A19="","",'91_CALC_SCORES'!B19)</x:f>
      </x:c>
      <x:c r="C19" s="34" t="str">
        <x:f>IF($A19="","",'91_CALC_SCORES'!K19)</x:f>
      </x:c>
      <x:c r="D19" s="57" t="str">
        <x:f>IF(OR($A19="",NOT(OR(LEFT('91_CALC_SCORES'!AB19,4)="PASS",LEFT('91_CALC_SCORES'!AB19,5)="READY"))),"",'91_CALC_SCORES'!Y19)</x:f>
      </x:c>
      <x:c r="E19" s="34" t="str">
        <x:f>IF(COUNT(D19)=0,"",1+SUM(AN19:AO19)-1/2)</x:f>
      </x:c>
      <x:c r="F19" s="34" t="str">
        <x:f>IF($A19="","",'91_CALC_SCORES'!AB19)</x:f>
      </x:c>
      <x:c r="G19" s="34" t="str">
        <x:f>IF(A19="","","연구 베타 | 기업 백분위 아님")</x:f>
      </x:c>
      <x:c r="I19" s="13" t="str">
        <x:f>IF($A$19="","",$A$19)</x:f>
      </x:c>
      <x:c r="J19" s="58" t="str">
        <x:f>IF(OR($A19="",$A$7=""),"",IF(COUNT($D19,$D$7)&lt;&gt;2,"N/A:input",IF(EXACT($C19,$C$7),$D19-$D$7,"N/A:cohort")))</x:f>
      </x:c>
      <x:c r="K19" s="58" t="str">
        <x:f>IF(OR($A19="",$A$8=""),"",IF(COUNT($D19,$D$8)&lt;&gt;2,"N/A:input",IF(EXACT($C19,$C$8),$D19-$D$8,"N/A:cohort")))</x:f>
      </x:c>
      <x:c r="L19" s="58" t="str">
        <x:f>IF(OR($A19="",$A$9=""),"",IF(COUNT($D19,$D$9)&lt;&gt;2,"N/A:input",IF(EXACT($C19,$C$9),$D19-$D$9,"N/A:cohort")))</x:f>
      </x:c>
      <x:c r="M19" s="58" t="str">
        <x:f>IF(OR($A19="",$A$10=""),"",IF(COUNT($D19,$D$10)&lt;&gt;2,"N/A:input",IF(EXACT($C19,$C$10),$D19-$D$10,"N/A:cohort")))</x:f>
      </x:c>
      <x:c r="N19" s="58" t="str">
        <x:f>IF(OR($A19="",$A$11=""),"",IF(COUNT($D19,$D$11)&lt;&gt;2,"N/A:input",IF(EXACT($C19,$C$11),$D19-$D$11,"N/A:cohort")))</x:f>
      </x:c>
      <x:c r="O19" s="58" t="str">
        <x:f>IF(OR($A19="",$A$12=""),"",IF(COUNT($D19,$D$12)&lt;&gt;2,"N/A:input",IF(EXACT($C19,$C$12),$D19-$D$12,"N/A:cohort")))</x:f>
      </x:c>
      <x:c r="P19" s="58" t="str">
        <x:f>IF(OR($A19="",$A$13=""),"",IF(COUNT($D19,$D$13)&lt;&gt;2,"N/A:input",IF(EXACT($C19,$C$13),$D19-$D$13,"N/A:cohort")))</x:f>
      </x:c>
      <x:c r="Q19" s="58" t="str">
        <x:f>IF(OR($A19="",$A$14=""),"",IF(COUNT($D19,$D$14)&lt;&gt;2,"N/A:input",IF(EXACT($C19,$C$14),$D19-$D$14,"N/A:cohort")))</x:f>
      </x:c>
      <x:c r="R19" s="58" t="str">
        <x:f>IF(OR($A19="",$A$15=""),"",IF(COUNT($D19,$D$15)&lt;&gt;2,"N/A:input",IF(EXACT($C19,$C$15),$D19-$D$15,"N/A:cohort")))</x:f>
      </x:c>
      <x:c r="S19" s="58" t="str">
        <x:f>IF(OR($A19="",$A$16=""),"",IF(COUNT($D19,$D$16)&lt;&gt;2,"N/A:input",IF(EXACT($C19,$C$16),$D19-$D$16,"N/A:cohort")))</x:f>
      </x:c>
      <x:c r="T19" s="58" t="str">
        <x:f>IF(OR($A19="",$A$17=""),"",IF(COUNT($D19,$D$17)&lt;&gt;2,"N/A:input",IF(EXACT($C19,$C$17),$D19-$D$17,"N/A:cohort")))</x:f>
      </x:c>
      <x:c r="U19" s="58" t="str">
        <x:f>IF(OR($A19="",$A$18=""),"",IF(COUNT($D19,$D$18)&lt;&gt;2,"N/A:input",IF(EXACT($C19,$C$18),$D19-$D$18,"N/A:cohort")))</x:f>
      </x:c>
      <x:c r="V19" s="58" t="str">
        <x:f>IF(OR($A19="",$A$19=""),"",IF(COUNT($D19,$D$19)&lt;&gt;2,"N/A:input",IF(EXACT($C19,$C$19),$D19-$D$19,"N/A:cohort")))</x:f>
      </x:c>
      <x:c r="W19" s="58" t="str">
        <x:f>IF(OR($A19="",$A$20=""),"",IF(COUNT($D19,$D$20)&lt;&gt;2,"N/A:input",IF(EXACT($C19,$C$20),$D19-$D$20,"N/A:cohort")))</x:f>
      </x:c>
      <x:c r="X19" s="58" t="str">
        <x:f>IF(OR($A19="",$A$21=""),"",IF(COUNT($D19,$D$21)&lt;&gt;2,"N/A:input",IF(EXACT($C19,$C$21),$D19-$D$21,"N/A:cohort")))</x:f>
      </x:c>
      <x:c r="Y19" s="58" t="str">
        <x:f>IF(OR($A19="",$A$22=""),"",IF(COUNT($D19,$D$22)&lt;&gt;2,"N/A:input",IF(EXACT($C19,$C$22),$D19-$D$22,"N/A:cohort")))</x:f>
      </x:c>
      <x:c r="Z19" s="58" t="str">
        <x:f>IF(OR($A19="",$A$23=""),"",IF(COUNT($D19,$D$23)&lt;&gt;2,"N/A:input",IF(EXACT($C19,$C$23),$D19-$D$23,"N/A:cohort")))</x:f>
      </x:c>
      <x:c r="AA19" s="58" t="str">
        <x:f>IF(OR($A19="",$A$24=""),"",IF(COUNT($D19,$D$24)&lt;&gt;2,"N/A:input",IF(EXACT($C19,$C$24),$D19-$D$24,"N/A:cohort")))</x:f>
      </x:c>
      <x:c r="AB19" s="58" t="str">
        <x:f>IF(OR($A19="",$A$25=""),"",IF(COUNT($D19,$D$25)&lt;&gt;2,"N/A:input",IF(EXACT($C19,$C$25),$D19-$D$25,"N/A:cohort")))</x:f>
      </x:c>
      <x:c r="AC19" s="58" t="str">
        <x:f>IF(OR($A19="",$A$26=""),"",IF(COUNT($D19,$D$26)&lt;&gt;2,"N/A:input",IF(EXACT($C19,$C$26),$D19-$D$26,"N/A:cohort")))</x:f>
      </x:c>
      <x:c r="AD19" s="58" t="str">
        <x:f>IF(OR($A19="",$A$27=""),"",IF(COUNT($D19,$D$27)&lt;&gt;2,"N/A:input",IF(EXACT($C19,$C$27),$D19-$D$27,"N/A:cohort")))</x:f>
      </x:c>
      <x:c r="AE19" s="58" t="str">
        <x:f>IF(OR($A19="",$A$28=""),"",IF(COUNT($D19,$D$28)&lt;&gt;2,"N/A:input",IF(EXACT($C19,$C$28),$D19-$D$28,"N/A:cohort")))</x:f>
      </x:c>
      <x:c r="AF19" s="58" t="str">
        <x:f>IF(OR($A19="",$A$29=""),"",IF(COUNT($D19,$D$29)&lt;&gt;2,"N/A:input",IF(EXACT($C19,$C$29),$D19-$D$29,"N/A:cohort")))</x:f>
      </x:c>
      <x:c r="AG19" s="58" t="str">
        <x:f>IF(OR($A19="",$A$30=""),"",IF(COUNT($D19,$D$30)&lt;&gt;2,"N/A:input",IF(EXACT($C19,$C$30),$D19-$D$30,"N/A:cohort")))</x:f>
      </x:c>
      <x:c r="AH19" s="58" t="str">
        <x:f>IF(OR($A19="",$A$31=""),"",IF(COUNT($D19,$D$31)&lt;&gt;2,"N/A:input",IF(EXACT($C19,$C$31),$D19-$D$31,"N/A:cohort")))</x:f>
      </x:c>
      <x:c r="AI19" s="58" t="str">
        <x:f>IF(OR($A19="",$A$32=""),"",IF(COUNT($D19,$D$32)&lt;&gt;2,"N/A:input",IF(EXACT($C19,$C$32),$D19-$D$32,"N/A:cohort")))</x:f>
      </x:c>
      <x:c r="AJ19" s="58" t="str">
        <x:f>IF(OR($A19="",$A$33=""),"",IF(COUNT($D19,$D$33)&lt;&gt;2,"N/A:input",IF(EXACT($C19,$C$33),$D19-$D$33,"N/A:cohort")))</x:f>
      </x:c>
      <x:c r="AK19" s="58" t="str">
        <x:f>IF(OR($A19="",$A$34=""),"",IF(COUNT($D19,$D$34)&lt;&gt;2,"N/A:input",IF(EXACT($C19,$C$34),$D19-$D$34,"N/A:cohort")))</x:f>
      </x:c>
      <x:c r="AL19" s="58" t="str">
        <x:f>IF(OR($A19="",$A$35=""),"",IF(COUNT($D19,$D$35)&lt;&gt;2,"N/A:input",IF(EXACT($C19,$C$35),$D19-$D$35,"N/A:cohort")))</x:f>
      </x:c>
      <x:c r="AM19" s="58" t="str">
        <x:f>IF(OR($A19="",$A$36=""),"",IF(COUNT($D19,$D$36)&lt;&gt;2,"N/A:input",IF(EXACT($C19,$C$36),$D19-$D$36,"N/A:cohort")))</x:f>
      </x:c>
      <x:c r="AN19" s="34" t="str">
        <x:f>IF(COUNT($D19)=0,"",SUM(IF(AND(EXACT($C$7,$C19),ISNUMBER($D$7)),($D$7&gt;$D19)+($D$7=$D19)/2,0),IF(AND(EXACT($C$8,$C19),ISNUMBER($D$8)),($D$8&gt;$D19)+($D$8=$D19)/2,0),IF(AND(EXACT($C$9,$C19),ISNUMBER($D$9)),($D$9&gt;$D19)+($D$9=$D19)/2,0),IF(AND(EXACT($C$10,$C19),ISNUMBER($D$10)),($D$10&gt;$D19)+($D$10=$D19)/2,0),IF(AND(EXACT($C$11,$C19),ISNUMBER($D$11)),($D$11&gt;$D19)+($D$11=$D19)/2,0),IF(AND(EXACT($C$12,$C19),ISNUMBER($D$12)),($D$12&gt;$D19)+($D$12=$D19)/2,0),IF(AND(EXACT($C$13,$C19),ISNUMBER($D$13)),($D$13&gt;$D19)+($D$13=$D19)/2,0),IF(AND(EXACT($C$14,$C19),ISNUMBER($D$14)),($D$14&gt;$D19)+($D$14=$D19)/2,0),IF(AND(EXACT($C$15,$C19),ISNUMBER($D$15)),($D$15&gt;$D19)+($D$15=$D19)/2,0),IF(AND(EXACT($C$16,$C19),ISNUMBER($D$16)),($D$16&gt;$D19)+($D$16=$D19)/2,0),IF(AND(EXACT($C$17,$C19),ISNUMBER($D$17)),($D$17&gt;$D19)+($D$17=$D19)/2,0),IF(AND(EXACT($C$18,$C19),ISNUMBER($D$18)),($D$18&gt;$D19)+($D$18=$D19)/2,0),IF(AND(EXACT($C$19,$C19),ISNUMBER($D$19)),($D$19&gt;$D19)+($D$19=$D19)/2,0),IF(AND(EXACT($C$20,$C19),ISNUMBER($D$20)),($D$20&gt;$D19)+($D$20=$D19)/2,0),IF(AND(EXACT($C$21,$C19),ISNUMBER($D$21)),($D$21&gt;$D19)+($D$21=$D19)/2,0),IF(AND(EXACT($C$22,$C19),ISNUMBER($D$22)),($D$22&gt;$D19)+($D$22=$D19)/2,0),IF(AND(EXACT($C$23,$C19),ISNUMBER($D$23)),($D$23&gt;$D19)+($D$23=$D19)/2,0),IF(AND(EXACT($C$24,$C19),ISNUMBER($D$24)),($D$24&gt;$D19)+($D$24=$D19)/2,0),IF(AND(EXACT($C$25,$C19),ISNUMBER($D$25)),($D$25&gt;$D19)+($D$25=$D19)/2,0),IF(AND(EXACT($C$26,$C19),ISNUMBER($D$26)),($D$26&gt;$D19)+($D$26=$D19)/2,0),IF(AND(EXACT($C$27,$C19),ISNUMBER($D$27)),($D$27&gt;$D19)+($D$27=$D19)/2,0),IF(AND(EXACT($C$28,$C19),ISNUMBER($D$28)),($D$28&gt;$D19)+($D$28=$D19)/2,0),IF(AND(EXACT($C$29,$C19),ISNUMBER($D$29)),($D$29&gt;$D19)+($D$29=$D19)/2,0),IF(AND(EXACT($C$30,$C19),ISNUMBER($D$30)),($D$30&gt;$D19)+($D$30=$D19)/2,0),IF(AND(EXACT($C$31,$C19),ISNUMBER($D$31)),($D$31&gt;$D19)+($D$31=$D19)/2,0),IF(AND(EXACT($C$32,$C19),ISNUMBER($D$32)),($D$32&gt;$D19)+($D$32=$D19)/2,0),IF(AND(EXACT($C$33,$C19),ISNUMBER($D$33)),($D$33&gt;$D19)+($D$33=$D19)/2,0),IF(AND(EXACT($C$34,$C19),ISNUMBER($D$34)),($D$34&gt;$D19)+($D$34=$D19)/2,0),IF(AND(EXACT($C$35,$C19),ISNUMBER($D$35)),($D$35&gt;$D19)+($D$35=$D19)/2,0),IF(AND(EXACT($C$36,$C19),ISNUMBER($D$36)),($D$36&gt;$D19)+($D$36=$D19)/2,0),IF(AND(EXACT($C$37,$C19),ISNUMBER($D$37)),($D$37&gt;$D19)+($D$37=$D19)/2,0),IF(AND(EXACT($C$38,$C19),ISNUMBER($D$38)),($D$38&gt;$D19)+($D$38=$D19)/2,0),IF(AND(EXACT($C$39,$C19),ISNUMBER($D$39)),($D$39&gt;$D19)+($D$39=$D19)/2,0),IF(AND(EXACT($C$40,$C19),ISNUMBER($D$40)),($D$40&gt;$D19)+($D$40=$D19)/2,0),IF(AND(EXACT($C$41,$C19),ISNUMBER($D$41)),($D$41&gt;$D19)+($D$41=$D19)/2,0),IF(AND(EXACT($C$42,$C19),ISNUMBER($D$42)),($D$42&gt;$D19)+($D$42=$D19)/2,0),IF(AND(EXACT($C$43,$C19),ISNUMBER($D$43)),($D$43&gt;$D19)+($D$43=$D19)/2,0),IF(AND(EXACT($C$44,$C19),ISNUMBER($D$44)),($D$44&gt;$D19)+($D$44=$D19)/2,0),IF(AND(EXACT($C$45,$C19),ISNUMBER($D$45)),($D$45&gt;$D19)+($D$45=$D19)/2,0),IF(AND(EXACT($C$46,$C19),ISNUMBER($D$46)),($D$46&gt;$D19)+($D$46=$D19)/2,0),IF(AND(EXACT($C$47,$C19),ISNUMBER($D$47)),($D$47&gt;$D19)+($D$47=$D19)/2,0),IF(AND(EXACT($C$48,$C19),ISNUMBER($D$48)),($D$48&gt;$D19)+($D$48=$D19)/2,0),IF(AND(EXACT($C$49,$C19),ISNUMBER($D$49)),($D$49&gt;$D19)+($D$49=$D19)/2,0),IF(AND(EXACT($C$50,$C19),ISNUMBER($D$50)),($D$50&gt;$D19)+($D$50=$D19)/2,0),IF(AND(EXACT($C$51,$C19),ISNUMBER($D$51)),($D$51&gt;$D19)+($D$51=$D19)/2,0),IF(AND(EXACT($C$52,$C19),ISNUMBER($D$52)),($D$52&gt;$D19)+($D$52=$D19)/2,0),IF(AND(EXACT($C$53,$C19),ISNUMBER($D$53)),($D$53&gt;$D19)+($D$53=$D19)/2,0),IF(AND(EXACT($C$54,$C19),ISNUMBER($D$54)),($D$54&gt;$D19)+($D$54=$D19)/2,0),IF(AND(EXACT($C$55,$C19),ISNUMBER($D$55)),($D$55&gt;$D19)+($D$55=$D19)/2,0),IF(AND(EXACT($C$56,$C19),ISNUMBER($D$56)),($D$56&gt;$D19)+($D$56=$D19)/2,0)))</x:f>
      </x:c>
      <x:c r="AO19" s="34" t="str">
        <x:f>IF(COUNT($D19)=0,"",SUM(IF(AND(EXACT($C$57,$C19),ISNUMBER($D$57)),($D$57&gt;$D19)+($D$57=$D19)/2,0),IF(AND(EXACT($C$58,$C19),ISNUMBER($D$58)),($D$58&gt;$D19)+($D$58=$D19)/2,0),IF(AND(EXACT($C$59,$C19),ISNUMBER($D$59)),($D$59&gt;$D19)+($D$59=$D19)/2,0),IF(AND(EXACT($C$60,$C19),ISNUMBER($D$60)),($D$60&gt;$D19)+($D$60=$D19)/2,0),IF(AND(EXACT($C$61,$C19),ISNUMBER($D$61)),($D$61&gt;$D19)+($D$61=$D19)/2,0),IF(AND(EXACT($C$62,$C19),ISNUMBER($D$62)),($D$62&gt;$D19)+($D$62=$D19)/2,0),IF(AND(EXACT($C$63,$C19),ISNUMBER($D$63)),($D$63&gt;$D19)+($D$63=$D19)/2,0),IF(AND(EXACT($C$64,$C19),ISNUMBER($D$64)),($D$64&gt;$D19)+($D$64=$D19)/2,0),IF(AND(EXACT($C$65,$C19),ISNUMBER($D$65)),($D$65&gt;$D19)+($D$65=$D19)/2,0),IF(AND(EXACT($C$66,$C19),ISNUMBER($D$66)),($D$66&gt;$D19)+($D$66=$D19)/2,0),IF(AND(EXACT($C$67,$C19),ISNUMBER($D$67)),($D$67&gt;$D19)+($D$67=$D19)/2,0),IF(AND(EXACT($C$68,$C19),ISNUMBER($D$68)),($D$68&gt;$D19)+($D$68=$D19)/2,0),IF(AND(EXACT($C$69,$C19),ISNUMBER($D$69)),($D$69&gt;$D19)+($D$69=$D19)/2,0),IF(AND(EXACT($C$70,$C19),ISNUMBER($D$70)),($D$70&gt;$D19)+($D$70=$D19)/2,0),IF(AND(EXACT($C$71,$C19),ISNUMBER($D$71)),($D$71&gt;$D19)+($D$71=$D19)/2,0),IF(AND(EXACT($C$72,$C19),ISNUMBER($D$72)),($D$72&gt;$D19)+($D$72=$D19)/2,0),IF(AND(EXACT($C$73,$C19),ISNUMBER($D$73)),($D$73&gt;$D19)+($D$73=$D19)/2,0),IF(AND(EXACT($C$74,$C19),ISNUMBER($D$74)),($D$74&gt;$D19)+($D$74=$D19)/2,0),IF(AND(EXACT($C$75,$C19),ISNUMBER($D$75)),($D$75&gt;$D19)+($D$75=$D19)/2,0),IF(AND(EXACT($C$76,$C19),ISNUMBER($D$76)),($D$76&gt;$D19)+($D$76=$D19)/2,0),IF(AND(EXACT($C$77,$C19),ISNUMBER($D$77)),($D$77&gt;$D19)+($D$77=$D19)/2,0),IF(AND(EXACT($C$78,$C19),ISNUMBER($D$78)),($D$78&gt;$D19)+($D$78=$D19)/2,0),IF(AND(EXACT($C$79,$C19),ISNUMBER($D$79)),($D$79&gt;$D19)+($D$79=$D19)/2,0),IF(AND(EXACT($C$80,$C19),ISNUMBER($D$80)),($D$80&gt;$D19)+($D$80=$D19)/2,0),IF(AND(EXACT($C$81,$C19),ISNUMBER($D$81)),($D$81&gt;$D19)+($D$81=$D19)/2,0),IF(AND(EXACT($C$82,$C19),ISNUMBER($D$82)),($D$82&gt;$D19)+($D$82=$D19)/2,0),IF(AND(EXACT($C$83,$C19),ISNUMBER($D$83)),($D$83&gt;$D19)+($D$83=$D19)/2,0),IF(AND(EXACT($C$84,$C19),ISNUMBER($D$84)),($D$84&gt;$D19)+($D$84=$D19)/2,0),IF(AND(EXACT($C$85,$C19),ISNUMBER($D$85)),($D$85&gt;$D19)+($D$85=$D19)/2,0),IF(AND(EXACT($C$86,$C19),ISNUMBER($D$86)),($D$86&gt;$D19)+($D$86=$D19)/2,0),IF(AND(EXACT($C$87,$C19),ISNUMBER($D$87)),($D$87&gt;$D19)+($D$87=$D19)/2,0),IF(AND(EXACT($C$88,$C19),ISNUMBER($D$88)),($D$88&gt;$D19)+($D$88=$D19)/2,0),IF(AND(EXACT($C$89,$C19),ISNUMBER($D$89)),($D$89&gt;$D19)+($D$89=$D19)/2,0),IF(AND(EXACT($C$90,$C19),ISNUMBER($D$90)),($D$90&gt;$D19)+($D$90=$D19)/2,0),IF(AND(EXACT($C$91,$C19),ISNUMBER($D$91)),($D$91&gt;$D19)+($D$91=$D19)/2,0),IF(AND(EXACT($C$92,$C19),ISNUMBER($D$92)),($D$92&gt;$D19)+($D$92=$D19)/2,0),IF(AND(EXACT($C$93,$C19),ISNUMBER($D$93)),($D$93&gt;$D19)+($D$93=$D19)/2,0),IF(AND(EXACT($C$94,$C19),ISNUMBER($D$94)),($D$94&gt;$D19)+($D$94=$D19)/2,0),IF(AND(EXACT($C$95,$C19),ISNUMBER($D$95)),($D$95&gt;$D19)+($D$95=$D19)/2,0),IF(AND(EXACT($C$96,$C19),ISNUMBER($D$96)),($D$96&gt;$D19)+($D$96=$D19)/2,0),IF(AND(EXACT($C$97,$C19),ISNUMBER($D$97)),($D$97&gt;$D19)+($D$97=$D19)/2,0),IF(AND(EXACT($C$98,$C19),ISNUMBER($D$98)),($D$98&gt;$D19)+($D$98=$D19)/2,0),IF(AND(EXACT($C$99,$C19),ISNUMBER($D$99)),($D$99&gt;$D19)+($D$99=$D19)/2,0),IF(AND(EXACT($C$100,$C19),ISNUMBER($D$100)),($D$100&gt;$D19)+($D$100=$D19)/2,0),IF(AND(EXACT($C$101,$C19),ISNUMBER($D$101)),($D$101&gt;$D19)+($D$101=$D19)/2,0),IF(AND(EXACT($C$102,$C19),ISNUMBER($D$102)),($D$102&gt;$D19)+($D$102=$D19)/2,0),IF(AND(EXACT($C$103,$C19),ISNUMBER($D$103)),($D$103&gt;$D19)+($D$103=$D19)/2,0),IF(AND(EXACT($C$104,$C19),ISNUMBER($D$104)),($D$104&gt;$D19)+($D$104=$D19)/2,0),IF(AND(EXACT($C$105,$C19),ISNUMBER($D$105)),($D$105&gt;$D19)+($D$105=$D19)/2,0),IF(AND(EXACT($C$106,$C19),ISNUMBER($D$106)),($D$106&gt;$D19)+($D$106=$D19)/2,0)))</x:f>
      </x:c>
    </x:row>
    <x:row r="20">
      <x:c r="A20" s="34" t="str">
        <x:f>IF('91_CALC_SCORES'!A20="","",'91_CALC_SCORES'!A20)</x:f>
      </x:c>
      <x:c r="B20" s="34" t="str">
        <x:f>IF($A20="","",'91_CALC_SCORES'!B20)</x:f>
      </x:c>
      <x:c r="C20" s="34" t="str">
        <x:f>IF($A20="","",'91_CALC_SCORES'!K20)</x:f>
      </x:c>
      <x:c r="D20" s="57" t="str">
        <x:f>IF(OR($A20="",NOT(OR(LEFT('91_CALC_SCORES'!AB20,4)="PASS",LEFT('91_CALC_SCORES'!AB20,5)="READY"))),"",'91_CALC_SCORES'!Y20)</x:f>
      </x:c>
      <x:c r="E20" s="34" t="str">
        <x:f>IF(COUNT(D20)=0,"",1+SUM(AN20:AO20)-1/2)</x:f>
      </x:c>
      <x:c r="F20" s="34" t="str">
        <x:f>IF($A20="","",'91_CALC_SCORES'!AB20)</x:f>
      </x:c>
      <x:c r="G20" s="34" t="str">
        <x:f>IF(A20="","","연구 베타 | 기업 백분위 아님")</x:f>
      </x:c>
      <x:c r="I20" s="13" t="str">
        <x:f>IF($A$20="","",$A$20)</x:f>
      </x:c>
      <x:c r="J20" s="58" t="str">
        <x:f>IF(OR($A20="",$A$7=""),"",IF(COUNT($D20,$D$7)&lt;&gt;2,"N/A:input",IF(EXACT($C20,$C$7),$D20-$D$7,"N/A:cohort")))</x:f>
      </x:c>
      <x:c r="K20" s="58" t="str">
        <x:f>IF(OR($A20="",$A$8=""),"",IF(COUNT($D20,$D$8)&lt;&gt;2,"N/A:input",IF(EXACT($C20,$C$8),$D20-$D$8,"N/A:cohort")))</x:f>
      </x:c>
      <x:c r="L20" s="58" t="str">
        <x:f>IF(OR($A20="",$A$9=""),"",IF(COUNT($D20,$D$9)&lt;&gt;2,"N/A:input",IF(EXACT($C20,$C$9),$D20-$D$9,"N/A:cohort")))</x:f>
      </x:c>
      <x:c r="M20" s="58" t="str">
        <x:f>IF(OR($A20="",$A$10=""),"",IF(COUNT($D20,$D$10)&lt;&gt;2,"N/A:input",IF(EXACT($C20,$C$10),$D20-$D$10,"N/A:cohort")))</x:f>
      </x:c>
      <x:c r="N20" s="58" t="str">
        <x:f>IF(OR($A20="",$A$11=""),"",IF(COUNT($D20,$D$11)&lt;&gt;2,"N/A:input",IF(EXACT($C20,$C$11),$D20-$D$11,"N/A:cohort")))</x:f>
      </x:c>
      <x:c r="O20" s="58" t="str">
        <x:f>IF(OR($A20="",$A$12=""),"",IF(COUNT($D20,$D$12)&lt;&gt;2,"N/A:input",IF(EXACT($C20,$C$12),$D20-$D$12,"N/A:cohort")))</x:f>
      </x:c>
      <x:c r="P20" s="58" t="str">
        <x:f>IF(OR($A20="",$A$13=""),"",IF(COUNT($D20,$D$13)&lt;&gt;2,"N/A:input",IF(EXACT($C20,$C$13),$D20-$D$13,"N/A:cohort")))</x:f>
      </x:c>
      <x:c r="Q20" s="58" t="str">
        <x:f>IF(OR($A20="",$A$14=""),"",IF(COUNT($D20,$D$14)&lt;&gt;2,"N/A:input",IF(EXACT($C20,$C$14),$D20-$D$14,"N/A:cohort")))</x:f>
      </x:c>
      <x:c r="R20" s="58" t="str">
        <x:f>IF(OR($A20="",$A$15=""),"",IF(COUNT($D20,$D$15)&lt;&gt;2,"N/A:input",IF(EXACT($C20,$C$15),$D20-$D$15,"N/A:cohort")))</x:f>
      </x:c>
      <x:c r="S20" s="58" t="str">
        <x:f>IF(OR($A20="",$A$16=""),"",IF(COUNT($D20,$D$16)&lt;&gt;2,"N/A:input",IF(EXACT($C20,$C$16),$D20-$D$16,"N/A:cohort")))</x:f>
      </x:c>
      <x:c r="T20" s="58" t="str">
        <x:f>IF(OR($A20="",$A$17=""),"",IF(COUNT($D20,$D$17)&lt;&gt;2,"N/A:input",IF(EXACT($C20,$C$17),$D20-$D$17,"N/A:cohort")))</x:f>
      </x:c>
      <x:c r="U20" s="58" t="str">
        <x:f>IF(OR($A20="",$A$18=""),"",IF(COUNT($D20,$D$18)&lt;&gt;2,"N/A:input",IF(EXACT($C20,$C$18),$D20-$D$18,"N/A:cohort")))</x:f>
      </x:c>
      <x:c r="V20" s="58" t="str">
        <x:f>IF(OR($A20="",$A$19=""),"",IF(COUNT($D20,$D$19)&lt;&gt;2,"N/A:input",IF(EXACT($C20,$C$19),$D20-$D$19,"N/A:cohort")))</x:f>
      </x:c>
      <x:c r="W20" s="58" t="str">
        <x:f>IF(OR($A20="",$A$20=""),"",IF(COUNT($D20,$D$20)&lt;&gt;2,"N/A:input",IF(EXACT($C20,$C$20),$D20-$D$20,"N/A:cohort")))</x:f>
      </x:c>
      <x:c r="X20" s="58" t="str">
        <x:f>IF(OR($A20="",$A$21=""),"",IF(COUNT($D20,$D$21)&lt;&gt;2,"N/A:input",IF(EXACT($C20,$C$21),$D20-$D$21,"N/A:cohort")))</x:f>
      </x:c>
      <x:c r="Y20" s="58" t="str">
        <x:f>IF(OR($A20="",$A$22=""),"",IF(COUNT($D20,$D$22)&lt;&gt;2,"N/A:input",IF(EXACT($C20,$C$22),$D20-$D$22,"N/A:cohort")))</x:f>
      </x:c>
      <x:c r="Z20" s="58" t="str">
        <x:f>IF(OR($A20="",$A$23=""),"",IF(COUNT($D20,$D$23)&lt;&gt;2,"N/A:input",IF(EXACT($C20,$C$23),$D20-$D$23,"N/A:cohort")))</x:f>
      </x:c>
      <x:c r="AA20" s="58" t="str">
        <x:f>IF(OR($A20="",$A$24=""),"",IF(COUNT($D20,$D$24)&lt;&gt;2,"N/A:input",IF(EXACT($C20,$C$24),$D20-$D$24,"N/A:cohort")))</x:f>
      </x:c>
      <x:c r="AB20" s="58" t="str">
        <x:f>IF(OR($A20="",$A$25=""),"",IF(COUNT($D20,$D$25)&lt;&gt;2,"N/A:input",IF(EXACT($C20,$C$25),$D20-$D$25,"N/A:cohort")))</x:f>
      </x:c>
      <x:c r="AC20" s="58" t="str">
        <x:f>IF(OR($A20="",$A$26=""),"",IF(COUNT($D20,$D$26)&lt;&gt;2,"N/A:input",IF(EXACT($C20,$C$26),$D20-$D$26,"N/A:cohort")))</x:f>
      </x:c>
      <x:c r="AD20" s="58" t="str">
        <x:f>IF(OR($A20="",$A$27=""),"",IF(COUNT($D20,$D$27)&lt;&gt;2,"N/A:input",IF(EXACT($C20,$C$27),$D20-$D$27,"N/A:cohort")))</x:f>
      </x:c>
      <x:c r="AE20" s="58" t="str">
        <x:f>IF(OR($A20="",$A$28=""),"",IF(COUNT($D20,$D$28)&lt;&gt;2,"N/A:input",IF(EXACT($C20,$C$28),$D20-$D$28,"N/A:cohort")))</x:f>
      </x:c>
      <x:c r="AF20" s="58" t="str">
        <x:f>IF(OR($A20="",$A$29=""),"",IF(COUNT($D20,$D$29)&lt;&gt;2,"N/A:input",IF(EXACT($C20,$C$29),$D20-$D$29,"N/A:cohort")))</x:f>
      </x:c>
      <x:c r="AG20" s="58" t="str">
        <x:f>IF(OR($A20="",$A$30=""),"",IF(COUNT($D20,$D$30)&lt;&gt;2,"N/A:input",IF(EXACT($C20,$C$30),$D20-$D$30,"N/A:cohort")))</x:f>
      </x:c>
      <x:c r="AH20" s="58" t="str">
        <x:f>IF(OR($A20="",$A$31=""),"",IF(COUNT($D20,$D$31)&lt;&gt;2,"N/A:input",IF(EXACT($C20,$C$31),$D20-$D$31,"N/A:cohort")))</x:f>
      </x:c>
      <x:c r="AI20" s="58" t="str">
        <x:f>IF(OR($A20="",$A$32=""),"",IF(COUNT($D20,$D$32)&lt;&gt;2,"N/A:input",IF(EXACT($C20,$C$32),$D20-$D$32,"N/A:cohort")))</x:f>
      </x:c>
      <x:c r="AJ20" s="58" t="str">
        <x:f>IF(OR($A20="",$A$33=""),"",IF(COUNT($D20,$D$33)&lt;&gt;2,"N/A:input",IF(EXACT($C20,$C$33),$D20-$D$33,"N/A:cohort")))</x:f>
      </x:c>
      <x:c r="AK20" s="58" t="str">
        <x:f>IF(OR($A20="",$A$34=""),"",IF(COUNT($D20,$D$34)&lt;&gt;2,"N/A:input",IF(EXACT($C20,$C$34),$D20-$D$34,"N/A:cohort")))</x:f>
      </x:c>
      <x:c r="AL20" s="58" t="str">
        <x:f>IF(OR($A20="",$A$35=""),"",IF(COUNT($D20,$D$35)&lt;&gt;2,"N/A:input",IF(EXACT($C20,$C$35),$D20-$D$35,"N/A:cohort")))</x:f>
      </x:c>
      <x:c r="AM20" s="58" t="str">
        <x:f>IF(OR($A20="",$A$36=""),"",IF(COUNT($D20,$D$36)&lt;&gt;2,"N/A:input",IF(EXACT($C20,$C$36),$D20-$D$36,"N/A:cohort")))</x:f>
      </x:c>
      <x:c r="AN20" s="34" t="str">
        <x:f>IF(COUNT($D20)=0,"",SUM(IF(AND(EXACT($C$7,$C20),ISNUMBER($D$7)),($D$7&gt;$D20)+($D$7=$D20)/2,0),IF(AND(EXACT($C$8,$C20),ISNUMBER($D$8)),($D$8&gt;$D20)+($D$8=$D20)/2,0),IF(AND(EXACT($C$9,$C20),ISNUMBER($D$9)),($D$9&gt;$D20)+($D$9=$D20)/2,0),IF(AND(EXACT($C$10,$C20),ISNUMBER($D$10)),($D$10&gt;$D20)+($D$10=$D20)/2,0),IF(AND(EXACT($C$11,$C20),ISNUMBER($D$11)),($D$11&gt;$D20)+($D$11=$D20)/2,0),IF(AND(EXACT($C$12,$C20),ISNUMBER($D$12)),($D$12&gt;$D20)+($D$12=$D20)/2,0),IF(AND(EXACT($C$13,$C20),ISNUMBER($D$13)),($D$13&gt;$D20)+($D$13=$D20)/2,0),IF(AND(EXACT($C$14,$C20),ISNUMBER($D$14)),($D$14&gt;$D20)+($D$14=$D20)/2,0),IF(AND(EXACT($C$15,$C20),ISNUMBER($D$15)),($D$15&gt;$D20)+($D$15=$D20)/2,0),IF(AND(EXACT($C$16,$C20),ISNUMBER($D$16)),($D$16&gt;$D20)+($D$16=$D20)/2,0),IF(AND(EXACT($C$17,$C20),ISNUMBER($D$17)),($D$17&gt;$D20)+($D$17=$D20)/2,0),IF(AND(EXACT($C$18,$C20),ISNUMBER($D$18)),($D$18&gt;$D20)+($D$18=$D20)/2,0),IF(AND(EXACT($C$19,$C20),ISNUMBER($D$19)),($D$19&gt;$D20)+($D$19=$D20)/2,0),IF(AND(EXACT($C$20,$C20),ISNUMBER($D$20)),($D$20&gt;$D20)+($D$20=$D20)/2,0),IF(AND(EXACT($C$21,$C20),ISNUMBER($D$21)),($D$21&gt;$D20)+($D$21=$D20)/2,0),IF(AND(EXACT($C$22,$C20),ISNUMBER($D$22)),($D$22&gt;$D20)+($D$22=$D20)/2,0),IF(AND(EXACT($C$23,$C20),ISNUMBER($D$23)),($D$23&gt;$D20)+($D$23=$D20)/2,0),IF(AND(EXACT($C$24,$C20),ISNUMBER($D$24)),($D$24&gt;$D20)+($D$24=$D20)/2,0),IF(AND(EXACT($C$25,$C20),ISNUMBER($D$25)),($D$25&gt;$D20)+($D$25=$D20)/2,0),IF(AND(EXACT($C$26,$C20),ISNUMBER($D$26)),($D$26&gt;$D20)+($D$26=$D20)/2,0),IF(AND(EXACT($C$27,$C20),ISNUMBER($D$27)),($D$27&gt;$D20)+($D$27=$D20)/2,0),IF(AND(EXACT($C$28,$C20),ISNUMBER($D$28)),($D$28&gt;$D20)+($D$28=$D20)/2,0),IF(AND(EXACT($C$29,$C20),ISNUMBER($D$29)),($D$29&gt;$D20)+($D$29=$D20)/2,0),IF(AND(EXACT($C$30,$C20),ISNUMBER($D$30)),($D$30&gt;$D20)+($D$30=$D20)/2,0),IF(AND(EXACT($C$31,$C20),ISNUMBER($D$31)),($D$31&gt;$D20)+($D$31=$D20)/2,0),IF(AND(EXACT($C$32,$C20),ISNUMBER($D$32)),($D$32&gt;$D20)+($D$32=$D20)/2,0),IF(AND(EXACT($C$33,$C20),ISNUMBER($D$33)),($D$33&gt;$D20)+($D$33=$D20)/2,0),IF(AND(EXACT($C$34,$C20),ISNUMBER($D$34)),($D$34&gt;$D20)+($D$34=$D20)/2,0),IF(AND(EXACT($C$35,$C20),ISNUMBER($D$35)),($D$35&gt;$D20)+($D$35=$D20)/2,0),IF(AND(EXACT($C$36,$C20),ISNUMBER($D$36)),($D$36&gt;$D20)+($D$36=$D20)/2,0),IF(AND(EXACT($C$37,$C20),ISNUMBER($D$37)),($D$37&gt;$D20)+($D$37=$D20)/2,0),IF(AND(EXACT($C$38,$C20),ISNUMBER($D$38)),($D$38&gt;$D20)+($D$38=$D20)/2,0),IF(AND(EXACT($C$39,$C20),ISNUMBER($D$39)),($D$39&gt;$D20)+($D$39=$D20)/2,0),IF(AND(EXACT($C$40,$C20),ISNUMBER($D$40)),($D$40&gt;$D20)+($D$40=$D20)/2,0),IF(AND(EXACT($C$41,$C20),ISNUMBER($D$41)),($D$41&gt;$D20)+($D$41=$D20)/2,0),IF(AND(EXACT($C$42,$C20),ISNUMBER($D$42)),($D$42&gt;$D20)+($D$42=$D20)/2,0),IF(AND(EXACT($C$43,$C20),ISNUMBER($D$43)),($D$43&gt;$D20)+($D$43=$D20)/2,0),IF(AND(EXACT($C$44,$C20),ISNUMBER($D$44)),($D$44&gt;$D20)+($D$44=$D20)/2,0),IF(AND(EXACT($C$45,$C20),ISNUMBER($D$45)),($D$45&gt;$D20)+($D$45=$D20)/2,0),IF(AND(EXACT($C$46,$C20),ISNUMBER($D$46)),($D$46&gt;$D20)+($D$46=$D20)/2,0),IF(AND(EXACT($C$47,$C20),ISNUMBER($D$47)),($D$47&gt;$D20)+($D$47=$D20)/2,0),IF(AND(EXACT($C$48,$C20),ISNUMBER($D$48)),($D$48&gt;$D20)+($D$48=$D20)/2,0),IF(AND(EXACT($C$49,$C20),ISNUMBER($D$49)),($D$49&gt;$D20)+($D$49=$D20)/2,0),IF(AND(EXACT($C$50,$C20),ISNUMBER($D$50)),($D$50&gt;$D20)+($D$50=$D20)/2,0),IF(AND(EXACT($C$51,$C20),ISNUMBER($D$51)),($D$51&gt;$D20)+($D$51=$D20)/2,0),IF(AND(EXACT($C$52,$C20),ISNUMBER($D$52)),($D$52&gt;$D20)+($D$52=$D20)/2,0),IF(AND(EXACT($C$53,$C20),ISNUMBER($D$53)),($D$53&gt;$D20)+($D$53=$D20)/2,0),IF(AND(EXACT($C$54,$C20),ISNUMBER($D$54)),($D$54&gt;$D20)+($D$54=$D20)/2,0),IF(AND(EXACT($C$55,$C20),ISNUMBER($D$55)),($D$55&gt;$D20)+($D$55=$D20)/2,0),IF(AND(EXACT($C$56,$C20),ISNUMBER($D$56)),($D$56&gt;$D20)+($D$56=$D20)/2,0)))</x:f>
      </x:c>
      <x:c r="AO20" s="34" t="str">
        <x:f>IF(COUNT($D20)=0,"",SUM(IF(AND(EXACT($C$57,$C20),ISNUMBER($D$57)),($D$57&gt;$D20)+($D$57=$D20)/2,0),IF(AND(EXACT($C$58,$C20),ISNUMBER($D$58)),($D$58&gt;$D20)+($D$58=$D20)/2,0),IF(AND(EXACT($C$59,$C20),ISNUMBER($D$59)),($D$59&gt;$D20)+($D$59=$D20)/2,0),IF(AND(EXACT($C$60,$C20),ISNUMBER($D$60)),($D$60&gt;$D20)+($D$60=$D20)/2,0),IF(AND(EXACT($C$61,$C20),ISNUMBER($D$61)),($D$61&gt;$D20)+($D$61=$D20)/2,0),IF(AND(EXACT($C$62,$C20),ISNUMBER($D$62)),($D$62&gt;$D20)+($D$62=$D20)/2,0),IF(AND(EXACT($C$63,$C20),ISNUMBER($D$63)),($D$63&gt;$D20)+($D$63=$D20)/2,0),IF(AND(EXACT($C$64,$C20),ISNUMBER($D$64)),($D$64&gt;$D20)+($D$64=$D20)/2,0),IF(AND(EXACT($C$65,$C20),ISNUMBER($D$65)),($D$65&gt;$D20)+($D$65=$D20)/2,0),IF(AND(EXACT($C$66,$C20),ISNUMBER($D$66)),($D$66&gt;$D20)+($D$66=$D20)/2,0),IF(AND(EXACT($C$67,$C20),ISNUMBER($D$67)),($D$67&gt;$D20)+($D$67=$D20)/2,0),IF(AND(EXACT($C$68,$C20),ISNUMBER($D$68)),($D$68&gt;$D20)+($D$68=$D20)/2,0),IF(AND(EXACT($C$69,$C20),ISNUMBER($D$69)),($D$69&gt;$D20)+($D$69=$D20)/2,0),IF(AND(EXACT($C$70,$C20),ISNUMBER($D$70)),($D$70&gt;$D20)+($D$70=$D20)/2,0),IF(AND(EXACT($C$71,$C20),ISNUMBER($D$71)),($D$71&gt;$D20)+($D$71=$D20)/2,0),IF(AND(EXACT($C$72,$C20),ISNUMBER($D$72)),($D$72&gt;$D20)+($D$72=$D20)/2,0),IF(AND(EXACT($C$73,$C20),ISNUMBER($D$73)),($D$73&gt;$D20)+($D$73=$D20)/2,0),IF(AND(EXACT($C$74,$C20),ISNUMBER($D$74)),($D$74&gt;$D20)+($D$74=$D20)/2,0),IF(AND(EXACT($C$75,$C20),ISNUMBER($D$75)),($D$75&gt;$D20)+($D$75=$D20)/2,0),IF(AND(EXACT($C$76,$C20),ISNUMBER($D$76)),($D$76&gt;$D20)+($D$76=$D20)/2,0),IF(AND(EXACT($C$77,$C20),ISNUMBER($D$77)),($D$77&gt;$D20)+($D$77=$D20)/2,0),IF(AND(EXACT($C$78,$C20),ISNUMBER($D$78)),($D$78&gt;$D20)+($D$78=$D20)/2,0),IF(AND(EXACT($C$79,$C20),ISNUMBER($D$79)),($D$79&gt;$D20)+($D$79=$D20)/2,0),IF(AND(EXACT($C$80,$C20),ISNUMBER($D$80)),($D$80&gt;$D20)+($D$80=$D20)/2,0),IF(AND(EXACT($C$81,$C20),ISNUMBER($D$81)),($D$81&gt;$D20)+($D$81=$D20)/2,0),IF(AND(EXACT($C$82,$C20),ISNUMBER($D$82)),($D$82&gt;$D20)+($D$82=$D20)/2,0),IF(AND(EXACT($C$83,$C20),ISNUMBER($D$83)),($D$83&gt;$D20)+($D$83=$D20)/2,0),IF(AND(EXACT($C$84,$C20),ISNUMBER($D$84)),($D$84&gt;$D20)+($D$84=$D20)/2,0),IF(AND(EXACT($C$85,$C20),ISNUMBER($D$85)),($D$85&gt;$D20)+($D$85=$D20)/2,0),IF(AND(EXACT($C$86,$C20),ISNUMBER($D$86)),($D$86&gt;$D20)+($D$86=$D20)/2,0),IF(AND(EXACT($C$87,$C20),ISNUMBER($D$87)),($D$87&gt;$D20)+($D$87=$D20)/2,0),IF(AND(EXACT($C$88,$C20),ISNUMBER($D$88)),($D$88&gt;$D20)+($D$88=$D20)/2,0),IF(AND(EXACT($C$89,$C20),ISNUMBER($D$89)),($D$89&gt;$D20)+($D$89=$D20)/2,0),IF(AND(EXACT($C$90,$C20),ISNUMBER($D$90)),($D$90&gt;$D20)+($D$90=$D20)/2,0),IF(AND(EXACT($C$91,$C20),ISNUMBER($D$91)),($D$91&gt;$D20)+($D$91=$D20)/2,0),IF(AND(EXACT($C$92,$C20),ISNUMBER($D$92)),($D$92&gt;$D20)+($D$92=$D20)/2,0),IF(AND(EXACT($C$93,$C20),ISNUMBER($D$93)),($D$93&gt;$D20)+($D$93=$D20)/2,0),IF(AND(EXACT($C$94,$C20),ISNUMBER($D$94)),($D$94&gt;$D20)+($D$94=$D20)/2,0),IF(AND(EXACT($C$95,$C20),ISNUMBER($D$95)),($D$95&gt;$D20)+($D$95=$D20)/2,0),IF(AND(EXACT($C$96,$C20),ISNUMBER($D$96)),($D$96&gt;$D20)+($D$96=$D20)/2,0),IF(AND(EXACT($C$97,$C20),ISNUMBER($D$97)),($D$97&gt;$D20)+($D$97=$D20)/2,0),IF(AND(EXACT($C$98,$C20),ISNUMBER($D$98)),($D$98&gt;$D20)+($D$98=$D20)/2,0),IF(AND(EXACT($C$99,$C20),ISNUMBER($D$99)),($D$99&gt;$D20)+($D$99=$D20)/2,0),IF(AND(EXACT($C$100,$C20),ISNUMBER($D$100)),($D$100&gt;$D20)+($D$100=$D20)/2,0),IF(AND(EXACT($C$101,$C20),ISNUMBER($D$101)),($D$101&gt;$D20)+($D$101=$D20)/2,0),IF(AND(EXACT($C$102,$C20),ISNUMBER($D$102)),($D$102&gt;$D20)+($D$102=$D20)/2,0),IF(AND(EXACT($C$103,$C20),ISNUMBER($D$103)),($D$103&gt;$D20)+($D$103=$D20)/2,0),IF(AND(EXACT($C$104,$C20),ISNUMBER($D$104)),($D$104&gt;$D20)+($D$104=$D20)/2,0),IF(AND(EXACT($C$105,$C20),ISNUMBER($D$105)),($D$105&gt;$D20)+($D$105=$D20)/2,0),IF(AND(EXACT($C$106,$C20),ISNUMBER($D$106)),($D$106&gt;$D20)+($D$106=$D20)/2,0)))</x:f>
      </x:c>
    </x:row>
    <x:row r="21">
      <x:c r="A21" s="34" t="str">
        <x:f>IF('91_CALC_SCORES'!A21="","",'91_CALC_SCORES'!A21)</x:f>
      </x:c>
      <x:c r="B21" s="34" t="str">
        <x:f>IF($A21="","",'91_CALC_SCORES'!B21)</x:f>
      </x:c>
      <x:c r="C21" s="34" t="str">
        <x:f>IF($A21="","",'91_CALC_SCORES'!K21)</x:f>
      </x:c>
      <x:c r="D21" s="57" t="str">
        <x:f>IF(OR($A21="",NOT(OR(LEFT('91_CALC_SCORES'!AB21,4)="PASS",LEFT('91_CALC_SCORES'!AB21,5)="READY"))),"",'91_CALC_SCORES'!Y21)</x:f>
      </x:c>
      <x:c r="E21" s="34" t="str">
        <x:f>IF(COUNT(D21)=0,"",1+SUM(AN21:AO21)-1/2)</x:f>
      </x:c>
      <x:c r="F21" s="34" t="str">
        <x:f>IF($A21="","",'91_CALC_SCORES'!AB21)</x:f>
      </x:c>
      <x:c r="G21" s="34" t="str">
        <x:f>IF(A21="","","연구 베타 | 기업 백분위 아님")</x:f>
      </x:c>
      <x:c r="I21" s="13" t="str">
        <x:f>IF($A$21="","",$A$21)</x:f>
      </x:c>
      <x:c r="J21" s="58" t="str">
        <x:f>IF(OR($A21="",$A$7=""),"",IF(COUNT($D21,$D$7)&lt;&gt;2,"N/A:input",IF(EXACT($C21,$C$7),$D21-$D$7,"N/A:cohort")))</x:f>
      </x:c>
      <x:c r="K21" s="58" t="str">
        <x:f>IF(OR($A21="",$A$8=""),"",IF(COUNT($D21,$D$8)&lt;&gt;2,"N/A:input",IF(EXACT($C21,$C$8),$D21-$D$8,"N/A:cohort")))</x:f>
      </x:c>
      <x:c r="L21" s="58" t="str">
        <x:f>IF(OR($A21="",$A$9=""),"",IF(COUNT($D21,$D$9)&lt;&gt;2,"N/A:input",IF(EXACT($C21,$C$9),$D21-$D$9,"N/A:cohort")))</x:f>
      </x:c>
      <x:c r="M21" s="58" t="str">
        <x:f>IF(OR($A21="",$A$10=""),"",IF(COUNT($D21,$D$10)&lt;&gt;2,"N/A:input",IF(EXACT($C21,$C$10),$D21-$D$10,"N/A:cohort")))</x:f>
      </x:c>
      <x:c r="N21" s="58" t="str">
        <x:f>IF(OR($A21="",$A$11=""),"",IF(COUNT($D21,$D$11)&lt;&gt;2,"N/A:input",IF(EXACT($C21,$C$11),$D21-$D$11,"N/A:cohort")))</x:f>
      </x:c>
      <x:c r="O21" s="58" t="str">
        <x:f>IF(OR($A21="",$A$12=""),"",IF(COUNT($D21,$D$12)&lt;&gt;2,"N/A:input",IF(EXACT($C21,$C$12),$D21-$D$12,"N/A:cohort")))</x:f>
      </x:c>
      <x:c r="P21" s="58" t="str">
        <x:f>IF(OR($A21="",$A$13=""),"",IF(COUNT($D21,$D$13)&lt;&gt;2,"N/A:input",IF(EXACT($C21,$C$13),$D21-$D$13,"N/A:cohort")))</x:f>
      </x:c>
      <x:c r="Q21" s="58" t="str">
        <x:f>IF(OR($A21="",$A$14=""),"",IF(COUNT($D21,$D$14)&lt;&gt;2,"N/A:input",IF(EXACT($C21,$C$14),$D21-$D$14,"N/A:cohort")))</x:f>
      </x:c>
      <x:c r="R21" s="58" t="str">
        <x:f>IF(OR($A21="",$A$15=""),"",IF(COUNT($D21,$D$15)&lt;&gt;2,"N/A:input",IF(EXACT($C21,$C$15),$D21-$D$15,"N/A:cohort")))</x:f>
      </x:c>
      <x:c r="S21" s="58" t="str">
        <x:f>IF(OR($A21="",$A$16=""),"",IF(COUNT($D21,$D$16)&lt;&gt;2,"N/A:input",IF(EXACT($C21,$C$16),$D21-$D$16,"N/A:cohort")))</x:f>
      </x:c>
      <x:c r="T21" s="58" t="str">
        <x:f>IF(OR($A21="",$A$17=""),"",IF(COUNT($D21,$D$17)&lt;&gt;2,"N/A:input",IF(EXACT($C21,$C$17),$D21-$D$17,"N/A:cohort")))</x:f>
      </x:c>
      <x:c r="U21" s="58" t="str">
        <x:f>IF(OR($A21="",$A$18=""),"",IF(COUNT($D21,$D$18)&lt;&gt;2,"N/A:input",IF(EXACT($C21,$C$18),$D21-$D$18,"N/A:cohort")))</x:f>
      </x:c>
      <x:c r="V21" s="58" t="str">
        <x:f>IF(OR($A21="",$A$19=""),"",IF(COUNT($D21,$D$19)&lt;&gt;2,"N/A:input",IF(EXACT($C21,$C$19),$D21-$D$19,"N/A:cohort")))</x:f>
      </x:c>
      <x:c r="W21" s="58" t="str">
        <x:f>IF(OR($A21="",$A$20=""),"",IF(COUNT($D21,$D$20)&lt;&gt;2,"N/A:input",IF(EXACT($C21,$C$20),$D21-$D$20,"N/A:cohort")))</x:f>
      </x:c>
      <x:c r="X21" s="58" t="str">
        <x:f>IF(OR($A21="",$A$21=""),"",IF(COUNT($D21,$D$21)&lt;&gt;2,"N/A:input",IF(EXACT($C21,$C$21),$D21-$D$21,"N/A:cohort")))</x:f>
      </x:c>
      <x:c r="Y21" s="58" t="str">
        <x:f>IF(OR($A21="",$A$22=""),"",IF(COUNT($D21,$D$22)&lt;&gt;2,"N/A:input",IF(EXACT($C21,$C$22),$D21-$D$22,"N/A:cohort")))</x:f>
      </x:c>
      <x:c r="Z21" s="58" t="str">
        <x:f>IF(OR($A21="",$A$23=""),"",IF(COUNT($D21,$D$23)&lt;&gt;2,"N/A:input",IF(EXACT($C21,$C$23),$D21-$D$23,"N/A:cohort")))</x:f>
      </x:c>
      <x:c r="AA21" s="58" t="str">
        <x:f>IF(OR($A21="",$A$24=""),"",IF(COUNT($D21,$D$24)&lt;&gt;2,"N/A:input",IF(EXACT($C21,$C$24),$D21-$D$24,"N/A:cohort")))</x:f>
      </x:c>
      <x:c r="AB21" s="58" t="str">
        <x:f>IF(OR($A21="",$A$25=""),"",IF(COUNT($D21,$D$25)&lt;&gt;2,"N/A:input",IF(EXACT($C21,$C$25),$D21-$D$25,"N/A:cohort")))</x:f>
      </x:c>
      <x:c r="AC21" s="58" t="str">
        <x:f>IF(OR($A21="",$A$26=""),"",IF(COUNT($D21,$D$26)&lt;&gt;2,"N/A:input",IF(EXACT($C21,$C$26),$D21-$D$26,"N/A:cohort")))</x:f>
      </x:c>
      <x:c r="AD21" s="58" t="str">
        <x:f>IF(OR($A21="",$A$27=""),"",IF(COUNT($D21,$D$27)&lt;&gt;2,"N/A:input",IF(EXACT($C21,$C$27),$D21-$D$27,"N/A:cohort")))</x:f>
      </x:c>
      <x:c r="AE21" s="58" t="str">
        <x:f>IF(OR($A21="",$A$28=""),"",IF(COUNT($D21,$D$28)&lt;&gt;2,"N/A:input",IF(EXACT($C21,$C$28),$D21-$D$28,"N/A:cohort")))</x:f>
      </x:c>
      <x:c r="AF21" s="58" t="str">
        <x:f>IF(OR($A21="",$A$29=""),"",IF(COUNT($D21,$D$29)&lt;&gt;2,"N/A:input",IF(EXACT($C21,$C$29),$D21-$D$29,"N/A:cohort")))</x:f>
      </x:c>
      <x:c r="AG21" s="58" t="str">
        <x:f>IF(OR($A21="",$A$30=""),"",IF(COUNT($D21,$D$30)&lt;&gt;2,"N/A:input",IF(EXACT($C21,$C$30),$D21-$D$30,"N/A:cohort")))</x:f>
      </x:c>
      <x:c r="AH21" s="58" t="str">
        <x:f>IF(OR($A21="",$A$31=""),"",IF(COUNT($D21,$D$31)&lt;&gt;2,"N/A:input",IF(EXACT($C21,$C$31),$D21-$D$31,"N/A:cohort")))</x:f>
      </x:c>
      <x:c r="AI21" s="58" t="str">
        <x:f>IF(OR($A21="",$A$32=""),"",IF(COUNT($D21,$D$32)&lt;&gt;2,"N/A:input",IF(EXACT($C21,$C$32),$D21-$D$32,"N/A:cohort")))</x:f>
      </x:c>
      <x:c r="AJ21" s="58" t="str">
        <x:f>IF(OR($A21="",$A$33=""),"",IF(COUNT($D21,$D$33)&lt;&gt;2,"N/A:input",IF(EXACT($C21,$C$33),$D21-$D$33,"N/A:cohort")))</x:f>
      </x:c>
      <x:c r="AK21" s="58" t="str">
        <x:f>IF(OR($A21="",$A$34=""),"",IF(COUNT($D21,$D$34)&lt;&gt;2,"N/A:input",IF(EXACT($C21,$C$34),$D21-$D$34,"N/A:cohort")))</x:f>
      </x:c>
      <x:c r="AL21" s="58" t="str">
        <x:f>IF(OR($A21="",$A$35=""),"",IF(COUNT($D21,$D$35)&lt;&gt;2,"N/A:input",IF(EXACT($C21,$C$35),$D21-$D$35,"N/A:cohort")))</x:f>
      </x:c>
      <x:c r="AM21" s="58" t="str">
        <x:f>IF(OR($A21="",$A$36=""),"",IF(COUNT($D21,$D$36)&lt;&gt;2,"N/A:input",IF(EXACT($C21,$C$36),$D21-$D$36,"N/A:cohort")))</x:f>
      </x:c>
      <x:c r="AN21" s="34" t="str">
        <x:f>IF(COUNT($D21)=0,"",SUM(IF(AND(EXACT($C$7,$C21),ISNUMBER($D$7)),($D$7&gt;$D21)+($D$7=$D21)/2,0),IF(AND(EXACT($C$8,$C21),ISNUMBER($D$8)),($D$8&gt;$D21)+($D$8=$D21)/2,0),IF(AND(EXACT($C$9,$C21),ISNUMBER($D$9)),($D$9&gt;$D21)+($D$9=$D21)/2,0),IF(AND(EXACT($C$10,$C21),ISNUMBER($D$10)),($D$10&gt;$D21)+($D$10=$D21)/2,0),IF(AND(EXACT($C$11,$C21),ISNUMBER($D$11)),($D$11&gt;$D21)+($D$11=$D21)/2,0),IF(AND(EXACT($C$12,$C21),ISNUMBER($D$12)),($D$12&gt;$D21)+($D$12=$D21)/2,0),IF(AND(EXACT($C$13,$C21),ISNUMBER($D$13)),($D$13&gt;$D21)+($D$13=$D21)/2,0),IF(AND(EXACT($C$14,$C21),ISNUMBER($D$14)),($D$14&gt;$D21)+($D$14=$D21)/2,0),IF(AND(EXACT($C$15,$C21),ISNUMBER($D$15)),($D$15&gt;$D21)+($D$15=$D21)/2,0),IF(AND(EXACT($C$16,$C21),ISNUMBER($D$16)),($D$16&gt;$D21)+($D$16=$D21)/2,0),IF(AND(EXACT($C$17,$C21),ISNUMBER($D$17)),($D$17&gt;$D21)+($D$17=$D21)/2,0),IF(AND(EXACT($C$18,$C21),ISNUMBER($D$18)),($D$18&gt;$D21)+($D$18=$D21)/2,0),IF(AND(EXACT($C$19,$C21),ISNUMBER($D$19)),($D$19&gt;$D21)+($D$19=$D21)/2,0),IF(AND(EXACT($C$20,$C21),ISNUMBER($D$20)),($D$20&gt;$D21)+($D$20=$D21)/2,0),IF(AND(EXACT($C$21,$C21),ISNUMBER($D$21)),($D$21&gt;$D21)+($D$21=$D21)/2,0),IF(AND(EXACT($C$22,$C21),ISNUMBER($D$22)),($D$22&gt;$D21)+($D$22=$D21)/2,0),IF(AND(EXACT($C$23,$C21),ISNUMBER($D$23)),($D$23&gt;$D21)+($D$23=$D21)/2,0),IF(AND(EXACT($C$24,$C21),ISNUMBER($D$24)),($D$24&gt;$D21)+($D$24=$D21)/2,0),IF(AND(EXACT($C$25,$C21),ISNUMBER($D$25)),($D$25&gt;$D21)+($D$25=$D21)/2,0),IF(AND(EXACT($C$26,$C21),ISNUMBER($D$26)),($D$26&gt;$D21)+($D$26=$D21)/2,0),IF(AND(EXACT($C$27,$C21),ISNUMBER($D$27)),($D$27&gt;$D21)+($D$27=$D21)/2,0),IF(AND(EXACT($C$28,$C21),ISNUMBER($D$28)),($D$28&gt;$D21)+($D$28=$D21)/2,0),IF(AND(EXACT($C$29,$C21),ISNUMBER($D$29)),($D$29&gt;$D21)+($D$29=$D21)/2,0),IF(AND(EXACT($C$30,$C21),ISNUMBER($D$30)),($D$30&gt;$D21)+($D$30=$D21)/2,0),IF(AND(EXACT($C$31,$C21),ISNUMBER($D$31)),($D$31&gt;$D21)+($D$31=$D21)/2,0),IF(AND(EXACT($C$32,$C21),ISNUMBER($D$32)),($D$32&gt;$D21)+($D$32=$D21)/2,0),IF(AND(EXACT($C$33,$C21),ISNUMBER($D$33)),($D$33&gt;$D21)+($D$33=$D21)/2,0),IF(AND(EXACT($C$34,$C21),ISNUMBER($D$34)),($D$34&gt;$D21)+($D$34=$D21)/2,0),IF(AND(EXACT($C$35,$C21),ISNUMBER($D$35)),($D$35&gt;$D21)+($D$35=$D21)/2,0),IF(AND(EXACT($C$36,$C21),ISNUMBER($D$36)),($D$36&gt;$D21)+($D$36=$D21)/2,0),IF(AND(EXACT($C$37,$C21),ISNUMBER($D$37)),($D$37&gt;$D21)+($D$37=$D21)/2,0),IF(AND(EXACT($C$38,$C21),ISNUMBER($D$38)),($D$38&gt;$D21)+($D$38=$D21)/2,0),IF(AND(EXACT($C$39,$C21),ISNUMBER($D$39)),($D$39&gt;$D21)+($D$39=$D21)/2,0),IF(AND(EXACT($C$40,$C21),ISNUMBER($D$40)),($D$40&gt;$D21)+($D$40=$D21)/2,0),IF(AND(EXACT($C$41,$C21),ISNUMBER($D$41)),($D$41&gt;$D21)+($D$41=$D21)/2,0),IF(AND(EXACT($C$42,$C21),ISNUMBER($D$42)),($D$42&gt;$D21)+($D$42=$D21)/2,0),IF(AND(EXACT($C$43,$C21),ISNUMBER($D$43)),($D$43&gt;$D21)+($D$43=$D21)/2,0),IF(AND(EXACT($C$44,$C21),ISNUMBER($D$44)),($D$44&gt;$D21)+($D$44=$D21)/2,0),IF(AND(EXACT($C$45,$C21),ISNUMBER($D$45)),($D$45&gt;$D21)+($D$45=$D21)/2,0),IF(AND(EXACT($C$46,$C21),ISNUMBER($D$46)),($D$46&gt;$D21)+($D$46=$D21)/2,0),IF(AND(EXACT($C$47,$C21),ISNUMBER($D$47)),($D$47&gt;$D21)+($D$47=$D21)/2,0),IF(AND(EXACT($C$48,$C21),ISNUMBER($D$48)),($D$48&gt;$D21)+($D$48=$D21)/2,0),IF(AND(EXACT($C$49,$C21),ISNUMBER($D$49)),($D$49&gt;$D21)+($D$49=$D21)/2,0),IF(AND(EXACT($C$50,$C21),ISNUMBER($D$50)),($D$50&gt;$D21)+($D$50=$D21)/2,0),IF(AND(EXACT($C$51,$C21),ISNUMBER($D$51)),($D$51&gt;$D21)+($D$51=$D21)/2,0),IF(AND(EXACT($C$52,$C21),ISNUMBER($D$52)),($D$52&gt;$D21)+($D$52=$D21)/2,0),IF(AND(EXACT($C$53,$C21),ISNUMBER($D$53)),($D$53&gt;$D21)+($D$53=$D21)/2,0),IF(AND(EXACT($C$54,$C21),ISNUMBER($D$54)),($D$54&gt;$D21)+($D$54=$D21)/2,0),IF(AND(EXACT($C$55,$C21),ISNUMBER($D$55)),($D$55&gt;$D21)+($D$55=$D21)/2,0),IF(AND(EXACT($C$56,$C21),ISNUMBER($D$56)),($D$56&gt;$D21)+($D$56=$D21)/2,0)))</x:f>
      </x:c>
      <x:c r="AO21" s="34" t="str">
        <x:f>IF(COUNT($D21)=0,"",SUM(IF(AND(EXACT($C$57,$C21),ISNUMBER($D$57)),($D$57&gt;$D21)+($D$57=$D21)/2,0),IF(AND(EXACT($C$58,$C21),ISNUMBER($D$58)),($D$58&gt;$D21)+($D$58=$D21)/2,0),IF(AND(EXACT($C$59,$C21),ISNUMBER($D$59)),($D$59&gt;$D21)+($D$59=$D21)/2,0),IF(AND(EXACT($C$60,$C21),ISNUMBER($D$60)),($D$60&gt;$D21)+($D$60=$D21)/2,0),IF(AND(EXACT($C$61,$C21),ISNUMBER($D$61)),($D$61&gt;$D21)+($D$61=$D21)/2,0),IF(AND(EXACT($C$62,$C21),ISNUMBER($D$62)),($D$62&gt;$D21)+($D$62=$D21)/2,0),IF(AND(EXACT($C$63,$C21),ISNUMBER($D$63)),($D$63&gt;$D21)+($D$63=$D21)/2,0),IF(AND(EXACT($C$64,$C21),ISNUMBER($D$64)),($D$64&gt;$D21)+($D$64=$D21)/2,0),IF(AND(EXACT($C$65,$C21),ISNUMBER($D$65)),($D$65&gt;$D21)+($D$65=$D21)/2,0),IF(AND(EXACT($C$66,$C21),ISNUMBER($D$66)),($D$66&gt;$D21)+($D$66=$D21)/2,0),IF(AND(EXACT($C$67,$C21),ISNUMBER($D$67)),($D$67&gt;$D21)+($D$67=$D21)/2,0),IF(AND(EXACT($C$68,$C21),ISNUMBER($D$68)),($D$68&gt;$D21)+($D$68=$D21)/2,0),IF(AND(EXACT($C$69,$C21),ISNUMBER($D$69)),($D$69&gt;$D21)+($D$69=$D21)/2,0),IF(AND(EXACT($C$70,$C21),ISNUMBER($D$70)),($D$70&gt;$D21)+($D$70=$D21)/2,0),IF(AND(EXACT($C$71,$C21),ISNUMBER($D$71)),($D$71&gt;$D21)+($D$71=$D21)/2,0),IF(AND(EXACT($C$72,$C21),ISNUMBER($D$72)),($D$72&gt;$D21)+($D$72=$D21)/2,0),IF(AND(EXACT($C$73,$C21),ISNUMBER($D$73)),($D$73&gt;$D21)+($D$73=$D21)/2,0),IF(AND(EXACT($C$74,$C21),ISNUMBER($D$74)),($D$74&gt;$D21)+($D$74=$D21)/2,0),IF(AND(EXACT($C$75,$C21),ISNUMBER($D$75)),($D$75&gt;$D21)+($D$75=$D21)/2,0),IF(AND(EXACT($C$76,$C21),ISNUMBER($D$76)),($D$76&gt;$D21)+($D$76=$D21)/2,0),IF(AND(EXACT($C$77,$C21),ISNUMBER($D$77)),($D$77&gt;$D21)+($D$77=$D21)/2,0),IF(AND(EXACT($C$78,$C21),ISNUMBER($D$78)),($D$78&gt;$D21)+($D$78=$D21)/2,0),IF(AND(EXACT($C$79,$C21),ISNUMBER($D$79)),($D$79&gt;$D21)+($D$79=$D21)/2,0),IF(AND(EXACT($C$80,$C21),ISNUMBER($D$80)),($D$80&gt;$D21)+($D$80=$D21)/2,0),IF(AND(EXACT($C$81,$C21),ISNUMBER($D$81)),($D$81&gt;$D21)+($D$81=$D21)/2,0),IF(AND(EXACT($C$82,$C21),ISNUMBER($D$82)),($D$82&gt;$D21)+($D$82=$D21)/2,0),IF(AND(EXACT($C$83,$C21),ISNUMBER($D$83)),($D$83&gt;$D21)+($D$83=$D21)/2,0),IF(AND(EXACT($C$84,$C21),ISNUMBER($D$84)),($D$84&gt;$D21)+($D$84=$D21)/2,0),IF(AND(EXACT($C$85,$C21),ISNUMBER($D$85)),($D$85&gt;$D21)+($D$85=$D21)/2,0),IF(AND(EXACT($C$86,$C21),ISNUMBER($D$86)),($D$86&gt;$D21)+($D$86=$D21)/2,0),IF(AND(EXACT($C$87,$C21),ISNUMBER($D$87)),($D$87&gt;$D21)+($D$87=$D21)/2,0),IF(AND(EXACT($C$88,$C21),ISNUMBER($D$88)),($D$88&gt;$D21)+($D$88=$D21)/2,0),IF(AND(EXACT($C$89,$C21),ISNUMBER($D$89)),($D$89&gt;$D21)+($D$89=$D21)/2,0),IF(AND(EXACT($C$90,$C21),ISNUMBER($D$90)),($D$90&gt;$D21)+($D$90=$D21)/2,0),IF(AND(EXACT($C$91,$C21),ISNUMBER($D$91)),($D$91&gt;$D21)+($D$91=$D21)/2,0),IF(AND(EXACT($C$92,$C21),ISNUMBER($D$92)),($D$92&gt;$D21)+($D$92=$D21)/2,0),IF(AND(EXACT($C$93,$C21),ISNUMBER($D$93)),($D$93&gt;$D21)+($D$93=$D21)/2,0),IF(AND(EXACT($C$94,$C21),ISNUMBER($D$94)),($D$94&gt;$D21)+($D$94=$D21)/2,0),IF(AND(EXACT($C$95,$C21),ISNUMBER($D$95)),($D$95&gt;$D21)+($D$95=$D21)/2,0),IF(AND(EXACT($C$96,$C21),ISNUMBER($D$96)),($D$96&gt;$D21)+($D$96=$D21)/2,0),IF(AND(EXACT($C$97,$C21),ISNUMBER($D$97)),($D$97&gt;$D21)+($D$97=$D21)/2,0),IF(AND(EXACT($C$98,$C21),ISNUMBER($D$98)),($D$98&gt;$D21)+($D$98=$D21)/2,0),IF(AND(EXACT($C$99,$C21),ISNUMBER($D$99)),($D$99&gt;$D21)+($D$99=$D21)/2,0),IF(AND(EXACT($C$100,$C21),ISNUMBER($D$100)),($D$100&gt;$D21)+($D$100=$D21)/2,0),IF(AND(EXACT($C$101,$C21),ISNUMBER($D$101)),($D$101&gt;$D21)+($D$101=$D21)/2,0),IF(AND(EXACT($C$102,$C21),ISNUMBER($D$102)),($D$102&gt;$D21)+($D$102=$D21)/2,0),IF(AND(EXACT($C$103,$C21),ISNUMBER($D$103)),($D$103&gt;$D21)+($D$103=$D21)/2,0),IF(AND(EXACT($C$104,$C21),ISNUMBER($D$104)),($D$104&gt;$D21)+($D$104=$D21)/2,0),IF(AND(EXACT($C$105,$C21),ISNUMBER($D$105)),($D$105&gt;$D21)+($D$105=$D21)/2,0),IF(AND(EXACT($C$106,$C21),ISNUMBER($D$106)),($D$106&gt;$D21)+($D$106=$D21)/2,0)))</x:f>
      </x:c>
    </x:row>
    <x:row r="22">
      <x:c r="A22" s="34" t="str">
        <x:f>IF('91_CALC_SCORES'!A22="","",'91_CALC_SCORES'!A22)</x:f>
      </x:c>
      <x:c r="B22" s="34" t="str">
        <x:f>IF($A22="","",'91_CALC_SCORES'!B22)</x:f>
      </x:c>
      <x:c r="C22" s="34" t="str">
        <x:f>IF($A22="","",'91_CALC_SCORES'!K22)</x:f>
      </x:c>
      <x:c r="D22" s="57" t="str">
        <x:f>IF(OR($A22="",NOT(OR(LEFT('91_CALC_SCORES'!AB22,4)="PASS",LEFT('91_CALC_SCORES'!AB22,5)="READY"))),"",'91_CALC_SCORES'!Y22)</x:f>
      </x:c>
      <x:c r="E22" s="34" t="str">
        <x:f>IF(COUNT(D22)=0,"",1+SUM(AN22:AO22)-1/2)</x:f>
      </x:c>
      <x:c r="F22" s="34" t="str">
        <x:f>IF($A22="","",'91_CALC_SCORES'!AB22)</x:f>
      </x:c>
      <x:c r="G22" s="34" t="str">
        <x:f>IF(A22="","","연구 베타 | 기업 백분위 아님")</x:f>
      </x:c>
      <x:c r="I22" s="13" t="str">
        <x:f>IF($A$22="","",$A$22)</x:f>
      </x:c>
      <x:c r="J22" s="58" t="str">
        <x:f>IF(OR($A22="",$A$7=""),"",IF(COUNT($D22,$D$7)&lt;&gt;2,"N/A:input",IF(EXACT($C22,$C$7),$D22-$D$7,"N/A:cohort")))</x:f>
      </x:c>
      <x:c r="K22" s="58" t="str">
        <x:f>IF(OR($A22="",$A$8=""),"",IF(COUNT($D22,$D$8)&lt;&gt;2,"N/A:input",IF(EXACT($C22,$C$8),$D22-$D$8,"N/A:cohort")))</x:f>
      </x:c>
      <x:c r="L22" s="58" t="str">
        <x:f>IF(OR($A22="",$A$9=""),"",IF(COUNT($D22,$D$9)&lt;&gt;2,"N/A:input",IF(EXACT($C22,$C$9),$D22-$D$9,"N/A:cohort")))</x:f>
      </x:c>
      <x:c r="M22" s="58" t="str">
        <x:f>IF(OR($A22="",$A$10=""),"",IF(COUNT($D22,$D$10)&lt;&gt;2,"N/A:input",IF(EXACT($C22,$C$10),$D22-$D$10,"N/A:cohort")))</x:f>
      </x:c>
      <x:c r="N22" s="58" t="str">
        <x:f>IF(OR($A22="",$A$11=""),"",IF(COUNT($D22,$D$11)&lt;&gt;2,"N/A:input",IF(EXACT($C22,$C$11),$D22-$D$11,"N/A:cohort")))</x:f>
      </x:c>
      <x:c r="O22" s="58" t="str">
        <x:f>IF(OR($A22="",$A$12=""),"",IF(COUNT($D22,$D$12)&lt;&gt;2,"N/A:input",IF(EXACT($C22,$C$12),$D22-$D$12,"N/A:cohort")))</x:f>
      </x:c>
      <x:c r="P22" s="58" t="str">
        <x:f>IF(OR($A22="",$A$13=""),"",IF(COUNT($D22,$D$13)&lt;&gt;2,"N/A:input",IF(EXACT($C22,$C$13),$D22-$D$13,"N/A:cohort")))</x:f>
      </x:c>
      <x:c r="Q22" s="58" t="str">
        <x:f>IF(OR($A22="",$A$14=""),"",IF(COUNT($D22,$D$14)&lt;&gt;2,"N/A:input",IF(EXACT($C22,$C$14),$D22-$D$14,"N/A:cohort")))</x:f>
      </x:c>
      <x:c r="R22" s="58" t="str">
        <x:f>IF(OR($A22="",$A$15=""),"",IF(COUNT($D22,$D$15)&lt;&gt;2,"N/A:input",IF(EXACT($C22,$C$15),$D22-$D$15,"N/A:cohort")))</x:f>
      </x:c>
      <x:c r="S22" s="58" t="str">
        <x:f>IF(OR($A22="",$A$16=""),"",IF(COUNT($D22,$D$16)&lt;&gt;2,"N/A:input",IF(EXACT($C22,$C$16),$D22-$D$16,"N/A:cohort")))</x:f>
      </x:c>
      <x:c r="T22" s="58" t="str">
        <x:f>IF(OR($A22="",$A$17=""),"",IF(COUNT($D22,$D$17)&lt;&gt;2,"N/A:input",IF(EXACT($C22,$C$17),$D22-$D$17,"N/A:cohort")))</x:f>
      </x:c>
      <x:c r="U22" s="58" t="str">
        <x:f>IF(OR($A22="",$A$18=""),"",IF(COUNT($D22,$D$18)&lt;&gt;2,"N/A:input",IF(EXACT($C22,$C$18),$D22-$D$18,"N/A:cohort")))</x:f>
      </x:c>
      <x:c r="V22" s="58" t="str">
        <x:f>IF(OR($A22="",$A$19=""),"",IF(COUNT($D22,$D$19)&lt;&gt;2,"N/A:input",IF(EXACT($C22,$C$19),$D22-$D$19,"N/A:cohort")))</x:f>
      </x:c>
      <x:c r="W22" s="58" t="str">
        <x:f>IF(OR($A22="",$A$20=""),"",IF(COUNT($D22,$D$20)&lt;&gt;2,"N/A:input",IF(EXACT($C22,$C$20),$D22-$D$20,"N/A:cohort")))</x:f>
      </x:c>
      <x:c r="X22" s="58" t="str">
        <x:f>IF(OR($A22="",$A$21=""),"",IF(COUNT($D22,$D$21)&lt;&gt;2,"N/A:input",IF(EXACT($C22,$C$21),$D22-$D$21,"N/A:cohort")))</x:f>
      </x:c>
      <x:c r="Y22" s="58" t="str">
        <x:f>IF(OR($A22="",$A$22=""),"",IF(COUNT($D22,$D$22)&lt;&gt;2,"N/A:input",IF(EXACT($C22,$C$22),$D22-$D$22,"N/A:cohort")))</x:f>
      </x:c>
      <x:c r="Z22" s="58" t="str">
        <x:f>IF(OR($A22="",$A$23=""),"",IF(COUNT($D22,$D$23)&lt;&gt;2,"N/A:input",IF(EXACT($C22,$C$23),$D22-$D$23,"N/A:cohort")))</x:f>
      </x:c>
      <x:c r="AA22" s="58" t="str">
        <x:f>IF(OR($A22="",$A$24=""),"",IF(COUNT($D22,$D$24)&lt;&gt;2,"N/A:input",IF(EXACT($C22,$C$24),$D22-$D$24,"N/A:cohort")))</x:f>
      </x:c>
      <x:c r="AB22" s="58" t="str">
        <x:f>IF(OR($A22="",$A$25=""),"",IF(COUNT($D22,$D$25)&lt;&gt;2,"N/A:input",IF(EXACT($C22,$C$25),$D22-$D$25,"N/A:cohort")))</x:f>
      </x:c>
      <x:c r="AC22" s="58" t="str">
        <x:f>IF(OR($A22="",$A$26=""),"",IF(COUNT($D22,$D$26)&lt;&gt;2,"N/A:input",IF(EXACT($C22,$C$26),$D22-$D$26,"N/A:cohort")))</x:f>
      </x:c>
      <x:c r="AD22" s="58" t="str">
        <x:f>IF(OR($A22="",$A$27=""),"",IF(COUNT($D22,$D$27)&lt;&gt;2,"N/A:input",IF(EXACT($C22,$C$27),$D22-$D$27,"N/A:cohort")))</x:f>
      </x:c>
      <x:c r="AE22" s="58" t="str">
        <x:f>IF(OR($A22="",$A$28=""),"",IF(COUNT($D22,$D$28)&lt;&gt;2,"N/A:input",IF(EXACT($C22,$C$28),$D22-$D$28,"N/A:cohort")))</x:f>
      </x:c>
      <x:c r="AF22" s="58" t="str">
        <x:f>IF(OR($A22="",$A$29=""),"",IF(COUNT($D22,$D$29)&lt;&gt;2,"N/A:input",IF(EXACT($C22,$C$29),$D22-$D$29,"N/A:cohort")))</x:f>
      </x:c>
      <x:c r="AG22" s="58" t="str">
        <x:f>IF(OR($A22="",$A$30=""),"",IF(COUNT($D22,$D$30)&lt;&gt;2,"N/A:input",IF(EXACT($C22,$C$30),$D22-$D$30,"N/A:cohort")))</x:f>
      </x:c>
      <x:c r="AH22" s="58" t="str">
        <x:f>IF(OR($A22="",$A$31=""),"",IF(COUNT($D22,$D$31)&lt;&gt;2,"N/A:input",IF(EXACT($C22,$C$31),$D22-$D$31,"N/A:cohort")))</x:f>
      </x:c>
      <x:c r="AI22" s="58" t="str">
        <x:f>IF(OR($A22="",$A$32=""),"",IF(COUNT($D22,$D$32)&lt;&gt;2,"N/A:input",IF(EXACT($C22,$C$32),$D22-$D$32,"N/A:cohort")))</x:f>
      </x:c>
      <x:c r="AJ22" s="58" t="str">
        <x:f>IF(OR($A22="",$A$33=""),"",IF(COUNT($D22,$D$33)&lt;&gt;2,"N/A:input",IF(EXACT($C22,$C$33),$D22-$D$33,"N/A:cohort")))</x:f>
      </x:c>
      <x:c r="AK22" s="58" t="str">
        <x:f>IF(OR($A22="",$A$34=""),"",IF(COUNT($D22,$D$34)&lt;&gt;2,"N/A:input",IF(EXACT($C22,$C$34),$D22-$D$34,"N/A:cohort")))</x:f>
      </x:c>
      <x:c r="AL22" s="58" t="str">
        <x:f>IF(OR($A22="",$A$35=""),"",IF(COUNT($D22,$D$35)&lt;&gt;2,"N/A:input",IF(EXACT($C22,$C$35),$D22-$D$35,"N/A:cohort")))</x:f>
      </x:c>
      <x:c r="AM22" s="58" t="str">
        <x:f>IF(OR($A22="",$A$36=""),"",IF(COUNT($D22,$D$36)&lt;&gt;2,"N/A:input",IF(EXACT($C22,$C$36),$D22-$D$36,"N/A:cohort")))</x:f>
      </x:c>
      <x:c r="AN22" s="34" t="str">
        <x:f>IF(COUNT($D22)=0,"",SUM(IF(AND(EXACT($C$7,$C22),ISNUMBER($D$7)),($D$7&gt;$D22)+($D$7=$D22)/2,0),IF(AND(EXACT($C$8,$C22),ISNUMBER($D$8)),($D$8&gt;$D22)+($D$8=$D22)/2,0),IF(AND(EXACT($C$9,$C22),ISNUMBER($D$9)),($D$9&gt;$D22)+($D$9=$D22)/2,0),IF(AND(EXACT($C$10,$C22),ISNUMBER($D$10)),($D$10&gt;$D22)+($D$10=$D22)/2,0),IF(AND(EXACT($C$11,$C22),ISNUMBER($D$11)),($D$11&gt;$D22)+($D$11=$D22)/2,0),IF(AND(EXACT($C$12,$C22),ISNUMBER($D$12)),($D$12&gt;$D22)+($D$12=$D22)/2,0),IF(AND(EXACT($C$13,$C22),ISNUMBER($D$13)),($D$13&gt;$D22)+($D$13=$D22)/2,0),IF(AND(EXACT($C$14,$C22),ISNUMBER($D$14)),($D$14&gt;$D22)+($D$14=$D22)/2,0),IF(AND(EXACT($C$15,$C22),ISNUMBER($D$15)),($D$15&gt;$D22)+($D$15=$D22)/2,0),IF(AND(EXACT($C$16,$C22),ISNUMBER($D$16)),($D$16&gt;$D22)+($D$16=$D22)/2,0),IF(AND(EXACT($C$17,$C22),ISNUMBER($D$17)),($D$17&gt;$D22)+($D$17=$D22)/2,0),IF(AND(EXACT($C$18,$C22),ISNUMBER($D$18)),($D$18&gt;$D22)+($D$18=$D22)/2,0),IF(AND(EXACT($C$19,$C22),ISNUMBER($D$19)),($D$19&gt;$D22)+($D$19=$D22)/2,0),IF(AND(EXACT($C$20,$C22),ISNUMBER($D$20)),($D$20&gt;$D22)+($D$20=$D22)/2,0),IF(AND(EXACT($C$21,$C22),ISNUMBER($D$21)),($D$21&gt;$D22)+($D$21=$D22)/2,0),IF(AND(EXACT($C$22,$C22),ISNUMBER($D$22)),($D$22&gt;$D22)+($D$22=$D22)/2,0),IF(AND(EXACT($C$23,$C22),ISNUMBER($D$23)),($D$23&gt;$D22)+($D$23=$D22)/2,0),IF(AND(EXACT($C$24,$C22),ISNUMBER($D$24)),($D$24&gt;$D22)+($D$24=$D22)/2,0),IF(AND(EXACT($C$25,$C22),ISNUMBER($D$25)),($D$25&gt;$D22)+($D$25=$D22)/2,0),IF(AND(EXACT($C$26,$C22),ISNUMBER($D$26)),($D$26&gt;$D22)+($D$26=$D22)/2,0),IF(AND(EXACT($C$27,$C22),ISNUMBER($D$27)),($D$27&gt;$D22)+($D$27=$D22)/2,0),IF(AND(EXACT($C$28,$C22),ISNUMBER($D$28)),($D$28&gt;$D22)+($D$28=$D22)/2,0),IF(AND(EXACT($C$29,$C22),ISNUMBER($D$29)),($D$29&gt;$D22)+($D$29=$D22)/2,0),IF(AND(EXACT($C$30,$C22),ISNUMBER($D$30)),($D$30&gt;$D22)+($D$30=$D22)/2,0),IF(AND(EXACT($C$31,$C22),ISNUMBER($D$31)),($D$31&gt;$D22)+($D$31=$D22)/2,0),IF(AND(EXACT($C$32,$C22),ISNUMBER($D$32)),($D$32&gt;$D22)+($D$32=$D22)/2,0),IF(AND(EXACT($C$33,$C22),ISNUMBER($D$33)),($D$33&gt;$D22)+($D$33=$D22)/2,0),IF(AND(EXACT($C$34,$C22),ISNUMBER($D$34)),($D$34&gt;$D22)+($D$34=$D22)/2,0),IF(AND(EXACT($C$35,$C22),ISNUMBER($D$35)),($D$35&gt;$D22)+($D$35=$D22)/2,0),IF(AND(EXACT($C$36,$C22),ISNUMBER($D$36)),($D$36&gt;$D22)+($D$36=$D22)/2,0),IF(AND(EXACT($C$37,$C22),ISNUMBER($D$37)),($D$37&gt;$D22)+($D$37=$D22)/2,0),IF(AND(EXACT($C$38,$C22),ISNUMBER($D$38)),($D$38&gt;$D22)+($D$38=$D22)/2,0),IF(AND(EXACT($C$39,$C22),ISNUMBER($D$39)),($D$39&gt;$D22)+($D$39=$D22)/2,0),IF(AND(EXACT($C$40,$C22),ISNUMBER($D$40)),($D$40&gt;$D22)+($D$40=$D22)/2,0),IF(AND(EXACT($C$41,$C22),ISNUMBER($D$41)),($D$41&gt;$D22)+($D$41=$D22)/2,0),IF(AND(EXACT($C$42,$C22),ISNUMBER($D$42)),($D$42&gt;$D22)+($D$42=$D22)/2,0),IF(AND(EXACT($C$43,$C22),ISNUMBER($D$43)),($D$43&gt;$D22)+($D$43=$D22)/2,0),IF(AND(EXACT($C$44,$C22),ISNUMBER($D$44)),($D$44&gt;$D22)+($D$44=$D22)/2,0),IF(AND(EXACT($C$45,$C22),ISNUMBER($D$45)),($D$45&gt;$D22)+($D$45=$D22)/2,0),IF(AND(EXACT($C$46,$C22),ISNUMBER($D$46)),($D$46&gt;$D22)+($D$46=$D22)/2,0),IF(AND(EXACT($C$47,$C22),ISNUMBER($D$47)),($D$47&gt;$D22)+($D$47=$D22)/2,0),IF(AND(EXACT($C$48,$C22),ISNUMBER($D$48)),($D$48&gt;$D22)+($D$48=$D22)/2,0),IF(AND(EXACT($C$49,$C22),ISNUMBER($D$49)),($D$49&gt;$D22)+($D$49=$D22)/2,0),IF(AND(EXACT($C$50,$C22),ISNUMBER($D$50)),($D$50&gt;$D22)+($D$50=$D22)/2,0),IF(AND(EXACT($C$51,$C22),ISNUMBER($D$51)),($D$51&gt;$D22)+($D$51=$D22)/2,0),IF(AND(EXACT($C$52,$C22),ISNUMBER($D$52)),($D$52&gt;$D22)+($D$52=$D22)/2,0),IF(AND(EXACT($C$53,$C22),ISNUMBER($D$53)),($D$53&gt;$D22)+($D$53=$D22)/2,0),IF(AND(EXACT($C$54,$C22),ISNUMBER($D$54)),($D$54&gt;$D22)+($D$54=$D22)/2,0),IF(AND(EXACT($C$55,$C22),ISNUMBER($D$55)),($D$55&gt;$D22)+($D$55=$D22)/2,0),IF(AND(EXACT($C$56,$C22),ISNUMBER($D$56)),($D$56&gt;$D22)+($D$56=$D22)/2,0)))</x:f>
      </x:c>
      <x:c r="AO22" s="34" t="str">
        <x:f>IF(COUNT($D22)=0,"",SUM(IF(AND(EXACT($C$57,$C22),ISNUMBER($D$57)),($D$57&gt;$D22)+($D$57=$D22)/2,0),IF(AND(EXACT($C$58,$C22),ISNUMBER($D$58)),($D$58&gt;$D22)+($D$58=$D22)/2,0),IF(AND(EXACT($C$59,$C22),ISNUMBER($D$59)),($D$59&gt;$D22)+($D$59=$D22)/2,0),IF(AND(EXACT($C$60,$C22),ISNUMBER($D$60)),($D$60&gt;$D22)+($D$60=$D22)/2,0),IF(AND(EXACT($C$61,$C22),ISNUMBER($D$61)),($D$61&gt;$D22)+($D$61=$D22)/2,0),IF(AND(EXACT($C$62,$C22),ISNUMBER($D$62)),($D$62&gt;$D22)+($D$62=$D22)/2,0),IF(AND(EXACT($C$63,$C22),ISNUMBER($D$63)),($D$63&gt;$D22)+($D$63=$D22)/2,0),IF(AND(EXACT($C$64,$C22),ISNUMBER($D$64)),($D$64&gt;$D22)+($D$64=$D22)/2,0),IF(AND(EXACT($C$65,$C22),ISNUMBER($D$65)),($D$65&gt;$D22)+($D$65=$D22)/2,0),IF(AND(EXACT($C$66,$C22),ISNUMBER($D$66)),($D$66&gt;$D22)+($D$66=$D22)/2,0),IF(AND(EXACT($C$67,$C22),ISNUMBER($D$67)),($D$67&gt;$D22)+($D$67=$D22)/2,0),IF(AND(EXACT($C$68,$C22),ISNUMBER($D$68)),($D$68&gt;$D22)+($D$68=$D22)/2,0),IF(AND(EXACT($C$69,$C22),ISNUMBER($D$69)),($D$69&gt;$D22)+($D$69=$D22)/2,0),IF(AND(EXACT($C$70,$C22),ISNUMBER($D$70)),($D$70&gt;$D22)+($D$70=$D22)/2,0),IF(AND(EXACT($C$71,$C22),ISNUMBER($D$71)),($D$71&gt;$D22)+($D$71=$D22)/2,0),IF(AND(EXACT($C$72,$C22),ISNUMBER($D$72)),($D$72&gt;$D22)+($D$72=$D22)/2,0),IF(AND(EXACT($C$73,$C22),ISNUMBER($D$73)),($D$73&gt;$D22)+($D$73=$D22)/2,0),IF(AND(EXACT($C$74,$C22),ISNUMBER($D$74)),($D$74&gt;$D22)+($D$74=$D22)/2,0),IF(AND(EXACT($C$75,$C22),ISNUMBER($D$75)),($D$75&gt;$D22)+($D$75=$D22)/2,0),IF(AND(EXACT($C$76,$C22),ISNUMBER($D$76)),($D$76&gt;$D22)+($D$76=$D22)/2,0),IF(AND(EXACT($C$77,$C22),ISNUMBER($D$77)),($D$77&gt;$D22)+($D$77=$D22)/2,0),IF(AND(EXACT($C$78,$C22),ISNUMBER($D$78)),($D$78&gt;$D22)+($D$78=$D22)/2,0),IF(AND(EXACT($C$79,$C22),ISNUMBER($D$79)),($D$79&gt;$D22)+($D$79=$D22)/2,0),IF(AND(EXACT($C$80,$C22),ISNUMBER($D$80)),($D$80&gt;$D22)+($D$80=$D22)/2,0),IF(AND(EXACT($C$81,$C22),ISNUMBER($D$81)),($D$81&gt;$D22)+($D$81=$D22)/2,0),IF(AND(EXACT($C$82,$C22),ISNUMBER($D$82)),($D$82&gt;$D22)+($D$82=$D22)/2,0),IF(AND(EXACT($C$83,$C22),ISNUMBER($D$83)),($D$83&gt;$D22)+($D$83=$D22)/2,0),IF(AND(EXACT($C$84,$C22),ISNUMBER($D$84)),($D$84&gt;$D22)+($D$84=$D22)/2,0),IF(AND(EXACT($C$85,$C22),ISNUMBER($D$85)),($D$85&gt;$D22)+($D$85=$D22)/2,0),IF(AND(EXACT($C$86,$C22),ISNUMBER($D$86)),($D$86&gt;$D22)+($D$86=$D22)/2,0),IF(AND(EXACT($C$87,$C22),ISNUMBER($D$87)),($D$87&gt;$D22)+($D$87=$D22)/2,0),IF(AND(EXACT($C$88,$C22),ISNUMBER($D$88)),($D$88&gt;$D22)+($D$88=$D22)/2,0),IF(AND(EXACT($C$89,$C22),ISNUMBER($D$89)),($D$89&gt;$D22)+($D$89=$D22)/2,0),IF(AND(EXACT($C$90,$C22),ISNUMBER($D$90)),($D$90&gt;$D22)+($D$90=$D22)/2,0),IF(AND(EXACT($C$91,$C22),ISNUMBER($D$91)),($D$91&gt;$D22)+($D$91=$D22)/2,0),IF(AND(EXACT($C$92,$C22),ISNUMBER($D$92)),($D$92&gt;$D22)+($D$92=$D22)/2,0),IF(AND(EXACT($C$93,$C22),ISNUMBER($D$93)),($D$93&gt;$D22)+($D$93=$D22)/2,0),IF(AND(EXACT($C$94,$C22),ISNUMBER($D$94)),($D$94&gt;$D22)+($D$94=$D22)/2,0),IF(AND(EXACT($C$95,$C22),ISNUMBER($D$95)),($D$95&gt;$D22)+($D$95=$D22)/2,0),IF(AND(EXACT($C$96,$C22),ISNUMBER($D$96)),($D$96&gt;$D22)+($D$96=$D22)/2,0),IF(AND(EXACT($C$97,$C22),ISNUMBER($D$97)),($D$97&gt;$D22)+($D$97=$D22)/2,0),IF(AND(EXACT($C$98,$C22),ISNUMBER($D$98)),($D$98&gt;$D22)+($D$98=$D22)/2,0),IF(AND(EXACT($C$99,$C22),ISNUMBER($D$99)),($D$99&gt;$D22)+($D$99=$D22)/2,0),IF(AND(EXACT($C$100,$C22),ISNUMBER($D$100)),($D$100&gt;$D22)+($D$100=$D22)/2,0),IF(AND(EXACT($C$101,$C22),ISNUMBER($D$101)),($D$101&gt;$D22)+($D$101=$D22)/2,0),IF(AND(EXACT($C$102,$C22),ISNUMBER($D$102)),($D$102&gt;$D22)+($D$102=$D22)/2,0),IF(AND(EXACT($C$103,$C22),ISNUMBER($D$103)),($D$103&gt;$D22)+($D$103=$D22)/2,0),IF(AND(EXACT($C$104,$C22),ISNUMBER($D$104)),($D$104&gt;$D22)+($D$104=$D22)/2,0),IF(AND(EXACT($C$105,$C22),ISNUMBER($D$105)),($D$105&gt;$D22)+($D$105=$D22)/2,0),IF(AND(EXACT($C$106,$C22),ISNUMBER($D$106)),($D$106&gt;$D22)+($D$106=$D22)/2,0)))</x:f>
      </x:c>
    </x:row>
    <x:row r="23">
      <x:c r="A23" s="34" t="str">
        <x:f>IF('91_CALC_SCORES'!A23="","",'91_CALC_SCORES'!A23)</x:f>
      </x:c>
      <x:c r="B23" s="34" t="str">
        <x:f>IF($A23="","",'91_CALC_SCORES'!B23)</x:f>
      </x:c>
      <x:c r="C23" s="34" t="str">
        <x:f>IF($A23="","",'91_CALC_SCORES'!K23)</x:f>
      </x:c>
      <x:c r="D23" s="57" t="str">
        <x:f>IF(OR($A23="",NOT(OR(LEFT('91_CALC_SCORES'!AB23,4)="PASS",LEFT('91_CALC_SCORES'!AB23,5)="READY"))),"",'91_CALC_SCORES'!Y23)</x:f>
      </x:c>
      <x:c r="E23" s="34" t="str">
        <x:f>IF(COUNT(D23)=0,"",1+SUM(AN23:AO23)-1/2)</x:f>
      </x:c>
      <x:c r="F23" s="34" t="str">
        <x:f>IF($A23="","",'91_CALC_SCORES'!AB23)</x:f>
      </x:c>
      <x:c r="G23" s="34" t="str">
        <x:f>IF(A23="","","연구 베타 | 기업 백분위 아님")</x:f>
      </x:c>
      <x:c r="I23" s="13" t="str">
        <x:f>IF($A$23="","",$A$23)</x:f>
      </x:c>
      <x:c r="J23" s="58" t="str">
        <x:f>IF(OR($A23="",$A$7=""),"",IF(COUNT($D23,$D$7)&lt;&gt;2,"N/A:input",IF(EXACT($C23,$C$7),$D23-$D$7,"N/A:cohort")))</x:f>
      </x:c>
      <x:c r="K23" s="58" t="str">
        <x:f>IF(OR($A23="",$A$8=""),"",IF(COUNT($D23,$D$8)&lt;&gt;2,"N/A:input",IF(EXACT($C23,$C$8),$D23-$D$8,"N/A:cohort")))</x:f>
      </x:c>
      <x:c r="L23" s="58" t="str">
        <x:f>IF(OR($A23="",$A$9=""),"",IF(COUNT($D23,$D$9)&lt;&gt;2,"N/A:input",IF(EXACT($C23,$C$9),$D23-$D$9,"N/A:cohort")))</x:f>
      </x:c>
      <x:c r="M23" s="58" t="str">
        <x:f>IF(OR($A23="",$A$10=""),"",IF(COUNT($D23,$D$10)&lt;&gt;2,"N/A:input",IF(EXACT($C23,$C$10),$D23-$D$10,"N/A:cohort")))</x:f>
      </x:c>
      <x:c r="N23" s="58" t="str">
        <x:f>IF(OR($A23="",$A$11=""),"",IF(COUNT($D23,$D$11)&lt;&gt;2,"N/A:input",IF(EXACT($C23,$C$11),$D23-$D$11,"N/A:cohort")))</x:f>
      </x:c>
      <x:c r="O23" s="58" t="str">
        <x:f>IF(OR($A23="",$A$12=""),"",IF(COUNT($D23,$D$12)&lt;&gt;2,"N/A:input",IF(EXACT($C23,$C$12),$D23-$D$12,"N/A:cohort")))</x:f>
      </x:c>
      <x:c r="P23" s="58" t="str">
        <x:f>IF(OR($A23="",$A$13=""),"",IF(COUNT($D23,$D$13)&lt;&gt;2,"N/A:input",IF(EXACT($C23,$C$13),$D23-$D$13,"N/A:cohort")))</x:f>
      </x:c>
      <x:c r="Q23" s="58" t="str">
        <x:f>IF(OR($A23="",$A$14=""),"",IF(COUNT($D23,$D$14)&lt;&gt;2,"N/A:input",IF(EXACT($C23,$C$14),$D23-$D$14,"N/A:cohort")))</x:f>
      </x:c>
      <x:c r="R23" s="58" t="str">
        <x:f>IF(OR($A23="",$A$15=""),"",IF(COUNT($D23,$D$15)&lt;&gt;2,"N/A:input",IF(EXACT($C23,$C$15),$D23-$D$15,"N/A:cohort")))</x:f>
      </x:c>
      <x:c r="S23" s="58" t="str">
        <x:f>IF(OR($A23="",$A$16=""),"",IF(COUNT($D23,$D$16)&lt;&gt;2,"N/A:input",IF(EXACT($C23,$C$16),$D23-$D$16,"N/A:cohort")))</x:f>
      </x:c>
      <x:c r="T23" s="58" t="str">
        <x:f>IF(OR($A23="",$A$17=""),"",IF(COUNT($D23,$D$17)&lt;&gt;2,"N/A:input",IF(EXACT($C23,$C$17),$D23-$D$17,"N/A:cohort")))</x:f>
      </x:c>
      <x:c r="U23" s="58" t="str">
        <x:f>IF(OR($A23="",$A$18=""),"",IF(COUNT($D23,$D$18)&lt;&gt;2,"N/A:input",IF(EXACT($C23,$C$18),$D23-$D$18,"N/A:cohort")))</x:f>
      </x:c>
      <x:c r="V23" s="58" t="str">
        <x:f>IF(OR($A23="",$A$19=""),"",IF(COUNT($D23,$D$19)&lt;&gt;2,"N/A:input",IF(EXACT($C23,$C$19),$D23-$D$19,"N/A:cohort")))</x:f>
      </x:c>
      <x:c r="W23" s="58" t="str">
        <x:f>IF(OR($A23="",$A$20=""),"",IF(COUNT($D23,$D$20)&lt;&gt;2,"N/A:input",IF(EXACT($C23,$C$20),$D23-$D$20,"N/A:cohort")))</x:f>
      </x:c>
      <x:c r="X23" s="58" t="str">
        <x:f>IF(OR($A23="",$A$21=""),"",IF(COUNT($D23,$D$21)&lt;&gt;2,"N/A:input",IF(EXACT($C23,$C$21),$D23-$D$21,"N/A:cohort")))</x:f>
      </x:c>
      <x:c r="Y23" s="58" t="str">
        <x:f>IF(OR($A23="",$A$22=""),"",IF(COUNT($D23,$D$22)&lt;&gt;2,"N/A:input",IF(EXACT($C23,$C$22),$D23-$D$22,"N/A:cohort")))</x:f>
      </x:c>
      <x:c r="Z23" s="58" t="str">
        <x:f>IF(OR($A23="",$A$23=""),"",IF(COUNT($D23,$D$23)&lt;&gt;2,"N/A:input",IF(EXACT($C23,$C$23),$D23-$D$23,"N/A:cohort")))</x:f>
      </x:c>
      <x:c r="AA23" s="58" t="str">
        <x:f>IF(OR($A23="",$A$24=""),"",IF(COUNT($D23,$D$24)&lt;&gt;2,"N/A:input",IF(EXACT($C23,$C$24),$D23-$D$24,"N/A:cohort")))</x:f>
      </x:c>
      <x:c r="AB23" s="58" t="str">
        <x:f>IF(OR($A23="",$A$25=""),"",IF(COUNT($D23,$D$25)&lt;&gt;2,"N/A:input",IF(EXACT($C23,$C$25),$D23-$D$25,"N/A:cohort")))</x:f>
      </x:c>
      <x:c r="AC23" s="58" t="str">
        <x:f>IF(OR($A23="",$A$26=""),"",IF(COUNT($D23,$D$26)&lt;&gt;2,"N/A:input",IF(EXACT($C23,$C$26),$D23-$D$26,"N/A:cohort")))</x:f>
      </x:c>
      <x:c r="AD23" s="58" t="str">
        <x:f>IF(OR($A23="",$A$27=""),"",IF(COUNT($D23,$D$27)&lt;&gt;2,"N/A:input",IF(EXACT($C23,$C$27),$D23-$D$27,"N/A:cohort")))</x:f>
      </x:c>
      <x:c r="AE23" s="58" t="str">
        <x:f>IF(OR($A23="",$A$28=""),"",IF(COUNT($D23,$D$28)&lt;&gt;2,"N/A:input",IF(EXACT($C23,$C$28),$D23-$D$28,"N/A:cohort")))</x:f>
      </x:c>
      <x:c r="AF23" s="58" t="str">
        <x:f>IF(OR($A23="",$A$29=""),"",IF(COUNT($D23,$D$29)&lt;&gt;2,"N/A:input",IF(EXACT($C23,$C$29),$D23-$D$29,"N/A:cohort")))</x:f>
      </x:c>
      <x:c r="AG23" s="58" t="str">
        <x:f>IF(OR($A23="",$A$30=""),"",IF(COUNT($D23,$D$30)&lt;&gt;2,"N/A:input",IF(EXACT($C23,$C$30),$D23-$D$30,"N/A:cohort")))</x:f>
      </x:c>
      <x:c r="AH23" s="58" t="str">
        <x:f>IF(OR($A23="",$A$31=""),"",IF(COUNT($D23,$D$31)&lt;&gt;2,"N/A:input",IF(EXACT($C23,$C$31),$D23-$D$31,"N/A:cohort")))</x:f>
      </x:c>
      <x:c r="AI23" s="58" t="str">
        <x:f>IF(OR($A23="",$A$32=""),"",IF(COUNT($D23,$D$32)&lt;&gt;2,"N/A:input",IF(EXACT($C23,$C$32),$D23-$D$32,"N/A:cohort")))</x:f>
      </x:c>
      <x:c r="AJ23" s="58" t="str">
        <x:f>IF(OR($A23="",$A$33=""),"",IF(COUNT($D23,$D$33)&lt;&gt;2,"N/A:input",IF(EXACT($C23,$C$33),$D23-$D$33,"N/A:cohort")))</x:f>
      </x:c>
      <x:c r="AK23" s="58" t="str">
        <x:f>IF(OR($A23="",$A$34=""),"",IF(COUNT($D23,$D$34)&lt;&gt;2,"N/A:input",IF(EXACT($C23,$C$34),$D23-$D$34,"N/A:cohort")))</x:f>
      </x:c>
      <x:c r="AL23" s="58" t="str">
        <x:f>IF(OR($A23="",$A$35=""),"",IF(COUNT($D23,$D$35)&lt;&gt;2,"N/A:input",IF(EXACT($C23,$C$35),$D23-$D$35,"N/A:cohort")))</x:f>
      </x:c>
      <x:c r="AM23" s="58" t="str">
        <x:f>IF(OR($A23="",$A$36=""),"",IF(COUNT($D23,$D$36)&lt;&gt;2,"N/A:input",IF(EXACT($C23,$C$36),$D23-$D$36,"N/A:cohort")))</x:f>
      </x:c>
      <x:c r="AN23" s="34" t="str">
        <x:f>IF(COUNT($D23)=0,"",SUM(IF(AND(EXACT($C$7,$C23),ISNUMBER($D$7)),($D$7&gt;$D23)+($D$7=$D23)/2,0),IF(AND(EXACT($C$8,$C23),ISNUMBER($D$8)),($D$8&gt;$D23)+($D$8=$D23)/2,0),IF(AND(EXACT($C$9,$C23),ISNUMBER($D$9)),($D$9&gt;$D23)+($D$9=$D23)/2,0),IF(AND(EXACT($C$10,$C23),ISNUMBER($D$10)),($D$10&gt;$D23)+($D$10=$D23)/2,0),IF(AND(EXACT($C$11,$C23),ISNUMBER($D$11)),($D$11&gt;$D23)+($D$11=$D23)/2,0),IF(AND(EXACT($C$12,$C23),ISNUMBER($D$12)),($D$12&gt;$D23)+($D$12=$D23)/2,0),IF(AND(EXACT($C$13,$C23),ISNUMBER($D$13)),($D$13&gt;$D23)+($D$13=$D23)/2,0),IF(AND(EXACT($C$14,$C23),ISNUMBER($D$14)),($D$14&gt;$D23)+($D$14=$D23)/2,0),IF(AND(EXACT($C$15,$C23),ISNUMBER($D$15)),($D$15&gt;$D23)+($D$15=$D23)/2,0),IF(AND(EXACT($C$16,$C23),ISNUMBER($D$16)),($D$16&gt;$D23)+($D$16=$D23)/2,0),IF(AND(EXACT($C$17,$C23),ISNUMBER($D$17)),($D$17&gt;$D23)+($D$17=$D23)/2,0),IF(AND(EXACT($C$18,$C23),ISNUMBER($D$18)),($D$18&gt;$D23)+($D$18=$D23)/2,0),IF(AND(EXACT($C$19,$C23),ISNUMBER($D$19)),($D$19&gt;$D23)+($D$19=$D23)/2,0),IF(AND(EXACT($C$20,$C23),ISNUMBER($D$20)),($D$20&gt;$D23)+($D$20=$D23)/2,0),IF(AND(EXACT($C$21,$C23),ISNUMBER($D$21)),($D$21&gt;$D23)+($D$21=$D23)/2,0),IF(AND(EXACT($C$22,$C23),ISNUMBER($D$22)),($D$22&gt;$D23)+($D$22=$D23)/2,0),IF(AND(EXACT($C$23,$C23),ISNUMBER($D$23)),($D$23&gt;$D23)+($D$23=$D23)/2,0),IF(AND(EXACT($C$24,$C23),ISNUMBER($D$24)),($D$24&gt;$D23)+($D$24=$D23)/2,0),IF(AND(EXACT($C$25,$C23),ISNUMBER($D$25)),($D$25&gt;$D23)+($D$25=$D23)/2,0),IF(AND(EXACT($C$26,$C23),ISNUMBER($D$26)),($D$26&gt;$D23)+($D$26=$D23)/2,0),IF(AND(EXACT($C$27,$C23),ISNUMBER($D$27)),($D$27&gt;$D23)+($D$27=$D23)/2,0),IF(AND(EXACT($C$28,$C23),ISNUMBER($D$28)),($D$28&gt;$D23)+($D$28=$D23)/2,0),IF(AND(EXACT($C$29,$C23),ISNUMBER($D$29)),($D$29&gt;$D23)+($D$29=$D23)/2,0),IF(AND(EXACT($C$30,$C23),ISNUMBER($D$30)),($D$30&gt;$D23)+($D$30=$D23)/2,0),IF(AND(EXACT($C$31,$C23),ISNUMBER($D$31)),($D$31&gt;$D23)+($D$31=$D23)/2,0),IF(AND(EXACT($C$32,$C23),ISNUMBER($D$32)),($D$32&gt;$D23)+($D$32=$D23)/2,0),IF(AND(EXACT($C$33,$C23),ISNUMBER($D$33)),($D$33&gt;$D23)+($D$33=$D23)/2,0),IF(AND(EXACT($C$34,$C23),ISNUMBER($D$34)),($D$34&gt;$D23)+($D$34=$D23)/2,0),IF(AND(EXACT($C$35,$C23),ISNUMBER($D$35)),($D$35&gt;$D23)+($D$35=$D23)/2,0),IF(AND(EXACT($C$36,$C23),ISNUMBER($D$36)),($D$36&gt;$D23)+($D$36=$D23)/2,0),IF(AND(EXACT($C$37,$C23),ISNUMBER($D$37)),($D$37&gt;$D23)+($D$37=$D23)/2,0),IF(AND(EXACT($C$38,$C23),ISNUMBER($D$38)),($D$38&gt;$D23)+($D$38=$D23)/2,0),IF(AND(EXACT($C$39,$C23),ISNUMBER($D$39)),($D$39&gt;$D23)+($D$39=$D23)/2,0),IF(AND(EXACT($C$40,$C23),ISNUMBER($D$40)),($D$40&gt;$D23)+($D$40=$D23)/2,0),IF(AND(EXACT($C$41,$C23),ISNUMBER($D$41)),($D$41&gt;$D23)+($D$41=$D23)/2,0),IF(AND(EXACT($C$42,$C23),ISNUMBER($D$42)),($D$42&gt;$D23)+($D$42=$D23)/2,0),IF(AND(EXACT($C$43,$C23),ISNUMBER($D$43)),($D$43&gt;$D23)+($D$43=$D23)/2,0),IF(AND(EXACT($C$44,$C23),ISNUMBER($D$44)),($D$44&gt;$D23)+($D$44=$D23)/2,0),IF(AND(EXACT($C$45,$C23),ISNUMBER($D$45)),($D$45&gt;$D23)+($D$45=$D23)/2,0),IF(AND(EXACT($C$46,$C23),ISNUMBER($D$46)),($D$46&gt;$D23)+($D$46=$D23)/2,0),IF(AND(EXACT($C$47,$C23),ISNUMBER($D$47)),($D$47&gt;$D23)+($D$47=$D23)/2,0),IF(AND(EXACT($C$48,$C23),ISNUMBER($D$48)),($D$48&gt;$D23)+($D$48=$D23)/2,0),IF(AND(EXACT($C$49,$C23),ISNUMBER($D$49)),($D$49&gt;$D23)+($D$49=$D23)/2,0),IF(AND(EXACT($C$50,$C23),ISNUMBER($D$50)),($D$50&gt;$D23)+($D$50=$D23)/2,0),IF(AND(EXACT($C$51,$C23),ISNUMBER($D$51)),($D$51&gt;$D23)+($D$51=$D23)/2,0),IF(AND(EXACT($C$52,$C23),ISNUMBER($D$52)),($D$52&gt;$D23)+($D$52=$D23)/2,0),IF(AND(EXACT($C$53,$C23),ISNUMBER($D$53)),($D$53&gt;$D23)+($D$53=$D23)/2,0),IF(AND(EXACT($C$54,$C23),ISNUMBER($D$54)),($D$54&gt;$D23)+($D$54=$D23)/2,0),IF(AND(EXACT($C$55,$C23),ISNUMBER($D$55)),($D$55&gt;$D23)+($D$55=$D23)/2,0),IF(AND(EXACT($C$56,$C23),ISNUMBER($D$56)),($D$56&gt;$D23)+($D$56=$D23)/2,0)))</x:f>
      </x:c>
      <x:c r="AO23" s="34" t="str">
        <x:f>IF(COUNT($D23)=0,"",SUM(IF(AND(EXACT($C$57,$C23),ISNUMBER($D$57)),($D$57&gt;$D23)+($D$57=$D23)/2,0),IF(AND(EXACT($C$58,$C23),ISNUMBER($D$58)),($D$58&gt;$D23)+($D$58=$D23)/2,0),IF(AND(EXACT($C$59,$C23),ISNUMBER($D$59)),($D$59&gt;$D23)+($D$59=$D23)/2,0),IF(AND(EXACT($C$60,$C23),ISNUMBER($D$60)),($D$60&gt;$D23)+($D$60=$D23)/2,0),IF(AND(EXACT($C$61,$C23),ISNUMBER($D$61)),($D$61&gt;$D23)+($D$61=$D23)/2,0),IF(AND(EXACT($C$62,$C23),ISNUMBER($D$62)),($D$62&gt;$D23)+($D$62=$D23)/2,0),IF(AND(EXACT($C$63,$C23),ISNUMBER($D$63)),($D$63&gt;$D23)+($D$63=$D23)/2,0),IF(AND(EXACT($C$64,$C23),ISNUMBER($D$64)),($D$64&gt;$D23)+($D$64=$D23)/2,0),IF(AND(EXACT($C$65,$C23),ISNUMBER($D$65)),($D$65&gt;$D23)+($D$65=$D23)/2,0),IF(AND(EXACT($C$66,$C23),ISNUMBER($D$66)),($D$66&gt;$D23)+($D$66=$D23)/2,0),IF(AND(EXACT($C$67,$C23),ISNUMBER($D$67)),($D$67&gt;$D23)+($D$67=$D23)/2,0),IF(AND(EXACT($C$68,$C23),ISNUMBER($D$68)),($D$68&gt;$D23)+($D$68=$D23)/2,0),IF(AND(EXACT($C$69,$C23),ISNUMBER($D$69)),($D$69&gt;$D23)+($D$69=$D23)/2,0),IF(AND(EXACT($C$70,$C23),ISNUMBER($D$70)),($D$70&gt;$D23)+($D$70=$D23)/2,0),IF(AND(EXACT($C$71,$C23),ISNUMBER($D$71)),($D$71&gt;$D23)+($D$71=$D23)/2,0),IF(AND(EXACT($C$72,$C23),ISNUMBER($D$72)),($D$72&gt;$D23)+($D$72=$D23)/2,0),IF(AND(EXACT($C$73,$C23),ISNUMBER($D$73)),($D$73&gt;$D23)+($D$73=$D23)/2,0),IF(AND(EXACT($C$74,$C23),ISNUMBER($D$74)),($D$74&gt;$D23)+($D$74=$D23)/2,0),IF(AND(EXACT($C$75,$C23),ISNUMBER($D$75)),($D$75&gt;$D23)+($D$75=$D23)/2,0),IF(AND(EXACT($C$76,$C23),ISNUMBER($D$76)),($D$76&gt;$D23)+($D$76=$D23)/2,0),IF(AND(EXACT($C$77,$C23),ISNUMBER($D$77)),($D$77&gt;$D23)+($D$77=$D23)/2,0),IF(AND(EXACT($C$78,$C23),ISNUMBER($D$78)),($D$78&gt;$D23)+($D$78=$D23)/2,0),IF(AND(EXACT($C$79,$C23),ISNUMBER($D$79)),($D$79&gt;$D23)+($D$79=$D23)/2,0),IF(AND(EXACT($C$80,$C23),ISNUMBER($D$80)),($D$80&gt;$D23)+($D$80=$D23)/2,0),IF(AND(EXACT($C$81,$C23),ISNUMBER($D$81)),($D$81&gt;$D23)+($D$81=$D23)/2,0),IF(AND(EXACT($C$82,$C23),ISNUMBER($D$82)),($D$82&gt;$D23)+($D$82=$D23)/2,0),IF(AND(EXACT($C$83,$C23),ISNUMBER($D$83)),($D$83&gt;$D23)+($D$83=$D23)/2,0),IF(AND(EXACT($C$84,$C23),ISNUMBER($D$84)),($D$84&gt;$D23)+($D$84=$D23)/2,0),IF(AND(EXACT($C$85,$C23),ISNUMBER($D$85)),($D$85&gt;$D23)+($D$85=$D23)/2,0),IF(AND(EXACT($C$86,$C23),ISNUMBER($D$86)),($D$86&gt;$D23)+($D$86=$D23)/2,0),IF(AND(EXACT($C$87,$C23),ISNUMBER($D$87)),($D$87&gt;$D23)+($D$87=$D23)/2,0),IF(AND(EXACT($C$88,$C23),ISNUMBER($D$88)),($D$88&gt;$D23)+($D$88=$D23)/2,0),IF(AND(EXACT($C$89,$C23),ISNUMBER($D$89)),($D$89&gt;$D23)+($D$89=$D23)/2,0),IF(AND(EXACT($C$90,$C23),ISNUMBER($D$90)),($D$90&gt;$D23)+($D$90=$D23)/2,0),IF(AND(EXACT($C$91,$C23),ISNUMBER($D$91)),($D$91&gt;$D23)+($D$91=$D23)/2,0),IF(AND(EXACT($C$92,$C23),ISNUMBER($D$92)),($D$92&gt;$D23)+($D$92=$D23)/2,0),IF(AND(EXACT($C$93,$C23),ISNUMBER($D$93)),($D$93&gt;$D23)+($D$93=$D23)/2,0),IF(AND(EXACT($C$94,$C23),ISNUMBER($D$94)),($D$94&gt;$D23)+($D$94=$D23)/2,0),IF(AND(EXACT($C$95,$C23),ISNUMBER($D$95)),($D$95&gt;$D23)+($D$95=$D23)/2,0),IF(AND(EXACT($C$96,$C23),ISNUMBER($D$96)),($D$96&gt;$D23)+($D$96=$D23)/2,0),IF(AND(EXACT($C$97,$C23),ISNUMBER($D$97)),($D$97&gt;$D23)+($D$97=$D23)/2,0),IF(AND(EXACT($C$98,$C23),ISNUMBER($D$98)),($D$98&gt;$D23)+($D$98=$D23)/2,0),IF(AND(EXACT($C$99,$C23),ISNUMBER($D$99)),($D$99&gt;$D23)+($D$99=$D23)/2,0),IF(AND(EXACT($C$100,$C23),ISNUMBER($D$100)),($D$100&gt;$D23)+($D$100=$D23)/2,0),IF(AND(EXACT($C$101,$C23),ISNUMBER($D$101)),($D$101&gt;$D23)+($D$101=$D23)/2,0),IF(AND(EXACT($C$102,$C23),ISNUMBER($D$102)),($D$102&gt;$D23)+($D$102=$D23)/2,0),IF(AND(EXACT($C$103,$C23),ISNUMBER($D$103)),($D$103&gt;$D23)+($D$103=$D23)/2,0),IF(AND(EXACT($C$104,$C23),ISNUMBER($D$104)),($D$104&gt;$D23)+($D$104=$D23)/2,0),IF(AND(EXACT($C$105,$C23),ISNUMBER($D$105)),($D$105&gt;$D23)+($D$105=$D23)/2,0),IF(AND(EXACT($C$106,$C23),ISNUMBER($D$106)),($D$106&gt;$D23)+($D$106=$D23)/2,0)))</x:f>
      </x:c>
    </x:row>
    <x:row r="24">
      <x:c r="A24" s="34" t="str">
        <x:f>IF('91_CALC_SCORES'!A24="","",'91_CALC_SCORES'!A24)</x:f>
      </x:c>
      <x:c r="B24" s="34" t="str">
        <x:f>IF($A24="","",'91_CALC_SCORES'!B24)</x:f>
      </x:c>
      <x:c r="C24" s="34" t="str">
        <x:f>IF($A24="","",'91_CALC_SCORES'!K24)</x:f>
      </x:c>
      <x:c r="D24" s="57" t="str">
        <x:f>IF(OR($A24="",NOT(OR(LEFT('91_CALC_SCORES'!AB24,4)="PASS",LEFT('91_CALC_SCORES'!AB24,5)="READY"))),"",'91_CALC_SCORES'!Y24)</x:f>
      </x:c>
      <x:c r="E24" s="34" t="str">
        <x:f>IF(COUNT(D24)=0,"",1+SUM(AN24:AO24)-1/2)</x:f>
      </x:c>
      <x:c r="F24" s="34" t="str">
        <x:f>IF($A24="","",'91_CALC_SCORES'!AB24)</x:f>
      </x:c>
      <x:c r="G24" s="34" t="str">
        <x:f>IF(A24="","","연구 베타 | 기업 백분위 아님")</x:f>
      </x:c>
      <x:c r="I24" s="13" t="str">
        <x:f>IF($A$24="","",$A$24)</x:f>
      </x:c>
      <x:c r="J24" s="58" t="str">
        <x:f>IF(OR($A24="",$A$7=""),"",IF(COUNT($D24,$D$7)&lt;&gt;2,"N/A:input",IF(EXACT($C24,$C$7),$D24-$D$7,"N/A:cohort")))</x:f>
      </x:c>
      <x:c r="K24" s="58" t="str">
        <x:f>IF(OR($A24="",$A$8=""),"",IF(COUNT($D24,$D$8)&lt;&gt;2,"N/A:input",IF(EXACT($C24,$C$8),$D24-$D$8,"N/A:cohort")))</x:f>
      </x:c>
      <x:c r="L24" s="58" t="str">
        <x:f>IF(OR($A24="",$A$9=""),"",IF(COUNT($D24,$D$9)&lt;&gt;2,"N/A:input",IF(EXACT($C24,$C$9),$D24-$D$9,"N/A:cohort")))</x:f>
      </x:c>
      <x:c r="M24" s="58" t="str">
        <x:f>IF(OR($A24="",$A$10=""),"",IF(COUNT($D24,$D$10)&lt;&gt;2,"N/A:input",IF(EXACT($C24,$C$10),$D24-$D$10,"N/A:cohort")))</x:f>
      </x:c>
      <x:c r="N24" s="58" t="str">
        <x:f>IF(OR($A24="",$A$11=""),"",IF(COUNT($D24,$D$11)&lt;&gt;2,"N/A:input",IF(EXACT($C24,$C$11),$D24-$D$11,"N/A:cohort")))</x:f>
      </x:c>
      <x:c r="O24" s="58" t="str">
        <x:f>IF(OR($A24="",$A$12=""),"",IF(COUNT($D24,$D$12)&lt;&gt;2,"N/A:input",IF(EXACT($C24,$C$12),$D24-$D$12,"N/A:cohort")))</x:f>
      </x:c>
      <x:c r="P24" s="58" t="str">
        <x:f>IF(OR($A24="",$A$13=""),"",IF(COUNT($D24,$D$13)&lt;&gt;2,"N/A:input",IF(EXACT($C24,$C$13),$D24-$D$13,"N/A:cohort")))</x:f>
      </x:c>
      <x:c r="Q24" s="58" t="str">
        <x:f>IF(OR($A24="",$A$14=""),"",IF(COUNT($D24,$D$14)&lt;&gt;2,"N/A:input",IF(EXACT($C24,$C$14),$D24-$D$14,"N/A:cohort")))</x:f>
      </x:c>
      <x:c r="R24" s="58" t="str">
        <x:f>IF(OR($A24="",$A$15=""),"",IF(COUNT($D24,$D$15)&lt;&gt;2,"N/A:input",IF(EXACT($C24,$C$15),$D24-$D$15,"N/A:cohort")))</x:f>
      </x:c>
      <x:c r="S24" s="58" t="str">
        <x:f>IF(OR($A24="",$A$16=""),"",IF(COUNT($D24,$D$16)&lt;&gt;2,"N/A:input",IF(EXACT($C24,$C$16),$D24-$D$16,"N/A:cohort")))</x:f>
      </x:c>
      <x:c r="T24" s="58" t="str">
        <x:f>IF(OR($A24="",$A$17=""),"",IF(COUNT($D24,$D$17)&lt;&gt;2,"N/A:input",IF(EXACT($C24,$C$17),$D24-$D$17,"N/A:cohort")))</x:f>
      </x:c>
      <x:c r="U24" s="58" t="str">
        <x:f>IF(OR($A24="",$A$18=""),"",IF(COUNT($D24,$D$18)&lt;&gt;2,"N/A:input",IF(EXACT($C24,$C$18),$D24-$D$18,"N/A:cohort")))</x:f>
      </x:c>
      <x:c r="V24" s="58" t="str">
        <x:f>IF(OR($A24="",$A$19=""),"",IF(COUNT($D24,$D$19)&lt;&gt;2,"N/A:input",IF(EXACT($C24,$C$19),$D24-$D$19,"N/A:cohort")))</x:f>
      </x:c>
      <x:c r="W24" s="58" t="str">
        <x:f>IF(OR($A24="",$A$20=""),"",IF(COUNT($D24,$D$20)&lt;&gt;2,"N/A:input",IF(EXACT($C24,$C$20),$D24-$D$20,"N/A:cohort")))</x:f>
      </x:c>
      <x:c r="X24" s="58" t="str">
        <x:f>IF(OR($A24="",$A$21=""),"",IF(COUNT($D24,$D$21)&lt;&gt;2,"N/A:input",IF(EXACT($C24,$C$21),$D24-$D$21,"N/A:cohort")))</x:f>
      </x:c>
      <x:c r="Y24" s="58" t="str">
        <x:f>IF(OR($A24="",$A$22=""),"",IF(COUNT($D24,$D$22)&lt;&gt;2,"N/A:input",IF(EXACT($C24,$C$22),$D24-$D$22,"N/A:cohort")))</x:f>
      </x:c>
      <x:c r="Z24" s="58" t="str">
        <x:f>IF(OR($A24="",$A$23=""),"",IF(COUNT($D24,$D$23)&lt;&gt;2,"N/A:input",IF(EXACT($C24,$C$23),$D24-$D$23,"N/A:cohort")))</x:f>
      </x:c>
      <x:c r="AA24" s="58" t="str">
        <x:f>IF(OR($A24="",$A$24=""),"",IF(COUNT($D24,$D$24)&lt;&gt;2,"N/A:input",IF(EXACT($C24,$C$24),$D24-$D$24,"N/A:cohort")))</x:f>
      </x:c>
      <x:c r="AB24" s="58" t="str">
        <x:f>IF(OR($A24="",$A$25=""),"",IF(COUNT($D24,$D$25)&lt;&gt;2,"N/A:input",IF(EXACT($C24,$C$25),$D24-$D$25,"N/A:cohort")))</x:f>
      </x:c>
      <x:c r="AC24" s="58" t="str">
        <x:f>IF(OR($A24="",$A$26=""),"",IF(COUNT($D24,$D$26)&lt;&gt;2,"N/A:input",IF(EXACT($C24,$C$26),$D24-$D$26,"N/A:cohort")))</x:f>
      </x:c>
      <x:c r="AD24" s="58" t="str">
        <x:f>IF(OR($A24="",$A$27=""),"",IF(COUNT($D24,$D$27)&lt;&gt;2,"N/A:input",IF(EXACT($C24,$C$27),$D24-$D$27,"N/A:cohort")))</x:f>
      </x:c>
      <x:c r="AE24" s="58" t="str">
        <x:f>IF(OR($A24="",$A$28=""),"",IF(COUNT($D24,$D$28)&lt;&gt;2,"N/A:input",IF(EXACT($C24,$C$28),$D24-$D$28,"N/A:cohort")))</x:f>
      </x:c>
      <x:c r="AF24" s="58" t="str">
        <x:f>IF(OR($A24="",$A$29=""),"",IF(COUNT($D24,$D$29)&lt;&gt;2,"N/A:input",IF(EXACT($C24,$C$29),$D24-$D$29,"N/A:cohort")))</x:f>
      </x:c>
      <x:c r="AG24" s="58" t="str">
        <x:f>IF(OR($A24="",$A$30=""),"",IF(COUNT($D24,$D$30)&lt;&gt;2,"N/A:input",IF(EXACT($C24,$C$30),$D24-$D$30,"N/A:cohort")))</x:f>
      </x:c>
      <x:c r="AH24" s="58" t="str">
        <x:f>IF(OR($A24="",$A$31=""),"",IF(COUNT($D24,$D$31)&lt;&gt;2,"N/A:input",IF(EXACT($C24,$C$31),$D24-$D$31,"N/A:cohort")))</x:f>
      </x:c>
      <x:c r="AI24" s="58" t="str">
        <x:f>IF(OR($A24="",$A$32=""),"",IF(COUNT($D24,$D$32)&lt;&gt;2,"N/A:input",IF(EXACT($C24,$C$32),$D24-$D$32,"N/A:cohort")))</x:f>
      </x:c>
      <x:c r="AJ24" s="58" t="str">
        <x:f>IF(OR($A24="",$A$33=""),"",IF(COUNT($D24,$D$33)&lt;&gt;2,"N/A:input",IF(EXACT($C24,$C$33),$D24-$D$33,"N/A:cohort")))</x:f>
      </x:c>
      <x:c r="AK24" s="58" t="str">
        <x:f>IF(OR($A24="",$A$34=""),"",IF(COUNT($D24,$D$34)&lt;&gt;2,"N/A:input",IF(EXACT($C24,$C$34),$D24-$D$34,"N/A:cohort")))</x:f>
      </x:c>
      <x:c r="AL24" s="58" t="str">
        <x:f>IF(OR($A24="",$A$35=""),"",IF(COUNT($D24,$D$35)&lt;&gt;2,"N/A:input",IF(EXACT($C24,$C$35),$D24-$D$35,"N/A:cohort")))</x:f>
      </x:c>
      <x:c r="AM24" s="58" t="str">
        <x:f>IF(OR($A24="",$A$36=""),"",IF(COUNT($D24,$D$36)&lt;&gt;2,"N/A:input",IF(EXACT($C24,$C$36),$D24-$D$36,"N/A:cohort")))</x:f>
      </x:c>
      <x:c r="AN24" s="34" t="str">
        <x:f>IF(COUNT($D24)=0,"",SUM(IF(AND(EXACT($C$7,$C24),ISNUMBER($D$7)),($D$7&gt;$D24)+($D$7=$D24)/2,0),IF(AND(EXACT($C$8,$C24),ISNUMBER($D$8)),($D$8&gt;$D24)+($D$8=$D24)/2,0),IF(AND(EXACT($C$9,$C24),ISNUMBER($D$9)),($D$9&gt;$D24)+($D$9=$D24)/2,0),IF(AND(EXACT($C$10,$C24),ISNUMBER($D$10)),($D$10&gt;$D24)+($D$10=$D24)/2,0),IF(AND(EXACT($C$11,$C24),ISNUMBER($D$11)),($D$11&gt;$D24)+($D$11=$D24)/2,0),IF(AND(EXACT($C$12,$C24),ISNUMBER($D$12)),($D$12&gt;$D24)+($D$12=$D24)/2,0),IF(AND(EXACT($C$13,$C24),ISNUMBER($D$13)),($D$13&gt;$D24)+($D$13=$D24)/2,0),IF(AND(EXACT($C$14,$C24),ISNUMBER($D$14)),($D$14&gt;$D24)+($D$14=$D24)/2,0),IF(AND(EXACT($C$15,$C24),ISNUMBER($D$15)),($D$15&gt;$D24)+($D$15=$D24)/2,0),IF(AND(EXACT($C$16,$C24),ISNUMBER($D$16)),($D$16&gt;$D24)+($D$16=$D24)/2,0),IF(AND(EXACT($C$17,$C24),ISNUMBER($D$17)),($D$17&gt;$D24)+($D$17=$D24)/2,0),IF(AND(EXACT($C$18,$C24),ISNUMBER($D$18)),($D$18&gt;$D24)+($D$18=$D24)/2,0),IF(AND(EXACT($C$19,$C24),ISNUMBER($D$19)),($D$19&gt;$D24)+($D$19=$D24)/2,0),IF(AND(EXACT($C$20,$C24),ISNUMBER($D$20)),($D$20&gt;$D24)+($D$20=$D24)/2,0),IF(AND(EXACT($C$21,$C24),ISNUMBER($D$21)),($D$21&gt;$D24)+($D$21=$D24)/2,0),IF(AND(EXACT($C$22,$C24),ISNUMBER($D$22)),($D$22&gt;$D24)+($D$22=$D24)/2,0),IF(AND(EXACT($C$23,$C24),ISNUMBER($D$23)),($D$23&gt;$D24)+($D$23=$D24)/2,0),IF(AND(EXACT($C$24,$C24),ISNUMBER($D$24)),($D$24&gt;$D24)+($D$24=$D24)/2,0),IF(AND(EXACT($C$25,$C24),ISNUMBER($D$25)),($D$25&gt;$D24)+($D$25=$D24)/2,0),IF(AND(EXACT($C$26,$C24),ISNUMBER($D$26)),($D$26&gt;$D24)+($D$26=$D24)/2,0),IF(AND(EXACT($C$27,$C24),ISNUMBER($D$27)),($D$27&gt;$D24)+($D$27=$D24)/2,0),IF(AND(EXACT($C$28,$C24),ISNUMBER($D$28)),($D$28&gt;$D24)+($D$28=$D24)/2,0),IF(AND(EXACT($C$29,$C24),ISNUMBER($D$29)),($D$29&gt;$D24)+($D$29=$D24)/2,0),IF(AND(EXACT($C$30,$C24),ISNUMBER($D$30)),($D$30&gt;$D24)+($D$30=$D24)/2,0),IF(AND(EXACT($C$31,$C24),ISNUMBER($D$31)),($D$31&gt;$D24)+($D$31=$D24)/2,0),IF(AND(EXACT($C$32,$C24),ISNUMBER($D$32)),($D$32&gt;$D24)+($D$32=$D24)/2,0),IF(AND(EXACT($C$33,$C24),ISNUMBER($D$33)),($D$33&gt;$D24)+($D$33=$D24)/2,0),IF(AND(EXACT($C$34,$C24),ISNUMBER($D$34)),($D$34&gt;$D24)+($D$34=$D24)/2,0),IF(AND(EXACT($C$35,$C24),ISNUMBER($D$35)),($D$35&gt;$D24)+($D$35=$D24)/2,0),IF(AND(EXACT($C$36,$C24),ISNUMBER($D$36)),($D$36&gt;$D24)+($D$36=$D24)/2,0),IF(AND(EXACT($C$37,$C24),ISNUMBER($D$37)),($D$37&gt;$D24)+($D$37=$D24)/2,0),IF(AND(EXACT($C$38,$C24),ISNUMBER($D$38)),($D$38&gt;$D24)+($D$38=$D24)/2,0),IF(AND(EXACT($C$39,$C24),ISNUMBER($D$39)),($D$39&gt;$D24)+($D$39=$D24)/2,0),IF(AND(EXACT($C$40,$C24),ISNUMBER($D$40)),($D$40&gt;$D24)+($D$40=$D24)/2,0),IF(AND(EXACT($C$41,$C24),ISNUMBER($D$41)),($D$41&gt;$D24)+($D$41=$D24)/2,0),IF(AND(EXACT($C$42,$C24),ISNUMBER($D$42)),($D$42&gt;$D24)+($D$42=$D24)/2,0),IF(AND(EXACT($C$43,$C24),ISNUMBER($D$43)),($D$43&gt;$D24)+($D$43=$D24)/2,0),IF(AND(EXACT($C$44,$C24),ISNUMBER($D$44)),($D$44&gt;$D24)+($D$44=$D24)/2,0),IF(AND(EXACT($C$45,$C24),ISNUMBER($D$45)),($D$45&gt;$D24)+($D$45=$D24)/2,0),IF(AND(EXACT($C$46,$C24),ISNUMBER($D$46)),($D$46&gt;$D24)+($D$46=$D24)/2,0),IF(AND(EXACT($C$47,$C24),ISNUMBER($D$47)),($D$47&gt;$D24)+($D$47=$D24)/2,0),IF(AND(EXACT($C$48,$C24),ISNUMBER($D$48)),($D$48&gt;$D24)+($D$48=$D24)/2,0),IF(AND(EXACT($C$49,$C24),ISNUMBER($D$49)),($D$49&gt;$D24)+($D$49=$D24)/2,0),IF(AND(EXACT($C$50,$C24),ISNUMBER($D$50)),($D$50&gt;$D24)+($D$50=$D24)/2,0),IF(AND(EXACT($C$51,$C24),ISNUMBER($D$51)),($D$51&gt;$D24)+($D$51=$D24)/2,0),IF(AND(EXACT($C$52,$C24),ISNUMBER($D$52)),($D$52&gt;$D24)+($D$52=$D24)/2,0),IF(AND(EXACT($C$53,$C24),ISNUMBER($D$53)),($D$53&gt;$D24)+($D$53=$D24)/2,0),IF(AND(EXACT($C$54,$C24),ISNUMBER($D$54)),($D$54&gt;$D24)+($D$54=$D24)/2,0),IF(AND(EXACT($C$55,$C24),ISNUMBER($D$55)),($D$55&gt;$D24)+($D$55=$D24)/2,0),IF(AND(EXACT($C$56,$C24),ISNUMBER($D$56)),($D$56&gt;$D24)+($D$56=$D24)/2,0)))</x:f>
      </x:c>
      <x:c r="AO24" s="34" t="str">
        <x:f>IF(COUNT($D24)=0,"",SUM(IF(AND(EXACT($C$57,$C24),ISNUMBER($D$57)),($D$57&gt;$D24)+($D$57=$D24)/2,0),IF(AND(EXACT($C$58,$C24),ISNUMBER($D$58)),($D$58&gt;$D24)+($D$58=$D24)/2,0),IF(AND(EXACT($C$59,$C24),ISNUMBER($D$59)),($D$59&gt;$D24)+($D$59=$D24)/2,0),IF(AND(EXACT($C$60,$C24),ISNUMBER($D$60)),($D$60&gt;$D24)+($D$60=$D24)/2,0),IF(AND(EXACT($C$61,$C24),ISNUMBER($D$61)),($D$61&gt;$D24)+($D$61=$D24)/2,0),IF(AND(EXACT($C$62,$C24),ISNUMBER($D$62)),($D$62&gt;$D24)+($D$62=$D24)/2,0),IF(AND(EXACT($C$63,$C24),ISNUMBER($D$63)),($D$63&gt;$D24)+($D$63=$D24)/2,0),IF(AND(EXACT($C$64,$C24),ISNUMBER($D$64)),($D$64&gt;$D24)+($D$64=$D24)/2,0),IF(AND(EXACT($C$65,$C24),ISNUMBER($D$65)),($D$65&gt;$D24)+($D$65=$D24)/2,0),IF(AND(EXACT($C$66,$C24),ISNUMBER($D$66)),($D$66&gt;$D24)+($D$66=$D24)/2,0),IF(AND(EXACT($C$67,$C24),ISNUMBER($D$67)),($D$67&gt;$D24)+($D$67=$D24)/2,0),IF(AND(EXACT($C$68,$C24),ISNUMBER($D$68)),($D$68&gt;$D24)+($D$68=$D24)/2,0),IF(AND(EXACT($C$69,$C24),ISNUMBER($D$69)),($D$69&gt;$D24)+($D$69=$D24)/2,0),IF(AND(EXACT($C$70,$C24),ISNUMBER($D$70)),($D$70&gt;$D24)+($D$70=$D24)/2,0),IF(AND(EXACT($C$71,$C24),ISNUMBER($D$71)),($D$71&gt;$D24)+($D$71=$D24)/2,0),IF(AND(EXACT($C$72,$C24),ISNUMBER($D$72)),($D$72&gt;$D24)+($D$72=$D24)/2,0),IF(AND(EXACT($C$73,$C24),ISNUMBER($D$73)),($D$73&gt;$D24)+($D$73=$D24)/2,0),IF(AND(EXACT($C$74,$C24),ISNUMBER($D$74)),($D$74&gt;$D24)+($D$74=$D24)/2,0),IF(AND(EXACT($C$75,$C24),ISNUMBER($D$75)),($D$75&gt;$D24)+($D$75=$D24)/2,0),IF(AND(EXACT($C$76,$C24),ISNUMBER($D$76)),($D$76&gt;$D24)+($D$76=$D24)/2,0),IF(AND(EXACT($C$77,$C24),ISNUMBER($D$77)),($D$77&gt;$D24)+($D$77=$D24)/2,0),IF(AND(EXACT($C$78,$C24),ISNUMBER($D$78)),($D$78&gt;$D24)+($D$78=$D24)/2,0),IF(AND(EXACT($C$79,$C24),ISNUMBER($D$79)),($D$79&gt;$D24)+($D$79=$D24)/2,0),IF(AND(EXACT($C$80,$C24),ISNUMBER($D$80)),($D$80&gt;$D24)+($D$80=$D24)/2,0),IF(AND(EXACT($C$81,$C24),ISNUMBER($D$81)),($D$81&gt;$D24)+($D$81=$D24)/2,0),IF(AND(EXACT($C$82,$C24),ISNUMBER($D$82)),($D$82&gt;$D24)+($D$82=$D24)/2,0),IF(AND(EXACT($C$83,$C24),ISNUMBER($D$83)),($D$83&gt;$D24)+($D$83=$D24)/2,0),IF(AND(EXACT($C$84,$C24),ISNUMBER($D$84)),($D$84&gt;$D24)+($D$84=$D24)/2,0),IF(AND(EXACT($C$85,$C24),ISNUMBER($D$85)),($D$85&gt;$D24)+($D$85=$D24)/2,0),IF(AND(EXACT($C$86,$C24),ISNUMBER($D$86)),($D$86&gt;$D24)+($D$86=$D24)/2,0),IF(AND(EXACT($C$87,$C24),ISNUMBER($D$87)),($D$87&gt;$D24)+($D$87=$D24)/2,0),IF(AND(EXACT($C$88,$C24),ISNUMBER($D$88)),($D$88&gt;$D24)+($D$88=$D24)/2,0),IF(AND(EXACT($C$89,$C24),ISNUMBER($D$89)),($D$89&gt;$D24)+($D$89=$D24)/2,0),IF(AND(EXACT($C$90,$C24),ISNUMBER($D$90)),($D$90&gt;$D24)+($D$90=$D24)/2,0),IF(AND(EXACT($C$91,$C24),ISNUMBER($D$91)),($D$91&gt;$D24)+($D$91=$D24)/2,0),IF(AND(EXACT($C$92,$C24),ISNUMBER($D$92)),($D$92&gt;$D24)+($D$92=$D24)/2,0),IF(AND(EXACT($C$93,$C24),ISNUMBER($D$93)),($D$93&gt;$D24)+($D$93=$D24)/2,0),IF(AND(EXACT($C$94,$C24),ISNUMBER($D$94)),($D$94&gt;$D24)+($D$94=$D24)/2,0),IF(AND(EXACT($C$95,$C24),ISNUMBER($D$95)),($D$95&gt;$D24)+($D$95=$D24)/2,0),IF(AND(EXACT($C$96,$C24),ISNUMBER($D$96)),($D$96&gt;$D24)+($D$96=$D24)/2,0),IF(AND(EXACT($C$97,$C24),ISNUMBER($D$97)),($D$97&gt;$D24)+($D$97=$D24)/2,0),IF(AND(EXACT($C$98,$C24),ISNUMBER($D$98)),($D$98&gt;$D24)+($D$98=$D24)/2,0),IF(AND(EXACT($C$99,$C24),ISNUMBER($D$99)),($D$99&gt;$D24)+($D$99=$D24)/2,0),IF(AND(EXACT($C$100,$C24),ISNUMBER($D$100)),($D$100&gt;$D24)+($D$100=$D24)/2,0),IF(AND(EXACT($C$101,$C24),ISNUMBER($D$101)),($D$101&gt;$D24)+($D$101=$D24)/2,0),IF(AND(EXACT($C$102,$C24),ISNUMBER($D$102)),($D$102&gt;$D24)+($D$102=$D24)/2,0),IF(AND(EXACT($C$103,$C24),ISNUMBER($D$103)),($D$103&gt;$D24)+($D$103=$D24)/2,0),IF(AND(EXACT($C$104,$C24),ISNUMBER($D$104)),($D$104&gt;$D24)+($D$104=$D24)/2,0),IF(AND(EXACT($C$105,$C24),ISNUMBER($D$105)),($D$105&gt;$D24)+($D$105=$D24)/2,0),IF(AND(EXACT($C$106,$C24),ISNUMBER($D$106)),($D$106&gt;$D24)+($D$106=$D24)/2,0)))</x:f>
      </x:c>
    </x:row>
    <x:row r="25">
      <x:c r="A25" s="34" t="str">
        <x:f>IF('91_CALC_SCORES'!A25="","",'91_CALC_SCORES'!A25)</x:f>
      </x:c>
      <x:c r="B25" s="34" t="str">
        <x:f>IF($A25="","",'91_CALC_SCORES'!B25)</x:f>
      </x:c>
      <x:c r="C25" s="34" t="str">
        <x:f>IF($A25="","",'91_CALC_SCORES'!K25)</x:f>
      </x:c>
      <x:c r="D25" s="57" t="str">
        <x:f>IF(OR($A25="",NOT(OR(LEFT('91_CALC_SCORES'!AB25,4)="PASS",LEFT('91_CALC_SCORES'!AB25,5)="READY"))),"",'91_CALC_SCORES'!Y25)</x:f>
      </x:c>
      <x:c r="E25" s="34" t="str">
        <x:f>IF(COUNT(D25)=0,"",1+SUM(AN25:AO25)-1/2)</x:f>
      </x:c>
      <x:c r="F25" s="34" t="str">
        <x:f>IF($A25="","",'91_CALC_SCORES'!AB25)</x:f>
      </x:c>
      <x:c r="G25" s="34" t="str">
        <x:f>IF(A25="","","연구 베타 | 기업 백분위 아님")</x:f>
      </x:c>
      <x:c r="I25" s="13" t="str">
        <x:f>IF($A$25="","",$A$25)</x:f>
      </x:c>
      <x:c r="J25" s="58" t="str">
        <x:f>IF(OR($A25="",$A$7=""),"",IF(COUNT($D25,$D$7)&lt;&gt;2,"N/A:input",IF(EXACT($C25,$C$7),$D25-$D$7,"N/A:cohort")))</x:f>
      </x:c>
      <x:c r="K25" s="58" t="str">
        <x:f>IF(OR($A25="",$A$8=""),"",IF(COUNT($D25,$D$8)&lt;&gt;2,"N/A:input",IF(EXACT($C25,$C$8),$D25-$D$8,"N/A:cohort")))</x:f>
      </x:c>
      <x:c r="L25" s="58" t="str">
        <x:f>IF(OR($A25="",$A$9=""),"",IF(COUNT($D25,$D$9)&lt;&gt;2,"N/A:input",IF(EXACT($C25,$C$9),$D25-$D$9,"N/A:cohort")))</x:f>
      </x:c>
      <x:c r="M25" s="58" t="str">
        <x:f>IF(OR($A25="",$A$10=""),"",IF(COUNT($D25,$D$10)&lt;&gt;2,"N/A:input",IF(EXACT($C25,$C$10),$D25-$D$10,"N/A:cohort")))</x:f>
      </x:c>
      <x:c r="N25" s="58" t="str">
        <x:f>IF(OR($A25="",$A$11=""),"",IF(COUNT($D25,$D$11)&lt;&gt;2,"N/A:input",IF(EXACT($C25,$C$11),$D25-$D$11,"N/A:cohort")))</x:f>
      </x:c>
      <x:c r="O25" s="58" t="str">
        <x:f>IF(OR($A25="",$A$12=""),"",IF(COUNT($D25,$D$12)&lt;&gt;2,"N/A:input",IF(EXACT($C25,$C$12),$D25-$D$12,"N/A:cohort")))</x:f>
      </x:c>
      <x:c r="P25" s="58" t="str">
        <x:f>IF(OR($A25="",$A$13=""),"",IF(COUNT($D25,$D$13)&lt;&gt;2,"N/A:input",IF(EXACT($C25,$C$13),$D25-$D$13,"N/A:cohort")))</x:f>
      </x:c>
      <x:c r="Q25" s="58" t="str">
        <x:f>IF(OR($A25="",$A$14=""),"",IF(COUNT($D25,$D$14)&lt;&gt;2,"N/A:input",IF(EXACT($C25,$C$14),$D25-$D$14,"N/A:cohort")))</x:f>
      </x:c>
      <x:c r="R25" s="58" t="str">
        <x:f>IF(OR($A25="",$A$15=""),"",IF(COUNT($D25,$D$15)&lt;&gt;2,"N/A:input",IF(EXACT($C25,$C$15),$D25-$D$15,"N/A:cohort")))</x:f>
      </x:c>
      <x:c r="S25" s="58" t="str">
        <x:f>IF(OR($A25="",$A$16=""),"",IF(COUNT($D25,$D$16)&lt;&gt;2,"N/A:input",IF(EXACT($C25,$C$16),$D25-$D$16,"N/A:cohort")))</x:f>
      </x:c>
      <x:c r="T25" s="58" t="str">
        <x:f>IF(OR($A25="",$A$17=""),"",IF(COUNT($D25,$D$17)&lt;&gt;2,"N/A:input",IF(EXACT($C25,$C$17),$D25-$D$17,"N/A:cohort")))</x:f>
      </x:c>
      <x:c r="U25" s="58" t="str">
        <x:f>IF(OR($A25="",$A$18=""),"",IF(COUNT($D25,$D$18)&lt;&gt;2,"N/A:input",IF(EXACT($C25,$C$18),$D25-$D$18,"N/A:cohort")))</x:f>
      </x:c>
      <x:c r="V25" s="58" t="str">
        <x:f>IF(OR($A25="",$A$19=""),"",IF(COUNT($D25,$D$19)&lt;&gt;2,"N/A:input",IF(EXACT($C25,$C$19),$D25-$D$19,"N/A:cohort")))</x:f>
      </x:c>
      <x:c r="W25" s="58" t="str">
        <x:f>IF(OR($A25="",$A$20=""),"",IF(COUNT($D25,$D$20)&lt;&gt;2,"N/A:input",IF(EXACT($C25,$C$20),$D25-$D$20,"N/A:cohort")))</x:f>
      </x:c>
      <x:c r="X25" s="58" t="str">
        <x:f>IF(OR($A25="",$A$21=""),"",IF(COUNT($D25,$D$21)&lt;&gt;2,"N/A:input",IF(EXACT($C25,$C$21),$D25-$D$21,"N/A:cohort")))</x:f>
      </x:c>
      <x:c r="Y25" s="58" t="str">
        <x:f>IF(OR($A25="",$A$22=""),"",IF(COUNT($D25,$D$22)&lt;&gt;2,"N/A:input",IF(EXACT($C25,$C$22),$D25-$D$22,"N/A:cohort")))</x:f>
      </x:c>
      <x:c r="Z25" s="58" t="str">
        <x:f>IF(OR($A25="",$A$23=""),"",IF(COUNT($D25,$D$23)&lt;&gt;2,"N/A:input",IF(EXACT($C25,$C$23),$D25-$D$23,"N/A:cohort")))</x:f>
      </x:c>
      <x:c r="AA25" s="58" t="str">
        <x:f>IF(OR($A25="",$A$24=""),"",IF(COUNT($D25,$D$24)&lt;&gt;2,"N/A:input",IF(EXACT($C25,$C$24),$D25-$D$24,"N/A:cohort")))</x:f>
      </x:c>
      <x:c r="AB25" s="58" t="str">
        <x:f>IF(OR($A25="",$A$25=""),"",IF(COUNT($D25,$D$25)&lt;&gt;2,"N/A:input",IF(EXACT($C25,$C$25),$D25-$D$25,"N/A:cohort")))</x:f>
      </x:c>
      <x:c r="AC25" s="58" t="str">
        <x:f>IF(OR($A25="",$A$26=""),"",IF(COUNT($D25,$D$26)&lt;&gt;2,"N/A:input",IF(EXACT($C25,$C$26),$D25-$D$26,"N/A:cohort")))</x:f>
      </x:c>
      <x:c r="AD25" s="58" t="str">
        <x:f>IF(OR($A25="",$A$27=""),"",IF(COUNT($D25,$D$27)&lt;&gt;2,"N/A:input",IF(EXACT($C25,$C$27),$D25-$D$27,"N/A:cohort")))</x:f>
      </x:c>
      <x:c r="AE25" s="58" t="str">
        <x:f>IF(OR($A25="",$A$28=""),"",IF(COUNT($D25,$D$28)&lt;&gt;2,"N/A:input",IF(EXACT($C25,$C$28),$D25-$D$28,"N/A:cohort")))</x:f>
      </x:c>
      <x:c r="AF25" s="58" t="str">
        <x:f>IF(OR($A25="",$A$29=""),"",IF(COUNT($D25,$D$29)&lt;&gt;2,"N/A:input",IF(EXACT($C25,$C$29),$D25-$D$29,"N/A:cohort")))</x:f>
      </x:c>
      <x:c r="AG25" s="58" t="str">
        <x:f>IF(OR($A25="",$A$30=""),"",IF(COUNT($D25,$D$30)&lt;&gt;2,"N/A:input",IF(EXACT($C25,$C$30),$D25-$D$30,"N/A:cohort")))</x:f>
      </x:c>
      <x:c r="AH25" s="58" t="str">
        <x:f>IF(OR($A25="",$A$31=""),"",IF(COUNT($D25,$D$31)&lt;&gt;2,"N/A:input",IF(EXACT($C25,$C$31),$D25-$D$31,"N/A:cohort")))</x:f>
      </x:c>
      <x:c r="AI25" s="58" t="str">
        <x:f>IF(OR($A25="",$A$32=""),"",IF(COUNT($D25,$D$32)&lt;&gt;2,"N/A:input",IF(EXACT($C25,$C$32),$D25-$D$32,"N/A:cohort")))</x:f>
      </x:c>
      <x:c r="AJ25" s="58" t="str">
        <x:f>IF(OR($A25="",$A$33=""),"",IF(COUNT($D25,$D$33)&lt;&gt;2,"N/A:input",IF(EXACT($C25,$C$33),$D25-$D$33,"N/A:cohort")))</x:f>
      </x:c>
      <x:c r="AK25" s="58" t="str">
        <x:f>IF(OR($A25="",$A$34=""),"",IF(COUNT($D25,$D$34)&lt;&gt;2,"N/A:input",IF(EXACT($C25,$C$34),$D25-$D$34,"N/A:cohort")))</x:f>
      </x:c>
      <x:c r="AL25" s="58" t="str">
        <x:f>IF(OR($A25="",$A$35=""),"",IF(COUNT($D25,$D$35)&lt;&gt;2,"N/A:input",IF(EXACT($C25,$C$35),$D25-$D$35,"N/A:cohort")))</x:f>
      </x:c>
      <x:c r="AM25" s="58" t="str">
        <x:f>IF(OR($A25="",$A$36=""),"",IF(COUNT($D25,$D$36)&lt;&gt;2,"N/A:input",IF(EXACT($C25,$C$36),$D25-$D$36,"N/A:cohort")))</x:f>
      </x:c>
      <x:c r="AN25" s="34" t="str">
        <x:f>IF(COUNT($D25)=0,"",SUM(IF(AND(EXACT($C$7,$C25),ISNUMBER($D$7)),($D$7&gt;$D25)+($D$7=$D25)/2,0),IF(AND(EXACT($C$8,$C25),ISNUMBER($D$8)),($D$8&gt;$D25)+($D$8=$D25)/2,0),IF(AND(EXACT($C$9,$C25),ISNUMBER($D$9)),($D$9&gt;$D25)+($D$9=$D25)/2,0),IF(AND(EXACT($C$10,$C25),ISNUMBER($D$10)),($D$10&gt;$D25)+($D$10=$D25)/2,0),IF(AND(EXACT($C$11,$C25),ISNUMBER($D$11)),($D$11&gt;$D25)+($D$11=$D25)/2,0),IF(AND(EXACT($C$12,$C25),ISNUMBER($D$12)),($D$12&gt;$D25)+($D$12=$D25)/2,0),IF(AND(EXACT($C$13,$C25),ISNUMBER($D$13)),($D$13&gt;$D25)+($D$13=$D25)/2,0),IF(AND(EXACT($C$14,$C25),ISNUMBER($D$14)),($D$14&gt;$D25)+($D$14=$D25)/2,0),IF(AND(EXACT($C$15,$C25),ISNUMBER($D$15)),($D$15&gt;$D25)+($D$15=$D25)/2,0),IF(AND(EXACT($C$16,$C25),ISNUMBER($D$16)),($D$16&gt;$D25)+($D$16=$D25)/2,0),IF(AND(EXACT($C$17,$C25),ISNUMBER($D$17)),($D$17&gt;$D25)+($D$17=$D25)/2,0),IF(AND(EXACT($C$18,$C25),ISNUMBER($D$18)),($D$18&gt;$D25)+($D$18=$D25)/2,0),IF(AND(EXACT($C$19,$C25),ISNUMBER($D$19)),($D$19&gt;$D25)+($D$19=$D25)/2,0),IF(AND(EXACT($C$20,$C25),ISNUMBER($D$20)),($D$20&gt;$D25)+($D$20=$D25)/2,0),IF(AND(EXACT($C$21,$C25),ISNUMBER($D$21)),($D$21&gt;$D25)+($D$21=$D25)/2,0),IF(AND(EXACT($C$22,$C25),ISNUMBER($D$22)),($D$22&gt;$D25)+($D$22=$D25)/2,0),IF(AND(EXACT($C$23,$C25),ISNUMBER($D$23)),($D$23&gt;$D25)+($D$23=$D25)/2,0),IF(AND(EXACT($C$24,$C25),ISNUMBER($D$24)),($D$24&gt;$D25)+($D$24=$D25)/2,0),IF(AND(EXACT($C$25,$C25),ISNUMBER($D$25)),($D$25&gt;$D25)+($D$25=$D25)/2,0),IF(AND(EXACT($C$26,$C25),ISNUMBER($D$26)),($D$26&gt;$D25)+($D$26=$D25)/2,0),IF(AND(EXACT($C$27,$C25),ISNUMBER($D$27)),($D$27&gt;$D25)+($D$27=$D25)/2,0),IF(AND(EXACT($C$28,$C25),ISNUMBER($D$28)),($D$28&gt;$D25)+($D$28=$D25)/2,0),IF(AND(EXACT($C$29,$C25),ISNUMBER($D$29)),($D$29&gt;$D25)+($D$29=$D25)/2,0),IF(AND(EXACT($C$30,$C25),ISNUMBER($D$30)),($D$30&gt;$D25)+($D$30=$D25)/2,0),IF(AND(EXACT($C$31,$C25),ISNUMBER($D$31)),($D$31&gt;$D25)+($D$31=$D25)/2,0),IF(AND(EXACT($C$32,$C25),ISNUMBER($D$32)),($D$32&gt;$D25)+($D$32=$D25)/2,0),IF(AND(EXACT($C$33,$C25),ISNUMBER($D$33)),($D$33&gt;$D25)+($D$33=$D25)/2,0),IF(AND(EXACT($C$34,$C25),ISNUMBER($D$34)),($D$34&gt;$D25)+($D$34=$D25)/2,0),IF(AND(EXACT($C$35,$C25),ISNUMBER($D$35)),($D$35&gt;$D25)+($D$35=$D25)/2,0),IF(AND(EXACT($C$36,$C25),ISNUMBER($D$36)),($D$36&gt;$D25)+($D$36=$D25)/2,0),IF(AND(EXACT($C$37,$C25),ISNUMBER($D$37)),($D$37&gt;$D25)+($D$37=$D25)/2,0),IF(AND(EXACT($C$38,$C25),ISNUMBER($D$38)),($D$38&gt;$D25)+($D$38=$D25)/2,0),IF(AND(EXACT($C$39,$C25),ISNUMBER($D$39)),($D$39&gt;$D25)+($D$39=$D25)/2,0),IF(AND(EXACT($C$40,$C25),ISNUMBER($D$40)),($D$40&gt;$D25)+($D$40=$D25)/2,0),IF(AND(EXACT($C$41,$C25),ISNUMBER($D$41)),($D$41&gt;$D25)+($D$41=$D25)/2,0),IF(AND(EXACT($C$42,$C25),ISNUMBER($D$42)),($D$42&gt;$D25)+($D$42=$D25)/2,0),IF(AND(EXACT($C$43,$C25),ISNUMBER($D$43)),($D$43&gt;$D25)+($D$43=$D25)/2,0),IF(AND(EXACT($C$44,$C25),ISNUMBER($D$44)),($D$44&gt;$D25)+($D$44=$D25)/2,0),IF(AND(EXACT($C$45,$C25),ISNUMBER($D$45)),($D$45&gt;$D25)+($D$45=$D25)/2,0),IF(AND(EXACT($C$46,$C25),ISNUMBER($D$46)),($D$46&gt;$D25)+($D$46=$D25)/2,0),IF(AND(EXACT($C$47,$C25),ISNUMBER($D$47)),($D$47&gt;$D25)+($D$47=$D25)/2,0),IF(AND(EXACT($C$48,$C25),ISNUMBER($D$48)),($D$48&gt;$D25)+($D$48=$D25)/2,0),IF(AND(EXACT($C$49,$C25),ISNUMBER($D$49)),($D$49&gt;$D25)+($D$49=$D25)/2,0),IF(AND(EXACT($C$50,$C25),ISNUMBER($D$50)),($D$50&gt;$D25)+($D$50=$D25)/2,0),IF(AND(EXACT($C$51,$C25),ISNUMBER($D$51)),($D$51&gt;$D25)+($D$51=$D25)/2,0),IF(AND(EXACT($C$52,$C25),ISNUMBER($D$52)),($D$52&gt;$D25)+($D$52=$D25)/2,0),IF(AND(EXACT($C$53,$C25),ISNUMBER($D$53)),($D$53&gt;$D25)+($D$53=$D25)/2,0),IF(AND(EXACT($C$54,$C25),ISNUMBER($D$54)),($D$54&gt;$D25)+($D$54=$D25)/2,0),IF(AND(EXACT($C$55,$C25),ISNUMBER($D$55)),($D$55&gt;$D25)+($D$55=$D25)/2,0),IF(AND(EXACT($C$56,$C25),ISNUMBER($D$56)),($D$56&gt;$D25)+($D$56=$D25)/2,0)))</x:f>
      </x:c>
      <x:c r="AO25" s="34" t="str">
        <x:f>IF(COUNT($D25)=0,"",SUM(IF(AND(EXACT($C$57,$C25),ISNUMBER($D$57)),($D$57&gt;$D25)+($D$57=$D25)/2,0),IF(AND(EXACT($C$58,$C25),ISNUMBER($D$58)),($D$58&gt;$D25)+($D$58=$D25)/2,0),IF(AND(EXACT($C$59,$C25),ISNUMBER($D$59)),($D$59&gt;$D25)+($D$59=$D25)/2,0),IF(AND(EXACT($C$60,$C25),ISNUMBER($D$60)),($D$60&gt;$D25)+($D$60=$D25)/2,0),IF(AND(EXACT($C$61,$C25),ISNUMBER($D$61)),($D$61&gt;$D25)+($D$61=$D25)/2,0),IF(AND(EXACT($C$62,$C25),ISNUMBER($D$62)),($D$62&gt;$D25)+($D$62=$D25)/2,0),IF(AND(EXACT($C$63,$C25),ISNUMBER($D$63)),($D$63&gt;$D25)+($D$63=$D25)/2,0),IF(AND(EXACT($C$64,$C25),ISNUMBER($D$64)),($D$64&gt;$D25)+($D$64=$D25)/2,0),IF(AND(EXACT($C$65,$C25),ISNUMBER($D$65)),($D$65&gt;$D25)+($D$65=$D25)/2,0),IF(AND(EXACT($C$66,$C25),ISNUMBER($D$66)),($D$66&gt;$D25)+($D$66=$D25)/2,0),IF(AND(EXACT($C$67,$C25),ISNUMBER($D$67)),($D$67&gt;$D25)+($D$67=$D25)/2,0),IF(AND(EXACT($C$68,$C25),ISNUMBER($D$68)),($D$68&gt;$D25)+($D$68=$D25)/2,0),IF(AND(EXACT($C$69,$C25),ISNUMBER($D$69)),($D$69&gt;$D25)+($D$69=$D25)/2,0),IF(AND(EXACT($C$70,$C25),ISNUMBER($D$70)),($D$70&gt;$D25)+($D$70=$D25)/2,0),IF(AND(EXACT($C$71,$C25),ISNUMBER($D$71)),($D$71&gt;$D25)+($D$71=$D25)/2,0),IF(AND(EXACT($C$72,$C25),ISNUMBER($D$72)),($D$72&gt;$D25)+($D$72=$D25)/2,0),IF(AND(EXACT($C$73,$C25),ISNUMBER($D$73)),($D$73&gt;$D25)+($D$73=$D25)/2,0),IF(AND(EXACT($C$74,$C25),ISNUMBER($D$74)),($D$74&gt;$D25)+($D$74=$D25)/2,0),IF(AND(EXACT($C$75,$C25),ISNUMBER($D$75)),($D$75&gt;$D25)+($D$75=$D25)/2,0),IF(AND(EXACT($C$76,$C25),ISNUMBER($D$76)),($D$76&gt;$D25)+($D$76=$D25)/2,0),IF(AND(EXACT($C$77,$C25),ISNUMBER($D$77)),($D$77&gt;$D25)+($D$77=$D25)/2,0),IF(AND(EXACT($C$78,$C25),ISNUMBER($D$78)),($D$78&gt;$D25)+($D$78=$D25)/2,0),IF(AND(EXACT($C$79,$C25),ISNUMBER($D$79)),($D$79&gt;$D25)+($D$79=$D25)/2,0),IF(AND(EXACT($C$80,$C25),ISNUMBER($D$80)),($D$80&gt;$D25)+($D$80=$D25)/2,0),IF(AND(EXACT($C$81,$C25),ISNUMBER($D$81)),($D$81&gt;$D25)+($D$81=$D25)/2,0),IF(AND(EXACT($C$82,$C25),ISNUMBER($D$82)),($D$82&gt;$D25)+($D$82=$D25)/2,0),IF(AND(EXACT($C$83,$C25),ISNUMBER($D$83)),($D$83&gt;$D25)+($D$83=$D25)/2,0),IF(AND(EXACT($C$84,$C25),ISNUMBER($D$84)),($D$84&gt;$D25)+($D$84=$D25)/2,0),IF(AND(EXACT($C$85,$C25),ISNUMBER($D$85)),($D$85&gt;$D25)+($D$85=$D25)/2,0),IF(AND(EXACT($C$86,$C25),ISNUMBER($D$86)),($D$86&gt;$D25)+($D$86=$D25)/2,0),IF(AND(EXACT($C$87,$C25),ISNUMBER($D$87)),($D$87&gt;$D25)+($D$87=$D25)/2,0),IF(AND(EXACT($C$88,$C25),ISNUMBER($D$88)),($D$88&gt;$D25)+($D$88=$D25)/2,0),IF(AND(EXACT($C$89,$C25),ISNUMBER($D$89)),($D$89&gt;$D25)+($D$89=$D25)/2,0),IF(AND(EXACT($C$90,$C25),ISNUMBER($D$90)),($D$90&gt;$D25)+($D$90=$D25)/2,0),IF(AND(EXACT($C$91,$C25),ISNUMBER($D$91)),($D$91&gt;$D25)+($D$91=$D25)/2,0),IF(AND(EXACT($C$92,$C25),ISNUMBER($D$92)),($D$92&gt;$D25)+($D$92=$D25)/2,0),IF(AND(EXACT($C$93,$C25),ISNUMBER($D$93)),($D$93&gt;$D25)+($D$93=$D25)/2,0),IF(AND(EXACT($C$94,$C25),ISNUMBER($D$94)),($D$94&gt;$D25)+($D$94=$D25)/2,0),IF(AND(EXACT($C$95,$C25),ISNUMBER($D$95)),($D$95&gt;$D25)+($D$95=$D25)/2,0),IF(AND(EXACT($C$96,$C25),ISNUMBER($D$96)),($D$96&gt;$D25)+($D$96=$D25)/2,0),IF(AND(EXACT($C$97,$C25),ISNUMBER($D$97)),($D$97&gt;$D25)+($D$97=$D25)/2,0),IF(AND(EXACT($C$98,$C25),ISNUMBER($D$98)),($D$98&gt;$D25)+($D$98=$D25)/2,0),IF(AND(EXACT($C$99,$C25),ISNUMBER($D$99)),($D$99&gt;$D25)+($D$99=$D25)/2,0),IF(AND(EXACT($C$100,$C25),ISNUMBER($D$100)),($D$100&gt;$D25)+($D$100=$D25)/2,0),IF(AND(EXACT($C$101,$C25),ISNUMBER($D$101)),($D$101&gt;$D25)+($D$101=$D25)/2,0),IF(AND(EXACT($C$102,$C25),ISNUMBER($D$102)),($D$102&gt;$D25)+($D$102=$D25)/2,0),IF(AND(EXACT($C$103,$C25),ISNUMBER($D$103)),($D$103&gt;$D25)+($D$103=$D25)/2,0),IF(AND(EXACT($C$104,$C25),ISNUMBER($D$104)),($D$104&gt;$D25)+($D$104=$D25)/2,0),IF(AND(EXACT($C$105,$C25),ISNUMBER($D$105)),($D$105&gt;$D25)+($D$105=$D25)/2,0),IF(AND(EXACT($C$106,$C25),ISNUMBER($D$106)),($D$106&gt;$D25)+($D$106=$D25)/2,0)))</x:f>
      </x:c>
    </x:row>
    <x:row r="26">
      <x:c r="A26" s="34" t="str">
        <x:f>IF('91_CALC_SCORES'!A26="","",'91_CALC_SCORES'!A26)</x:f>
      </x:c>
      <x:c r="B26" s="34" t="str">
        <x:f>IF($A26="","",'91_CALC_SCORES'!B26)</x:f>
      </x:c>
      <x:c r="C26" s="34" t="str">
        <x:f>IF($A26="","",'91_CALC_SCORES'!K26)</x:f>
      </x:c>
      <x:c r="D26" s="57" t="str">
        <x:f>IF(OR($A26="",NOT(OR(LEFT('91_CALC_SCORES'!AB26,4)="PASS",LEFT('91_CALC_SCORES'!AB26,5)="READY"))),"",'91_CALC_SCORES'!Y26)</x:f>
      </x:c>
      <x:c r="E26" s="34" t="str">
        <x:f>IF(COUNT(D26)=0,"",1+SUM(AN26:AO26)-1/2)</x:f>
      </x:c>
      <x:c r="F26" s="34" t="str">
        <x:f>IF($A26="","",'91_CALC_SCORES'!AB26)</x:f>
      </x:c>
      <x:c r="G26" s="34" t="str">
        <x:f>IF(A26="","","연구 베타 | 기업 백분위 아님")</x:f>
      </x:c>
      <x:c r="I26" s="13" t="str">
        <x:f>IF($A$26="","",$A$26)</x:f>
      </x:c>
      <x:c r="J26" s="58" t="str">
        <x:f>IF(OR($A26="",$A$7=""),"",IF(COUNT($D26,$D$7)&lt;&gt;2,"N/A:input",IF(EXACT($C26,$C$7),$D26-$D$7,"N/A:cohort")))</x:f>
      </x:c>
      <x:c r="K26" s="58" t="str">
        <x:f>IF(OR($A26="",$A$8=""),"",IF(COUNT($D26,$D$8)&lt;&gt;2,"N/A:input",IF(EXACT($C26,$C$8),$D26-$D$8,"N/A:cohort")))</x:f>
      </x:c>
      <x:c r="L26" s="58" t="str">
        <x:f>IF(OR($A26="",$A$9=""),"",IF(COUNT($D26,$D$9)&lt;&gt;2,"N/A:input",IF(EXACT($C26,$C$9),$D26-$D$9,"N/A:cohort")))</x:f>
      </x:c>
      <x:c r="M26" s="58" t="str">
        <x:f>IF(OR($A26="",$A$10=""),"",IF(COUNT($D26,$D$10)&lt;&gt;2,"N/A:input",IF(EXACT($C26,$C$10),$D26-$D$10,"N/A:cohort")))</x:f>
      </x:c>
      <x:c r="N26" s="58" t="str">
        <x:f>IF(OR($A26="",$A$11=""),"",IF(COUNT($D26,$D$11)&lt;&gt;2,"N/A:input",IF(EXACT($C26,$C$11),$D26-$D$11,"N/A:cohort")))</x:f>
      </x:c>
      <x:c r="O26" s="58" t="str">
        <x:f>IF(OR($A26="",$A$12=""),"",IF(COUNT($D26,$D$12)&lt;&gt;2,"N/A:input",IF(EXACT($C26,$C$12),$D26-$D$12,"N/A:cohort")))</x:f>
      </x:c>
      <x:c r="P26" s="58" t="str">
        <x:f>IF(OR($A26="",$A$13=""),"",IF(COUNT($D26,$D$13)&lt;&gt;2,"N/A:input",IF(EXACT($C26,$C$13),$D26-$D$13,"N/A:cohort")))</x:f>
      </x:c>
      <x:c r="Q26" s="58" t="str">
        <x:f>IF(OR($A26="",$A$14=""),"",IF(COUNT($D26,$D$14)&lt;&gt;2,"N/A:input",IF(EXACT($C26,$C$14),$D26-$D$14,"N/A:cohort")))</x:f>
      </x:c>
      <x:c r="R26" s="58" t="str">
        <x:f>IF(OR($A26="",$A$15=""),"",IF(COUNT($D26,$D$15)&lt;&gt;2,"N/A:input",IF(EXACT($C26,$C$15),$D26-$D$15,"N/A:cohort")))</x:f>
      </x:c>
      <x:c r="S26" s="58" t="str">
        <x:f>IF(OR($A26="",$A$16=""),"",IF(COUNT($D26,$D$16)&lt;&gt;2,"N/A:input",IF(EXACT($C26,$C$16),$D26-$D$16,"N/A:cohort")))</x:f>
      </x:c>
      <x:c r="T26" s="58" t="str">
        <x:f>IF(OR($A26="",$A$17=""),"",IF(COUNT($D26,$D$17)&lt;&gt;2,"N/A:input",IF(EXACT($C26,$C$17),$D26-$D$17,"N/A:cohort")))</x:f>
      </x:c>
      <x:c r="U26" s="58" t="str">
        <x:f>IF(OR($A26="",$A$18=""),"",IF(COUNT($D26,$D$18)&lt;&gt;2,"N/A:input",IF(EXACT($C26,$C$18),$D26-$D$18,"N/A:cohort")))</x:f>
      </x:c>
      <x:c r="V26" s="58" t="str">
        <x:f>IF(OR($A26="",$A$19=""),"",IF(COUNT($D26,$D$19)&lt;&gt;2,"N/A:input",IF(EXACT($C26,$C$19),$D26-$D$19,"N/A:cohort")))</x:f>
      </x:c>
      <x:c r="W26" s="58" t="str">
        <x:f>IF(OR($A26="",$A$20=""),"",IF(COUNT($D26,$D$20)&lt;&gt;2,"N/A:input",IF(EXACT($C26,$C$20),$D26-$D$20,"N/A:cohort")))</x:f>
      </x:c>
      <x:c r="X26" s="58" t="str">
        <x:f>IF(OR($A26="",$A$21=""),"",IF(COUNT($D26,$D$21)&lt;&gt;2,"N/A:input",IF(EXACT($C26,$C$21),$D26-$D$21,"N/A:cohort")))</x:f>
      </x:c>
      <x:c r="Y26" s="58" t="str">
        <x:f>IF(OR($A26="",$A$22=""),"",IF(COUNT($D26,$D$22)&lt;&gt;2,"N/A:input",IF(EXACT($C26,$C$22),$D26-$D$22,"N/A:cohort")))</x:f>
      </x:c>
      <x:c r="Z26" s="58" t="str">
        <x:f>IF(OR($A26="",$A$23=""),"",IF(COUNT($D26,$D$23)&lt;&gt;2,"N/A:input",IF(EXACT($C26,$C$23),$D26-$D$23,"N/A:cohort")))</x:f>
      </x:c>
      <x:c r="AA26" s="58" t="str">
        <x:f>IF(OR($A26="",$A$24=""),"",IF(COUNT($D26,$D$24)&lt;&gt;2,"N/A:input",IF(EXACT($C26,$C$24),$D26-$D$24,"N/A:cohort")))</x:f>
      </x:c>
      <x:c r="AB26" s="58" t="str">
        <x:f>IF(OR($A26="",$A$25=""),"",IF(COUNT($D26,$D$25)&lt;&gt;2,"N/A:input",IF(EXACT($C26,$C$25),$D26-$D$25,"N/A:cohort")))</x:f>
      </x:c>
      <x:c r="AC26" s="58" t="str">
        <x:f>IF(OR($A26="",$A$26=""),"",IF(COUNT($D26,$D$26)&lt;&gt;2,"N/A:input",IF(EXACT($C26,$C$26),$D26-$D$26,"N/A:cohort")))</x:f>
      </x:c>
      <x:c r="AD26" s="58" t="str">
        <x:f>IF(OR($A26="",$A$27=""),"",IF(COUNT($D26,$D$27)&lt;&gt;2,"N/A:input",IF(EXACT($C26,$C$27),$D26-$D$27,"N/A:cohort")))</x:f>
      </x:c>
      <x:c r="AE26" s="58" t="str">
        <x:f>IF(OR($A26="",$A$28=""),"",IF(COUNT($D26,$D$28)&lt;&gt;2,"N/A:input",IF(EXACT($C26,$C$28),$D26-$D$28,"N/A:cohort")))</x:f>
      </x:c>
      <x:c r="AF26" s="58" t="str">
        <x:f>IF(OR($A26="",$A$29=""),"",IF(COUNT($D26,$D$29)&lt;&gt;2,"N/A:input",IF(EXACT($C26,$C$29),$D26-$D$29,"N/A:cohort")))</x:f>
      </x:c>
      <x:c r="AG26" s="58" t="str">
        <x:f>IF(OR($A26="",$A$30=""),"",IF(COUNT($D26,$D$30)&lt;&gt;2,"N/A:input",IF(EXACT($C26,$C$30),$D26-$D$30,"N/A:cohort")))</x:f>
      </x:c>
      <x:c r="AH26" s="58" t="str">
        <x:f>IF(OR($A26="",$A$31=""),"",IF(COUNT($D26,$D$31)&lt;&gt;2,"N/A:input",IF(EXACT($C26,$C$31),$D26-$D$31,"N/A:cohort")))</x:f>
      </x:c>
      <x:c r="AI26" s="58" t="str">
        <x:f>IF(OR($A26="",$A$32=""),"",IF(COUNT($D26,$D$32)&lt;&gt;2,"N/A:input",IF(EXACT($C26,$C$32),$D26-$D$32,"N/A:cohort")))</x:f>
      </x:c>
      <x:c r="AJ26" s="58" t="str">
        <x:f>IF(OR($A26="",$A$33=""),"",IF(COUNT($D26,$D$33)&lt;&gt;2,"N/A:input",IF(EXACT($C26,$C$33),$D26-$D$33,"N/A:cohort")))</x:f>
      </x:c>
      <x:c r="AK26" s="58" t="str">
        <x:f>IF(OR($A26="",$A$34=""),"",IF(COUNT($D26,$D$34)&lt;&gt;2,"N/A:input",IF(EXACT($C26,$C$34),$D26-$D$34,"N/A:cohort")))</x:f>
      </x:c>
      <x:c r="AL26" s="58" t="str">
        <x:f>IF(OR($A26="",$A$35=""),"",IF(COUNT($D26,$D$35)&lt;&gt;2,"N/A:input",IF(EXACT($C26,$C$35),$D26-$D$35,"N/A:cohort")))</x:f>
      </x:c>
      <x:c r="AM26" s="58" t="str">
        <x:f>IF(OR($A26="",$A$36=""),"",IF(COUNT($D26,$D$36)&lt;&gt;2,"N/A:input",IF(EXACT($C26,$C$36),$D26-$D$36,"N/A:cohort")))</x:f>
      </x:c>
      <x:c r="AN26" s="34" t="str">
        <x:f>IF(COUNT($D26)=0,"",SUM(IF(AND(EXACT($C$7,$C26),ISNUMBER($D$7)),($D$7&gt;$D26)+($D$7=$D26)/2,0),IF(AND(EXACT($C$8,$C26),ISNUMBER($D$8)),($D$8&gt;$D26)+($D$8=$D26)/2,0),IF(AND(EXACT($C$9,$C26),ISNUMBER($D$9)),($D$9&gt;$D26)+($D$9=$D26)/2,0),IF(AND(EXACT($C$10,$C26),ISNUMBER($D$10)),($D$10&gt;$D26)+($D$10=$D26)/2,0),IF(AND(EXACT($C$11,$C26),ISNUMBER($D$11)),($D$11&gt;$D26)+($D$11=$D26)/2,0),IF(AND(EXACT($C$12,$C26),ISNUMBER($D$12)),($D$12&gt;$D26)+($D$12=$D26)/2,0),IF(AND(EXACT($C$13,$C26),ISNUMBER($D$13)),($D$13&gt;$D26)+($D$13=$D26)/2,0),IF(AND(EXACT($C$14,$C26),ISNUMBER($D$14)),($D$14&gt;$D26)+($D$14=$D26)/2,0),IF(AND(EXACT($C$15,$C26),ISNUMBER($D$15)),($D$15&gt;$D26)+($D$15=$D26)/2,0),IF(AND(EXACT($C$16,$C26),ISNUMBER($D$16)),($D$16&gt;$D26)+($D$16=$D26)/2,0),IF(AND(EXACT($C$17,$C26),ISNUMBER($D$17)),($D$17&gt;$D26)+($D$17=$D26)/2,0),IF(AND(EXACT($C$18,$C26),ISNUMBER($D$18)),($D$18&gt;$D26)+($D$18=$D26)/2,0),IF(AND(EXACT($C$19,$C26),ISNUMBER($D$19)),($D$19&gt;$D26)+($D$19=$D26)/2,0),IF(AND(EXACT($C$20,$C26),ISNUMBER($D$20)),($D$20&gt;$D26)+($D$20=$D26)/2,0),IF(AND(EXACT($C$21,$C26),ISNUMBER($D$21)),($D$21&gt;$D26)+($D$21=$D26)/2,0),IF(AND(EXACT($C$22,$C26),ISNUMBER($D$22)),($D$22&gt;$D26)+($D$22=$D26)/2,0),IF(AND(EXACT($C$23,$C26),ISNUMBER($D$23)),($D$23&gt;$D26)+($D$23=$D26)/2,0),IF(AND(EXACT($C$24,$C26),ISNUMBER($D$24)),($D$24&gt;$D26)+($D$24=$D26)/2,0),IF(AND(EXACT($C$25,$C26),ISNUMBER($D$25)),($D$25&gt;$D26)+($D$25=$D26)/2,0),IF(AND(EXACT($C$26,$C26),ISNUMBER($D$26)),($D$26&gt;$D26)+($D$26=$D26)/2,0),IF(AND(EXACT($C$27,$C26),ISNUMBER($D$27)),($D$27&gt;$D26)+($D$27=$D26)/2,0),IF(AND(EXACT($C$28,$C26),ISNUMBER($D$28)),($D$28&gt;$D26)+($D$28=$D26)/2,0),IF(AND(EXACT($C$29,$C26),ISNUMBER($D$29)),($D$29&gt;$D26)+($D$29=$D26)/2,0),IF(AND(EXACT($C$30,$C26),ISNUMBER($D$30)),($D$30&gt;$D26)+($D$30=$D26)/2,0),IF(AND(EXACT($C$31,$C26),ISNUMBER($D$31)),($D$31&gt;$D26)+($D$31=$D26)/2,0),IF(AND(EXACT($C$32,$C26),ISNUMBER($D$32)),($D$32&gt;$D26)+($D$32=$D26)/2,0),IF(AND(EXACT($C$33,$C26),ISNUMBER($D$33)),($D$33&gt;$D26)+($D$33=$D26)/2,0),IF(AND(EXACT($C$34,$C26),ISNUMBER($D$34)),($D$34&gt;$D26)+($D$34=$D26)/2,0),IF(AND(EXACT($C$35,$C26),ISNUMBER($D$35)),($D$35&gt;$D26)+($D$35=$D26)/2,0),IF(AND(EXACT($C$36,$C26),ISNUMBER($D$36)),($D$36&gt;$D26)+($D$36=$D26)/2,0),IF(AND(EXACT($C$37,$C26),ISNUMBER($D$37)),($D$37&gt;$D26)+($D$37=$D26)/2,0),IF(AND(EXACT($C$38,$C26),ISNUMBER($D$38)),($D$38&gt;$D26)+($D$38=$D26)/2,0),IF(AND(EXACT($C$39,$C26),ISNUMBER($D$39)),($D$39&gt;$D26)+($D$39=$D26)/2,0),IF(AND(EXACT($C$40,$C26),ISNUMBER($D$40)),($D$40&gt;$D26)+($D$40=$D26)/2,0),IF(AND(EXACT($C$41,$C26),ISNUMBER($D$41)),($D$41&gt;$D26)+($D$41=$D26)/2,0),IF(AND(EXACT($C$42,$C26),ISNUMBER($D$42)),($D$42&gt;$D26)+($D$42=$D26)/2,0),IF(AND(EXACT($C$43,$C26),ISNUMBER($D$43)),($D$43&gt;$D26)+($D$43=$D26)/2,0),IF(AND(EXACT($C$44,$C26),ISNUMBER($D$44)),($D$44&gt;$D26)+($D$44=$D26)/2,0),IF(AND(EXACT($C$45,$C26),ISNUMBER($D$45)),($D$45&gt;$D26)+($D$45=$D26)/2,0),IF(AND(EXACT($C$46,$C26),ISNUMBER($D$46)),($D$46&gt;$D26)+($D$46=$D26)/2,0),IF(AND(EXACT($C$47,$C26),ISNUMBER($D$47)),($D$47&gt;$D26)+($D$47=$D26)/2,0),IF(AND(EXACT($C$48,$C26),ISNUMBER($D$48)),($D$48&gt;$D26)+($D$48=$D26)/2,0),IF(AND(EXACT($C$49,$C26),ISNUMBER($D$49)),($D$49&gt;$D26)+($D$49=$D26)/2,0),IF(AND(EXACT($C$50,$C26),ISNUMBER($D$50)),($D$50&gt;$D26)+($D$50=$D26)/2,0),IF(AND(EXACT($C$51,$C26),ISNUMBER($D$51)),($D$51&gt;$D26)+($D$51=$D26)/2,0),IF(AND(EXACT($C$52,$C26),ISNUMBER($D$52)),($D$52&gt;$D26)+($D$52=$D26)/2,0),IF(AND(EXACT($C$53,$C26),ISNUMBER($D$53)),($D$53&gt;$D26)+($D$53=$D26)/2,0),IF(AND(EXACT($C$54,$C26),ISNUMBER($D$54)),($D$54&gt;$D26)+($D$54=$D26)/2,0),IF(AND(EXACT($C$55,$C26),ISNUMBER($D$55)),($D$55&gt;$D26)+($D$55=$D26)/2,0),IF(AND(EXACT($C$56,$C26),ISNUMBER($D$56)),($D$56&gt;$D26)+($D$56=$D26)/2,0)))</x:f>
      </x:c>
      <x:c r="AO26" s="34" t="str">
        <x:f>IF(COUNT($D26)=0,"",SUM(IF(AND(EXACT($C$57,$C26),ISNUMBER($D$57)),($D$57&gt;$D26)+($D$57=$D26)/2,0),IF(AND(EXACT($C$58,$C26),ISNUMBER($D$58)),($D$58&gt;$D26)+($D$58=$D26)/2,0),IF(AND(EXACT($C$59,$C26),ISNUMBER($D$59)),($D$59&gt;$D26)+($D$59=$D26)/2,0),IF(AND(EXACT($C$60,$C26),ISNUMBER($D$60)),($D$60&gt;$D26)+($D$60=$D26)/2,0),IF(AND(EXACT($C$61,$C26),ISNUMBER($D$61)),($D$61&gt;$D26)+($D$61=$D26)/2,0),IF(AND(EXACT($C$62,$C26),ISNUMBER($D$62)),($D$62&gt;$D26)+($D$62=$D26)/2,0),IF(AND(EXACT($C$63,$C26),ISNUMBER($D$63)),($D$63&gt;$D26)+($D$63=$D26)/2,0),IF(AND(EXACT($C$64,$C26),ISNUMBER($D$64)),($D$64&gt;$D26)+($D$64=$D26)/2,0),IF(AND(EXACT($C$65,$C26),ISNUMBER($D$65)),($D$65&gt;$D26)+($D$65=$D26)/2,0),IF(AND(EXACT($C$66,$C26),ISNUMBER($D$66)),($D$66&gt;$D26)+($D$66=$D26)/2,0),IF(AND(EXACT($C$67,$C26),ISNUMBER($D$67)),($D$67&gt;$D26)+($D$67=$D26)/2,0),IF(AND(EXACT($C$68,$C26),ISNUMBER($D$68)),($D$68&gt;$D26)+($D$68=$D26)/2,0),IF(AND(EXACT($C$69,$C26),ISNUMBER($D$69)),($D$69&gt;$D26)+($D$69=$D26)/2,0),IF(AND(EXACT($C$70,$C26),ISNUMBER($D$70)),($D$70&gt;$D26)+($D$70=$D26)/2,0),IF(AND(EXACT($C$71,$C26),ISNUMBER($D$71)),($D$71&gt;$D26)+($D$71=$D26)/2,0),IF(AND(EXACT($C$72,$C26),ISNUMBER($D$72)),($D$72&gt;$D26)+($D$72=$D26)/2,0),IF(AND(EXACT($C$73,$C26),ISNUMBER($D$73)),($D$73&gt;$D26)+($D$73=$D26)/2,0),IF(AND(EXACT($C$74,$C26),ISNUMBER($D$74)),($D$74&gt;$D26)+($D$74=$D26)/2,0),IF(AND(EXACT($C$75,$C26),ISNUMBER($D$75)),($D$75&gt;$D26)+($D$75=$D26)/2,0),IF(AND(EXACT($C$76,$C26),ISNUMBER($D$76)),($D$76&gt;$D26)+($D$76=$D26)/2,0),IF(AND(EXACT($C$77,$C26),ISNUMBER($D$77)),($D$77&gt;$D26)+($D$77=$D26)/2,0),IF(AND(EXACT($C$78,$C26),ISNUMBER($D$78)),($D$78&gt;$D26)+($D$78=$D26)/2,0),IF(AND(EXACT($C$79,$C26),ISNUMBER($D$79)),($D$79&gt;$D26)+($D$79=$D26)/2,0),IF(AND(EXACT($C$80,$C26),ISNUMBER($D$80)),($D$80&gt;$D26)+($D$80=$D26)/2,0),IF(AND(EXACT($C$81,$C26),ISNUMBER($D$81)),($D$81&gt;$D26)+($D$81=$D26)/2,0),IF(AND(EXACT($C$82,$C26),ISNUMBER($D$82)),($D$82&gt;$D26)+($D$82=$D26)/2,0),IF(AND(EXACT($C$83,$C26),ISNUMBER($D$83)),($D$83&gt;$D26)+($D$83=$D26)/2,0),IF(AND(EXACT($C$84,$C26),ISNUMBER($D$84)),($D$84&gt;$D26)+($D$84=$D26)/2,0),IF(AND(EXACT($C$85,$C26),ISNUMBER($D$85)),($D$85&gt;$D26)+($D$85=$D26)/2,0),IF(AND(EXACT($C$86,$C26),ISNUMBER($D$86)),($D$86&gt;$D26)+($D$86=$D26)/2,0),IF(AND(EXACT($C$87,$C26),ISNUMBER($D$87)),($D$87&gt;$D26)+($D$87=$D26)/2,0),IF(AND(EXACT($C$88,$C26),ISNUMBER($D$88)),($D$88&gt;$D26)+($D$88=$D26)/2,0),IF(AND(EXACT($C$89,$C26),ISNUMBER($D$89)),($D$89&gt;$D26)+($D$89=$D26)/2,0),IF(AND(EXACT($C$90,$C26),ISNUMBER($D$90)),($D$90&gt;$D26)+($D$90=$D26)/2,0),IF(AND(EXACT($C$91,$C26),ISNUMBER($D$91)),($D$91&gt;$D26)+($D$91=$D26)/2,0),IF(AND(EXACT($C$92,$C26),ISNUMBER($D$92)),($D$92&gt;$D26)+($D$92=$D26)/2,0),IF(AND(EXACT($C$93,$C26),ISNUMBER($D$93)),($D$93&gt;$D26)+($D$93=$D26)/2,0),IF(AND(EXACT($C$94,$C26),ISNUMBER($D$94)),($D$94&gt;$D26)+($D$94=$D26)/2,0),IF(AND(EXACT($C$95,$C26),ISNUMBER($D$95)),($D$95&gt;$D26)+($D$95=$D26)/2,0),IF(AND(EXACT($C$96,$C26),ISNUMBER($D$96)),($D$96&gt;$D26)+($D$96=$D26)/2,0),IF(AND(EXACT($C$97,$C26),ISNUMBER($D$97)),($D$97&gt;$D26)+($D$97=$D26)/2,0),IF(AND(EXACT($C$98,$C26),ISNUMBER($D$98)),($D$98&gt;$D26)+($D$98=$D26)/2,0),IF(AND(EXACT($C$99,$C26),ISNUMBER($D$99)),($D$99&gt;$D26)+($D$99=$D26)/2,0),IF(AND(EXACT($C$100,$C26),ISNUMBER($D$100)),($D$100&gt;$D26)+($D$100=$D26)/2,0),IF(AND(EXACT($C$101,$C26),ISNUMBER($D$101)),($D$101&gt;$D26)+($D$101=$D26)/2,0),IF(AND(EXACT($C$102,$C26),ISNUMBER($D$102)),($D$102&gt;$D26)+($D$102=$D26)/2,0),IF(AND(EXACT($C$103,$C26),ISNUMBER($D$103)),($D$103&gt;$D26)+($D$103=$D26)/2,0),IF(AND(EXACT($C$104,$C26),ISNUMBER($D$104)),($D$104&gt;$D26)+($D$104=$D26)/2,0),IF(AND(EXACT($C$105,$C26),ISNUMBER($D$105)),($D$105&gt;$D26)+($D$105=$D26)/2,0),IF(AND(EXACT($C$106,$C26),ISNUMBER($D$106)),($D$106&gt;$D26)+($D$106=$D26)/2,0)))</x:f>
      </x:c>
    </x:row>
    <x:row r="27">
      <x:c r="A27" s="34" t="str">
        <x:f>IF('91_CALC_SCORES'!A27="","",'91_CALC_SCORES'!A27)</x:f>
      </x:c>
      <x:c r="B27" s="34" t="str">
        <x:f>IF($A27="","",'91_CALC_SCORES'!B27)</x:f>
      </x:c>
      <x:c r="C27" s="34" t="str">
        <x:f>IF($A27="","",'91_CALC_SCORES'!K27)</x:f>
      </x:c>
      <x:c r="D27" s="57" t="str">
        <x:f>IF(OR($A27="",NOT(OR(LEFT('91_CALC_SCORES'!AB27,4)="PASS",LEFT('91_CALC_SCORES'!AB27,5)="READY"))),"",'91_CALC_SCORES'!Y27)</x:f>
      </x:c>
      <x:c r="E27" s="34" t="str">
        <x:f>IF(COUNT(D27)=0,"",1+SUM(AN27:AO27)-1/2)</x:f>
      </x:c>
      <x:c r="F27" s="34" t="str">
        <x:f>IF($A27="","",'91_CALC_SCORES'!AB27)</x:f>
      </x:c>
      <x:c r="G27" s="34" t="str">
        <x:f>IF(A27="","","연구 베타 | 기업 백분위 아님")</x:f>
      </x:c>
      <x:c r="I27" s="13" t="str">
        <x:f>IF($A$27="","",$A$27)</x:f>
      </x:c>
      <x:c r="J27" s="58" t="str">
        <x:f>IF(OR($A27="",$A$7=""),"",IF(COUNT($D27,$D$7)&lt;&gt;2,"N/A:input",IF(EXACT($C27,$C$7),$D27-$D$7,"N/A:cohort")))</x:f>
      </x:c>
      <x:c r="K27" s="58" t="str">
        <x:f>IF(OR($A27="",$A$8=""),"",IF(COUNT($D27,$D$8)&lt;&gt;2,"N/A:input",IF(EXACT($C27,$C$8),$D27-$D$8,"N/A:cohort")))</x:f>
      </x:c>
      <x:c r="L27" s="58" t="str">
        <x:f>IF(OR($A27="",$A$9=""),"",IF(COUNT($D27,$D$9)&lt;&gt;2,"N/A:input",IF(EXACT($C27,$C$9),$D27-$D$9,"N/A:cohort")))</x:f>
      </x:c>
      <x:c r="M27" s="58" t="str">
        <x:f>IF(OR($A27="",$A$10=""),"",IF(COUNT($D27,$D$10)&lt;&gt;2,"N/A:input",IF(EXACT($C27,$C$10),$D27-$D$10,"N/A:cohort")))</x:f>
      </x:c>
      <x:c r="N27" s="58" t="str">
        <x:f>IF(OR($A27="",$A$11=""),"",IF(COUNT($D27,$D$11)&lt;&gt;2,"N/A:input",IF(EXACT($C27,$C$11),$D27-$D$11,"N/A:cohort")))</x:f>
      </x:c>
      <x:c r="O27" s="58" t="str">
        <x:f>IF(OR($A27="",$A$12=""),"",IF(COUNT($D27,$D$12)&lt;&gt;2,"N/A:input",IF(EXACT($C27,$C$12),$D27-$D$12,"N/A:cohort")))</x:f>
      </x:c>
      <x:c r="P27" s="58" t="str">
        <x:f>IF(OR($A27="",$A$13=""),"",IF(COUNT($D27,$D$13)&lt;&gt;2,"N/A:input",IF(EXACT($C27,$C$13),$D27-$D$13,"N/A:cohort")))</x:f>
      </x:c>
      <x:c r="Q27" s="58" t="str">
        <x:f>IF(OR($A27="",$A$14=""),"",IF(COUNT($D27,$D$14)&lt;&gt;2,"N/A:input",IF(EXACT($C27,$C$14),$D27-$D$14,"N/A:cohort")))</x:f>
      </x:c>
      <x:c r="R27" s="58" t="str">
        <x:f>IF(OR($A27="",$A$15=""),"",IF(COUNT($D27,$D$15)&lt;&gt;2,"N/A:input",IF(EXACT($C27,$C$15),$D27-$D$15,"N/A:cohort")))</x:f>
      </x:c>
      <x:c r="S27" s="58" t="str">
        <x:f>IF(OR($A27="",$A$16=""),"",IF(COUNT($D27,$D$16)&lt;&gt;2,"N/A:input",IF(EXACT($C27,$C$16),$D27-$D$16,"N/A:cohort")))</x:f>
      </x:c>
      <x:c r="T27" s="58" t="str">
        <x:f>IF(OR($A27="",$A$17=""),"",IF(COUNT($D27,$D$17)&lt;&gt;2,"N/A:input",IF(EXACT($C27,$C$17),$D27-$D$17,"N/A:cohort")))</x:f>
      </x:c>
      <x:c r="U27" s="58" t="str">
        <x:f>IF(OR($A27="",$A$18=""),"",IF(COUNT($D27,$D$18)&lt;&gt;2,"N/A:input",IF(EXACT($C27,$C$18),$D27-$D$18,"N/A:cohort")))</x:f>
      </x:c>
      <x:c r="V27" s="58" t="str">
        <x:f>IF(OR($A27="",$A$19=""),"",IF(COUNT($D27,$D$19)&lt;&gt;2,"N/A:input",IF(EXACT($C27,$C$19),$D27-$D$19,"N/A:cohort")))</x:f>
      </x:c>
      <x:c r="W27" s="58" t="str">
        <x:f>IF(OR($A27="",$A$20=""),"",IF(COUNT($D27,$D$20)&lt;&gt;2,"N/A:input",IF(EXACT($C27,$C$20),$D27-$D$20,"N/A:cohort")))</x:f>
      </x:c>
      <x:c r="X27" s="58" t="str">
        <x:f>IF(OR($A27="",$A$21=""),"",IF(COUNT($D27,$D$21)&lt;&gt;2,"N/A:input",IF(EXACT($C27,$C$21),$D27-$D$21,"N/A:cohort")))</x:f>
      </x:c>
      <x:c r="Y27" s="58" t="str">
        <x:f>IF(OR($A27="",$A$22=""),"",IF(COUNT($D27,$D$22)&lt;&gt;2,"N/A:input",IF(EXACT($C27,$C$22),$D27-$D$22,"N/A:cohort")))</x:f>
      </x:c>
      <x:c r="Z27" s="58" t="str">
        <x:f>IF(OR($A27="",$A$23=""),"",IF(COUNT($D27,$D$23)&lt;&gt;2,"N/A:input",IF(EXACT($C27,$C$23),$D27-$D$23,"N/A:cohort")))</x:f>
      </x:c>
      <x:c r="AA27" s="58" t="str">
        <x:f>IF(OR($A27="",$A$24=""),"",IF(COUNT($D27,$D$24)&lt;&gt;2,"N/A:input",IF(EXACT($C27,$C$24),$D27-$D$24,"N/A:cohort")))</x:f>
      </x:c>
      <x:c r="AB27" s="58" t="str">
        <x:f>IF(OR($A27="",$A$25=""),"",IF(COUNT($D27,$D$25)&lt;&gt;2,"N/A:input",IF(EXACT($C27,$C$25),$D27-$D$25,"N/A:cohort")))</x:f>
      </x:c>
      <x:c r="AC27" s="58" t="str">
        <x:f>IF(OR($A27="",$A$26=""),"",IF(COUNT($D27,$D$26)&lt;&gt;2,"N/A:input",IF(EXACT($C27,$C$26),$D27-$D$26,"N/A:cohort")))</x:f>
      </x:c>
      <x:c r="AD27" s="58" t="str">
        <x:f>IF(OR($A27="",$A$27=""),"",IF(COUNT($D27,$D$27)&lt;&gt;2,"N/A:input",IF(EXACT($C27,$C$27),$D27-$D$27,"N/A:cohort")))</x:f>
      </x:c>
      <x:c r="AE27" s="58" t="str">
        <x:f>IF(OR($A27="",$A$28=""),"",IF(COUNT($D27,$D$28)&lt;&gt;2,"N/A:input",IF(EXACT($C27,$C$28),$D27-$D$28,"N/A:cohort")))</x:f>
      </x:c>
      <x:c r="AF27" s="58" t="str">
        <x:f>IF(OR($A27="",$A$29=""),"",IF(COUNT($D27,$D$29)&lt;&gt;2,"N/A:input",IF(EXACT($C27,$C$29),$D27-$D$29,"N/A:cohort")))</x:f>
      </x:c>
      <x:c r="AG27" s="58" t="str">
        <x:f>IF(OR($A27="",$A$30=""),"",IF(COUNT($D27,$D$30)&lt;&gt;2,"N/A:input",IF(EXACT($C27,$C$30),$D27-$D$30,"N/A:cohort")))</x:f>
      </x:c>
      <x:c r="AH27" s="58" t="str">
        <x:f>IF(OR($A27="",$A$31=""),"",IF(COUNT($D27,$D$31)&lt;&gt;2,"N/A:input",IF(EXACT($C27,$C$31),$D27-$D$31,"N/A:cohort")))</x:f>
      </x:c>
      <x:c r="AI27" s="58" t="str">
        <x:f>IF(OR($A27="",$A$32=""),"",IF(COUNT($D27,$D$32)&lt;&gt;2,"N/A:input",IF(EXACT($C27,$C$32),$D27-$D$32,"N/A:cohort")))</x:f>
      </x:c>
      <x:c r="AJ27" s="58" t="str">
        <x:f>IF(OR($A27="",$A$33=""),"",IF(COUNT($D27,$D$33)&lt;&gt;2,"N/A:input",IF(EXACT($C27,$C$33),$D27-$D$33,"N/A:cohort")))</x:f>
      </x:c>
      <x:c r="AK27" s="58" t="str">
        <x:f>IF(OR($A27="",$A$34=""),"",IF(COUNT($D27,$D$34)&lt;&gt;2,"N/A:input",IF(EXACT($C27,$C$34),$D27-$D$34,"N/A:cohort")))</x:f>
      </x:c>
      <x:c r="AL27" s="58" t="str">
        <x:f>IF(OR($A27="",$A$35=""),"",IF(COUNT($D27,$D$35)&lt;&gt;2,"N/A:input",IF(EXACT($C27,$C$35),$D27-$D$35,"N/A:cohort")))</x:f>
      </x:c>
      <x:c r="AM27" s="58" t="str">
        <x:f>IF(OR($A27="",$A$36=""),"",IF(COUNT($D27,$D$36)&lt;&gt;2,"N/A:input",IF(EXACT($C27,$C$36),$D27-$D$36,"N/A:cohort")))</x:f>
      </x:c>
      <x:c r="AN27" s="34" t="str">
        <x:f>IF(COUNT($D27)=0,"",SUM(IF(AND(EXACT($C$7,$C27),ISNUMBER($D$7)),($D$7&gt;$D27)+($D$7=$D27)/2,0),IF(AND(EXACT($C$8,$C27),ISNUMBER($D$8)),($D$8&gt;$D27)+($D$8=$D27)/2,0),IF(AND(EXACT($C$9,$C27),ISNUMBER($D$9)),($D$9&gt;$D27)+($D$9=$D27)/2,0),IF(AND(EXACT($C$10,$C27),ISNUMBER($D$10)),($D$10&gt;$D27)+($D$10=$D27)/2,0),IF(AND(EXACT($C$11,$C27),ISNUMBER($D$11)),($D$11&gt;$D27)+($D$11=$D27)/2,0),IF(AND(EXACT($C$12,$C27),ISNUMBER($D$12)),($D$12&gt;$D27)+($D$12=$D27)/2,0),IF(AND(EXACT($C$13,$C27),ISNUMBER($D$13)),($D$13&gt;$D27)+($D$13=$D27)/2,0),IF(AND(EXACT($C$14,$C27),ISNUMBER($D$14)),($D$14&gt;$D27)+($D$14=$D27)/2,0),IF(AND(EXACT($C$15,$C27),ISNUMBER($D$15)),($D$15&gt;$D27)+($D$15=$D27)/2,0),IF(AND(EXACT($C$16,$C27),ISNUMBER($D$16)),($D$16&gt;$D27)+($D$16=$D27)/2,0),IF(AND(EXACT($C$17,$C27),ISNUMBER($D$17)),($D$17&gt;$D27)+($D$17=$D27)/2,0),IF(AND(EXACT($C$18,$C27),ISNUMBER($D$18)),($D$18&gt;$D27)+($D$18=$D27)/2,0),IF(AND(EXACT($C$19,$C27),ISNUMBER($D$19)),($D$19&gt;$D27)+($D$19=$D27)/2,0),IF(AND(EXACT($C$20,$C27),ISNUMBER($D$20)),($D$20&gt;$D27)+($D$20=$D27)/2,0),IF(AND(EXACT($C$21,$C27),ISNUMBER($D$21)),($D$21&gt;$D27)+($D$21=$D27)/2,0),IF(AND(EXACT($C$22,$C27),ISNUMBER($D$22)),($D$22&gt;$D27)+($D$22=$D27)/2,0),IF(AND(EXACT($C$23,$C27),ISNUMBER($D$23)),($D$23&gt;$D27)+($D$23=$D27)/2,0),IF(AND(EXACT($C$24,$C27),ISNUMBER($D$24)),($D$24&gt;$D27)+($D$24=$D27)/2,0),IF(AND(EXACT($C$25,$C27),ISNUMBER($D$25)),($D$25&gt;$D27)+($D$25=$D27)/2,0),IF(AND(EXACT($C$26,$C27),ISNUMBER($D$26)),($D$26&gt;$D27)+($D$26=$D27)/2,0),IF(AND(EXACT($C$27,$C27),ISNUMBER($D$27)),($D$27&gt;$D27)+($D$27=$D27)/2,0),IF(AND(EXACT($C$28,$C27),ISNUMBER($D$28)),($D$28&gt;$D27)+($D$28=$D27)/2,0),IF(AND(EXACT($C$29,$C27),ISNUMBER($D$29)),($D$29&gt;$D27)+($D$29=$D27)/2,0),IF(AND(EXACT($C$30,$C27),ISNUMBER($D$30)),($D$30&gt;$D27)+($D$30=$D27)/2,0),IF(AND(EXACT($C$31,$C27),ISNUMBER($D$31)),($D$31&gt;$D27)+($D$31=$D27)/2,0),IF(AND(EXACT($C$32,$C27),ISNUMBER($D$32)),($D$32&gt;$D27)+($D$32=$D27)/2,0),IF(AND(EXACT($C$33,$C27),ISNUMBER($D$33)),($D$33&gt;$D27)+($D$33=$D27)/2,0),IF(AND(EXACT($C$34,$C27),ISNUMBER($D$34)),($D$34&gt;$D27)+($D$34=$D27)/2,0),IF(AND(EXACT($C$35,$C27),ISNUMBER($D$35)),($D$35&gt;$D27)+($D$35=$D27)/2,0),IF(AND(EXACT($C$36,$C27),ISNUMBER($D$36)),($D$36&gt;$D27)+($D$36=$D27)/2,0),IF(AND(EXACT($C$37,$C27),ISNUMBER($D$37)),($D$37&gt;$D27)+($D$37=$D27)/2,0),IF(AND(EXACT($C$38,$C27),ISNUMBER($D$38)),($D$38&gt;$D27)+($D$38=$D27)/2,0),IF(AND(EXACT($C$39,$C27),ISNUMBER($D$39)),($D$39&gt;$D27)+($D$39=$D27)/2,0),IF(AND(EXACT($C$40,$C27),ISNUMBER($D$40)),($D$40&gt;$D27)+($D$40=$D27)/2,0),IF(AND(EXACT($C$41,$C27),ISNUMBER($D$41)),($D$41&gt;$D27)+($D$41=$D27)/2,0),IF(AND(EXACT($C$42,$C27),ISNUMBER($D$42)),($D$42&gt;$D27)+($D$42=$D27)/2,0),IF(AND(EXACT($C$43,$C27),ISNUMBER($D$43)),($D$43&gt;$D27)+($D$43=$D27)/2,0),IF(AND(EXACT($C$44,$C27),ISNUMBER($D$44)),($D$44&gt;$D27)+($D$44=$D27)/2,0),IF(AND(EXACT($C$45,$C27),ISNUMBER($D$45)),($D$45&gt;$D27)+($D$45=$D27)/2,0),IF(AND(EXACT($C$46,$C27),ISNUMBER($D$46)),($D$46&gt;$D27)+($D$46=$D27)/2,0),IF(AND(EXACT($C$47,$C27),ISNUMBER($D$47)),($D$47&gt;$D27)+($D$47=$D27)/2,0),IF(AND(EXACT($C$48,$C27),ISNUMBER($D$48)),($D$48&gt;$D27)+($D$48=$D27)/2,0),IF(AND(EXACT($C$49,$C27),ISNUMBER($D$49)),($D$49&gt;$D27)+($D$49=$D27)/2,0),IF(AND(EXACT($C$50,$C27),ISNUMBER($D$50)),($D$50&gt;$D27)+($D$50=$D27)/2,0),IF(AND(EXACT($C$51,$C27),ISNUMBER($D$51)),($D$51&gt;$D27)+($D$51=$D27)/2,0),IF(AND(EXACT($C$52,$C27),ISNUMBER($D$52)),($D$52&gt;$D27)+($D$52=$D27)/2,0),IF(AND(EXACT($C$53,$C27),ISNUMBER($D$53)),($D$53&gt;$D27)+($D$53=$D27)/2,0),IF(AND(EXACT($C$54,$C27),ISNUMBER($D$54)),($D$54&gt;$D27)+($D$54=$D27)/2,0),IF(AND(EXACT($C$55,$C27),ISNUMBER($D$55)),($D$55&gt;$D27)+($D$55=$D27)/2,0),IF(AND(EXACT($C$56,$C27),ISNUMBER($D$56)),($D$56&gt;$D27)+($D$56=$D27)/2,0)))</x:f>
      </x:c>
      <x:c r="AO27" s="34" t="str">
        <x:f>IF(COUNT($D27)=0,"",SUM(IF(AND(EXACT($C$57,$C27),ISNUMBER($D$57)),($D$57&gt;$D27)+($D$57=$D27)/2,0),IF(AND(EXACT($C$58,$C27),ISNUMBER($D$58)),($D$58&gt;$D27)+($D$58=$D27)/2,0),IF(AND(EXACT($C$59,$C27),ISNUMBER($D$59)),($D$59&gt;$D27)+($D$59=$D27)/2,0),IF(AND(EXACT($C$60,$C27),ISNUMBER($D$60)),($D$60&gt;$D27)+($D$60=$D27)/2,0),IF(AND(EXACT($C$61,$C27),ISNUMBER($D$61)),($D$61&gt;$D27)+($D$61=$D27)/2,0),IF(AND(EXACT($C$62,$C27),ISNUMBER($D$62)),($D$62&gt;$D27)+($D$62=$D27)/2,0),IF(AND(EXACT($C$63,$C27),ISNUMBER($D$63)),($D$63&gt;$D27)+($D$63=$D27)/2,0),IF(AND(EXACT($C$64,$C27),ISNUMBER($D$64)),($D$64&gt;$D27)+($D$64=$D27)/2,0),IF(AND(EXACT($C$65,$C27),ISNUMBER($D$65)),($D$65&gt;$D27)+($D$65=$D27)/2,0),IF(AND(EXACT($C$66,$C27),ISNUMBER($D$66)),($D$66&gt;$D27)+($D$66=$D27)/2,0),IF(AND(EXACT($C$67,$C27),ISNUMBER($D$67)),($D$67&gt;$D27)+($D$67=$D27)/2,0),IF(AND(EXACT($C$68,$C27),ISNUMBER($D$68)),($D$68&gt;$D27)+($D$68=$D27)/2,0),IF(AND(EXACT($C$69,$C27),ISNUMBER($D$69)),($D$69&gt;$D27)+($D$69=$D27)/2,0),IF(AND(EXACT($C$70,$C27),ISNUMBER($D$70)),($D$70&gt;$D27)+($D$70=$D27)/2,0),IF(AND(EXACT($C$71,$C27),ISNUMBER($D$71)),($D$71&gt;$D27)+($D$71=$D27)/2,0),IF(AND(EXACT($C$72,$C27),ISNUMBER($D$72)),($D$72&gt;$D27)+($D$72=$D27)/2,0),IF(AND(EXACT($C$73,$C27),ISNUMBER($D$73)),($D$73&gt;$D27)+($D$73=$D27)/2,0),IF(AND(EXACT($C$74,$C27),ISNUMBER($D$74)),($D$74&gt;$D27)+($D$74=$D27)/2,0),IF(AND(EXACT($C$75,$C27),ISNUMBER($D$75)),($D$75&gt;$D27)+($D$75=$D27)/2,0),IF(AND(EXACT($C$76,$C27),ISNUMBER($D$76)),($D$76&gt;$D27)+($D$76=$D27)/2,0),IF(AND(EXACT($C$77,$C27),ISNUMBER($D$77)),($D$77&gt;$D27)+($D$77=$D27)/2,0),IF(AND(EXACT($C$78,$C27),ISNUMBER($D$78)),($D$78&gt;$D27)+($D$78=$D27)/2,0),IF(AND(EXACT($C$79,$C27),ISNUMBER($D$79)),($D$79&gt;$D27)+($D$79=$D27)/2,0),IF(AND(EXACT($C$80,$C27),ISNUMBER($D$80)),($D$80&gt;$D27)+($D$80=$D27)/2,0),IF(AND(EXACT($C$81,$C27),ISNUMBER($D$81)),($D$81&gt;$D27)+($D$81=$D27)/2,0),IF(AND(EXACT($C$82,$C27),ISNUMBER($D$82)),($D$82&gt;$D27)+($D$82=$D27)/2,0),IF(AND(EXACT($C$83,$C27),ISNUMBER($D$83)),($D$83&gt;$D27)+($D$83=$D27)/2,0),IF(AND(EXACT($C$84,$C27),ISNUMBER($D$84)),($D$84&gt;$D27)+($D$84=$D27)/2,0),IF(AND(EXACT($C$85,$C27),ISNUMBER($D$85)),($D$85&gt;$D27)+($D$85=$D27)/2,0),IF(AND(EXACT($C$86,$C27),ISNUMBER($D$86)),($D$86&gt;$D27)+($D$86=$D27)/2,0),IF(AND(EXACT($C$87,$C27),ISNUMBER($D$87)),($D$87&gt;$D27)+($D$87=$D27)/2,0),IF(AND(EXACT($C$88,$C27),ISNUMBER($D$88)),($D$88&gt;$D27)+($D$88=$D27)/2,0),IF(AND(EXACT($C$89,$C27),ISNUMBER($D$89)),($D$89&gt;$D27)+($D$89=$D27)/2,0),IF(AND(EXACT($C$90,$C27),ISNUMBER($D$90)),($D$90&gt;$D27)+($D$90=$D27)/2,0),IF(AND(EXACT($C$91,$C27),ISNUMBER($D$91)),($D$91&gt;$D27)+($D$91=$D27)/2,0),IF(AND(EXACT($C$92,$C27),ISNUMBER($D$92)),($D$92&gt;$D27)+($D$92=$D27)/2,0),IF(AND(EXACT($C$93,$C27),ISNUMBER($D$93)),($D$93&gt;$D27)+($D$93=$D27)/2,0),IF(AND(EXACT($C$94,$C27),ISNUMBER($D$94)),($D$94&gt;$D27)+($D$94=$D27)/2,0),IF(AND(EXACT($C$95,$C27),ISNUMBER($D$95)),($D$95&gt;$D27)+($D$95=$D27)/2,0),IF(AND(EXACT($C$96,$C27),ISNUMBER($D$96)),($D$96&gt;$D27)+($D$96=$D27)/2,0),IF(AND(EXACT($C$97,$C27),ISNUMBER($D$97)),($D$97&gt;$D27)+($D$97=$D27)/2,0),IF(AND(EXACT($C$98,$C27),ISNUMBER($D$98)),($D$98&gt;$D27)+($D$98=$D27)/2,0),IF(AND(EXACT($C$99,$C27),ISNUMBER($D$99)),($D$99&gt;$D27)+($D$99=$D27)/2,0),IF(AND(EXACT($C$100,$C27),ISNUMBER($D$100)),($D$100&gt;$D27)+($D$100=$D27)/2,0),IF(AND(EXACT($C$101,$C27),ISNUMBER($D$101)),($D$101&gt;$D27)+($D$101=$D27)/2,0),IF(AND(EXACT($C$102,$C27),ISNUMBER($D$102)),($D$102&gt;$D27)+($D$102=$D27)/2,0),IF(AND(EXACT($C$103,$C27),ISNUMBER($D$103)),($D$103&gt;$D27)+($D$103=$D27)/2,0),IF(AND(EXACT($C$104,$C27),ISNUMBER($D$104)),($D$104&gt;$D27)+($D$104=$D27)/2,0),IF(AND(EXACT($C$105,$C27),ISNUMBER($D$105)),($D$105&gt;$D27)+($D$105=$D27)/2,0),IF(AND(EXACT($C$106,$C27),ISNUMBER($D$106)),($D$106&gt;$D27)+($D$106=$D27)/2,0)))</x:f>
      </x:c>
    </x:row>
    <x:row r="28">
      <x:c r="A28" s="34" t="str">
        <x:f>IF('91_CALC_SCORES'!A28="","",'91_CALC_SCORES'!A28)</x:f>
      </x:c>
      <x:c r="B28" s="34" t="str">
        <x:f>IF($A28="","",'91_CALC_SCORES'!B28)</x:f>
      </x:c>
      <x:c r="C28" s="34" t="str">
        <x:f>IF($A28="","",'91_CALC_SCORES'!K28)</x:f>
      </x:c>
      <x:c r="D28" s="57" t="str">
        <x:f>IF(OR($A28="",NOT(OR(LEFT('91_CALC_SCORES'!AB28,4)="PASS",LEFT('91_CALC_SCORES'!AB28,5)="READY"))),"",'91_CALC_SCORES'!Y28)</x:f>
      </x:c>
      <x:c r="E28" s="34" t="str">
        <x:f>IF(COUNT(D28)=0,"",1+SUM(AN28:AO28)-1/2)</x:f>
      </x:c>
      <x:c r="F28" s="34" t="str">
        <x:f>IF($A28="","",'91_CALC_SCORES'!AB28)</x:f>
      </x:c>
      <x:c r="G28" s="34" t="str">
        <x:f>IF(A28="","","연구 베타 | 기업 백분위 아님")</x:f>
      </x:c>
      <x:c r="I28" s="13" t="str">
        <x:f>IF($A$28="","",$A$28)</x:f>
      </x:c>
      <x:c r="J28" s="58" t="str">
        <x:f>IF(OR($A28="",$A$7=""),"",IF(COUNT($D28,$D$7)&lt;&gt;2,"N/A:input",IF(EXACT($C28,$C$7),$D28-$D$7,"N/A:cohort")))</x:f>
      </x:c>
      <x:c r="K28" s="58" t="str">
        <x:f>IF(OR($A28="",$A$8=""),"",IF(COUNT($D28,$D$8)&lt;&gt;2,"N/A:input",IF(EXACT($C28,$C$8),$D28-$D$8,"N/A:cohort")))</x:f>
      </x:c>
      <x:c r="L28" s="58" t="str">
        <x:f>IF(OR($A28="",$A$9=""),"",IF(COUNT($D28,$D$9)&lt;&gt;2,"N/A:input",IF(EXACT($C28,$C$9),$D28-$D$9,"N/A:cohort")))</x:f>
      </x:c>
      <x:c r="M28" s="58" t="str">
        <x:f>IF(OR($A28="",$A$10=""),"",IF(COUNT($D28,$D$10)&lt;&gt;2,"N/A:input",IF(EXACT($C28,$C$10),$D28-$D$10,"N/A:cohort")))</x:f>
      </x:c>
      <x:c r="N28" s="58" t="str">
        <x:f>IF(OR($A28="",$A$11=""),"",IF(COUNT($D28,$D$11)&lt;&gt;2,"N/A:input",IF(EXACT($C28,$C$11),$D28-$D$11,"N/A:cohort")))</x:f>
      </x:c>
      <x:c r="O28" s="58" t="str">
        <x:f>IF(OR($A28="",$A$12=""),"",IF(COUNT($D28,$D$12)&lt;&gt;2,"N/A:input",IF(EXACT($C28,$C$12),$D28-$D$12,"N/A:cohort")))</x:f>
      </x:c>
      <x:c r="P28" s="58" t="str">
        <x:f>IF(OR($A28="",$A$13=""),"",IF(COUNT($D28,$D$13)&lt;&gt;2,"N/A:input",IF(EXACT($C28,$C$13),$D28-$D$13,"N/A:cohort")))</x:f>
      </x:c>
      <x:c r="Q28" s="58" t="str">
        <x:f>IF(OR($A28="",$A$14=""),"",IF(COUNT($D28,$D$14)&lt;&gt;2,"N/A:input",IF(EXACT($C28,$C$14),$D28-$D$14,"N/A:cohort")))</x:f>
      </x:c>
      <x:c r="R28" s="58" t="str">
        <x:f>IF(OR($A28="",$A$15=""),"",IF(COUNT($D28,$D$15)&lt;&gt;2,"N/A:input",IF(EXACT($C28,$C$15),$D28-$D$15,"N/A:cohort")))</x:f>
      </x:c>
      <x:c r="S28" s="58" t="str">
        <x:f>IF(OR($A28="",$A$16=""),"",IF(COUNT($D28,$D$16)&lt;&gt;2,"N/A:input",IF(EXACT($C28,$C$16),$D28-$D$16,"N/A:cohort")))</x:f>
      </x:c>
      <x:c r="T28" s="58" t="str">
        <x:f>IF(OR($A28="",$A$17=""),"",IF(COUNT($D28,$D$17)&lt;&gt;2,"N/A:input",IF(EXACT($C28,$C$17),$D28-$D$17,"N/A:cohort")))</x:f>
      </x:c>
      <x:c r="U28" s="58" t="str">
        <x:f>IF(OR($A28="",$A$18=""),"",IF(COUNT($D28,$D$18)&lt;&gt;2,"N/A:input",IF(EXACT($C28,$C$18),$D28-$D$18,"N/A:cohort")))</x:f>
      </x:c>
      <x:c r="V28" s="58" t="str">
        <x:f>IF(OR($A28="",$A$19=""),"",IF(COUNT($D28,$D$19)&lt;&gt;2,"N/A:input",IF(EXACT($C28,$C$19),$D28-$D$19,"N/A:cohort")))</x:f>
      </x:c>
      <x:c r="W28" s="58" t="str">
        <x:f>IF(OR($A28="",$A$20=""),"",IF(COUNT($D28,$D$20)&lt;&gt;2,"N/A:input",IF(EXACT($C28,$C$20),$D28-$D$20,"N/A:cohort")))</x:f>
      </x:c>
      <x:c r="X28" s="58" t="str">
        <x:f>IF(OR($A28="",$A$21=""),"",IF(COUNT($D28,$D$21)&lt;&gt;2,"N/A:input",IF(EXACT($C28,$C$21),$D28-$D$21,"N/A:cohort")))</x:f>
      </x:c>
      <x:c r="Y28" s="58" t="str">
        <x:f>IF(OR($A28="",$A$22=""),"",IF(COUNT($D28,$D$22)&lt;&gt;2,"N/A:input",IF(EXACT($C28,$C$22),$D28-$D$22,"N/A:cohort")))</x:f>
      </x:c>
      <x:c r="Z28" s="58" t="str">
        <x:f>IF(OR($A28="",$A$23=""),"",IF(COUNT($D28,$D$23)&lt;&gt;2,"N/A:input",IF(EXACT($C28,$C$23),$D28-$D$23,"N/A:cohort")))</x:f>
      </x:c>
      <x:c r="AA28" s="58" t="str">
        <x:f>IF(OR($A28="",$A$24=""),"",IF(COUNT($D28,$D$24)&lt;&gt;2,"N/A:input",IF(EXACT($C28,$C$24),$D28-$D$24,"N/A:cohort")))</x:f>
      </x:c>
      <x:c r="AB28" s="58" t="str">
        <x:f>IF(OR($A28="",$A$25=""),"",IF(COUNT($D28,$D$25)&lt;&gt;2,"N/A:input",IF(EXACT($C28,$C$25),$D28-$D$25,"N/A:cohort")))</x:f>
      </x:c>
      <x:c r="AC28" s="58" t="str">
        <x:f>IF(OR($A28="",$A$26=""),"",IF(COUNT($D28,$D$26)&lt;&gt;2,"N/A:input",IF(EXACT($C28,$C$26),$D28-$D$26,"N/A:cohort")))</x:f>
      </x:c>
      <x:c r="AD28" s="58" t="str">
        <x:f>IF(OR($A28="",$A$27=""),"",IF(COUNT($D28,$D$27)&lt;&gt;2,"N/A:input",IF(EXACT($C28,$C$27),$D28-$D$27,"N/A:cohort")))</x:f>
      </x:c>
      <x:c r="AE28" s="58" t="str">
        <x:f>IF(OR($A28="",$A$28=""),"",IF(COUNT($D28,$D$28)&lt;&gt;2,"N/A:input",IF(EXACT($C28,$C$28),$D28-$D$28,"N/A:cohort")))</x:f>
      </x:c>
      <x:c r="AF28" s="58" t="str">
        <x:f>IF(OR($A28="",$A$29=""),"",IF(COUNT($D28,$D$29)&lt;&gt;2,"N/A:input",IF(EXACT($C28,$C$29),$D28-$D$29,"N/A:cohort")))</x:f>
      </x:c>
      <x:c r="AG28" s="58" t="str">
        <x:f>IF(OR($A28="",$A$30=""),"",IF(COUNT($D28,$D$30)&lt;&gt;2,"N/A:input",IF(EXACT($C28,$C$30),$D28-$D$30,"N/A:cohort")))</x:f>
      </x:c>
      <x:c r="AH28" s="58" t="str">
        <x:f>IF(OR($A28="",$A$31=""),"",IF(COUNT($D28,$D$31)&lt;&gt;2,"N/A:input",IF(EXACT($C28,$C$31),$D28-$D$31,"N/A:cohort")))</x:f>
      </x:c>
      <x:c r="AI28" s="58" t="str">
        <x:f>IF(OR($A28="",$A$32=""),"",IF(COUNT($D28,$D$32)&lt;&gt;2,"N/A:input",IF(EXACT($C28,$C$32),$D28-$D$32,"N/A:cohort")))</x:f>
      </x:c>
      <x:c r="AJ28" s="58" t="str">
        <x:f>IF(OR($A28="",$A$33=""),"",IF(COUNT($D28,$D$33)&lt;&gt;2,"N/A:input",IF(EXACT($C28,$C$33),$D28-$D$33,"N/A:cohort")))</x:f>
      </x:c>
      <x:c r="AK28" s="58" t="str">
        <x:f>IF(OR($A28="",$A$34=""),"",IF(COUNT($D28,$D$34)&lt;&gt;2,"N/A:input",IF(EXACT($C28,$C$34),$D28-$D$34,"N/A:cohort")))</x:f>
      </x:c>
      <x:c r="AL28" s="58" t="str">
        <x:f>IF(OR($A28="",$A$35=""),"",IF(COUNT($D28,$D$35)&lt;&gt;2,"N/A:input",IF(EXACT($C28,$C$35),$D28-$D$35,"N/A:cohort")))</x:f>
      </x:c>
      <x:c r="AM28" s="58" t="str">
        <x:f>IF(OR($A28="",$A$36=""),"",IF(COUNT($D28,$D$36)&lt;&gt;2,"N/A:input",IF(EXACT($C28,$C$36),$D28-$D$36,"N/A:cohort")))</x:f>
      </x:c>
      <x:c r="AN28" s="34" t="str">
        <x:f>IF(COUNT($D28)=0,"",SUM(IF(AND(EXACT($C$7,$C28),ISNUMBER($D$7)),($D$7&gt;$D28)+($D$7=$D28)/2,0),IF(AND(EXACT($C$8,$C28),ISNUMBER($D$8)),($D$8&gt;$D28)+($D$8=$D28)/2,0),IF(AND(EXACT($C$9,$C28),ISNUMBER($D$9)),($D$9&gt;$D28)+($D$9=$D28)/2,0),IF(AND(EXACT($C$10,$C28),ISNUMBER($D$10)),($D$10&gt;$D28)+($D$10=$D28)/2,0),IF(AND(EXACT($C$11,$C28),ISNUMBER($D$11)),($D$11&gt;$D28)+($D$11=$D28)/2,0),IF(AND(EXACT($C$12,$C28),ISNUMBER($D$12)),($D$12&gt;$D28)+($D$12=$D28)/2,0),IF(AND(EXACT($C$13,$C28),ISNUMBER($D$13)),($D$13&gt;$D28)+($D$13=$D28)/2,0),IF(AND(EXACT($C$14,$C28),ISNUMBER($D$14)),($D$14&gt;$D28)+($D$14=$D28)/2,0),IF(AND(EXACT($C$15,$C28),ISNUMBER($D$15)),($D$15&gt;$D28)+($D$15=$D28)/2,0),IF(AND(EXACT($C$16,$C28),ISNUMBER($D$16)),($D$16&gt;$D28)+($D$16=$D28)/2,0),IF(AND(EXACT($C$17,$C28),ISNUMBER($D$17)),($D$17&gt;$D28)+($D$17=$D28)/2,0),IF(AND(EXACT($C$18,$C28),ISNUMBER($D$18)),($D$18&gt;$D28)+($D$18=$D28)/2,0),IF(AND(EXACT($C$19,$C28),ISNUMBER($D$19)),($D$19&gt;$D28)+($D$19=$D28)/2,0),IF(AND(EXACT($C$20,$C28),ISNUMBER($D$20)),($D$20&gt;$D28)+($D$20=$D28)/2,0),IF(AND(EXACT($C$21,$C28),ISNUMBER($D$21)),($D$21&gt;$D28)+($D$21=$D28)/2,0),IF(AND(EXACT($C$22,$C28),ISNUMBER($D$22)),($D$22&gt;$D28)+($D$22=$D28)/2,0),IF(AND(EXACT($C$23,$C28),ISNUMBER($D$23)),($D$23&gt;$D28)+($D$23=$D28)/2,0),IF(AND(EXACT($C$24,$C28),ISNUMBER($D$24)),($D$24&gt;$D28)+($D$24=$D28)/2,0),IF(AND(EXACT($C$25,$C28),ISNUMBER($D$25)),($D$25&gt;$D28)+($D$25=$D28)/2,0),IF(AND(EXACT($C$26,$C28),ISNUMBER($D$26)),($D$26&gt;$D28)+($D$26=$D28)/2,0),IF(AND(EXACT($C$27,$C28),ISNUMBER($D$27)),($D$27&gt;$D28)+($D$27=$D28)/2,0),IF(AND(EXACT($C$28,$C28),ISNUMBER($D$28)),($D$28&gt;$D28)+($D$28=$D28)/2,0),IF(AND(EXACT($C$29,$C28),ISNUMBER($D$29)),($D$29&gt;$D28)+($D$29=$D28)/2,0),IF(AND(EXACT($C$30,$C28),ISNUMBER($D$30)),($D$30&gt;$D28)+($D$30=$D28)/2,0),IF(AND(EXACT($C$31,$C28),ISNUMBER($D$31)),($D$31&gt;$D28)+($D$31=$D28)/2,0),IF(AND(EXACT($C$32,$C28),ISNUMBER($D$32)),($D$32&gt;$D28)+($D$32=$D28)/2,0),IF(AND(EXACT($C$33,$C28),ISNUMBER($D$33)),($D$33&gt;$D28)+($D$33=$D28)/2,0),IF(AND(EXACT($C$34,$C28),ISNUMBER($D$34)),($D$34&gt;$D28)+($D$34=$D28)/2,0),IF(AND(EXACT($C$35,$C28),ISNUMBER($D$35)),($D$35&gt;$D28)+($D$35=$D28)/2,0),IF(AND(EXACT($C$36,$C28),ISNUMBER($D$36)),($D$36&gt;$D28)+($D$36=$D28)/2,0),IF(AND(EXACT($C$37,$C28),ISNUMBER($D$37)),($D$37&gt;$D28)+($D$37=$D28)/2,0),IF(AND(EXACT($C$38,$C28),ISNUMBER($D$38)),($D$38&gt;$D28)+($D$38=$D28)/2,0),IF(AND(EXACT($C$39,$C28),ISNUMBER($D$39)),($D$39&gt;$D28)+($D$39=$D28)/2,0),IF(AND(EXACT($C$40,$C28),ISNUMBER($D$40)),($D$40&gt;$D28)+($D$40=$D28)/2,0),IF(AND(EXACT($C$41,$C28),ISNUMBER($D$41)),($D$41&gt;$D28)+($D$41=$D28)/2,0),IF(AND(EXACT($C$42,$C28),ISNUMBER($D$42)),($D$42&gt;$D28)+($D$42=$D28)/2,0),IF(AND(EXACT($C$43,$C28),ISNUMBER($D$43)),($D$43&gt;$D28)+($D$43=$D28)/2,0),IF(AND(EXACT($C$44,$C28),ISNUMBER($D$44)),($D$44&gt;$D28)+($D$44=$D28)/2,0),IF(AND(EXACT($C$45,$C28),ISNUMBER($D$45)),($D$45&gt;$D28)+($D$45=$D28)/2,0),IF(AND(EXACT($C$46,$C28),ISNUMBER($D$46)),($D$46&gt;$D28)+($D$46=$D28)/2,0),IF(AND(EXACT($C$47,$C28),ISNUMBER($D$47)),($D$47&gt;$D28)+($D$47=$D28)/2,0),IF(AND(EXACT($C$48,$C28),ISNUMBER($D$48)),($D$48&gt;$D28)+($D$48=$D28)/2,0),IF(AND(EXACT($C$49,$C28),ISNUMBER($D$49)),($D$49&gt;$D28)+($D$49=$D28)/2,0),IF(AND(EXACT($C$50,$C28),ISNUMBER($D$50)),($D$50&gt;$D28)+($D$50=$D28)/2,0),IF(AND(EXACT($C$51,$C28),ISNUMBER($D$51)),($D$51&gt;$D28)+($D$51=$D28)/2,0),IF(AND(EXACT($C$52,$C28),ISNUMBER($D$52)),($D$52&gt;$D28)+($D$52=$D28)/2,0),IF(AND(EXACT($C$53,$C28),ISNUMBER($D$53)),($D$53&gt;$D28)+($D$53=$D28)/2,0),IF(AND(EXACT($C$54,$C28),ISNUMBER($D$54)),($D$54&gt;$D28)+($D$54=$D28)/2,0),IF(AND(EXACT($C$55,$C28),ISNUMBER($D$55)),($D$55&gt;$D28)+($D$55=$D28)/2,0),IF(AND(EXACT($C$56,$C28),ISNUMBER($D$56)),($D$56&gt;$D28)+($D$56=$D28)/2,0)))</x:f>
      </x:c>
      <x:c r="AO28" s="34" t="str">
        <x:f>IF(COUNT($D28)=0,"",SUM(IF(AND(EXACT($C$57,$C28),ISNUMBER($D$57)),($D$57&gt;$D28)+($D$57=$D28)/2,0),IF(AND(EXACT($C$58,$C28),ISNUMBER($D$58)),($D$58&gt;$D28)+($D$58=$D28)/2,0),IF(AND(EXACT($C$59,$C28),ISNUMBER($D$59)),($D$59&gt;$D28)+($D$59=$D28)/2,0),IF(AND(EXACT($C$60,$C28),ISNUMBER($D$60)),($D$60&gt;$D28)+($D$60=$D28)/2,0),IF(AND(EXACT($C$61,$C28),ISNUMBER($D$61)),($D$61&gt;$D28)+($D$61=$D28)/2,0),IF(AND(EXACT($C$62,$C28),ISNUMBER($D$62)),($D$62&gt;$D28)+($D$62=$D28)/2,0),IF(AND(EXACT($C$63,$C28),ISNUMBER($D$63)),($D$63&gt;$D28)+($D$63=$D28)/2,0),IF(AND(EXACT($C$64,$C28),ISNUMBER($D$64)),($D$64&gt;$D28)+($D$64=$D28)/2,0),IF(AND(EXACT($C$65,$C28),ISNUMBER($D$65)),($D$65&gt;$D28)+($D$65=$D28)/2,0),IF(AND(EXACT($C$66,$C28),ISNUMBER($D$66)),($D$66&gt;$D28)+($D$66=$D28)/2,0),IF(AND(EXACT($C$67,$C28),ISNUMBER($D$67)),($D$67&gt;$D28)+($D$67=$D28)/2,0),IF(AND(EXACT($C$68,$C28),ISNUMBER($D$68)),($D$68&gt;$D28)+($D$68=$D28)/2,0),IF(AND(EXACT($C$69,$C28),ISNUMBER($D$69)),($D$69&gt;$D28)+($D$69=$D28)/2,0),IF(AND(EXACT($C$70,$C28),ISNUMBER($D$70)),($D$70&gt;$D28)+($D$70=$D28)/2,0),IF(AND(EXACT($C$71,$C28),ISNUMBER($D$71)),($D$71&gt;$D28)+($D$71=$D28)/2,0),IF(AND(EXACT($C$72,$C28),ISNUMBER($D$72)),($D$72&gt;$D28)+($D$72=$D28)/2,0),IF(AND(EXACT($C$73,$C28),ISNUMBER($D$73)),($D$73&gt;$D28)+($D$73=$D28)/2,0),IF(AND(EXACT($C$74,$C28),ISNUMBER($D$74)),($D$74&gt;$D28)+($D$74=$D28)/2,0),IF(AND(EXACT($C$75,$C28),ISNUMBER($D$75)),($D$75&gt;$D28)+($D$75=$D28)/2,0),IF(AND(EXACT($C$76,$C28),ISNUMBER($D$76)),($D$76&gt;$D28)+($D$76=$D28)/2,0),IF(AND(EXACT($C$77,$C28),ISNUMBER($D$77)),($D$77&gt;$D28)+($D$77=$D28)/2,0),IF(AND(EXACT($C$78,$C28),ISNUMBER($D$78)),($D$78&gt;$D28)+($D$78=$D28)/2,0),IF(AND(EXACT($C$79,$C28),ISNUMBER($D$79)),($D$79&gt;$D28)+($D$79=$D28)/2,0),IF(AND(EXACT($C$80,$C28),ISNUMBER($D$80)),($D$80&gt;$D28)+($D$80=$D28)/2,0),IF(AND(EXACT($C$81,$C28),ISNUMBER($D$81)),($D$81&gt;$D28)+($D$81=$D28)/2,0),IF(AND(EXACT($C$82,$C28),ISNUMBER($D$82)),($D$82&gt;$D28)+($D$82=$D28)/2,0),IF(AND(EXACT($C$83,$C28),ISNUMBER($D$83)),($D$83&gt;$D28)+($D$83=$D28)/2,0),IF(AND(EXACT($C$84,$C28),ISNUMBER($D$84)),($D$84&gt;$D28)+($D$84=$D28)/2,0),IF(AND(EXACT($C$85,$C28),ISNUMBER($D$85)),($D$85&gt;$D28)+($D$85=$D28)/2,0),IF(AND(EXACT($C$86,$C28),ISNUMBER($D$86)),($D$86&gt;$D28)+($D$86=$D28)/2,0),IF(AND(EXACT($C$87,$C28),ISNUMBER($D$87)),($D$87&gt;$D28)+($D$87=$D28)/2,0),IF(AND(EXACT($C$88,$C28),ISNUMBER($D$88)),($D$88&gt;$D28)+($D$88=$D28)/2,0),IF(AND(EXACT($C$89,$C28),ISNUMBER($D$89)),($D$89&gt;$D28)+($D$89=$D28)/2,0),IF(AND(EXACT($C$90,$C28),ISNUMBER($D$90)),($D$90&gt;$D28)+($D$90=$D28)/2,0),IF(AND(EXACT($C$91,$C28),ISNUMBER($D$91)),($D$91&gt;$D28)+($D$91=$D28)/2,0),IF(AND(EXACT($C$92,$C28),ISNUMBER($D$92)),($D$92&gt;$D28)+($D$92=$D28)/2,0),IF(AND(EXACT($C$93,$C28),ISNUMBER($D$93)),($D$93&gt;$D28)+($D$93=$D28)/2,0),IF(AND(EXACT($C$94,$C28),ISNUMBER($D$94)),($D$94&gt;$D28)+($D$94=$D28)/2,0),IF(AND(EXACT($C$95,$C28),ISNUMBER($D$95)),($D$95&gt;$D28)+($D$95=$D28)/2,0),IF(AND(EXACT($C$96,$C28),ISNUMBER($D$96)),($D$96&gt;$D28)+($D$96=$D28)/2,0),IF(AND(EXACT($C$97,$C28),ISNUMBER($D$97)),($D$97&gt;$D28)+($D$97=$D28)/2,0),IF(AND(EXACT($C$98,$C28),ISNUMBER($D$98)),($D$98&gt;$D28)+($D$98=$D28)/2,0),IF(AND(EXACT($C$99,$C28),ISNUMBER($D$99)),($D$99&gt;$D28)+($D$99=$D28)/2,0),IF(AND(EXACT($C$100,$C28),ISNUMBER($D$100)),($D$100&gt;$D28)+($D$100=$D28)/2,0),IF(AND(EXACT($C$101,$C28),ISNUMBER($D$101)),($D$101&gt;$D28)+($D$101=$D28)/2,0),IF(AND(EXACT($C$102,$C28),ISNUMBER($D$102)),($D$102&gt;$D28)+($D$102=$D28)/2,0),IF(AND(EXACT($C$103,$C28),ISNUMBER($D$103)),($D$103&gt;$D28)+($D$103=$D28)/2,0),IF(AND(EXACT($C$104,$C28),ISNUMBER($D$104)),($D$104&gt;$D28)+($D$104=$D28)/2,0),IF(AND(EXACT($C$105,$C28),ISNUMBER($D$105)),($D$105&gt;$D28)+($D$105=$D28)/2,0),IF(AND(EXACT($C$106,$C28),ISNUMBER($D$106)),($D$106&gt;$D28)+($D$106=$D28)/2,0)))</x:f>
      </x:c>
    </x:row>
    <x:row r="29">
      <x:c r="A29" s="34" t="str">
        <x:f>IF('91_CALC_SCORES'!A29="","",'91_CALC_SCORES'!A29)</x:f>
      </x:c>
      <x:c r="B29" s="34" t="str">
        <x:f>IF($A29="","",'91_CALC_SCORES'!B29)</x:f>
      </x:c>
      <x:c r="C29" s="34" t="str">
        <x:f>IF($A29="","",'91_CALC_SCORES'!K29)</x:f>
      </x:c>
      <x:c r="D29" s="57" t="str">
        <x:f>IF(OR($A29="",NOT(OR(LEFT('91_CALC_SCORES'!AB29,4)="PASS",LEFT('91_CALC_SCORES'!AB29,5)="READY"))),"",'91_CALC_SCORES'!Y29)</x:f>
      </x:c>
      <x:c r="E29" s="34" t="str">
        <x:f>IF(COUNT(D29)=0,"",1+SUM(AN29:AO29)-1/2)</x:f>
      </x:c>
      <x:c r="F29" s="34" t="str">
        <x:f>IF($A29="","",'91_CALC_SCORES'!AB29)</x:f>
      </x:c>
      <x:c r="G29" s="34" t="str">
        <x:f>IF(A29="","","연구 베타 | 기업 백분위 아님")</x:f>
      </x:c>
      <x:c r="I29" s="13" t="str">
        <x:f>IF($A$29="","",$A$29)</x:f>
      </x:c>
      <x:c r="J29" s="58" t="str">
        <x:f>IF(OR($A29="",$A$7=""),"",IF(COUNT($D29,$D$7)&lt;&gt;2,"N/A:input",IF(EXACT($C29,$C$7),$D29-$D$7,"N/A:cohort")))</x:f>
      </x:c>
      <x:c r="K29" s="58" t="str">
        <x:f>IF(OR($A29="",$A$8=""),"",IF(COUNT($D29,$D$8)&lt;&gt;2,"N/A:input",IF(EXACT($C29,$C$8),$D29-$D$8,"N/A:cohort")))</x:f>
      </x:c>
      <x:c r="L29" s="58" t="str">
        <x:f>IF(OR($A29="",$A$9=""),"",IF(COUNT($D29,$D$9)&lt;&gt;2,"N/A:input",IF(EXACT($C29,$C$9),$D29-$D$9,"N/A:cohort")))</x:f>
      </x:c>
      <x:c r="M29" s="58" t="str">
        <x:f>IF(OR($A29="",$A$10=""),"",IF(COUNT($D29,$D$10)&lt;&gt;2,"N/A:input",IF(EXACT($C29,$C$10),$D29-$D$10,"N/A:cohort")))</x:f>
      </x:c>
      <x:c r="N29" s="58" t="str">
        <x:f>IF(OR($A29="",$A$11=""),"",IF(COUNT($D29,$D$11)&lt;&gt;2,"N/A:input",IF(EXACT($C29,$C$11),$D29-$D$11,"N/A:cohort")))</x:f>
      </x:c>
      <x:c r="O29" s="58" t="str">
        <x:f>IF(OR($A29="",$A$12=""),"",IF(COUNT($D29,$D$12)&lt;&gt;2,"N/A:input",IF(EXACT($C29,$C$12),$D29-$D$12,"N/A:cohort")))</x:f>
      </x:c>
      <x:c r="P29" s="58" t="str">
        <x:f>IF(OR($A29="",$A$13=""),"",IF(COUNT($D29,$D$13)&lt;&gt;2,"N/A:input",IF(EXACT($C29,$C$13),$D29-$D$13,"N/A:cohort")))</x:f>
      </x:c>
      <x:c r="Q29" s="58" t="str">
        <x:f>IF(OR($A29="",$A$14=""),"",IF(COUNT($D29,$D$14)&lt;&gt;2,"N/A:input",IF(EXACT($C29,$C$14),$D29-$D$14,"N/A:cohort")))</x:f>
      </x:c>
      <x:c r="R29" s="58" t="str">
        <x:f>IF(OR($A29="",$A$15=""),"",IF(COUNT($D29,$D$15)&lt;&gt;2,"N/A:input",IF(EXACT($C29,$C$15),$D29-$D$15,"N/A:cohort")))</x:f>
      </x:c>
      <x:c r="S29" s="58" t="str">
        <x:f>IF(OR($A29="",$A$16=""),"",IF(COUNT($D29,$D$16)&lt;&gt;2,"N/A:input",IF(EXACT($C29,$C$16),$D29-$D$16,"N/A:cohort")))</x:f>
      </x:c>
      <x:c r="T29" s="58" t="str">
        <x:f>IF(OR($A29="",$A$17=""),"",IF(COUNT($D29,$D$17)&lt;&gt;2,"N/A:input",IF(EXACT($C29,$C$17),$D29-$D$17,"N/A:cohort")))</x:f>
      </x:c>
      <x:c r="U29" s="58" t="str">
        <x:f>IF(OR($A29="",$A$18=""),"",IF(COUNT($D29,$D$18)&lt;&gt;2,"N/A:input",IF(EXACT($C29,$C$18),$D29-$D$18,"N/A:cohort")))</x:f>
      </x:c>
      <x:c r="V29" s="58" t="str">
        <x:f>IF(OR($A29="",$A$19=""),"",IF(COUNT($D29,$D$19)&lt;&gt;2,"N/A:input",IF(EXACT($C29,$C$19),$D29-$D$19,"N/A:cohort")))</x:f>
      </x:c>
      <x:c r="W29" s="58" t="str">
        <x:f>IF(OR($A29="",$A$20=""),"",IF(COUNT($D29,$D$20)&lt;&gt;2,"N/A:input",IF(EXACT($C29,$C$20),$D29-$D$20,"N/A:cohort")))</x:f>
      </x:c>
      <x:c r="X29" s="58" t="str">
        <x:f>IF(OR($A29="",$A$21=""),"",IF(COUNT($D29,$D$21)&lt;&gt;2,"N/A:input",IF(EXACT($C29,$C$21),$D29-$D$21,"N/A:cohort")))</x:f>
      </x:c>
      <x:c r="Y29" s="58" t="str">
        <x:f>IF(OR($A29="",$A$22=""),"",IF(COUNT($D29,$D$22)&lt;&gt;2,"N/A:input",IF(EXACT($C29,$C$22),$D29-$D$22,"N/A:cohort")))</x:f>
      </x:c>
      <x:c r="Z29" s="58" t="str">
        <x:f>IF(OR($A29="",$A$23=""),"",IF(COUNT($D29,$D$23)&lt;&gt;2,"N/A:input",IF(EXACT($C29,$C$23),$D29-$D$23,"N/A:cohort")))</x:f>
      </x:c>
      <x:c r="AA29" s="58" t="str">
        <x:f>IF(OR($A29="",$A$24=""),"",IF(COUNT($D29,$D$24)&lt;&gt;2,"N/A:input",IF(EXACT($C29,$C$24),$D29-$D$24,"N/A:cohort")))</x:f>
      </x:c>
      <x:c r="AB29" s="58" t="str">
        <x:f>IF(OR($A29="",$A$25=""),"",IF(COUNT($D29,$D$25)&lt;&gt;2,"N/A:input",IF(EXACT($C29,$C$25),$D29-$D$25,"N/A:cohort")))</x:f>
      </x:c>
      <x:c r="AC29" s="58" t="str">
        <x:f>IF(OR($A29="",$A$26=""),"",IF(COUNT($D29,$D$26)&lt;&gt;2,"N/A:input",IF(EXACT($C29,$C$26),$D29-$D$26,"N/A:cohort")))</x:f>
      </x:c>
      <x:c r="AD29" s="58" t="str">
        <x:f>IF(OR($A29="",$A$27=""),"",IF(COUNT($D29,$D$27)&lt;&gt;2,"N/A:input",IF(EXACT($C29,$C$27),$D29-$D$27,"N/A:cohort")))</x:f>
      </x:c>
      <x:c r="AE29" s="58" t="str">
        <x:f>IF(OR($A29="",$A$28=""),"",IF(COUNT($D29,$D$28)&lt;&gt;2,"N/A:input",IF(EXACT($C29,$C$28),$D29-$D$28,"N/A:cohort")))</x:f>
      </x:c>
      <x:c r="AF29" s="58" t="str">
        <x:f>IF(OR($A29="",$A$29=""),"",IF(COUNT($D29,$D$29)&lt;&gt;2,"N/A:input",IF(EXACT($C29,$C$29),$D29-$D$29,"N/A:cohort")))</x:f>
      </x:c>
      <x:c r="AG29" s="58" t="str">
        <x:f>IF(OR($A29="",$A$30=""),"",IF(COUNT($D29,$D$30)&lt;&gt;2,"N/A:input",IF(EXACT($C29,$C$30),$D29-$D$30,"N/A:cohort")))</x:f>
      </x:c>
      <x:c r="AH29" s="58" t="str">
        <x:f>IF(OR($A29="",$A$31=""),"",IF(COUNT($D29,$D$31)&lt;&gt;2,"N/A:input",IF(EXACT($C29,$C$31),$D29-$D$31,"N/A:cohort")))</x:f>
      </x:c>
      <x:c r="AI29" s="58" t="str">
        <x:f>IF(OR($A29="",$A$32=""),"",IF(COUNT($D29,$D$32)&lt;&gt;2,"N/A:input",IF(EXACT($C29,$C$32),$D29-$D$32,"N/A:cohort")))</x:f>
      </x:c>
      <x:c r="AJ29" s="58" t="str">
        <x:f>IF(OR($A29="",$A$33=""),"",IF(COUNT($D29,$D$33)&lt;&gt;2,"N/A:input",IF(EXACT($C29,$C$33),$D29-$D$33,"N/A:cohort")))</x:f>
      </x:c>
      <x:c r="AK29" s="58" t="str">
        <x:f>IF(OR($A29="",$A$34=""),"",IF(COUNT($D29,$D$34)&lt;&gt;2,"N/A:input",IF(EXACT($C29,$C$34),$D29-$D$34,"N/A:cohort")))</x:f>
      </x:c>
      <x:c r="AL29" s="58" t="str">
        <x:f>IF(OR($A29="",$A$35=""),"",IF(COUNT($D29,$D$35)&lt;&gt;2,"N/A:input",IF(EXACT($C29,$C$35),$D29-$D$35,"N/A:cohort")))</x:f>
      </x:c>
      <x:c r="AM29" s="58" t="str">
        <x:f>IF(OR($A29="",$A$36=""),"",IF(COUNT($D29,$D$36)&lt;&gt;2,"N/A:input",IF(EXACT($C29,$C$36),$D29-$D$36,"N/A:cohort")))</x:f>
      </x:c>
      <x:c r="AN29" s="34" t="str">
        <x:f>IF(COUNT($D29)=0,"",SUM(IF(AND(EXACT($C$7,$C29),ISNUMBER($D$7)),($D$7&gt;$D29)+($D$7=$D29)/2,0),IF(AND(EXACT($C$8,$C29),ISNUMBER($D$8)),($D$8&gt;$D29)+($D$8=$D29)/2,0),IF(AND(EXACT($C$9,$C29),ISNUMBER($D$9)),($D$9&gt;$D29)+($D$9=$D29)/2,0),IF(AND(EXACT($C$10,$C29),ISNUMBER($D$10)),($D$10&gt;$D29)+($D$10=$D29)/2,0),IF(AND(EXACT($C$11,$C29),ISNUMBER($D$11)),($D$11&gt;$D29)+($D$11=$D29)/2,0),IF(AND(EXACT($C$12,$C29),ISNUMBER($D$12)),($D$12&gt;$D29)+($D$12=$D29)/2,0),IF(AND(EXACT($C$13,$C29),ISNUMBER($D$13)),($D$13&gt;$D29)+($D$13=$D29)/2,0),IF(AND(EXACT($C$14,$C29),ISNUMBER($D$14)),($D$14&gt;$D29)+($D$14=$D29)/2,0),IF(AND(EXACT($C$15,$C29),ISNUMBER($D$15)),($D$15&gt;$D29)+($D$15=$D29)/2,0),IF(AND(EXACT($C$16,$C29),ISNUMBER($D$16)),($D$16&gt;$D29)+($D$16=$D29)/2,0),IF(AND(EXACT($C$17,$C29),ISNUMBER($D$17)),($D$17&gt;$D29)+($D$17=$D29)/2,0),IF(AND(EXACT($C$18,$C29),ISNUMBER($D$18)),($D$18&gt;$D29)+($D$18=$D29)/2,0),IF(AND(EXACT($C$19,$C29),ISNUMBER($D$19)),($D$19&gt;$D29)+($D$19=$D29)/2,0),IF(AND(EXACT($C$20,$C29),ISNUMBER($D$20)),($D$20&gt;$D29)+($D$20=$D29)/2,0),IF(AND(EXACT($C$21,$C29),ISNUMBER($D$21)),($D$21&gt;$D29)+($D$21=$D29)/2,0),IF(AND(EXACT($C$22,$C29),ISNUMBER($D$22)),($D$22&gt;$D29)+($D$22=$D29)/2,0),IF(AND(EXACT($C$23,$C29),ISNUMBER($D$23)),($D$23&gt;$D29)+($D$23=$D29)/2,0),IF(AND(EXACT($C$24,$C29),ISNUMBER($D$24)),($D$24&gt;$D29)+($D$24=$D29)/2,0),IF(AND(EXACT($C$25,$C29),ISNUMBER($D$25)),($D$25&gt;$D29)+($D$25=$D29)/2,0),IF(AND(EXACT($C$26,$C29),ISNUMBER($D$26)),($D$26&gt;$D29)+($D$26=$D29)/2,0),IF(AND(EXACT($C$27,$C29),ISNUMBER($D$27)),($D$27&gt;$D29)+($D$27=$D29)/2,0),IF(AND(EXACT($C$28,$C29),ISNUMBER($D$28)),($D$28&gt;$D29)+($D$28=$D29)/2,0),IF(AND(EXACT($C$29,$C29),ISNUMBER($D$29)),($D$29&gt;$D29)+($D$29=$D29)/2,0),IF(AND(EXACT($C$30,$C29),ISNUMBER($D$30)),($D$30&gt;$D29)+($D$30=$D29)/2,0),IF(AND(EXACT($C$31,$C29),ISNUMBER($D$31)),($D$31&gt;$D29)+($D$31=$D29)/2,0),IF(AND(EXACT($C$32,$C29),ISNUMBER($D$32)),($D$32&gt;$D29)+($D$32=$D29)/2,0),IF(AND(EXACT($C$33,$C29),ISNUMBER($D$33)),($D$33&gt;$D29)+($D$33=$D29)/2,0),IF(AND(EXACT($C$34,$C29),ISNUMBER($D$34)),($D$34&gt;$D29)+($D$34=$D29)/2,0),IF(AND(EXACT($C$35,$C29),ISNUMBER($D$35)),($D$35&gt;$D29)+($D$35=$D29)/2,0),IF(AND(EXACT($C$36,$C29),ISNUMBER($D$36)),($D$36&gt;$D29)+($D$36=$D29)/2,0),IF(AND(EXACT($C$37,$C29),ISNUMBER($D$37)),($D$37&gt;$D29)+($D$37=$D29)/2,0),IF(AND(EXACT($C$38,$C29),ISNUMBER($D$38)),($D$38&gt;$D29)+($D$38=$D29)/2,0),IF(AND(EXACT($C$39,$C29),ISNUMBER($D$39)),($D$39&gt;$D29)+($D$39=$D29)/2,0),IF(AND(EXACT($C$40,$C29),ISNUMBER($D$40)),($D$40&gt;$D29)+($D$40=$D29)/2,0),IF(AND(EXACT($C$41,$C29),ISNUMBER($D$41)),($D$41&gt;$D29)+($D$41=$D29)/2,0),IF(AND(EXACT($C$42,$C29),ISNUMBER($D$42)),($D$42&gt;$D29)+($D$42=$D29)/2,0),IF(AND(EXACT($C$43,$C29),ISNUMBER($D$43)),($D$43&gt;$D29)+($D$43=$D29)/2,0),IF(AND(EXACT($C$44,$C29),ISNUMBER($D$44)),($D$44&gt;$D29)+($D$44=$D29)/2,0),IF(AND(EXACT($C$45,$C29),ISNUMBER($D$45)),($D$45&gt;$D29)+($D$45=$D29)/2,0),IF(AND(EXACT($C$46,$C29),ISNUMBER($D$46)),($D$46&gt;$D29)+($D$46=$D29)/2,0),IF(AND(EXACT($C$47,$C29),ISNUMBER($D$47)),($D$47&gt;$D29)+($D$47=$D29)/2,0),IF(AND(EXACT($C$48,$C29),ISNUMBER($D$48)),($D$48&gt;$D29)+($D$48=$D29)/2,0),IF(AND(EXACT($C$49,$C29),ISNUMBER($D$49)),($D$49&gt;$D29)+($D$49=$D29)/2,0),IF(AND(EXACT($C$50,$C29),ISNUMBER($D$50)),($D$50&gt;$D29)+($D$50=$D29)/2,0),IF(AND(EXACT($C$51,$C29),ISNUMBER($D$51)),($D$51&gt;$D29)+($D$51=$D29)/2,0),IF(AND(EXACT($C$52,$C29),ISNUMBER($D$52)),($D$52&gt;$D29)+($D$52=$D29)/2,0),IF(AND(EXACT($C$53,$C29),ISNUMBER($D$53)),($D$53&gt;$D29)+($D$53=$D29)/2,0),IF(AND(EXACT($C$54,$C29),ISNUMBER($D$54)),($D$54&gt;$D29)+($D$54=$D29)/2,0),IF(AND(EXACT($C$55,$C29),ISNUMBER($D$55)),($D$55&gt;$D29)+($D$55=$D29)/2,0),IF(AND(EXACT($C$56,$C29),ISNUMBER($D$56)),($D$56&gt;$D29)+($D$56=$D29)/2,0)))</x:f>
      </x:c>
      <x:c r="AO29" s="34" t="str">
        <x:f>IF(COUNT($D29)=0,"",SUM(IF(AND(EXACT($C$57,$C29),ISNUMBER($D$57)),($D$57&gt;$D29)+($D$57=$D29)/2,0),IF(AND(EXACT($C$58,$C29),ISNUMBER($D$58)),($D$58&gt;$D29)+($D$58=$D29)/2,0),IF(AND(EXACT($C$59,$C29),ISNUMBER($D$59)),($D$59&gt;$D29)+($D$59=$D29)/2,0),IF(AND(EXACT($C$60,$C29),ISNUMBER($D$60)),($D$60&gt;$D29)+($D$60=$D29)/2,0),IF(AND(EXACT($C$61,$C29),ISNUMBER($D$61)),($D$61&gt;$D29)+($D$61=$D29)/2,0),IF(AND(EXACT($C$62,$C29),ISNUMBER($D$62)),($D$62&gt;$D29)+($D$62=$D29)/2,0),IF(AND(EXACT($C$63,$C29),ISNUMBER($D$63)),($D$63&gt;$D29)+($D$63=$D29)/2,0),IF(AND(EXACT($C$64,$C29),ISNUMBER($D$64)),($D$64&gt;$D29)+($D$64=$D29)/2,0),IF(AND(EXACT($C$65,$C29),ISNUMBER($D$65)),($D$65&gt;$D29)+($D$65=$D29)/2,0),IF(AND(EXACT($C$66,$C29),ISNUMBER($D$66)),($D$66&gt;$D29)+($D$66=$D29)/2,0),IF(AND(EXACT($C$67,$C29),ISNUMBER($D$67)),($D$67&gt;$D29)+($D$67=$D29)/2,0),IF(AND(EXACT($C$68,$C29),ISNUMBER($D$68)),($D$68&gt;$D29)+($D$68=$D29)/2,0),IF(AND(EXACT($C$69,$C29),ISNUMBER($D$69)),($D$69&gt;$D29)+($D$69=$D29)/2,0),IF(AND(EXACT($C$70,$C29),ISNUMBER($D$70)),($D$70&gt;$D29)+($D$70=$D29)/2,0),IF(AND(EXACT($C$71,$C29),ISNUMBER($D$71)),($D$71&gt;$D29)+($D$71=$D29)/2,0),IF(AND(EXACT($C$72,$C29),ISNUMBER($D$72)),($D$72&gt;$D29)+($D$72=$D29)/2,0),IF(AND(EXACT($C$73,$C29),ISNUMBER($D$73)),($D$73&gt;$D29)+($D$73=$D29)/2,0),IF(AND(EXACT($C$74,$C29),ISNUMBER($D$74)),($D$74&gt;$D29)+($D$74=$D29)/2,0),IF(AND(EXACT($C$75,$C29),ISNUMBER($D$75)),($D$75&gt;$D29)+($D$75=$D29)/2,0),IF(AND(EXACT($C$76,$C29),ISNUMBER($D$76)),($D$76&gt;$D29)+($D$76=$D29)/2,0),IF(AND(EXACT($C$77,$C29),ISNUMBER($D$77)),($D$77&gt;$D29)+($D$77=$D29)/2,0),IF(AND(EXACT($C$78,$C29),ISNUMBER($D$78)),($D$78&gt;$D29)+($D$78=$D29)/2,0),IF(AND(EXACT($C$79,$C29),ISNUMBER($D$79)),($D$79&gt;$D29)+($D$79=$D29)/2,0),IF(AND(EXACT($C$80,$C29),ISNUMBER($D$80)),($D$80&gt;$D29)+($D$80=$D29)/2,0),IF(AND(EXACT($C$81,$C29),ISNUMBER($D$81)),($D$81&gt;$D29)+($D$81=$D29)/2,0),IF(AND(EXACT($C$82,$C29),ISNUMBER($D$82)),($D$82&gt;$D29)+($D$82=$D29)/2,0),IF(AND(EXACT($C$83,$C29),ISNUMBER($D$83)),($D$83&gt;$D29)+($D$83=$D29)/2,0),IF(AND(EXACT($C$84,$C29),ISNUMBER($D$84)),($D$84&gt;$D29)+($D$84=$D29)/2,0),IF(AND(EXACT($C$85,$C29),ISNUMBER($D$85)),($D$85&gt;$D29)+($D$85=$D29)/2,0),IF(AND(EXACT($C$86,$C29),ISNUMBER($D$86)),($D$86&gt;$D29)+($D$86=$D29)/2,0),IF(AND(EXACT($C$87,$C29),ISNUMBER($D$87)),($D$87&gt;$D29)+($D$87=$D29)/2,0),IF(AND(EXACT($C$88,$C29),ISNUMBER($D$88)),($D$88&gt;$D29)+($D$88=$D29)/2,0),IF(AND(EXACT($C$89,$C29),ISNUMBER($D$89)),($D$89&gt;$D29)+($D$89=$D29)/2,0),IF(AND(EXACT($C$90,$C29),ISNUMBER($D$90)),($D$90&gt;$D29)+($D$90=$D29)/2,0),IF(AND(EXACT($C$91,$C29),ISNUMBER($D$91)),($D$91&gt;$D29)+($D$91=$D29)/2,0),IF(AND(EXACT($C$92,$C29),ISNUMBER($D$92)),($D$92&gt;$D29)+($D$92=$D29)/2,0),IF(AND(EXACT($C$93,$C29),ISNUMBER($D$93)),($D$93&gt;$D29)+($D$93=$D29)/2,0),IF(AND(EXACT($C$94,$C29),ISNUMBER($D$94)),($D$94&gt;$D29)+($D$94=$D29)/2,0),IF(AND(EXACT($C$95,$C29),ISNUMBER($D$95)),($D$95&gt;$D29)+($D$95=$D29)/2,0),IF(AND(EXACT($C$96,$C29),ISNUMBER($D$96)),($D$96&gt;$D29)+($D$96=$D29)/2,0),IF(AND(EXACT($C$97,$C29),ISNUMBER($D$97)),($D$97&gt;$D29)+($D$97=$D29)/2,0),IF(AND(EXACT($C$98,$C29),ISNUMBER($D$98)),($D$98&gt;$D29)+($D$98=$D29)/2,0),IF(AND(EXACT($C$99,$C29),ISNUMBER($D$99)),($D$99&gt;$D29)+($D$99=$D29)/2,0),IF(AND(EXACT($C$100,$C29),ISNUMBER($D$100)),($D$100&gt;$D29)+($D$100=$D29)/2,0),IF(AND(EXACT($C$101,$C29),ISNUMBER($D$101)),($D$101&gt;$D29)+($D$101=$D29)/2,0),IF(AND(EXACT($C$102,$C29),ISNUMBER($D$102)),($D$102&gt;$D29)+($D$102=$D29)/2,0),IF(AND(EXACT($C$103,$C29),ISNUMBER($D$103)),($D$103&gt;$D29)+($D$103=$D29)/2,0),IF(AND(EXACT($C$104,$C29),ISNUMBER($D$104)),($D$104&gt;$D29)+($D$104=$D29)/2,0),IF(AND(EXACT($C$105,$C29),ISNUMBER($D$105)),($D$105&gt;$D29)+($D$105=$D29)/2,0),IF(AND(EXACT($C$106,$C29),ISNUMBER($D$106)),($D$106&gt;$D29)+($D$106=$D29)/2,0)))</x:f>
      </x:c>
    </x:row>
    <x:row r="30">
      <x:c r="A30" s="34" t="str">
        <x:f>IF('91_CALC_SCORES'!A30="","",'91_CALC_SCORES'!A30)</x:f>
      </x:c>
      <x:c r="B30" s="34" t="str">
        <x:f>IF($A30="","",'91_CALC_SCORES'!B30)</x:f>
      </x:c>
      <x:c r="C30" s="34" t="str">
        <x:f>IF($A30="","",'91_CALC_SCORES'!K30)</x:f>
      </x:c>
      <x:c r="D30" s="57" t="str">
        <x:f>IF(OR($A30="",NOT(OR(LEFT('91_CALC_SCORES'!AB30,4)="PASS",LEFT('91_CALC_SCORES'!AB30,5)="READY"))),"",'91_CALC_SCORES'!Y30)</x:f>
      </x:c>
      <x:c r="E30" s="34" t="str">
        <x:f>IF(COUNT(D30)=0,"",1+SUM(AN30:AO30)-1/2)</x:f>
      </x:c>
      <x:c r="F30" s="34" t="str">
        <x:f>IF($A30="","",'91_CALC_SCORES'!AB30)</x:f>
      </x:c>
      <x:c r="G30" s="34" t="str">
        <x:f>IF(A30="","","연구 베타 | 기업 백분위 아님")</x:f>
      </x:c>
      <x:c r="I30" s="13" t="str">
        <x:f>IF($A$30="","",$A$30)</x:f>
      </x:c>
      <x:c r="J30" s="58" t="str">
        <x:f>IF(OR($A30="",$A$7=""),"",IF(COUNT($D30,$D$7)&lt;&gt;2,"N/A:input",IF(EXACT($C30,$C$7),$D30-$D$7,"N/A:cohort")))</x:f>
      </x:c>
      <x:c r="K30" s="58" t="str">
        <x:f>IF(OR($A30="",$A$8=""),"",IF(COUNT($D30,$D$8)&lt;&gt;2,"N/A:input",IF(EXACT($C30,$C$8),$D30-$D$8,"N/A:cohort")))</x:f>
      </x:c>
      <x:c r="L30" s="58" t="str">
        <x:f>IF(OR($A30="",$A$9=""),"",IF(COUNT($D30,$D$9)&lt;&gt;2,"N/A:input",IF(EXACT($C30,$C$9),$D30-$D$9,"N/A:cohort")))</x:f>
      </x:c>
      <x:c r="M30" s="58" t="str">
        <x:f>IF(OR($A30="",$A$10=""),"",IF(COUNT($D30,$D$10)&lt;&gt;2,"N/A:input",IF(EXACT($C30,$C$10),$D30-$D$10,"N/A:cohort")))</x:f>
      </x:c>
      <x:c r="N30" s="58" t="str">
        <x:f>IF(OR($A30="",$A$11=""),"",IF(COUNT($D30,$D$11)&lt;&gt;2,"N/A:input",IF(EXACT($C30,$C$11),$D30-$D$11,"N/A:cohort")))</x:f>
      </x:c>
      <x:c r="O30" s="58" t="str">
        <x:f>IF(OR($A30="",$A$12=""),"",IF(COUNT($D30,$D$12)&lt;&gt;2,"N/A:input",IF(EXACT($C30,$C$12),$D30-$D$12,"N/A:cohort")))</x:f>
      </x:c>
      <x:c r="P30" s="58" t="str">
        <x:f>IF(OR($A30="",$A$13=""),"",IF(COUNT($D30,$D$13)&lt;&gt;2,"N/A:input",IF(EXACT($C30,$C$13),$D30-$D$13,"N/A:cohort")))</x:f>
      </x:c>
      <x:c r="Q30" s="58" t="str">
        <x:f>IF(OR($A30="",$A$14=""),"",IF(COUNT($D30,$D$14)&lt;&gt;2,"N/A:input",IF(EXACT($C30,$C$14),$D30-$D$14,"N/A:cohort")))</x:f>
      </x:c>
      <x:c r="R30" s="58" t="str">
        <x:f>IF(OR($A30="",$A$15=""),"",IF(COUNT($D30,$D$15)&lt;&gt;2,"N/A:input",IF(EXACT($C30,$C$15),$D30-$D$15,"N/A:cohort")))</x:f>
      </x:c>
      <x:c r="S30" s="58" t="str">
        <x:f>IF(OR($A30="",$A$16=""),"",IF(COUNT($D30,$D$16)&lt;&gt;2,"N/A:input",IF(EXACT($C30,$C$16),$D30-$D$16,"N/A:cohort")))</x:f>
      </x:c>
      <x:c r="T30" s="58" t="str">
        <x:f>IF(OR($A30="",$A$17=""),"",IF(COUNT($D30,$D$17)&lt;&gt;2,"N/A:input",IF(EXACT($C30,$C$17),$D30-$D$17,"N/A:cohort")))</x:f>
      </x:c>
      <x:c r="U30" s="58" t="str">
        <x:f>IF(OR($A30="",$A$18=""),"",IF(COUNT($D30,$D$18)&lt;&gt;2,"N/A:input",IF(EXACT($C30,$C$18),$D30-$D$18,"N/A:cohort")))</x:f>
      </x:c>
      <x:c r="V30" s="58" t="str">
        <x:f>IF(OR($A30="",$A$19=""),"",IF(COUNT($D30,$D$19)&lt;&gt;2,"N/A:input",IF(EXACT($C30,$C$19),$D30-$D$19,"N/A:cohort")))</x:f>
      </x:c>
      <x:c r="W30" s="58" t="str">
        <x:f>IF(OR($A30="",$A$20=""),"",IF(COUNT($D30,$D$20)&lt;&gt;2,"N/A:input",IF(EXACT($C30,$C$20),$D30-$D$20,"N/A:cohort")))</x:f>
      </x:c>
      <x:c r="X30" s="58" t="str">
        <x:f>IF(OR($A30="",$A$21=""),"",IF(COUNT($D30,$D$21)&lt;&gt;2,"N/A:input",IF(EXACT($C30,$C$21),$D30-$D$21,"N/A:cohort")))</x:f>
      </x:c>
      <x:c r="Y30" s="58" t="str">
        <x:f>IF(OR($A30="",$A$22=""),"",IF(COUNT($D30,$D$22)&lt;&gt;2,"N/A:input",IF(EXACT($C30,$C$22),$D30-$D$22,"N/A:cohort")))</x:f>
      </x:c>
      <x:c r="Z30" s="58" t="str">
        <x:f>IF(OR($A30="",$A$23=""),"",IF(COUNT($D30,$D$23)&lt;&gt;2,"N/A:input",IF(EXACT($C30,$C$23),$D30-$D$23,"N/A:cohort")))</x:f>
      </x:c>
      <x:c r="AA30" s="58" t="str">
        <x:f>IF(OR($A30="",$A$24=""),"",IF(COUNT($D30,$D$24)&lt;&gt;2,"N/A:input",IF(EXACT($C30,$C$24),$D30-$D$24,"N/A:cohort")))</x:f>
      </x:c>
      <x:c r="AB30" s="58" t="str">
        <x:f>IF(OR($A30="",$A$25=""),"",IF(COUNT($D30,$D$25)&lt;&gt;2,"N/A:input",IF(EXACT($C30,$C$25),$D30-$D$25,"N/A:cohort")))</x:f>
      </x:c>
      <x:c r="AC30" s="58" t="str">
        <x:f>IF(OR($A30="",$A$26=""),"",IF(COUNT($D30,$D$26)&lt;&gt;2,"N/A:input",IF(EXACT($C30,$C$26),$D30-$D$26,"N/A:cohort")))</x:f>
      </x:c>
      <x:c r="AD30" s="58" t="str">
        <x:f>IF(OR($A30="",$A$27=""),"",IF(COUNT($D30,$D$27)&lt;&gt;2,"N/A:input",IF(EXACT($C30,$C$27),$D30-$D$27,"N/A:cohort")))</x:f>
      </x:c>
      <x:c r="AE30" s="58" t="str">
        <x:f>IF(OR($A30="",$A$28=""),"",IF(COUNT($D30,$D$28)&lt;&gt;2,"N/A:input",IF(EXACT($C30,$C$28),$D30-$D$28,"N/A:cohort")))</x:f>
      </x:c>
      <x:c r="AF30" s="58" t="str">
        <x:f>IF(OR($A30="",$A$29=""),"",IF(COUNT($D30,$D$29)&lt;&gt;2,"N/A:input",IF(EXACT($C30,$C$29),$D30-$D$29,"N/A:cohort")))</x:f>
      </x:c>
      <x:c r="AG30" s="58" t="str">
        <x:f>IF(OR($A30="",$A$30=""),"",IF(COUNT($D30,$D$30)&lt;&gt;2,"N/A:input",IF(EXACT($C30,$C$30),$D30-$D$30,"N/A:cohort")))</x:f>
      </x:c>
      <x:c r="AH30" s="58" t="str">
        <x:f>IF(OR($A30="",$A$31=""),"",IF(COUNT($D30,$D$31)&lt;&gt;2,"N/A:input",IF(EXACT($C30,$C$31),$D30-$D$31,"N/A:cohort")))</x:f>
      </x:c>
      <x:c r="AI30" s="58" t="str">
        <x:f>IF(OR($A30="",$A$32=""),"",IF(COUNT($D30,$D$32)&lt;&gt;2,"N/A:input",IF(EXACT($C30,$C$32),$D30-$D$32,"N/A:cohort")))</x:f>
      </x:c>
      <x:c r="AJ30" s="58" t="str">
        <x:f>IF(OR($A30="",$A$33=""),"",IF(COUNT($D30,$D$33)&lt;&gt;2,"N/A:input",IF(EXACT($C30,$C$33),$D30-$D$33,"N/A:cohort")))</x:f>
      </x:c>
      <x:c r="AK30" s="58" t="str">
        <x:f>IF(OR($A30="",$A$34=""),"",IF(COUNT($D30,$D$34)&lt;&gt;2,"N/A:input",IF(EXACT($C30,$C$34),$D30-$D$34,"N/A:cohort")))</x:f>
      </x:c>
      <x:c r="AL30" s="58" t="str">
        <x:f>IF(OR($A30="",$A$35=""),"",IF(COUNT($D30,$D$35)&lt;&gt;2,"N/A:input",IF(EXACT($C30,$C$35),$D30-$D$35,"N/A:cohort")))</x:f>
      </x:c>
      <x:c r="AM30" s="58" t="str">
        <x:f>IF(OR($A30="",$A$36=""),"",IF(COUNT($D30,$D$36)&lt;&gt;2,"N/A:input",IF(EXACT($C30,$C$36),$D30-$D$36,"N/A:cohort")))</x:f>
      </x:c>
      <x:c r="AN30" s="34" t="str">
        <x:f>IF(COUNT($D30)=0,"",SUM(IF(AND(EXACT($C$7,$C30),ISNUMBER($D$7)),($D$7&gt;$D30)+($D$7=$D30)/2,0),IF(AND(EXACT($C$8,$C30),ISNUMBER($D$8)),($D$8&gt;$D30)+($D$8=$D30)/2,0),IF(AND(EXACT($C$9,$C30),ISNUMBER($D$9)),($D$9&gt;$D30)+($D$9=$D30)/2,0),IF(AND(EXACT($C$10,$C30),ISNUMBER($D$10)),($D$10&gt;$D30)+($D$10=$D30)/2,0),IF(AND(EXACT($C$11,$C30),ISNUMBER($D$11)),($D$11&gt;$D30)+($D$11=$D30)/2,0),IF(AND(EXACT($C$12,$C30),ISNUMBER($D$12)),($D$12&gt;$D30)+($D$12=$D30)/2,0),IF(AND(EXACT($C$13,$C30),ISNUMBER($D$13)),($D$13&gt;$D30)+($D$13=$D30)/2,0),IF(AND(EXACT($C$14,$C30),ISNUMBER($D$14)),($D$14&gt;$D30)+($D$14=$D30)/2,0),IF(AND(EXACT($C$15,$C30),ISNUMBER($D$15)),($D$15&gt;$D30)+($D$15=$D30)/2,0),IF(AND(EXACT($C$16,$C30),ISNUMBER($D$16)),($D$16&gt;$D30)+($D$16=$D30)/2,0),IF(AND(EXACT($C$17,$C30),ISNUMBER($D$17)),($D$17&gt;$D30)+($D$17=$D30)/2,0),IF(AND(EXACT($C$18,$C30),ISNUMBER($D$18)),($D$18&gt;$D30)+($D$18=$D30)/2,0),IF(AND(EXACT($C$19,$C30),ISNUMBER($D$19)),($D$19&gt;$D30)+($D$19=$D30)/2,0),IF(AND(EXACT($C$20,$C30),ISNUMBER($D$20)),($D$20&gt;$D30)+($D$20=$D30)/2,0),IF(AND(EXACT($C$21,$C30),ISNUMBER($D$21)),($D$21&gt;$D30)+($D$21=$D30)/2,0),IF(AND(EXACT($C$22,$C30),ISNUMBER($D$22)),($D$22&gt;$D30)+($D$22=$D30)/2,0),IF(AND(EXACT($C$23,$C30),ISNUMBER($D$23)),($D$23&gt;$D30)+($D$23=$D30)/2,0),IF(AND(EXACT($C$24,$C30),ISNUMBER($D$24)),($D$24&gt;$D30)+($D$24=$D30)/2,0),IF(AND(EXACT($C$25,$C30),ISNUMBER($D$25)),($D$25&gt;$D30)+($D$25=$D30)/2,0),IF(AND(EXACT($C$26,$C30),ISNUMBER($D$26)),($D$26&gt;$D30)+($D$26=$D30)/2,0),IF(AND(EXACT($C$27,$C30),ISNUMBER($D$27)),($D$27&gt;$D30)+($D$27=$D30)/2,0),IF(AND(EXACT($C$28,$C30),ISNUMBER($D$28)),($D$28&gt;$D30)+($D$28=$D30)/2,0),IF(AND(EXACT($C$29,$C30),ISNUMBER($D$29)),($D$29&gt;$D30)+($D$29=$D30)/2,0),IF(AND(EXACT($C$30,$C30),ISNUMBER($D$30)),($D$30&gt;$D30)+($D$30=$D30)/2,0),IF(AND(EXACT($C$31,$C30),ISNUMBER($D$31)),($D$31&gt;$D30)+($D$31=$D30)/2,0),IF(AND(EXACT($C$32,$C30),ISNUMBER($D$32)),($D$32&gt;$D30)+($D$32=$D30)/2,0),IF(AND(EXACT($C$33,$C30),ISNUMBER($D$33)),($D$33&gt;$D30)+($D$33=$D30)/2,0),IF(AND(EXACT($C$34,$C30),ISNUMBER($D$34)),($D$34&gt;$D30)+($D$34=$D30)/2,0),IF(AND(EXACT($C$35,$C30),ISNUMBER($D$35)),($D$35&gt;$D30)+($D$35=$D30)/2,0),IF(AND(EXACT($C$36,$C30),ISNUMBER($D$36)),($D$36&gt;$D30)+($D$36=$D30)/2,0),IF(AND(EXACT($C$37,$C30),ISNUMBER($D$37)),($D$37&gt;$D30)+($D$37=$D30)/2,0),IF(AND(EXACT($C$38,$C30),ISNUMBER($D$38)),($D$38&gt;$D30)+($D$38=$D30)/2,0),IF(AND(EXACT($C$39,$C30),ISNUMBER($D$39)),($D$39&gt;$D30)+($D$39=$D30)/2,0),IF(AND(EXACT($C$40,$C30),ISNUMBER($D$40)),($D$40&gt;$D30)+($D$40=$D30)/2,0),IF(AND(EXACT($C$41,$C30),ISNUMBER($D$41)),($D$41&gt;$D30)+($D$41=$D30)/2,0),IF(AND(EXACT($C$42,$C30),ISNUMBER($D$42)),($D$42&gt;$D30)+($D$42=$D30)/2,0),IF(AND(EXACT($C$43,$C30),ISNUMBER($D$43)),($D$43&gt;$D30)+($D$43=$D30)/2,0),IF(AND(EXACT($C$44,$C30),ISNUMBER($D$44)),($D$44&gt;$D30)+($D$44=$D30)/2,0),IF(AND(EXACT($C$45,$C30),ISNUMBER($D$45)),($D$45&gt;$D30)+($D$45=$D30)/2,0),IF(AND(EXACT($C$46,$C30),ISNUMBER($D$46)),($D$46&gt;$D30)+($D$46=$D30)/2,0),IF(AND(EXACT($C$47,$C30),ISNUMBER($D$47)),($D$47&gt;$D30)+($D$47=$D30)/2,0),IF(AND(EXACT($C$48,$C30),ISNUMBER($D$48)),($D$48&gt;$D30)+($D$48=$D30)/2,0),IF(AND(EXACT($C$49,$C30),ISNUMBER($D$49)),($D$49&gt;$D30)+($D$49=$D30)/2,0),IF(AND(EXACT($C$50,$C30),ISNUMBER($D$50)),($D$50&gt;$D30)+($D$50=$D30)/2,0),IF(AND(EXACT($C$51,$C30),ISNUMBER($D$51)),($D$51&gt;$D30)+($D$51=$D30)/2,0),IF(AND(EXACT($C$52,$C30),ISNUMBER($D$52)),($D$52&gt;$D30)+($D$52=$D30)/2,0),IF(AND(EXACT($C$53,$C30),ISNUMBER($D$53)),($D$53&gt;$D30)+($D$53=$D30)/2,0),IF(AND(EXACT($C$54,$C30),ISNUMBER($D$54)),($D$54&gt;$D30)+($D$54=$D30)/2,0),IF(AND(EXACT($C$55,$C30),ISNUMBER($D$55)),($D$55&gt;$D30)+($D$55=$D30)/2,0),IF(AND(EXACT($C$56,$C30),ISNUMBER($D$56)),($D$56&gt;$D30)+($D$56=$D30)/2,0)))</x:f>
      </x:c>
      <x:c r="AO30" s="34" t="str">
        <x:f>IF(COUNT($D30)=0,"",SUM(IF(AND(EXACT($C$57,$C30),ISNUMBER($D$57)),($D$57&gt;$D30)+($D$57=$D30)/2,0),IF(AND(EXACT($C$58,$C30),ISNUMBER($D$58)),($D$58&gt;$D30)+($D$58=$D30)/2,0),IF(AND(EXACT($C$59,$C30),ISNUMBER($D$59)),($D$59&gt;$D30)+($D$59=$D30)/2,0),IF(AND(EXACT($C$60,$C30),ISNUMBER($D$60)),($D$60&gt;$D30)+($D$60=$D30)/2,0),IF(AND(EXACT($C$61,$C30),ISNUMBER($D$61)),($D$61&gt;$D30)+($D$61=$D30)/2,0),IF(AND(EXACT($C$62,$C30),ISNUMBER($D$62)),($D$62&gt;$D30)+($D$62=$D30)/2,0),IF(AND(EXACT($C$63,$C30),ISNUMBER($D$63)),($D$63&gt;$D30)+($D$63=$D30)/2,0),IF(AND(EXACT($C$64,$C30),ISNUMBER($D$64)),($D$64&gt;$D30)+($D$64=$D30)/2,0),IF(AND(EXACT($C$65,$C30),ISNUMBER($D$65)),($D$65&gt;$D30)+($D$65=$D30)/2,0),IF(AND(EXACT($C$66,$C30),ISNUMBER($D$66)),($D$66&gt;$D30)+($D$66=$D30)/2,0),IF(AND(EXACT($C$67,$C30),ISNUMBER($D$67)),($D$67&gt;$D30)+($D$67=$D30)/2,0),IF(AND(EXACT($C$68,$C30),ISNUMBER($D$68)),($D$68&gt;$D30)+($D$68=$D30)/2,0),IF(AND(EXACT($C$69,$C30),ISNUMBER($D$69)),($D$69&gt;$D30)+($D$69=$D30)/2,0),IF(AND(EXACT($C$70,$C30),ISNUMBER($D$70)),($D$70&gt;$D30)+($D$70=$D30)/2,0),IF(AND(EXACT($C$71,$C30),ISNUMBER($D$71)),($D$71&gt;$D30)+($D$71=$D30)/2,0),IF(AND(EXACT($C$72,$C30),ISNUMBER($D$72)),($D$72&gt;$D30)+($D$72=$D30)/2,0),IF(AND(EXACT($C$73,$C30),ISNUMBER($D$73)),($D$73&gt;$D30)+($D$73=$D30)/2,0),IF(AND(EXACT($C$74,$C30),ISNUMBER($D$74)),($D$74&gt;$D30)+($D$74=$D30)/2,0),IF(AND(EXACT($C$75,$C30),ISNUMBER($D$75)),($D$75&gt;$D30)+($D$75=$D30)/2,0),IF(AND(EXACT($C$76,$C30),ISNUMBER($D$76)),($D$76&gt;$D30)+($D$76=$D30)/2,0),IF(AND(EXACT($C$77,$C30),ISNUMBER($D$77)),($D$77&gt;$D30)+($D$77=$D30)/2,0),IF(AND(EXACT($C$78,$C30),ISNUMBER($D$78)),($D$78&gt;$D30)+($D$78=$D30)/2,0),IF(AND(EXACT($C$79,$C30),ISNUMBER($D$79)),($D$79&gt;$D30)+($D$79=$D30)/2,0),IF(AND(EXACT($C$80,$C30),ISNUMBER($D$80)),($D$80&gt;$D30)+($D$80=$D30)/2,0),IF(AND(EXACT($C$81,$C30),ISNUMBER($D$81)),($D$81&gt;$D30)+($D$81=$D30)/2,0),IF(AND(EXACT($C$82,$C30),ISNUMBER($D$82)),($D$82&gt;$D30)+($D$82=$D30)/2,0),IF(AND(EXACT($C$83,$C30),ISNUMBER($D$83)),($D$83&gt;$D30)+($D$83=$D30)/2,0),IF(AND(EXACT($C$84,$C30),ISNUMBER($D$84)),($D$84&gt;$D30)+($D$84=$D30)/2,0),IF(AND(EXACT($C$85,$C30),ISNUMBER($D$85)),($D$85&gt;$D30)+($D$85=$D30)/2,0),IF(AND(EXACT($C$86,$C30),ISNUMBER($D$86)),($D$86&gt;$D30)+($D$86=$D30)/2,0),IF(AND(EXACT($C$87,$C30),ISNUMBER($D$87)),($D$87&gt;$D30)+($D$87=$D30)/2,0),IF(AND(EXACT($C$88,$C30),ISNUMBER($D$88)),($D$88&gt;$D30)+($D$88=$D30)/2,0),IF(AND(EXACT($C$89,$C30),ISNUMBER($D$89)),($D$89&gt;$D30)+($D$89=$D30)/2,0),IF(AND(EXACT($C$90,$C30),ISNUMBER($D$90)),($D$90&gt;$D30)+($D$90=$D30)/2,0),IF(AND(EXACT($C$91,$C30),ISNUMBER($D$91)),($D$91&gt;$D30)+($D$91=$D30)/2,0),IF(AND(EXACT($C$92,$C30),ISNUMBER($D$92)),($D$92&gt;$D30)+($D$92=$D30)/2,0),IF(AND(EXACT($C$93,$C30),ISNUMBER($D$93)),($D$93&gt;$D30)+($D$93=$D30)/2,0),IF(AND(EXACT($C$94,$C30),ISNUMBER($D$94)),($D$94&gt;$D30)+($D$94=$D30)/2,0),IF(AND(EXACT($C$95,$C30),ISNUMBER($D$95)),($D$95&gt;$D30)+($D$95=$D30)/2,0),IF(AND(EXACT($C$96,$C30),ISNUMBER($D$96)),($D$96&gt;$D30)+($D$96=$D30)/2,0),IF(AND(EXACT($C$97,$C30),ISNUMBER($D$97)),($D$97&gt;$D30)+($D$97=$D30)/2,0),IF(AND(EXACT($C$98,$C30),ISNUMBER($D$98)),($D$98&gt;$D30)+($D$98=$D30)/2,0),IF(AND(EXACT($C$99,$C30),ISNUMBER($D$99)),($D$99&gt;$D30)+($D$99=$D30)/2,0),IF(AND(EXACT($C$100,$C30),ISNUMBER($D$100)),($D$100&gt;$D30)+($D$100=$D30)/2,0),IF(AND(EXACT($C$101,$C30),ISNUMBER($D$101)),($D$101&gt;$D30)+($D$101=$D30)/2,0),IF(AND(EXACT($C$102,$C30),ISNUMBER($D$102)),($D$102&gt;$D30)+($D$102=$D30)/2,0),IF(AND(EXACT($C$103,$C30),ISNUMBER($D$103)),($D$103&gt;$D30)+($D$103=$D30)/2,0),IF(AND(EXACT($C$104,$C30),ISNUMBER($D$104)),($D$104&gt;$D30)+($D$104=$D30)/2,0),IF(AND(EXACT($C$105,$C30),ISNUMBER($D$105)),($D$105&gt;$D30)+($D$105=$D30)/2,0),IF(AND(EXACT($C$106,$C30),ISNUMBER($D$106)),($D$106&gt;$D30)+($D$106=$D30)/2,0)))</x:f>
      </x:c>
    </x:row>
    <x:row r="31">
      <x:c r="A31" s="34" t="str">
        <x:f>IF('91_CALC_SCORES'!A31="","",'91_CALC_SCORES'!A31)</x:f>
      </x:c>
      <x:c r="B31" s="34" t="str">
        <x:f>IF($A31="","",'91_CALC_SCORES'!B31)</x:f>
      </x:c>
      <x:c r="C31" s="34" t="str">
        <x:f>IF($A31="","",'91_CALC_SCORES'!K31)</x:f>
      </x:c>
      <x:c r="D31" s="57" t="str">
        <x:f>IF(OR($A31="",NOT(OR(LEFT('91_CALC_SCORES'!AB31,4)="PASS",LEFT('91_CALC_SCORES'!AB31,5)="READY"))),"",'91_CALC_SCORES'!Y31)</x:f>
      </x:c>
      <x:c r="E31" s="34" t="str">
        <x:f>IF(COUNT(D31)=0,"",1+SUM(AN31:AO31)-1/2)</x:f>
      </x:c>
      <x:c r="F31" s="34" t="str">
        <x:f>IF($A31="","",'91_CALC_SCORES'!AB31)</x:f>
      </x:c>
      <x:c r="G31" s="34" t="str">
        <x:f>IF(A31="","","연구 베타 | 기업 백분위 아님")</x:f>
      </x:c>
      <x:c r="I31" s="13" t="str">
        <x:f>IF($A$31="","",$A$31)</x:f>
      </x:c>
      <x:c r="J31" s="58" t="str">
        <x:f>IF(OR($A31="",$A$7=""),"",IF(COUNT($D31,$D$7)&lt;&gt;2,"N/A:input",IF(EXACT($C31,$C$7),$D31-$D$7,"N/A:cohort")))</x:f>
      </x:c>
      <x:c r="K31" s="58" t="str">
        <x:f>IF(OR($A31="",$A$8=""),"",IF(COUNT($D31,$D$8)&lt;&gt;2,"N/A:input",IF(EXACT($C31,$C$8),$D31-$D$8,"N/A:cohort")))</x:f>
      </x:c>
      <x:c r="L31" s="58" t="str">
        <x:f>IF(OR($A31="",$A$9=""),"",IF(COUNT($D31,$D$9)&lt;&gt;2,"N/A:input",IF(EXACT($C31,$C$9),$D31-$D$9,"N/A:cohort")))</x:f>
      </x:c>
      <x:c r="M31" s="58" t="str">
        <x:f>IF(OR($A31="",$A$10=""),"",IF(COUNT($D31,$D$10)&lt;&gt;2,"N/A:input",IF(EXACT($C31,$C$10),$D31-$D$10,"N/A:cohort")))</x:f>
      </x:c>
      <x:c r="N31" s="58" t="str">
        <x:f>IF(OR($A31="",$A$11=""),"",IF(COUNT($D31,$D$11)&lt;&gt;2,"N/A:input",IF(EXACT($C31,$C$11),$D31-$D$11,"N/A:cohort")))</x:f>
      </x:c>
      <x:c r="O31" s="58" t="str">
        <x:f>IF(OR($A31="",$A$12=""),"",IF(COUNT($D31,$D$12)&lt;&gt;2,"N/A:input",IF(EXACT($C31,$C$12),$D31-$D$12,"N/A:cohort")))</x:f>
      </x:c>
      <x:c r="P31" s="58" t="str">
        <x:f>IF(OR($A31="",$A$13=""),"",IF(COUNT($D31,$D$13)&lt;&gt;2,"N/A:input",IF(EXACT($C31,$C$13),$D31-$D$13,"N/A:cohort")))</x:f>
      </x:c>
      <x:c r="Q31" s="58" t="str">
        <x:f>IF(OR($A31="",$A$14=""),"",IF(COUNT($D31,$D$14)&lt;&gt;2,"N/A:input",IF(EXACT($C31,$C$14),$D31-$D$14,"N/A:cohort")))</x:f>
      </x:c>
      <x:c r="R31" s="58" t="str">
        <x:f>IF(OR($A31="",$A$15=""),"",IF(COUNT($D31,$D$15)&lt;&gt;2,"N/A:input",IF(EXACT($C31,$C$15),$D31-$D$15,"N/A:cohort")))</x:f>
      </x:c>
      <x:c r="S31" s="58" t="str">
        <x:f>IF(OR($A31="",$A$16=""),"",IF(COUNT($D31,$D$16)&lt;&gt;2,"N/A:input",IF(EXACT($C31,$C$16),$D31-$D$16,"N/A:cohort")))</x:f>
      </x:c>
      <x:c r="T31" s="58" t="str">
        <x:f>IF(OR($A31="",$A$17=""),"",IF(COUNT($D31,$D$17)&lt;&gt;2,"N/A:input",IF(EXACT($C31,$C$17),$D31-$D$17,"N/A:cohort")))</x:f>
      </x:c>
      <x:c r="U31" s="58" t="str">
        <x:f>IF(OR($A31="",$A$18=""),"",IF(COUNT($D31,$D$18)&lt;&gt;2,"N/A:input",IF(EXACT($C31,$C$18),$D31-$D$18,"N/A:cohort")))</x:f>
      </x:c>
      <x:c r="V31" s="58" t="str">
        <x:f>IF(OR($A31="",$A$19=""),"",IF(COUNT($D31,$D$19)&lt;&gt;2,"N/A:input",IF(EXACT($C31,$C$19),$D31-$D$19,"N/A:cohort")))</x:f>
      </x:c>
      <x:c r="W31" s="58" t="str">
        <x:f>IF(OR($A31="",$A$20=""),"",IF(COUNT($D31,$D$20)&lt;&gt;2,"N/A:input",IF(EXACT($C31,$C$20),$D31-$D$20,"N/A:cohort")))</x:f>
      </x:c>
      <x:c r="X31" s="58" t="str">
        <x:f>IF(OR($A31="",$A$21=""),"",IF(COUNT($D31,$D$21)&lt;&gt;2,"N/A:input",IF(EXACT($C31,$C$21),$D31-$D$21,"N/A:cohort")))</x:f>
      </x:c>
      <x:c r="Y31" s="58" t="str">
        <x:f>IF(OR($A31="",$A$22=""),"",IF(COUNT($D31,$D$22)&lt;&gt;2,"N/A:input",IF(EXACT($C31,$C$22),$D31-$D$22,"N/A:cohort")))</x:f>
      </x:c>
      <x:c r="Z31" s="58" t="str">
        <x:f>IF(OR($A31="",$A$23=""),"",IF(COUNT($D31,$D$23)&lt;&gt;2,"N/A:input",IF(EXACT($C31,$C$23),$D31-$D$23,"N/A:cohort")))</x:f>
      </x:c>
      <x:c r="AA31" s="58" t="str">
        <x:f>IF(OR($A31="",$A$24=""),"",IF(COUNT($D31,$D$24)&lt;&gt;2,"N/A:input",IF(EXACT($C31,$C$24),$D31-$D$24,"N/A:cohort")))</x:f>
      </x:c>
      <x:c r="AB31" s="58" t="str">
        <x:f>IF(OR($A31="",$A$25=""),"",IF(COUNT($D31,$D$25)&lt;&gt;2,"N/A:input",IF(EXACT($C31,$C$25),$D31-$D$25,"N/A:cohort")))</x:f>
      </x:c>
      <x:c r="AC31" s="58" t="str">
        <x:f>IF(OR($A31="",$A$26=""),"",IF(COUNT($D31,$D$26)&lt;&gt;2,"N/A:input",IF(EXACT($C31,$C$26),$D31-$D$26,"N/A:cohort")))</x:f>
      </x:c>
      <x:c r="AD31" s="58" t="str">
        <x:f>IF(OR($A31="",$A$27=""),"",IF(COUNT($D31,$D$27)&lt;&gt;2,"N/A:input",IF(EXACT($C31,$C$27),$D31-$D$27,"N/A:cohort")))</x:f>
      </x:c>
      <x:c r="AE31" s="58" t="str">
        <x:f>IF(OR($A31="",$A$28=""),"",IF(COUNT($D31,$D$28)&lt;&gt;2,"N/A:input",IF(EXACT($C31,$C$28),$D31-$D$28,"N/A:cohort")))</x:f>
      </x:c>
      <x:c r="AF31" s="58" t="str">
        <x:f>IF(OR($A31="",$A$29=""),"",IF(COUNT($D31,$D$29)&lt;&gt;2,"N/A:input",IF(EXACT($C31,$C$29),$D31-$D$29,"N/A:cohort")))</x:f>
      </x:c>
      <x:c r="AG31" s="58" t="str">
        <x:f>IF(OR($A31="",$A$30=""),"",IF(COUNT($D31,$D$30)&lt;&gt;2,"N/A:input",IF(EXACT($C31,$C$30),$D31-$D$30,"N/A:cohort")))</x:f>
      </x:c>
      <x:c r="AH31" s="58" t="str">
        <x:f>IF(OR($A31="",$A$31=""),"",IF(COUNT($D31,$D$31)&lt;&gt;2,"N/A:input",IF(EXACT($C31,$C$31),$D31-$D$31,"N/A:cohort")))</x:f>
      </x:c>
      <x:c r="AI31" s="58" t="str">
        <x:f>IF(OR($A31="",$A$32=""),"",IF(COUNT($D31,$D$32)&lt;&gt;2,"N/A:input",IF(EXACT($C31,$C$32),$D31-$D$32,"N/A:cohort")))</x:f>
      </x:c>
      <x:c r="AJ31" s="58" t="str">
        <x:f>IF(OR($A31="",$A$33=""),"",IF(COUNT($D31,$D$33)&lt;&gt;2,"N/A:input",IF(EXACT($C31,$C$33),$D31-$D$33,"N/A:cohort")))</x:f>
      </x:c>
      <x:c r="AK31" s="58" t="str">
        <x:f>IF(OR($A31="",$A$34=""),"",IF(COUNT($D31,$D$34)&lt;&gt;2,"N/A:input",IF(EXACT($C31,$C$34),$D31-$D$34,"N/A:cohort")))</x:f>
      </x:c>
      <x:c r="AL31" s="58" t="str">
        <x:f>IF(OR($A31="",$A$35=""),"",IF(COUNT($D31,$D$35)&lt;&gt;2,"N/A:input",IF(EXACT($C31,$C$35),$D31-$D$35,"N/A:cohort")))</x:f>
      </x:c>
      <x:c r="AM31" s="58" t="str">
        <x:f>IF(OR($A31="",$A$36=""),"",IF(COUNT($D31,$D$36)&lt;&gt;2,"N/A:input",IF(EXACT($C31,$C$36),$D31-$D$36,"N/A:cohort")))</x:f>
      </x:c>
      <x:c r="AN31" s="34" t="str">
        <x:f>IF(COUNT($D31)=0,"",SUM(IF(AND(EXACT($C$7,$C31),ISNUMBER($D$7)),($D$7&gt;$D31)+($D$7=$D31)/2,0),IF(AND(EXACT($C$8,$C31),ISNUMBER($D$8)),($D$8&gt;$D31)+($D$8=$D31)/2,0),IF(AND(EXACT($C$9,$C31),ISNUMBER($D$9)),($D$9&gt;$D31)+($D$9=$D31)/2,0),IF(AND(EXACT($C$10,$C31),ISNUMBER($D$10)),($D$10&gt;$D31)+($D$10=$D31)/2,0),IF(AND(EXACT($C$11,$C31),ISNUMBER($D$11)),($D$11&gt;$D31)+($D$11=$D31)/2,0),IF(AND(EXACT($C$12,$C31),ISNUMBER($D$12)),($D$12&gt;$D31)+($D$12=$D31)/2,0),IF(AND(EXACT($C$13,$C31),ISNUMBER($D$13)),($D$13&gt;$D31)+($D$13=$D31)/2,0),IF(AND(EXACT($C$14,$C31),ISNUMBER($D$14)),($D$14&gt;$D31)+($D$14=$D31)/2,0),IF(AND(EXACT($C$15,$C31),ISNUMBER($D$15)),($D$15&gt;$D31)+($D$15=$D31)/2,0),IF(AND(EXACT($C$16,$C31),ISNUMBER($D$16)),($D$16&gt;$D31)+($D$16=$D31)/2,0),IF(AND(EXACT($C$17,$C31),ISNUMBER($D$17)),($D$17&gt;$D31)+($D$17=$D31)/2,0),IF(AND(EXACT($C$18,$C31),ISNUMBER($D$18)),($D$18&gt;$D31)+($D$18=$D31)/2,0),IF(AND(EXACT($C$19,$C31),ISNUMBER($D$19)),($D$19&gt;$D31)+($D$19=$D31)/2,0),IF(AND(EXACT($C$20,$C31),ISNUMBER($D$20)),($D$20&gt;$D31)+($D$20=$D31)/2,0),IF(AND(EXACT($C$21,$C31),ISNUMBER($D$21)),($D$21&gt;$D31)+($D$21=$D31)/2,0),IF(AND(EXACT($C$22,$C31),ISNUMBER($D$22)),($D$22&gt;$D31)+($D$22=$D31)/2,0),IF(AND(EXACT($C$23,$C31),ISNUMBER($D$23)),($D$23&gt;$D31)+($D$23=$D31)/2,0),IF(AND(EXACT($C$24,$C31),ISNUMBER($D$24)),($D$24&gt;$D31)+($D$24=$D31)/2,0),IF(AND(EXACT($C$25,$C31),ISNUMBER($D$25)),($D$25&gt;$D31)+($D$25=$D31)/2,0),IF(AND(EXACT($C$26,$C31),ISNUMBER($D$26)),($D$26&gt;$D31)+($D$26=$D31)/2,0),IF(AND(EXACT($C$27,$C31),ISNUMBER($D$27)),($D$27&gt;$D31)+($D$27=$D31)/2,0),IF(AND(EXACT($C$28,$C31),ISNUMBER($D$28)),($D$28&gt;$D31)+($D$28=$D31)/2,0),IF(AND(EXACT($C$29,$C31),ISNUMBER($D$29)),($D$29&gt;$D31)+($D$29=$D31)/2,0),IF(AND(EXACT($C$30,$C31),ISNUMBER($D$30)),($D$30&gt;$D31)+($D$30=$D31)/2,0),IF(AND(EXACT($C$31,$C31),ISNUMBER($D$31)),($D$31&gt;$D31)+($D$31=$D31)/2,0),IF(AND(EXACT($C$32,$C31),ISNUMBER($D$32)),($D$32&gt;$D31)+($D$32=$D31)/2,0),IF(AND(EXACT($C$33,$C31),ISNUMBER($D$33)),($D$33&gt;$D31)+($D$33=$D31)/2,0),IF(AND(EXACT($C$34,$C31),ISNUMBER($D$34)),($D$34&gt;$D31)+($D$34=$D31)/2,0),IF(AND(EXACT($C$35,$C31),ISNUMBER($D$35)),($D$35&gt;$D31)+($D$35=$D31)/2,0),IF(AND(EXACT($C$36,$C31),ISNUMBER($D$36)),($D$36&gt;$D31)+($D$36=$D31)/2,0),IF(AND(EXACT($C$37,$C31),ISNUMBER($D$37)),($D$37&gt;$D31)+($D$37=$D31)/2,0),IF(AND(EXACT($C$38,$C31),ISNUMBER($D$38)),($D$38&gt;$D31)+($D$38=$D31)/2,0),IF(AND(EXACT($C$39,$C31),ISNUMBER($D$39)),($D$39&gt;$D31)+($D$39=$D31)/2,0),IF(AND(EXACT($C$40,$C31),ISNUMBER($D$40)),($D$40&gt;$D31)+($D$40=$D31)/2,0),IF(AND(EXACT($C$41,$C31),ISNUMBER($D$41)),($D$41&gt;$D31)+($D$41=$D31)/2,0),IF(AND(EXACT($C$42,$C31),ISNUMBER($D$42)),($D$42&gt;$D31)+($D$42=$D31)/2,0),IF(AND(EXACT($C$43,$C31),ISNUMBER($D$43)),($D$43&gt;$D31)+($D$43=$D31)/2,0),IF(AND(EXACT($C$44,$C31),ISNUMBER($D$44)),($D$44&gt;$D31)+($D$44=$D31)/2,0),IF(AND(EXACT($C$45,$C31),ISNUMBER($D$45)),($D$45&gt;$D31)+($D$45=$D31)/2,0),IF(AND(EXACT($C$46,$C31),ISNUMBER($D$46)),($D$46&gt;$D31)+($D$46=$D31)/2,0),IF(AND(EXACT($C$47,$C31),ISNUMBER($D$47)),($D$47&gt;$D31)+($D$47=$D31)/2,0),IF(AND(EXACT($C$48,$C31),ISNUMBER($D$48)),($D$48&gt;$D31)+($D$48=$D31)/2,0),IF(AND(EXACT($C$49,$C31),ISNUMBER($D$49)),($D$49&gt;$D31)+($D$49=$D31)/2,0),IF(AND(EXACT($C$50,$C31),ISNUMBER($D$50)),($D$50&gt;$D31)+($D$50=$D31)/2,0),IF(AND(EXACT($C$51,$C31),ISNUMBER($D$51)),($D$51&gt;$D31)+($D$51=$D31)/2,0),IF(AND(EXACT($C$52,$C31),ISNUMBER($D$52)),($D$52&gt;$D31)+($D$52=$D31)/2,0),IF(AND(EXACT($C$53,$C31),ISNUMBER($D$53)),($D$53&gt;$D31)+($D$53=$D31)/2,0),IF(AND(EXACT($C$54,$C31),ISNUMBER($D$54)),($D$54&gt;$D31)+($D$54=$D31)/2,0),IF(AND(EXACT($C$55,$C31),ISNUMBER($D$55)),($D$55&gt;$D31)+($D$55=$D31)/2,0),IF(AND(EXACT($C$56,$C31),ISNUMBER($D$56)),($D$56&gt;$D31)+($D$56=$D31)/2,0)))</x:f>
      </x:c>
      <x:c r="AO31" s="34" t="str">
        <x:f>IF(COUNT($D31)=0,"",SUM(IF(AND(EXACT($C$57,$C31),ISNUMBER($D$57)),($D$57&gt;$D31)+($D$57=$D31)/2,0),IF(AND(EXACT($C$58,$C31),ISNUMBER($D$58)),($D$58&gt;$D31)+($D$58=$D31)/2,0),IF(AND(EXACT($C$59,$C31),ISNUMBER($D$59)),($D$59&gt;$D31)+($D$59=$D31)/2,0),IF(AND(EXACT($C$60,$C31),ISNUMBER($D$60)),($D$60&gt;$D31)+($D$60=$D31)/2,0),IF(AND(EXACT($C$61,$C31),ISNUMBER($D$61)),($D$61&gt;$D31)+($D$61=$D31)/2,0),IF(AND(EXACT($C$62,$C31),ISNUMBER($D$62)),($D$62&gt;$D31)+($D$62=$D31)/2,0),IF(AND(EXACT($C$63,$C31),ISNUMBER($D$63)),($D$63&gt;$D31)+($D$63=$D31)/2,0),IF(AND(EXACT($C$64,$C31),ISNUMBER($D$64)),($D$64&gt;$D31)+($D$64=$D31)/2,0),IF(AND(EXACT($C$65,$C31),ISNUMBER($D$65)),($D$65&gt;$D31)+($D$65=$D31)/2,0),IF(AND(EXACT($C$66,$C31),ISNUMBER($D$66)),($D$66&gt;$D31)+($D$66=$D31)/2,0),IF(AND(EXACT($C$67,$C31),ISNUMBER($D$67)),($D$67&gt;$D31)+($D$67=$D31)/2,0),IF(AND(EXACT($C$68,$C31),ISNUMBER($D$68)),($D$68&gt;$D31)+($D$68=$D31)/2,0),IF(AND(EXACT($C$69,$C31),ISNUMBER($D$69)),($D$69&gt;$D31)+($D$69=$D31)/2,0),IF(AND(EXACT($C$70,$C31),ISNUMBER($D$70)),($D$70&gt;$D31)+($D$70=$D31)/2,0),IF(AND(EXACT($C$71,$C31),ISNUMBER($D$71)),($D$71&gt;$D31)+($D$71=$D31)/2,0),IF(AND(EXACT($C$72,$C31),ISNUMBER($D$72)),($D$72&gt;$D31)+($D$72=$D31)/2,0),IF(AND(EXACT($C$73,$C31),ISNUMBER($D$73)),($D$73&gt;$D31)+($D$73=$D31)/2,0),IF(AND(EXACT($C$74,$C31),ISNUMBER($D$74)),($D$74&gt;$D31)+($D$74=$D31)/2,0),IF(AND(EXACT($C$75,$C31),ISNUMBER($D$75)),($D$75&gt;$D31)+($D$75=$D31)/2,0),IF(AND(EXACT($C$76,$C31),ISNUMBER($D$76)),($D$76&gt;$D31)+($D$76=$D31)/2,0),IF(AND(EXACT($C$77,$C31),ISNUMBER($D$77)),($D$77&gt;$D31)+($D$77=$D31)/2,0),IF(AND(EXACT($C$78,$C31),ISNUMBER($D$78)),($D$78&gt;$D31)+($D$78=$D31)/2,0),IF(AND(EXACT($C$79,$C31),ISNUMBER($D$79)),($D$79&gt;$D31)+($D$79=$D31)/2,0),IF(AND(EXACT($C$80,$C31),ISNUMBER($D$80)),($D$80&gt;$D31)+($D$80=$D31)/2,0),IF(AND(EXACT($C$81,$C31),ISNUMBER($D$81)),($D$81&gt;$D31)+($D$81=$D31)/2,0),IF(AND(EXACT($C$82,$C31),ISNUMBER($D$82)),($D$82&gt;$D31)+($D$82=$D31)/2,0),IF(AND(EXACT($C$83,$C31),ISNUMBER($D$83)),($D$83&gt;$D31)+($D$83=$D31)/2,0),IF(AND(EXACT($C$84,$C31),ISNUMBER($D$84)),($D$84&gt;$D31)+($D$84=$D31)/2,0),IF(AND(EXACT($C$85,$C31),ISNUMBER($D$85)),($D$85&gt;$D31)+($D$85=$D31)/2,0),IF(AND(EXACT($C$86,$C31),ISNUMBER($D$86)),($D$86&gt;$D31)+($D$86=$D31)/2,0),IF(AND(EXACT($C$87,$C31),ISNUMBER($D$87)),($D$87&gt;$D31)+($D$87=$D31)/2,0),IF(AND(EXACT($C$88,$C31),ISNUMBER($D$88)),($D$88&gt;$D31)+($D$88=$D31)/2,0),IF(AND(EXACT($C$89,$C31),ISNUMBER($D$89)),($D$89&gt;$D31)+($D$89=$D31)/2,0),IF(AND(EXACT($C$90,$C31),ISNUMBER($D$90)),($D$90&gt;$D31)+($D$90=$D31)/2,0),IF(AND(EXACT($C$91,$C31),ISNUMBER($D$91)),($D$91&gt;$D31)+($D$91=$D31)/2,0),IF(AND(EXACT($C$92,$C31),ISNUMBER($D$92)),($D$92&gt;$D31)+($D$92=$D31)/2,0),IF(AND(EXACT($C$93,$C31),ISNUMBER($D$93)),($D$93&gt;$D31)+($D$93=$D31)/2,0),IF(AND(EXACT($C$94,$C31),ISNUMBER($D$94)),($D$94&gt;$D31)+($D$94=$D31)/2,0),IF(AND(EXACT($C$95,$C31),ISNUMBER($D$95)),($D$95&gt;$D31)+($D$95=$D31)/2,0),IF(AND(EXACT($C$96,$C31),ISNUMBER($D$96)),($D$96&gt;$D31)+($D$96=$D31)/2,0),IF(AND(EXACT($C$97,$C31),ISNUMBER($D$97)),($D$97&gt;$D31)+($D$97=$D31)/2,0),IF(AND(EXACT($C$98,$C31),ISNUMBER($D$98)),($D$98&gt;$D31)+($D$98=$D31)/2,0),IF(AND(EXACT($C$99,$C31),ISNUMBER($D$99)),($D$99&gt;$D31)+($D$99=$D31)/2,0),IF(AND(EXACT($C$100,$C31),ISNUMBER($D$100)),($D$100&gt;$D31)+($D$100=$D31)/2,0),IF(AND(EXACT($C$101,$C31),ISNUMBER($D$101)),($D$101&gt;$D31)+($D$101=$D31)/2,0),IF(AND(EXACT($C$102,$C31),ISNUMBER($D$102)),($D$102&gt;$D31)+($D$102=$D31)/2,0),IF(AND(EXACT($C$103,$C31),ISNUMBER($D$103)),($D$103&gt;$D31)+($D$103=$D31)/2,0),IF(AND(EXACT($C$104,$C31),ISNUMBER($D$104)),($D$104&gt;$D31)+($D$104=$D31)/2,0),IF(AND(EXACT($C$105,$C31),ISNUMBER($D$105)),($D$105&gt;$D31)+($D$105=$D31)/2,0),IF(AND(EXACT($C$106,$C31),ISNUMBER($D$106)),($D$106&gt;$D31)+($D$106=$D31)/2,0)))</x:f>
      </x:c>
    </x:row>
    <x:row r="32">
      <x:c r="A32" s="34" t="str">
        <x:f>IF('91_CALC_SCORES'!A32="","",'91_CALC_SCORES'!A32)</x:f>
      </x:c>
      <x:c r="B32" s="34" t="str">
        <x:f>IF($A32="","",'91_CALC_SCORES'!B32)</x:f>
      </x:c>
      <x:c r="C32" s="34" t="str">
        <x:f>IF($A32="","",'91_CALC_SCORES'!K32)</x:f>
      </x:c>
      <x:c r="D32" s="57" t="str">
        <x:f>IF(OR($A32="",NOT(OR(LEFT('91_CALC_SCORES'!AB32,4)="PASS",LEFT('91_CALC_SCORES'!AB32,5)="READY"))),"",'91_CALC_SCORES'!Y32)</x:f>
      </x:c>
      <x:c r="E32" s="34" t="str">
        <x:f>IF(COUNT(D32)=0,"",1+SUM(AN32:AO32)-1/2)</x:f>
      </x:c>
      <x:c r="F32" s="34" t="str">
        <x:f>IF($A32="","",'91_CALC_SCORES'!AB32)</x:f>
      </x:c>
      <x:c r="G32" s="34" t="str">
        <x:f>IF(A32="","","연구 베타 | 기업 백분위 아님")</x:f>
      </x:c>
      <x:c r="I32" s="13" t="str">
        <x:f>IF($A$32="","",$A$32)</x:f>
      </x:c>
      <x:c r="J32" s="58" t="str">
        <x:f>IF(OR($A32="",$A$7=""),"",IF(COUNT($D32,$D$7)&lt;&gt;2,"N/A:input",IF(EXACT($C32,$C$7),$D32-$D$7,"N/A:cohort")))</x:f>
      </x:c>
      <x:c r="K32" s="58" t="str">
        <x:f>IF(OR($A32="",$A$8=""),"",IF(COUNT($D32,$D$8)&lt;&gt;2,"N/A:input",IF(EXACT($C32,$C$8),$D32-$D$8,"N/A:cohort")))</x:f>
      </x:c>
      <x:c r="L32" s="58" t="str">
        <x:f>IF(OR($A32="",$A$9=""),"",IF(COUNT($D32,$D$9)&lt;&gt;2,"N/A:input",IF(EXACT($C32,$C$9),$D32-$D$9,"N/A:cohort")))</x:f>
      </x:c>
      <x:c r="M32" s="58" t="str">
        <x:f>IF(OR($A32="",$A$10=""),"",IF(COUNT($D32,$D$10)&lt;&gt;2,"N/A:input",IF(EXACT($C32,$C$10),$D32-$D$10,"N/A:cohort")))</x:f>
      </x:c>
      <x:c r="N32" s="58" t="str">
        <x:f>IF(OR($A32="",$A$11=""),"",IF(COUNT($D32,$D$11)&lt;&gt;2,"N/A:input",IF(EXACT($C32,$C$11),$D32-$D$11,"N/A:cohort")))</x:f>
      </x:c>
      <x:c r="O32" s="58" t="str">
        <x:f>IF(OR($A32="",$A$12=""),"",IF(COUNT($D32,$D$12)&lt;&gt;2,"N/A:input",IF(EXACT($C32,$C$12),$D32-$D$12,"N/A:cohort")))</x:f>
      </x:c>
      <x:c r="P32" s="58" t="str">
        <x:f>IF(OR($A32="",$A$13=""),"",IF(COUNT($D32,$D$13)&lt;&gt;2,"N/A:input",IF(EXACT($C32,$C$13),$D32-$D$13,"N/A:cohort")))</x:f>
      </x:c>
      <x:c r="Q32" s="58" t="str">
        <x:f>IF(OR($A32="",$A$14=""),"",IF(COUNT($D32,$D$14)&lt;&gt;2,"N/A:input",IF(EXACT($C32,$C$14),$D32-$D$14,"N/A:cohort")))</x:f>
      </x:c>
      <x:c r="R32" s="58" t="str">
        <x:f>IF(OR($A32="",$A$15=""),"",IF(COUNT($D32,$D$15)&lt;&gt;2,"N/A:input",IF(EXACT($C32,$C$15),$D32-$D$15,"N/A:cohort")))</x:f>
      </x:c>
      <x:c r="S32" s="58" t="str">
        <x:f>IF(OR($A32="",$A$16=""),"",IF(COUNT($D32,$D$16)&lt;&gt;2,"N/A:input",IF(EXACT($C32,$C$16),$D32-$D$16,"N/A:cohort")))</x:f>
      </x:c>
      <x:c r="T32" s="58" t="str">
        <x:f>IF(OR($A32="",$A$17=""),"",IF(COUNT($D32,$D$17)&lt;&gt;2,"N/A:input",IF(EXACT($C32,$C$17),$D32-$D$17,"N/A:cohort")))</x:f>
      </x:c>
      <x:c r="U32" s="58" t="str">
        <x:f>IF(OR($A32="",$A$18=""),"",IF(COUNT($D32,$D$18)&lt;&gt;2,"N/A:input",IF(EXACT($C32,$C$18),$D32-$D$18,"N/A:cohort")))</x:f>
      </x:c>
      <x:c r="V32" s="58" t="str">
        <x:f>IF(OR($A32="",$A$19=""),"",IF(COUNT($D32,$D$19)&lt;&gt;2,"N/A:input",IF(EXACT($C32,$C$19),$D32-$D$19,"N/A:cohort")))</x:f>
      </x:c>
      <x:c r="W32" s="58" t="str">
        <x:f>IF(OR($A32="",$A$20=""),"",IF(COUNT($D32,$D$20)&lt;&gt;2,"N/A:input",IF(EXACT($C32,$C$20),$D32-$D$20,"N/A:cohort")))</x:f>
      </x:c>
      <x:c r="X32" s="58" t="str">
        <x:f>IF(OR($A32="",$A$21=""),"",IF(COUNT($D32,$D$21)&lt;&gt;2,"N/A:input",IF(EXACT($C32,$C$21),$D32-$D$21,"N/A:cohort")))</x:f>
      </x:c>
      <x:c r="Y32" s="58" t="str">
        <x:f>IF(OR($A32="",$A$22=""),"",IF(COUNT($D32,$D$22)&lt;&gt;2,"N/A:input",IF(EXACT($C32,$C$22),$D32-$D$22,"N/A:cohort")))</x:f>
      </x:c>
      <x:c r="Z32" s="58" t="str">
        <x:f>IF(OR($A32="",$A$23=""),"",IF(COUNT($D32,$D$23)&lt;&gt;2,"N/A:input",IF(EXACT($C32,$C$23),$D32-$D$23,"N/A:cohort")))</x:f>
      </x:c>
      <x:c r="AA32" s="58" t="str">
        <x:f>IF(OR($A32="",$A$24=""),"",IF(COUNT($D32,$D$24)&lt;&gt;2,"N/A:input",IF(EXACT($C32,$C$24),$D32-$D$24,"N/A:cohort")))</x:f>
      </x:c>
      <x:c r="AB32" s="58" t="str">
        <x:f>IF(OR($A32="",$A$25=""),"",IF(COUNT($D32,$D$25)&lt;&gt;2,"N/A:input",IF(EXACT($C32,$C$25),$D32-$D$25,"N/A:cohort")))</x:f>
      </x:c>
      <x:c r="AC32" s="58" t="str">
        <x:f>IF(OR($A32="",$A$26=""),"",IF(COUNT($D32,$D$26)&lt;&gt;2,"N/A:input",IF(EXACT($C32,$C$26),$D32-$D$26,"N/A:cohort")))</x:f>
      </x:c>
      <x:c r="AD32" s="58" t="str">
        <x:f>IF(OR($A32="",$A$27=""),"",IF(COUNT($D32,$D$27)&lt;&gt;2,"N/A:input",IF(EXACT($C32,$C$27),$D32-$D$27,"N/A:cohort")))</x:f>
      </x:c>
      <x:c r="AE32" s="58" t="str">
        <x:f>IF(OR($A32="",$A$28=""),"",IF(COUNT($D32,$D$28)&lt;&gt;2,"N/A:input",IF(EXACT($C32,$C$28),$D32-$D$28,"N/A:cohort")))</x:f>
      </x:c>
      <x:c r="AF32" s="58" t="str">
        <x:f>IF(OR($A32="",$A$29=""),"",IF(COUNT($D32,$D$29)&lt;&gt;2,"N/A:input",IF(EXACT($C32,$C$29),$D32-$D$29,"N/A:cohort")))</x:f>
      </x:c>
      <x:c r="AG32" s="58" t="str">
        <x:f>IF(OR($A32="",$A$30=""),"",IF(COUNT($D32,$D$30)&lt;&gt;2,"N/A:input",IF(EXACT($C32,$C$30),$D32-$D$30,"N/A:cohort")))</x:f>
      </x:c>
      <x:c r="AH32" s="58" t="str">
        <x:f>IF(OR($A32="",$A$31=""),"",IF(COUNT($D32,$D$31)&lt;&gt;2,"N/A:input",IF(EXACT($C32,$C$31),$D32-$D$31,"N/A:cohort")))</x:f>
      </x:c>
      <x:c r="AI32" s="58" t="str">
        <x:f>IF(OR($A32="",$A$32=""),"",IF(COUNT($D32,$D$32)&lt;&gt;2,"N/A:input",IF(EXACT($C32,$C$32),$D32-$D$32,"N/A:cohort")))</x:f>
      </x:c>
      <x:c r="AJ32" s="58" t="str">
        <x:f>IF(OR($A32="",$A$33=""),"",IF(COUNT($D32,$D$33)&lt;&gt;2,"N/A:input",IF(EXACT($C32,$C$33),$D32-$D$33,"N/A:cohort")))</x:f>
      </x:c>
      <x:c r="AK32" s="58" t="str">
        <x:f>IF(OR($A32="",$A$34=""),"",IF(COUNT($D32,$D$34)&lt;&gt;2,"N/A:input",IF(EXACT($C32,$C$34),$D32-$D$34,"N/A:cohort")))</x:f>
      </x:c>
      <x:c r="AL32" s="58" t="str">
        <x:f>IF(OR($A32="",$A$35=""),"",IF(COUNT($D32,$D$35)&lt;&gt;2,"N/A:input",IF(EXACT($C32,$C$35),$D32-$D$35,"N/A:cohort")))</x:f>
      </x:c>
      <x:c r="AM32" s="58" t="str">
        <x:f>IF(OR($A32="",$A$36=""),"",IF(COUNT($D32,$D$36)&lt;&gt;2,"N/A:input",IF(EXACT($C32,$C$36),$D32-$D$36,"N/A:cohort")))</x:f>
      </x:c>
      <x:c r="AN32" s="34" t="str">
        <x:f>IF(COUNT($D32)=0,"",SUM(IF(AND(EXACT($C$7,$C32),ISNUMBER($D$7)),($D$7&gt;$D32)+($D$7=$D32)/2,0),IF(AND(EXACT($C$8,$C32),ISNUMBER($D$8)),($D$8&gt;$D32)+($D$8=$D32)/2,0),IF(AND(EXACT($C$9,$C32),ISNUMBER($D$9)),($D$9&gt;$D32)+($D$9=$D32)/2,0),IF(AND(EXACT($C$10,$C32),ISNUMBER($D$10)),($D$10&gt;$D32)+($D$10=$D32)/2,0),IF(AND(EXACT($C$11,$C32),ISNUMBER($D$11)),($D$11&gt;$D32)+($D$11=$D32)/2,0),IF(AND(EXACT($C$12,$C32),ISNUMBER($D$12)),($D$12&gt;$D32)+($D$12=$D32)/2,0),IF(AND(EXACT($C$13,$C32),ISNUMBER($D$13)),($D$13&gt;$D32)+($D$13=$D32)/2,0),IF(AND(EXACT($C$14,$C32),ISNUMBER($D$14)),($D$14&gt;$D32)+($D$14=$D32)/2,0),IF(AND(EXACT($C$15,$C32),ISNUMBER($D$15)),($D$15&gt;$D32)+($D$15=$D32)/2,0),IF(AND(EXACT($C$16,$C32),ISNUMBER($D$16)),($D$16&gt;$D32)+($D$16=$D32)/2,0),IF(AND(EXACT($C$17,$C32),ISNUMBER($D$17)),($D$17&gt;$D32)+($D$17=$D32)/2,0),IF(AND(EXACT($C$18,$C32),ISNUMBER($D$18)),($D$18&gt;$D32)+($D$18=$D32)/2,0),IF(AND(EXACT($C$19,$C32),ISNUMBER($D$19)),($D$19&gt;$D32)+($D$19=$D32)/2,0),IF(AND(EXACT($C$20,$C32),ISNUMBER($D$20)),($D$20&gt;$D32)+($D$20=$D32)/2,0),IF(AND(EXACT($C$21,$C32),ISNUMBER($D$21)),($D$21&gt;$D32)+($D$21=$D32)/2,0),IF(AND(EXACT($C$22,$C32),ISNUMBER($D$22)),($D$22&gt;$D32)+($D$22=$D32)/2,0),IF(AND(EXACT($C$23,$C32),ISNUMBER($D$23)),($D$23&gt;$D32)+($D$23=$D32)/2,0),IF(AND(EXACT($C$24,$C32),ISNUMBER($D$24)),($D$24&gt;$D32)+($D$24=$D32)/2,0),IF(AND(EXACT($C$25,$C32),ISNUMBER($D$25)),($D$25&gt;$D32)+($D$25=$D32)/2,0),IF(AND(EXACT($C$26,$C32),ISNUMBER($D$26)),($D$26&gt;$D32)+($D$26=$D32)/2,0),IF(AND(EXACT($C$27,$C32),ISNUMBER($D$27)),($D$27&gt;$D32)+($D$27=$D32)/2,0),IF(AND(EXACT($C$28,$C32),ISNUMBER($D$28)),($D$28&gt;$D32)+($D$28=$D32)/2,0),IF(AND(EXACT($C$29,$C32),ISNUMBER($D$29)),($D$29&gt;$D32)+($D$29=$D32)/2,0),IF(AND(EXACT($C$30,$C32),ISNUMBER($D$30)),($D$30&gt;$D32)+($D$30=$D32)/2,0),IF(AND(EXACT($C$31,$C32),ISNUMBER($D$31)),($D$31&gt;$D32)+($D$31=$D32)/2,0),IF(AND(EXACT($C$32,$C32),ISNUMBER($D$32)),($D$32&gt;$D32)+($D$32=$D32)/2,0),IF(AND(EXACT($C$33,$C32),ISNUMBER($D$33)),($D$33&gt;$D32)+($D$33=$D32)/2,0),IF(AND(EXACT($C$34,$C32),ISNUMBER($D$34)),($D$34&gt;$D32)+($D$34=$D32)/2,0),IF(AND(EXACT($C$35,$C32),ISNUMBER($D$35)),($D$35&gt;$D32)+($D$35=$D32)/2,0),IF(AND(EXACT($C$36,$C32),ISNUMBER($D$36)),($D$36&gt;$D32)+($D$36=$D32)/2,0),IF(AND(EXACT($C$37,$C32),ISNUMBER($D$37)),($D$37&gt;$D32)+($D$37=$D32)/2,0),IF(AND(EXACT($C$38,$C32),ISNUMBER($D$38)),($D$38&gt;$D32)+($D$38=$D32)/2,0),IF(AND(EXACT($C$39,$C32),ISNUMBER($D$39)),($D$39&gt;$D32)+($D$39=$D32)/2,0),IF(AND(EXACT($C$40,$C32),ISNUMBER($D$40)),($D$40&gt;$D32)+($D$40=$D32)/2,0),IF(AND(EXACT($C$41,$C32),ISNUMBER($D$41)),($D$41&gt;$D32)+($D$41=$D32)/2,0),IF(AND(EXACT($C$42,$C32),ISNUMBER($D$42)),($D$42&gt;$D32)+($D$42=$D32)/2,0),IF(AND(EXACT($C$43,$C32),ISNUMBER($D$43)),($D$43&gt;$D32)+($D$43=$D32)/2,0),IF(AND(EXACT($C$44,$C32),ISNUMBER($D$44)),($D$44&gt;$D32)+($D$44=$D32)/2,0),IF(AND(EXACT($C$45,$C32),ISNUMBER($D$45)),($D$45&gt;$D32)+($D$45=$D32)/2,0),IF(AND(EXACT($C$46,$C32),ISNUMBER($D$46)),($D$46&gt;$D32)+($D$46=$D32)/2,0),IF(AND(EXACT($C$47,$C32),ISNUMBER($D$47)),($D$47&gt;$D32)+($D$47=$D32)/2,0),IF(AND(EXACT($C$48,$C32),ISNUMBER($D$48)),($D$48&gt;$D32)+($D$48=$D32)/2,0),IF(AND(EXACT($C$49,$C32),ISNUMBER($D$49)),($D$49&gt;$D32)+($D$49=$D32)/2,0),IF(AND(EXACT($C$50,$C32),ISNUMBER($D$50)),($D$50&gt;$D32)+($D$50=$D32)/2,0),IF(AND(EXACT($C$51,$C32),ISNUMBER($D$51)),($D$51&gt;$D32)+($D$51=$D32)/2,0),IF(AND(EXACT($C$52,$C32),ISNUMBER($D$52)),($D$52&gt;$D32)+($D$52=$D32)/2,0),IF(AND(EXACT($C$53,$C32),ISNUMBER($D$53)),($D$53&gt;$D32)+($D$53=$D32)/2,0),IF(AND(EXACT($C$54,$C32),ISNUMBER($D$54)),($D$54&gt;$D32)+($D$54=$D32)/2,0),IF(AND(EXACT($C$55,$C32),ISNUMBER($D$55)),($D$55&gt;$D32)+($D$55=$D32)/2,0),IF(AND(EXACT($C$56,$C32),ISNUMBER($D$56)),($D$56&gt;$D32)+($D$56=$D32)/2,0)))</x:f>
      </x:c>
      <x:c r="AO32" s="34" t="str">
        <x:f>IF(COUNT($D32)=0,"",SUM(IF(AND(EXACT($C$57,$C32),ISNUMBER($D$57)),($D$57&gt;$D32)+($D$57=$D32)/2,0),IF(AND(EXACT($C$58,$C32),ISNUMBER($D$58)),($D$58&gt;$D32)+($D$58=$D32)/2,0),IF(AND(EXACT($C$59,$C32),ISNUMBER($D$59)),($D$59&gt;$D32)+($D$59=$D32)/2,0),IF(AND(EXACT($C$60,$C32),ISNUMBER($D$60)),($D$60&gt;$D32)+($D$60=$D32)/2,0),IF(AND(EXACT($C$61,$C32),ISNUMBER($D$61)),($D$61&gt;$D32)+($D$61=$D32)/2,0),IF(AND(EXACT($C$62,$C32),ISNUMBER($D$62)),($D$62&gt;$D32)+($D$62=$D32)/2,0),IF(AND(EXACT($C$63,$C32),ISNUMBER($D$63)),($D$63&gt;$D32)+($D$63=$D32)/2,0),IF(AND(EXACT($C$64,$C32),ISNUMBER($D$64)),($D$64&gt;$D32)+($D$64=$D32)/2,0),IF(AND(EXACT($C$65,$C32),ISNUMBER($D$65)),($D$65&gt;$D32)+($D$65=$D32)/2,0),IF(AND(EXACT($C$66,$C32),ISNUMBER($D$66)),($D$66&gt;$D32)+($D$66=$D32)/2,0),IF(AND(EXACT($C$67,$C32),ISNUMBER($D$67)),($D$67&gt;$D32)+($D$67=$D32)/2,0),IF(AND(EXACT($C$68,$C32),ISNUMBER($D$68)),($D$68&gt;$D32)+($D$68=$D32)/2,0),IF(AND(EXACT($C$69,$C32),ISNUMBER($D$69)),($D$69&gt;$D32)+($D$69=$D32)/2,0),IF(AND(EXACT($C$70,$C32),ISNUMBER($D$70)),($D$70&gt;$D32)+($D$70=$D32)/2,0),IF(AND(EXACT($C$71,$C32),ISNUMBER($D$71)),($D$71&gt;$D32)+($D$71=$D32)/2,0),IF(AND(EXACT($C$72,$C32),ISNUMBER($D$72)),($D$72&gt;$D32)+($D$72=$D32)/2,0),IF(AND(EXACT($C$73,$C32),ISNUMBER($D$73)),($D$73&gt;$D32)+($D$73=$D32)/2,0),IF(AND(EXACT($C$74,$C32),ISNUMBER($D$74)),($D$74&gt;$D32)+($D$74=$D32)/2,0),IF(AND(EXACT($C$75,$C32),ISNUMBER($D$75)),($D$75&gt;$D32)+($D$75=$D32)/2,0),IF(AND(EXACT($C$76,$C32),ISNUMBER($D$76)),($D$76&gt;$D32)+($D$76=$D32)/2,0),IF(AND(EXACT($C$77,$C32),ISNUMBER($D$77)),($D$77&gt;$D32)+($D$77=$D32)/2,0),IF(AND(EXACT($C$78,$C32),ISNUMBER($D$78)),($D$78&gt;$D32)+($D$78=$D32)/2,0),IF(AND(EXACT($C$79,$C32),ISNUMBER($D$79)),($D$79&gt;$D32)+($D$79=$D32)/2,0),IF(AND(EXACT($C$80,$C32),ISNUMBER($D$80)),($D$80&gt;$D32)+($D$80=$D32)/2,0),IF(AND(EXACT($C$81,$C32),ISNUMBER($D$81)),($D$81&gt;$D32)+($D$81=$D32)/2,0),IF(AND(EXACT($C$82,$C32),ISNUMBER($D$82)),($D$82&gt;$D32)+($D$82=$D32)/2,0),IF(AND(EXACT($C$83,$C32),ISNUMBER($D$83)),($D$83&gt;$D32)+($D$83=$D32)/2,0),IF(AND(EXACT($C$84,$C32),ISNUMBER($D$84)),($D$84&gt;$D32)+($D$84=$D32)/2,0),IF(AND(EXACT($C$85,$C32),ISNUMBER($D$85)),($D$85&gt;$D32)+($D$85=$D32)/2,0),IF(AND(EXACT($C$86,$C32),ISNUMBER($D$86)),($D$86&gt;$D32)+($D$86=$D32)/2,0),IF(AND(EXACT($C$87,$C32),ISNUMBER($D$87)),($D$87&gt;$D32)+($D$87=$D32)/2,0),IF(AND(EXACT($C$88,$C32),ISNUMBER($D$88)),($D$88&gt;$D32)+($D$88=$D32)/2,0),IF(AND(EXACT($C$89,$C32),ISNUMBER($D$89)),($D$89&gt;$D32)+($D$89=$D32)/2,0),IF(AND(EXACT($C$90,$C32),ISNUMBER($D$90)),($D$90&gt;$D32)+($D$90=$D32)/2,0),IF(AND(EXACT($C$91,$C32),ISNUMBER($D$91)),($D$91&gt;$D32)+($D$91=$D32)/2,0),IF(AND(EXACT($C$92,$C32),ISNUMBER($D$92)),($D$92&gt;$D32)+($D$92=$D32)/2,0),IF(AND(EXACT($C$93,$C32),ISNUMBER($D$93)),($D$93&gt;$D32)+($D$93=$D32)/2,0),IF(AND(EXACT($C$94,$C32),ISNUMBER($D$94)),($D$94&gt;$D32)+($D$94=$D32)/2,0),IF(AND(EXACT($C$95,$C32),ISNUMBER($D$95)),($D$95&gt;$D32)+($D$95=$D32)/2,0),IF(AND(EXACT($C$96,$C32),ISNUMBER($D$96)),($D$96&gt;$D32)+($D$96=$D32)/2,0),IF(AND(EXACT($C$97,$C32),ISNUMBER($D$97)),($D$97&gt;$D32)+($D$97=$D32)/2,0),IF(AND(EXACT($C$98,$C32),ISNUMBER($D$98)),($D$98&gt;$D32)+($D$98=$D32)/2,0),IF(AND(EXACT($C$99,$C32),ISNUMBER($D$99)),($D$99&gt;$D32)+($D$99=$D32)/2,0),IF(AND(EXACT($C$100,$C32),ISNUMBER($D$100)),($D$100&gt;$D32)+($D$100=$D32)/2,0),IF(AND(EXACT($C$101,$C32),ISNUMBER($D$101)),($D$101&gt;$D32)+($D$101=$D32)/2,0),IF(AND(EXACT($C$102,$C32),ISNUMBER($D$102)),($D$102&gt;$D32)+($D$102=$D32)/2,0),IF(AND(EXACT($C$103,$C32),ISNUMBER($D$103)),($D$103&gt;$D32)+($D$103=$D32)/2,0),IF(AND(EXACT($C$104,$C32),ISNUMBER($D$104)),($D$104&gt;$D32)+($D$104=$D32)/2,0),IF(AND(EXACT($C$105,$C32),ISNUMBER($D$105)),($D$105&gt;$D32)+($D$105=$D32)/2,0),IF(AND(EXACT($C$106,$C32),ISNUMBER($D$106)),($D$106&gt;$D32)+($D$106=$D32)/2,0)))</x:f>
      </x:c>
    </x:row>
    <x:row r="33">
      <x:c r="A33" s="34" t="str">
        <x:f>IF('91_CALC_SCORES'!A33="","",'91_CALC_SCORES'!A33)</x:f>
      </x:c>
      <x:c r="B33" s="34" t="str">
        <x:f>IF($A33="","",'91_CALC_SCORES'!B33)</x:f>
      </x:c>
      <x:c r="C33" s="34" t="str">
        <x:f>IF($A33="","",'91_CALC_SCORES'!K33)</x:f>
      </x:c>
      <x:c r="D33" s="57" t="str">
        <x:f>IF(OR($A33="",NOT(OR(LEFT('91_CALC_SCORES'!AB33,4)="PASS",LEFT('91_CALC_SCORES'!AB33,5)="READY"))),"",'91_CALC_SCORES'!Y33)</x:f>
      </x:c>
      <x:c r="E33" s="34" t="str">
        <x:f>IF(COUNT(D33)=0,"",1+SUM(AN33:AO33)-1/2)</x:f>
      </x:c>
      <x:c r="F33" s="34" t="str">
        <x:f>IF($A33="","",'91_CALC_SCORES'!AB33)</x:f>
      </x:c>
      <x:c r="G33" s="34" t="str">
        <x:f>IF(A33="","","연구 베타 | 기업 백분위 아님")</x:f>
      </x:c>
      <x:c r="I33" s="13" t="str">
        <x:f>IF($A$33="","",$A$33)</x:f>
      </x:c>
      <x:c r="J33" s="58" t="str">
        <x:f>IF(OR($A33="",$A$7=""),"",IF(COUNT($D33,$D$7)&lt;&gt;2,"N/A:input",IF(EXACT($C33,$C$7),$D33-$D$7,"N/A:cohort")))</x:f>
      </x:c>
      <x:c r="K33" s="58" t="str">
        <x:f>IF(OR($A33="",$A$8=""),"",IF(COUNT($D33,$D$8)&lt;&gt;2,"N/A:input",IF(EXACT($C33,$C$8),$D33-$D$8,"N/A:cohort")))</x:f>
      </x:c>
      <x:c r="L33" s="58" t="str">
        <x:f>IF(OR($A33="",$A$9=""),"",IF(COUNT($D33,$D$9)&lt;&gt;2,"N/A:input",IF(EXACT($C33,$C$9),$D33-$D$9,"N/A:cohort")))</x:f>
      </x:c>
      <x:c r="M33" s="58" t="str">
        <x:f>IF(OR($A33="",$A$10=""),"",IF(COUNT($D33,$D$10)&lt;&gt;2,"N/A:input",IF(EXACT($C33,$C$10),$D33-$D$10,"N/A:cohort")))</x:f>
      </x:c>
      <x:c r="N33" s="58" t="str">
        <x:f>IF(OR($A33="",$A$11=""),"",IF(COUNT($D33,$D$11)&lt;&gt;2,"N/A:input",IF(EXACT($C33,$C$11),$D33-$D$11,"N/A:cohort")))</x:f>
      </x:c>
      <x:c r="O33" s="58" t="str">
        <x:f>IF(OR($A33="",$A$12=""),"",IF(COUNT($D33,$D$12)&lt;&gt;2,"N/A:input",IF(EXACT($C33,$C$12),$D33-$D$12,"N/A:cohort")))</x:f>
      </x:c>
      <x:c r="P33" s="58" t="str">
        <x:f>IF(OR($A33="",$A$13=""),"",IF(COUNT($D33,$D$13)&lt;&gt;2,"N/A:input",IF(EXACT($C33,$C$13),$D33-$D$13,"N/A:cohort")))</x:f>
      </x:c>
      <x:c r="Q33" s="58" t="str">
        <x:f>IF(OR($A33="",$A$14=""),"",IF(COUNT($D33,$D$14)&lt;&gt;2,"N/A:input",IF(EXACT($C33,$C$14),$D33-$D$14,"N/A:cohort")))</x:f>
      </x:c>
      <x:c r="R33" s="58" t="str">
        <x:f>IF(OR($A33="",$A$15=""),"",IF(COUNT($D33,$D$15)&lt;&gt;2,"N/A:input",IF(EXACT($C33,$C$15),$D33-$D$15,"N/A:cohort")))</x:f>
      </x:c>
      <x:c r="S33" s="58" t="str">
        <x:f>IF(OR($A33="",$A$16=""),"",IF(COUNT($D33,$D$16)&lt;&gt;2,"N/A:input",IF(EXACT($C33,$C$16),$D33-$D$16,"N/A:cohort")))</x:f>
      </x:c>
      <x:c r="T33" s="58" t="str">
        <x:f>IF(OR($A33="",$A$17=""),"",IF(COUNT($D33,$D$17)&lt;&gt;2,"N/A:input",IF(EXACT($C33,$C$17),$D33-$D$17,"N/A:cohort")))</x:f>
      </x:c>
      <x:c r="U33" s="58" t="str">
        <x:f>IF(OR($A33="",$A$18=""),"",IF(COUNT($D33,$D$18)&lt;&gt;2,"N/A:input",IF(EXACT($C33,$C$18),$D33-$D$18,"N/A:cohort")))</x:f>
      </x:c>
      <x:c r="V33" s="58" t="str">
        <x:f>IF(OR($A33="",$A$19=""),"",IF(COUNT($D33,$D$19)&lt;&gt;2,"N/A:input",IF(EXACT($C33,$C$19),$D33-$D$19,"N/A:cohort")))</x:f>
      </x:c>
      <x:c r="W33" s="58" t="str">
        <x:f>IF(OR($A33="",$A$20=""),"",IF(COUNT($D33,$D$20)&lt;&gt;2,"N/A:input",IF(EXACT($C33,$C$20),$D33-$D$20,"N/A:cohort")))</x:f>
      </x:c>
      <x:c r="X33" s="58" t="str">
        <x:f>IF(OR($A33="",$A$21=""),"",IF(COUNT($D33,$D$21)&lt;&gt;2,"N/A:input",IF(EXACT($C33,$C$21),$D33-$D$21,"N/A:cohort")))</x:f>
      </x:c>
      <x:c r="Y33" s="58" t="str">
        <x:f>IF(OR($A33="",$A$22=""),"",IF(COUNT($D33,$D$22)&lt;&gt;2,"N/A:input",IF(EXACT($C33,$C$22),$D33-$D$22,"N/A:cohort")))</x:f>
      </x:c>
      <x:c r="Z33" s="58" t="str">
        <x:f>IF(OR($A33="",$A$23=""),"",IF(COUNT($D33,$D$23)&lt;&gt;2,"N/A:input",IF(EXACT($C33,$C$23),$D33-$D$23,"N/A:cohort")))</x:f>
      </x:c>
      <x:c r="AA33" s="58" t="str">
        <x:f>IF(OR($A33="",$A$24=""),"",IF(COUNT($D33,$D$24)&lt;&gt;2,"N/A:input",IF(EXACT($C33,$C$24),$D33-$D$24,"N/A:cohort")))</x:f>
      </x:c>
      <x:c r="AB33" s="58" t="str">
        <x:f>IF(OR($A33="",$A$25=""),"",IF(COUNT($D33,$D$25)&lt;&gt;2,"N/A:input",IF(EXACT($C33,$C$25),$D33-$D$25,"N/A:cohort")))</x:f>
      </x:c>
      <x:c r="AC33" s="58" t="str">
        <x:f>IF(OR($A33="",$A$26=""),"",IF(COUNT($D33,$D$26)&lt;&gt;2,"N/A:input",IF(EXACT($C33,$C$26),$D33-$D$26,"N/A:cohort")))</x:f>
      </x:c>
      <x:c r="AD33" s="58" t="str">
        <x:f>IF(OR($A33="",$A$27=""),"",IF(COUNT($D33,$D$27)&lt;&gt;2,"N/A:input",IF(EXACT($C33,$C$27),$D33-$D$27,"N/A:cohort")))</x:f>
      </x:c>
      <x:c r="AE33" s="58" t="str">
        <x:f>IF(OR($A33="",$A$28=""),"",IF(COUNT($D33,$D$28)&lt;&gt;2,"N/A:input",IF(EXACT($C33,$C$28),$D33-$D$28,"N/A:cohort")))</x:f>
      </x:c>
      <x:c r="AF33" s="58" t="str">
        <x:f>IF(OR($A33="",$A$29=""),"",IF(COUNT($D33,$D$29)&lt;&gt;2,"N/A:input",IF(EXACT($C33,$C$29),$D33-$D$29,"N/A:cohort")))</x:f>
      </x:c>
      <x:c r="AG33" s="58" t="str">
        <x:f>IF(OR($A33="",$A$30=""),"",IF(COUNT($D33,$D$30)&lt;&gt;2,"N/A:input",IF(EXACT($C33,$C$30),$D33-$D$30,"N/A:cohort")))</x:f>
      </x:c>
      <x:c r="AH33" s="58" t="str">
        <x:f>IF(OR($A33="",$A$31=""),"",IF(COUNT($D33,$D$31)&lt;&gt;2,"N/A:input",IF(EXACT($C33,$C$31),$D33-$D$31,"N/A:cohort")))</x:f>
      </x:c>
      <x:c r="AI33" s="58" t="str">
        <x:f>IF(OR($A33="",$A$32=""),"",IF(COUNT($D33,$D$32)&lt;&gt;2,"N/A:input",IF(EXACT($C33,$C$32),$D33-$D$32,"N/A:cohort")))</x:f>
      </x:c>
      <x:c r="AJ33" s="58" t="str">
        <x:f>IF(OR($A33="",$A$33=""),"",IF(COUNT($D33,$D$33)&lt;&gt;2,"N/A:input",IF(EXACT($C33,$C$33),$D33-$D$33,"N/A:cohort")))</x:f>
      </x:c>
      <x:c r="AK33" s="58" t="str">
        <x:f>IF(OR($A33="",$A$34=""),"",IF(COUNT($D33,$D$34)&lt;&gt;2,"N/A:input",IF(EXACT($C33,$C$34),$D33-$D$34,"N/A:cohort")))</x:f>
      </x:c>
      <x:c r="AL33" s="58" t="str">
        <x:f>IF(OR($A33="",$A$35=""),"",IF(COUNT($D33,$D$35)&lt;&gt;2,"N/A:input",IF(EXACT($C33,$C$35),$D33-$D$35,"N/A:cohort")))</x:f>
      </x:c>
      <x:c r="AM33" s="58" t="str">
        <x:f>IF(OR($A33="",$A$36=""),"",IF(COUNT($D33,$D$36)&lt;&gt;2,"N/A:input",IF(EXACT($C33,$C$36),$D33-$D$36,"N/A:cohort")))</x:f>
      </x:c>
      <x:c r="AN33" s="34" t="str">
        <x:f>IF(COUNT($D33)=0,"",SUM(IF(AND(EXACT($C$7,$C33),ISNUMBER($D$7)),($D$7&gt;$D33)+($D$7=$D33)/2,0),IF(AND(EXACT($C$8,$C33),ISNUMBER($D$8)),($D$8&gt;$D33)+($D$8=$D33)/2,0),IF(AND(EXACT($C$9,$C33),ISNUMBER($D$9)),($D$9&gt;$D33)+($D$9=$D33)/2,0),IF(AND(EXACT($C$10,$C33),ISNUMBER($D$10)),($D$10&gt;$D33)+($D$10=$D33)/2,0),IF(AND(EXACT($C$11,$C33),ISNUMBER($D$11)),($D$11&gt;$D33)+($D$11=$D33)/2,0),IF(AND(EXACT($C$12,$C33),ISNUMBER($D$12)),($D$12&gt;$D33)+($D$12=$D33)/2,0),IF(AND(EXACT($C$13,$C33),ISNUMBER($D$13)),($D$13&gt;$D33)+($D$13=$D33)/2,0),IF(AND(EXACT($C$14,$C33),ISNUMBER($D$14)),($D$14&gt;$D33)+($D$14=$D33)/2,0),IF(AND(EXACT($C$15,$C33),ISNUMBER($D$15)),($D$15&gt;$D33)+($D$15=$D33)/2,0),IF(AND(EXACT($C$16,$C33),ISNUMBER($D$16)),($D$16&gt;$D33)+($D$16=$D33)/2,0),IF(AND(EXACT($C$17,$C33),ISNUMBER($D$17)),($D$17&gt;$D33)+($D$17=$D33)/2,0),IF(AND(EXACT($C$18,$C33),ISNUMBER($D$18)),($D$18&gt;$D33)+($D$18=$D33)/2,0),IF(AND(EXACT($C$19,$C33),ISNUMBER($D$19)),($D$19&gt;$D33)+($D$19=$D33)/2,0),IF(AND(EXACT($C$20,$C33),ISNUMBER($D$20)),($D$20&gt;$D33)+($D$20=$D33)/2,0),IF(AND(EXACT($C$21,$C33),ISNUMBER($D$21)),($D$21&gt;$D33)+($D$21=$D33)/2,0),IF(AND(EXACT($C$22,$C33),ISNUMBER($D$22)),($D$22&gt;$D33)+($D$22=$D33)/2,0),IF(AND(EXACT($C$23,$C33),ISNUMBER($D$23)),($D$23&gt;$D33)+($D$23=$D33)/2,0),IF(AND(EXACT($C$24,$C33),ISNUMBER($D$24)),($D$24&gt;$D33)+($D$24=$D33)/2,0),IF(AND(EXACT($C$25,$C33),ISNUMBER($D$25)),($D$25&gt;$D33)+($D$25=$D33)/2,0),IF(AND(EXACT($C$26,$C33),ISNUMBER($D$26)),($D$26&gt;$D33)+($D$26=$D33)/2,0),IF(AND(EXACT($C$27,$C33),ISNUMBER($D$27)),($D$27&gt;$D33)+($D$27=$D33)/2,0),IF(AND(EXACT($C$28,$C33),ISNUMBER($D$28)),($D$28&gt;$D33)+($D$28=$D33)/2,0),IF(AND(EXACT($C$29,$C33),ISNUMBER($D$29)),($D$29&gt;$D33)+($D$29=$D33)/2,0),IF(AND(EXACT($C$30,$C33),ISNUMBER($D$30)),($D$30&gt;$D33)+($D$30=$D33)/2,0),IF(AND(EXACT($C$31,$C33),ISNUMBER($D$31)),($D$31&gt;$D33)+($D$31=$D33)/2,0),IF(AND(EXACT($C$32,$C33),ISNUMBER($D$32)),($D$32&gt;$D33)+($D$32=$D33)/2,0),IF(AND(EXACT($C$33,$C33),ISNUMBER($D$33)),($D$33&gt;$D33)+($D$33=$D33)/2,0),IF(AND(EXACT($C$34,$C33),ISNUMBER($D$34)),($D$34&gt;$D33)+($D$34=$D33)/2,0),IF(AND(EXACT($C$35,$C33),ISNUMBER($D$35)),($D$35&gt;$D33)+($D$35=$D33)/2,0),IF(AND(EXACT($C$36,$C33),ISNUMBER($D$36)),($D$36&gt;$D33)+($D$36=$D33)/2,0),IF(AND(EXACT($C$37,$C33),ISNUMBER($D$37)),($D$37&gt;$D33)+($D$37=$D33)/2,0),IF(AND(EXACT($C$38,$C33),ISNUMBER($D$38)),($D$38&gt;$D33)+($D$38=$D33)/2,0),IF(AND(EXACT($C$39,$C33),ISNUMBER($D$39)),($D$39&gt;$D33)+($D$39=$D33)/2,0),IF(AND(EXACT($C$40,$C33),ISNUMBER($D$40)),($D$40&gt;$D33)+($D$40=$D33)/2,0),IF(AND(EXACT($C$41,$C33),ISNUMBER($D$41)),($D$41&gt;$D33)+($D$41=$D33)/2,0),IF(AND(EXACT($C$42,$C33),ISNUMBER($D$42)),($D$42&gt;$D33)+($D$42=$D33)/2,0),IF(AND(EXACT($C$43,$C33),ISNUMBER($D$43)),($D$43&gt;$D33)+($D$43=$D33)/2,0),IF(AND(EXACT($C$44,$C33),ISNUMBER($D$44)),($D$44&gt;$D33)+($D$44=$D33)/2,0),IF(AND(EXACT($C$45,$C33),ISNUMBER($D$45)),($D$45&gt;$D33)+($D$45=$D33)/2,0),IF(AND(EXACT($C$46,$C33),ISNUMBER($D$46)),($D$46&gt;$D33)+($D$46=$D33)/2,0),IF(AND(EXACT($C$47,$C33),ISNUMBER($D$47)),($D$47&gt;$D33)+($D$47=$D33)/2,0),IF(AND(EXACT($C$48,$C33),ISNUMBER($D$48)),($D$48&gt;$D33)+($D$48=$D33)/2,0),IF(AND(EXACT($C$49,$C33),ISNUMBER($D$49)),($D$49&gt;$D33)+($D$49=$D33)/2,0),IF(AND(EXACT($C$50,$C33),ISNUMBER($D$50)),($D$50&gt;$D33)+($D$50=$D33)/2,0),IF(AND(EXACT($C$51,$C33),ISNUMBER($D$51)),($D$51&gt;$D33)+($D$51=$D33)/2,0),IF(AND(EXACT($C$52,$C33),ISNUMBER($D$52)),($D$52&gt;$D33)+($D$52=$D33)/2,0),IF(AND(EXACT($C$53,$C33),ISNUMBER($D$53)),($D$53&gt;$D33)+($D$53=$D33)/2,0),IF(AND(EXACT($C$54,$C33),ISNUMBER($D$54)),($D$54&gt;$D33)+($D$54=$D33)/2,0),IF(AND(EXACT($C$55,$C33),ISNUMBER($D$55)),($D$55&gt;$D33)+($D$55=$D33)/2,0),IF(AND(EXACT($C$56,$C33),ISNUMBER($D$56)),($D$56&gt;$D33)+($D$56=$D33)/2,0)))</x:f>
      </x:c>
      <x:c r="AO33" s="34" t="str">
        <x:f>IF(COUNT($D33)=0,"",SUM(IF(AND(EXACT($C$57,$C33),ISNUMBER($D$57)),($D$57&gt;$D33)+($D$57=$D33)/2,0),IF(AND(EXACT($C$58,$C33),ISNUMBER($D$58)),($D$58&gt;$D33)+($D$58=$D33)/2,0),IF(AND(EXACT($C$59,$C33),ISNUMBER($D$59)),($D$59&gt;$D33)+($D$59=$D33)/2,0),IF(AND(EXACT($C$60,$C33),ISNUMBER($D$60)),($D$60&gt;$D33)+($D$60=$D33)/2,0),IF(AND(EXACT($C$61,$C33),ISNUMBER($D$61)),($D$61&gt;$D33)+($D$61=$D33)/2,0),IF(AND(EXACT($C$62,$C33),ISNUMBER($D$62)),($D$62&gt;$D33)+($D$62=$D33)/2,0),IF(AND(EXACT($C$63,$C33),ISNUMBER($D$63)),($D$63&gt;$D33)+($D$63=$D33)/2,0),IF(AND(EXACT($C$64,$C33),ISNUMBER($D$64)),($D$64&gt;$D33)+($D$64=$D33)/2,0),IF(AND(EXACT($C$65,$C33),ISNUMBER($D$65)),($D$65&gt;$D33)+($D$65=$D33)/2,0),IF(AND(EXACT($C$66,$C33),ISNUMBER($D$66)),($D$66&gt;$D33)+($D$66=$D33)/2,0),IF(AND(EXACT($C$67,$C33),ISNUMBER($D$67)),($D$67&gt;$D33)+($D$67=$D33)/2,0),IF(AND(EXACT($C$68,$C33),ISNUMBER($D$68)),($D$68&gt;$D33)+($D$68=$D33)/2,0),IF(AND(EXACT($C$69,$C33),ISNUMBER($D$69)),($D$69&gt;$D33)+($D$69=$D33)/2,0),IF(AND(EXACT($C$70,$C33),ISNUMBER($D$70)),($D$70&gt;$D33)+($D$70=$D33)/2,0),IF(AND(EXACT($C$71,$C33),ISNUMBER($D$71)),($D$71&gt;$D33)+($D$71=$D33)/2,0),IF(AND(EXACT($C$72,$C33),ISNUMBER($D$72)),($D$72&gt;$D33)+($D$72=$D33)/2,0),IF(AND(EXACT($C$73,$C33),ISNUMBER($D$73)),($D$73&gt;$D33)+($D$73=$D33)/2,0),IF(AND(EXACT($C$74,$C33),ISNUMBER($D$74)),($D$74&gt;$D33)+($D$74=$D33)/2,0),IF(AND(EXACT($C$75,$C33),ISNUMBER($D$75)),($D$75&gt;$D33)+($D$75=$D33)/2,0),IF(AND(EXACT($C$76,$C33),ISNUMBER($D$76)),($D$76&gt;$D33)+($D$76=$D33)/2,0),IF(AND(EXACT($C$77,$C33),ISNUMBER($D$77)),($D$77&gt;$D33)+($D$77=$D33)/2,0),IF(AND(EXACT($C$78,$C33),ISNUMBER($D$78)),($D$78&gt;$D33)+($D$78=$D33)/2,0),IF(AND(EXACT($C$79,$C33),ISNUMBER($D$79)),($D$79&gt;$D33)+($D$79=$D33)/2,0),IF(AND(EXACT($C$80,$C33),ISNUMBER($D$80)),($D$80&gt;$D33)+($D$80=$D33)/2,0),IF(AND(EXACT($C$81,$C33),ISNUMBER($D$81)),($D$81&gt;$D33)+($D$81=$D33)/2,0),IF(AND(EXACT($C$82,$C33),ISNUMBER($D$82)),($D$82&gt;$D33)+($D$82=$D33)/2,0),IF(AND(EXACT($C$83,$C33),ISNUMBER($D$83)),($D$83&gt;$D33)+($D$83=$D33)/2,0),IF(AND(EXACT($C$84,$C33),ISNUMBER($D$84)),($D$84&gt;$D33)+($D$84=$D33)/2,0),IF(AND(EXACT($C$85,$C33),ISNUMBER($D$85)),($D$85&gt;$D33)+($D$85=$D33)/2,0),IF(AND(EXACT($C$86,$C33),ISNUMBER($D$86)),($D$86&gt;$D33)+($D$86=$D33)/2,0),IF(AND(EXACT($C$87,$C33),ISNUMBER($D$87)),($D$87&gt;$D33)+($D$87=$D33)/2,0),IF(AND(EXACT($C$88,$C33),ISNUMBER($D$88)),($D$88&gt;$D33)+($D$88=$D33)/2,0),IF(AND(EXACT($C$89,$C33),ISNUMBER($D$89)),($D$89&gt;$D33)+($D$89=$D33)/2,0),IF(AND(EXACT($C$90,$C33),ISNUMBER($D$90)),($D$90&gt;$D33)+($D$90=$D33)/2,0),IF(AND(EXACT($C$91,$C33),ISNUMBER($D$91)),($D$91&gt;$D33)+($D$91=$D33)/2,0),IF(AND(EXACT($C$92,$C33),ISNUMBER($D$92)),($D$92&gt;$D33)+($D$92=$D33)/2,0),IF(AND(EXACT($C$93,$C33),ISNUMBER($D$93)),($D$93&gt;$D33)+($D$93=$D33)/2,0),IF(AND(EXACT($C$94,$C33),ISNUMBER($D$94)),($D$94&gt;$D33)+($D$94=$D33)/2,0),IF(AND(EXACT($C$95,$C33),ISNUMBER($D$95)),($D$95&gt;$D33)+($D$95=$D33)/2,0),IF(AND(EXACT($C$96,$C33),ISNUMBER($D$96)),($D$96&gt;$D33)+($D$96=$D33)/2,0),IF(AND(EXACT($C$97,$C33),ISNUMBER($D$97)),($D$97&gt;$D33)+($D$97=$D33)/2,0),IF(AND(EXACT($C$98,$C33),ISNUMBER($D$98)),($D$98&gt;$D33)+($D$98=$D33)/2,0),IF(AND(EXACT($C$99,$C33),ISNUMBER($D$99)),($D$99&gt;$D33)+($D$99=$D33)/2,0),IF(AND(EXACT($C$100,$C33),ISNUMBER($D$100)),($D$100&gt;$D33)+($D$100=$D33)/2,0),IF(AND(EXACT($C$101,$C33),ISNUMBER($D$101)),($D$101&gt;$D33)+($D$101=$D33)/2,0),IF(AND(EXACT($C$102,$C33),ISNUMBER($D$102)),($D$102&gt;$D33)+($D$102=$D33)/2,0),IF(AND(EXACT($C$103,$C33),ISNUMBER($D$103)),($D$103&gt;$D33)+($D$103=$D33)/2,0),IF(AND(EXACT($C$104,$C33),ISNUMBER($D$104)),($D$104&gt;$D33)+($D$104=$D33)/2,0),IF(AND(EXACT($C$105,$C33),ISNUMBER($D$105)),($D$105&gt;$D33)+($D$105=$D33)/2,0),IF(AND(EXACT($C$106,$C33),ISNUMBER($D$106)),($D$106&gt;$D33)+($D$106=$D33)/2,0)))</x:f>
      </x:c>
    </x:row>
    <x:row r="34">
      <x:c r="A34" s="34" t="str">
        <x:f>IF('91_CALC_SCORES'!A34="","",'91_CALC_SCORES'!A34)</x:f>
      </x:c>
      <x:c r="B34" s="34" t="str">
        <x:f>IF($A34="","",'91_CALC_SCORES'!B34)</x:f>
      </x:c>
      <x:c r="C34" s="34" t="str">
        <x:f>IF($A34="","",'91_CALC_SCORES'!K34)</x:f>
      </x:c>
      <x:c r="D34" s="57" t="str">
        <x:f>IF(OR($A34="",NOT(OR(LEFT('91_CALC_SCORES'!AB34,4)="PASS",LEFT('91_CALC_SCORES'!AB34,5)="READY"))),"",'91_CALC_SCORES'!Y34)</x:f>
      </x:c>
      <x:c r="E34" s="34" t="str">
        <x:f>IF(COUNT(D34)=0,"",1+SUM(AN34:AO34)-1/2)</x:f>
      </x:c>
      <x:c r="F34" s="34" t="str">
        <x:f>IF($A34="","",'91_CALC_SCORES'!AB34)</x:f>
      </x:c>
      <x:c r="G34" s="34" t="str">
        <x:f>IF(A34="","","연구 베타 | 기업 백분위 아님")</x:f>
      </x:c>
      <x:c r="I34" s="13" t="str">
        <x:f>IF($A$34="","",$A$34)</x:f>
      </x:c>
      <x:c r="J34" s="58" t="str">
        <x:f>IF(OR($A34="",$A$7=""),"",IF(COUNT($D34,$D$7)&lt;&gt;2,"N/A:input",IF(EXACT($C34,$C$7),$D34-$D$7,"N/A:cohort")))</x:f>
      </x:c>
      <x:c r="K34" s="58" t="str">
        <x:f>IF(OR($A34="",$A$8=""),"",IF(COUNT($D34,$D$8)&lt;&gt;2,"N/A:input",IF(EXACT($C34,$C$8),$D34-$D$8,"N/A:cohort")))</x:f>
      </x:c>
      <x:c r="L34" s="58" t="str">
        <x:f>IF(OR($A34="",$A$9=""),"",IF(COUNT($D34,$D$9)&lt;&gt;2,"N/A:input",IF(EXACT($C34,$C$9),$D34-$D$9,"N/A:cohort")))</x:f>
      </x:c>
      <x:c r="M34" s="58" t="str">
        <x:f>IF(OR($A34="",$A$10=""),"",IF(COUNT($D34,$D$10)&lt;&gt;2,"N/A:input",IF(EXACT($C34,$C$10),$D34-$D$10,"N/A:cohort")))</x:f>
      </x:c>
      <x:c r="N34" s="58" t="str">
        <x:f>IF(OR($A34="",$A$11=""),"",IF(COUNT($D34,$D$11)&lt;&gt;2,"N/A:input",IF(EXACT($C34,$C$11),$D34-$D$11,"N/A:cohort")))</x:f>
      </x:c>
      <x:c r="O34" s="58" t="str">
        <x:f>IF(OR($A34="",$A$12=""),"",IF(COUNT($D34,$D$12)&lt;&gt;2,"N/A:input",IF(EXACT($C34,$C$12),$D34-$D$12,"N/A:cohort")))</x:f>
      </x:c>
      <x:c r="P34" s="58" t="str">
        <x:f>IF(OR($A34="",$A$13=""),"",IF(COUNT($D34,$D$13)&lt;&gt;2,"N/A:input",IF(EXACT($C34,$C$13),$D34-$D$13,"N/A:cohort")))</x:f>
      </x:c>
      <x:c r="Q34" s="58" t="str">
        <x:f>IF(OR($A34="",$A$14=""),"",IF(COUNT($D34,$D$14)&lt;&gt;2,"N/A:input",IF(EXACT($C34,$C$14),$D34-$D$14,"N/A:cohort")))</x:f>
      </x:c>
      <x:c r="R34" s="58" t="str">
        <x:f>IF(OR($A34="",$A$15=""),"",IF(COUNT($D34,$D$15)&lt;&gt;2,"N/A:input",IF(EXACT($C34,$C$15),$D34-$D$15,"N/A:cohort")))</x:f>
      </x:c>
      <x:c r="S34" s="58" t="str">
        <x:f>IF(OR($A34="",$A$16=""),"",IF(COUNT($D34,$D$16)&lt;&gt;2,"N/A:input",IF(EXACT($C34,$C$16),$D34-$D$16,"N/A:cohort")))</x:f>
      </x:c>
      <x:c r="T34" s="58" t="str">
        <x:f>IF(OR($A34="",$A$17=""),"",IF(COUNT($D34,$D$17)&lt;&gt;2,"N/A:input",IF(EXACT($C34,$C$17),$D34-$D$17,"N/A:cohort")))</x:f>
      </x:c>
      <x:c r="U34" s="58" t="str">
        <x:f>IF(OR($A34="",$A$18=""),"",IF(COUNT($D34,$D$18)&lt;&gt;2,"N/A:input",IF(EXACT($C34,$C$18),$D34-$D$18,"N/A:cohort")))</x:f>
      </x:c>
      <x:c r="V34" s="58" t="str">
        <x:f>IF(OR($A34="",$A$19=""),"",IF(COUNT($D34,$D$19)&lt;&gt;2,"N/A:input",IF(EXACT($C34,$C$19),$D34-$D$19,"N/A:cohort")))</x:f>
      </x:c>
      <x:c r="W34" s="58" t="str">
        <x:f>IF(OR($A34="",$A$20=""),"",IF(COUNT($D34,$D$20)&lt;&gt;2,"N/A:input",IF(EXACT($C34,$C$20),$D34-$D$20,"N/A:cohort")))</x:f>
      </x:c>
      <x:c r="X34" s="58" t="str">
        <x:f>IF(OR($A34="",$A$21=""),"",IF(COUNT($D34,$D$21)&lt;&gt;2,"N/A:input",IF(EXACT($C34,$C$21),$D34-$D$21,"N/A:cohort")))</x:f>
      </x:c>
      <x:c r="Y34" s="58" t="str">
        <x:f>IF(OR($A34="",$A$22=""),"",IF(COUNT($D34,$D$22)&lt;&gt;2,"N/A:input",IF(EXACT($C34,$C$22),$D34-$D$22,"N/A:cohort")))</x:f>
      </x:c>
      <x:c r="Z34" s="58" t="str">
        <x:f>IF(OR($A34="",$A$23=""),"",IF(COUNT($D34,$D$23)&lt;&gt;2,"N/A:input",IF(EXACT($C34,$C$23),$D34-$D$23,"N/A:cohort")))</x:f>
      </x:c>
      <x:c r="AA34" s="58" t="str">
        <x:f>IF(OR($A34="",$A$24=""),"",IF(COUNT($D34,$D$24)&lt;&gt;2,"N/A:input",IF(EXACT($C34,$C$24),$D34-$D$24,"N/A:cohort")))</x:f>
      </x:c>
      <x:c r="AB34" s="58" t="str">
        <x:f>IF(OR($A34="",$A$25=""),"",IF(COUNT($D34,$D$25)&lt;&gt;2,"N/A:input",IF(EXACT($C34,$C$25),$D34-$D$25,"N/A:cohort")))</x:f>
      </x:c>
      <x:c r="AC34" s="58" t="str">
        <x:f>IF(OR($A34="",$A$26=""),"",IF(COUNT($D34,$D$26)&lt;&gt;2,"N/A:input",IF(EXACT($C34,$C$26),$D34-$D$26,"N/A:cohort")))</x:f>
      </x:c>
      <x:c r="AD34" s="58" t="str">
        <x:f>IF(OR($A34="",$A$27=""),"",IF(COUNT($D34,$D$27)&lt;&gt;2,"N/A:input",IF(EXACT($C34,$C$27),$D34-$D$27,"N/A:cohort")))</x:f>
      </x:c>
      <x:c r="AE34" s="58" t="str">
        <x:f>IF(OR($A34="",$A$28=""),"",IF(COUNT($D34,$D$28)&lt;&gt;2,"N/A:input",IF(EXACT($C34,$C$28),$D34-$D$28,"N/A:cohort")))</x:f>
      </x:c>
      <x:c r="AF34" s="58" t="str">
        <x:f>IF(OR($A34="",$A$29=""),"",IF(COUNT($D34,$D$29)&lt;&gt;2,"N/A:input",IF(EXACT($C34,$C$29),$D34-$D$29,"N/A:cohort")))</x:f>
      </x:c>
      <x:c r="AG34" s="58" t="str">
        <x:f>IF(OR($A34="",$A$30=""),"",IF(COUNT($D34,$D$30)&lt;&gt;2,"N/A:input",IF(EXACT($C34,$C$30),$D34-$D$30,"N/A:cohort")))</x:f>
      </x:c>
      <x:c r="AH34" s="58" t="str">
        <x:f>IF(OR($A34="",$A$31=""),"",IF(COUNT($D34,$D$31)&lt;&gt;2,"N/A:input",IF(EXACT($C34,$C$31),$D34-$D$31,"N/A:cohort")))</x:f>
      </x:c>
      <x:c r="AI34" s="58" t="str">
        <x:f>IF(OR($A34="",$A$32=""),"",IF(COUNT($D34,$D$32)&lt;&gt;2,"N/A:input",IF(EXACT($C34,$C$32),$D34-$D$32,"N/A:cohort")))</x:f>
      </x:c>
      <x:c r="AJ34" s="58" t="str">
        <x:f>IF(OR($A34="",$A$33=""),"",IF(COUNT($D34,$D$33)&lt;&gt;2,"N/A:input",IF(EXACT($C34,$C$33),$D34-$D$33,"N/A:cohort")))</x:f>
      </x:c>
      <x:c r="AK34" s="58" t="str">
        <x:f>IF(OR($A34="",$A$34=""),"",IF(COUNT($D34,$D$34)&lt;&gt;2,"N/A:input",IF(EXACT($C34,$C$34),$D34-$D$34,"N/A:cohort")))</x:f>
      </x:c>
      <x:c r="AL34" s="58" t="str">
        <x:f>IF(OR($A34="",$A$35=""),"",IF(COUNT($D34,$D$35)&lt;&gt;2,"N/A:input",IF(EXACT($C34,$C$35),$D34-$D$35,"N/A:cohort")))</x:f>
      </x:c>
      <x:c r="AM34" s="58" t="str">
        <x:f>IF(OR($A34="",$A$36=""),"",IF(COUNT($D34,$D$36)&lt;&gt;2,"N/A:input",IF(EXACT($C34,$C$36),$D34-$D$36,"N/A:cohort")))</x:f>
      </x:c>
      <x:c r="AN34" s="34" t="str">
        <x:f>IF(COUNT($D34)=0,"",SUM(IF(AND(EXACT($C$7,$C34),ISNUMBER($D$7)),($D$7&gt;$D34)+($D$7=$D34)/2,0),IF(AND(EXACT($C$8,$C34),ISNUMBER($D$8)),($D$8&gt;$D34)+($D$8=$D34)/2,0),IF(AND(EXACT($C$9,$C34),ISNUMBER($D$9)),($D$9&gt;$D34)+($D$9=$D34)/2,0),IF(AND(EXACT($C$10,$C34),ISNUMBER($D$10)),($D$10&gt;$D34)+($D$10=$D34)/2,0),IF(AND(EXACT($C$11,$C34),ISNUMBER($D$11)),($D$11&gt;$D34)+($D$11=$D34)/2,0),IF(AND(EXACT($C$12,$C34),ISNUMBER($D$12)),($D$12&gt;$D34)+($D$12=$D34)/2,0),IF(AND(EXACT($C$13,$C34),ISNUMBER($D$13)),($D$13&gt;$D34)+($D$13=$D34)/2,0),IF(AND(EXACT($C$14,$C34),ISNUMBER($D$14)),($D$14&gt;$D34)+($D$14=$D34)/2,0),IF(AND(EXACT($C$15,$C34),ISNUMBER($D$15)),($D$15&gt;$D34)+($D$15=$D34)/2,0),IF(AND(EXACT($C$16,$C34),ISNUMBER($D$16)),($D$16&gt;$D34)+($D$16=$D34)/2,0),IF(AND(EXACT($C$17,$C34),ISNUMBER($D$17)),($D$17&gt;$D34)+($D$17=$D34)/2,0),IF(AND(EXACT($C$18,$C34),ISNUMBER($D$18)),($D$18&gt;$D34)+($D$18=$D34)/2,0),IF(AND(EXACT($C$19,$C34),ISNUMBER($D$19)),($D$19&gt;$D34)+($D$19=$D34)/2,0),IF(AND(EXACT($C$20,$C34),ISNUMBER($D$20)),($D$20&gt;$D34)+($D$20=$D34)/2,0),IF(AND(EXACT($C$21,$C34),ISNUMBER($D$21)),($D$21&gt;$D34)+($D$21=$D34)/2,0),IF(AND(EXACT($C$22,$C34),ISNUMBER($D$22)),($D$22&gt;$D34)+($D$22=$D34)/2,0),IF(AND(EXACT($C$23,$C34),ISNUMBER($D$23)),($D$23&gt;$D34)+($D$23=$D34)/2,0),IF(AND(EXACT($C$24,$C34),ISNUMBER($D$24)),($D$24&gt;$D34)+($D$24=$D34)/2,0),IF(AND(EXACT($C$25,$C34),ISNUMBER($D$25)),($D$25&gt;$D34)+($D$25=$D34)/2,0),IF(AND(EXACT($C$26,$C34),ISNUMBER($D$26)),($D$26&gt;$D34)+($D$26=$D34)/2,0),IF(AND(EXACT($C$27,$C34),ISNUMBER($D$27)),($D$27&gt;$D34)+($D$27=$D34)/2,0),IF(AND(EXACT($C$28,$C34),ISNUMBER($D$28)),($D$28&gt;$D34)+($D$28=$D34)/2,0),IF(AND(EXACT($C$29,$C34),ISNUMBER($D$29)),($D$29&gt;$D34)+($D$29=$D34)/2,0),IF(AND(EXACT($C$30,$C34),ISNUMBER($D$30)),($D$30&gt;$D34)+($D$30=$D34)/2,0),IF(AND(EXACT($C$31,$C34),ISNUMBER($D$31)),($D$31&gt;$D34)+($D$31=$D34)/2,0),IF(AND(EXACT($C$32,$C34),ISNUMBER($D$32)),($D$32&gt;$D34)+($D$32=$D34)/2,0),IF(AND(EXACT($C$33,$C34),ISNUMBER($D$33)),($D$33&gt;$D34)+($D$33=$D34)/2,0),IF(AND(EXACT($C$34,$C34),ISNUMBER($D$34)),($D$34&gt;$D34)+($D$34=$D34)/2,0),IF(AND(EXACT($C$35,$C34),ISNUMBER($D$35)),($D$35&gt;$D34)+($D$35=$D34)/2,0),IF(AND(EXACT($C$36,$C34),ISNUMBER($D$36)),($D$36&gt;$D34)+($D$36=$D34)/2,0),IF(AND(EXACT($C$37,$C34),ISNUMBER($D$37)),($D$37&gt;$D34)+($D$37=$D34)/2,0),IF(AND(EXACT($C$38,$C34),ISNUMBER($D$38)),($D$38&gt;$D34)+($D$38=$D34)/2,0),IF(AND(EXACT($C$39,$C34),ISNUMBER($D$39)),($D$39&gt;$D34)+($D$39=$D34)/2,0),IF(AND(EXACT($C$40,$C34),ISNUMBER($D$40)),($D$40&gt;$D34)+($D$40=$D34)/2,0),IF(AND(EXACT($C$41,$C34),ISNUMBER($D$41)),($D$41&gt;$D34)+($D$41=$D34)/2,0),IF(AND(EXACT($C$42,$C34),ISNUMBER($D$42)),($D$42&gt;$D34)+($D$42=$D34)/2,0),IF(AND(EXACT($C$43,$C34),ISNUMBER($D$43)),($D$43&gt;$D34)+($D$43=$D34)/2,0),IF(AND(EXACT($C$44,$C34),ISNUMBER($D$44)),($D$44&gt;$D34)+($D$44=$D34)/2,0),IF(AND(EXACT($C$45,$C34),ISNUMBER($D$45)),($D$45&gt;$D34)+($D$45=$D34)/2,0),IF(AND(EXACT($C$46,$C34),ISNUMBER($D$46)),($D$46&gt;$D34)+($D$46=$D34)/2,0),IF(AND(EXACT($C$47,$C34),ISNUMBER($D$47)),($D$47&gt;$D34)+($D$47=$D34)/2,0),IF(AND(EXACT($C$48,$C34),ISNUMBER($D$48)),($D$48&gt;$D34)+($D$48=$D34)/2,0),IF(AND(EXACT($C$49,$C34),ISNUMBER($D$49)),($D$49&gt;$D34)+($D$49=$D34)/2,0),IF(AND(EXACT($C$50,$C34),ISNUMBER($D$50)),($D$50&gt;$D34)+($D$50=$D34)/2,0),IF(AND(EXACT($C$51,$C34),ISNUMBER($D$51)),($D$51&gt;$D34)+($D$51=$D34)/2,0),IF(AND(EXACT($C$52,$C34),ISNUMBER($D$52)),($D$52&gt;$D34)+($D$52=$D34)/2,0),IF(AND(EXACT($C$53,$C34),ISNUMBER($D$53)),($D$53&gt;$D34)+($D$53=$D34)/2,0),IF(AND(EXACT($C$54,$C34),ISNUMBER($D$54)),($D$54&gt;$D34)+($D$54=$D34)/2,0),IF(AND(EXACT($C$55,$C34),ISNUMBER($D$55)),($D$55&gt;$D34)+($D$55=$D34)/2,0),IF(AND(EXACT($C$56,$C34),ISNUMBER($D$56)),($D$56&gt;$D34)+($D$56=$D34)/2,0)))</x:f>
      </x:c>
      <x:c r="AO34" s="34" t="str">
        <x:f>IF(COUNT($D34)=0,"",SUM(IF(AND(EXACT($C$57,$C34),ISNUMBER($D$57)),($D$57&gt;$D34)+($D$57=$D34)/2,0),IF(AND(EXACT($C$58,$C34),ISNUMBER($D$58)),($D$58&gt;$D34)+($D$58=$D34)/2,0),IF(AND(EXACT($C$59,$C34),ISNUMBER($D$59)),($D$59&gt;$D34)+($D$59=$D34)/2,0),IF(AND(EXACT($C$60,$C34),ISNUMBER($D$60)),($D$60&gt;$D34)+($D$60=$D34)/2,0),IF(AND(EXACT($C$61,$C34),ISNUMBER($D$61)),($D$61&gt;$D34)+($D$61=$D34)/2,0),IF(AND(EXACT($C$62,$C34),ISNUMBER($D$62)),($D$62&gt;$D34)+($D$62=$D34)/2,0),IF(AND(EXACT($C$63,$C34),ISNUMBER($D$63)),($D$63&gt;$D34)+($D$63=$D34)/2,0),IF(AND(EXACT($C$64,$C34),ISNUMBER($D$64)),($D$64&gt;$D34)+($D$64=$D34)/2,0),IF(AND(EXACT($C$65,$C34),ISNUMBER($D$65)),($D$65&gt;$D34)+($D$65=$D34)/2,0),IF(AND(EXACT($C$66,$C34),ISNUMBER($D$66)),($D$66&gt;$D34)+($D$66=$D34)/2,0),IF(AND(EXACT($C$67,$C34),ISNUMBER($D$67)),($D$67&gt;$D34)+($D$67=$D34)/2,0),IF(AND(EXACT($C$68,$C34),ISNUMBER($D$68)),($D$68&gt;$D34)+($D$68=$D34)/2,0),IF(AND(EXACT($C$69,$C34),ISNUMBER($D$69)),($D$69&gt;$D34)+($D$69=$D34)/2,0),IF(AND(EXACT($C$70,$C34),ISNUMBER($D$70)),($D$70&gt;$D34)+($D$70=$D34)/2,0),IF(AND(EXACT($C$71,$C34),ISNUMBER($D$71)),($D$71&gt;$D34)+($D$71=$D34)/2,0),IF(AND(EXACT($C$72,$C34),ISNUMBER($D$72)),($D$72&gt;$D34)+($D$72=$D34)/2,0),IF(AND(EXACT($C$73,$C34),ISNUMBER($D$73)),($D$73&gt;$D34)+($D$73=$D34)/2,0),IF(AND(EXACT($C$74,$C34),ISNUMBER($D$74)),($D$74&gt;$D34)+($D$74=$D34)/2,0),IF(AND(EXACT($C$75,$C34),ISNUMBER($D$75)),($D$75&gt;$D34)+($D$75=$D34)/2,0),IF(AND(EXACT($C$76,$C34),ISNUMBER($D$76)),($D$76&gt;$D34)+($D$76=$D34)/2,0),IF(AND(EXACT($C$77,$C34),ISNUMBER($D$77)),($D$77&gt;$D34)+($D$77=$D34)/2,0),IF(AND(EXACT($C$78,$C34),ISNUMBER($D$78)),($D$78&gt;$D34)+($D$78=$D34)/2,0),IF(AND(EXACT($C$79,$C34),ISNUMBER($D$79)),($D$79&gt;$D34)+($D$79=$D34)/2,0),IF(AND(EXACT($C$80,$C34),ISNUMBER($D$80)),($D$80&gt;$D34)+($D$80=$D34)/2,0),IF(AND(EXACT($C$81,$C34),ISNUMBER($D$81)),($D$81&gt;$D34)+($D$81=$D34)/2,0),IF(AND(EXACT($C$82,$C34),ISNUMBER($D$82)),($D$82&gt;$D34)+($D$82=$D34)/2,0),IF(AND(EXACT($C$83,$C34),ISNUMBER($D$83)),($D$83&gt;$D34)+($D$83=$D34)/2,0),IF(AND(EXACT($C$84,$C34),ISNUMBER($D$84)),($D$84&gt;$D34)+($D$84=$D34)/2,0),IF(AND(EXACT($C$85,$C34),ISNUMBER($D$85)),($D$85&gt;$D34)+($D$85=$D34)/2,0),IF(AND(EXACT($C$86,$C34),ISNUMBER($D$86)),($D$86&gt;$D34)+($D$86=$D34)/2,0),IF(AND(EXACT($C$87,$C34),ISNUMBER($D$87)),($D$87&gt;$D34)+($D$87=$D34)/2,0),IF(AND(EXACT($C$88,$C34),ISNUMBER($D$88)),($D$88&gt;$D34)+($D$88=$D34)/2,0),IF(AND(EXACT($C$89,$C34),ISNUMBER($D$89)),($D$89&gt;$D34)+($D$89=$D34)/2,0),IF(AND(EXACT($C$90,$C34),ISNUMBER($D$90)),($D$90&gt;$D34)+($D$90=$D34)/2,0),IF(AND(EXACT($C$91,$C34),ISNUMBER($D$91)),($D$91&gt;$D34)+($D$91=$D34)/2,0),IF(AND(EXACT($C$92,$C34),ISNUMBER($D$92)),($D$92&gt;$D34)+($D$92=$D34)/2,0),IF(AND(EXACT($C$93,$C34),ISNUMBER($D$93)),($D$93&gt;$D34)+($D$93=$D34)/2,0),IF(AND(EXACT($C$94,$C34),ISNUMBER($D$94)),($D$94&gt;$D34)+($D$94=$D34)/2,0),IF(AND(EXACT($C$95,$C34),ISNUMBER($D$95)),($D$95&gt;$D34)+($D$95=$D34)/2,0),IF(AND(EXACT($C$96,$C34),ISNUMBER($D$96)),($D$96&gt;$D34)+($D$96=$D34)/2,0),IF(AND(EXACT($C$97,$C34),ISNUMBER($D$97)),($D$97&gt;$D34)+($D$97=$D34)/2,0),IF(AND(EXACT($C$98,$C34),ISNUMBER($D$98)),($D$98&gt;$D34)+($D$98=$D34)/2,0),IF(AND(EXACT($C$99,$C34),ISNUMBER($D$99)),($D$99&gt;$D34)+($D$99=$D34)/2,0),IF(AND(EXACT($C$100,$C34),ISNUMBER($D$100)),($D$100&gt;$D34)+($D$100=$D34)/2,0),IF(AND(EXACT($C$101,$C34),ISNUMBER($D$101)),($D$101&gt;$D34)+($D$101=$D34)/2,0),IF(AND(EXACT($C$102,$C34),ISNUMBER($D$102)),($D$102&gt;$D34)+($D$102=$D34)/2,0),IF(AND(EXACT($C$103,$C34),ISNUMBER($D$103)),($D$103&gt;$D34)+($D$103=$D34)/2,0),IF(AND(EXACT($C$104,$C34),ISNUMBER($D$104)),($D$104&gt;$D34)+($D$104=$D34)/2,0),IF(AND(EXACT($C$105,$C34),ISNUMBER($D$105)),($D$105&gt;$D34)+($D$105=$D34)/2,0),IF(AND(EXACT($C$106,$C34),ISNUMBER($D$106)),($D$106&gt;$D34)+($D$106=$D34)/2,0)))</x:f>
      </x:c>
    </x:row>
    <x:row r="35">
      <x:c r="A35" s="34" t="str">
        <x:f>IF('91_CALC_SCORES'!A35="","",'91_CALC_SCORES'!A35)</x:f>
      </x:c>
      <x:c r="B35" s="34" t="str">
        <x:f>IF($A35="","",'91_CALC_SCORES'!B35)</x:f>
      </x:c>
      <x:c r="C35" s="34" t="str">
        <x:f>IF($A35="","",'91_CALC_SCORES'!K35)</x:f>
      </x:c>
      <x:c r="D35" s="57" t="str">
        <x:f>IF(OR($A35="",NOT(OR(LEFT('91_CALC_SCORES'!AB35,4)="PASS",LEFT('91_CALC_SCORES'!AB35,5)="READY"))),"",'91_CALC_SCORES'!Y35)</x:f>
      </x:c>
      <x:c r="E35" s="34" t="str">
        <x:f>IF(COUNT(D35)=0,"",1+SUM(AN35:AO35)-1/2)</x:f>
      </x:c>
      <x:c r="F35" s="34" t="str">
        <x:f>IF($A35="","",'91_CALC_SCORES'!AB35)</x:f>
      </x:c>
      <x:c r="G35" s="34" t="str">
        <x:f>IF(A35="","","연구 베타 | 기업 백분위 아님")</x:f>
      </x:c>
      <x:c r="I35" s="13" t="str">
        <x:f>IF($A$35="","",$A$35)</x:f>
      </x:c>
      <x:c r="J35" s="58" t="str">
        <x:f>IF(OR($A35="",$A$7=""),"",IF(COUNT($D35,$D$7)&lt;&gt;2,"N/A:input",IF(EXACT($C35,$C$7),$D35-$D$7,"N/A:cohort")))</x:f>
      </x:c>
      <x:c r="K35" s="58" t="str">
        <x:f>IF(OR($A35="",$A$8=""),"",IF(COUNT($D35,$D$8)&lt;&gt;2,"N/A:input",IF(EXACT($C35,$C$8),$D35-$D$8,"N/A:cohort")))</x:f>
      </x:c>
      <x:c r="L35" s="58" t="str">
        <x:f>IF(OR($A35="",$A$9=""),"",IF(COUNT($D35,$D$9)&lt;&gt;2,"N/A:input",IF(EXACT($C35,$C$9),$D35-$D$9,"N/A:cohort")))</x:f>
      </x:c>
      <x:c r="M35" s="58" t="str">
        <x:f>IF(OR($A35="",$A$10=""),"",IF(COUNT($D35,$D$10)&lt;&gt;2,"N/A:input",IF(EXACT($C35,$C$10),$D35-$D$10,"N/A:cohort")))</x:f>
      </x:c>
      <x:c r="N35" s="58" t="str">
        <x:f>IF(OR($A35="",$A$11=""),"",IF(COUNT($D35,$D$11)&lt;&gt;2,"N/A:input",IF(EXACT($C35,$C$11),$D35-$D$11,"N/A:cohort")))</x:f>
      </x:c>
      <x:c r="O35" s="58" t="str">
        <x:f>IF(OR($A35="",$A$12=""),"",IF(COUNT($D35,$D$12)&lt;&gt;2,"N/A:input",IF(EXACT($C35,$C$12),$D35-$D$12,"N/A:cohort")))</x:f>
      </x:c>
      <x:c r="P35" s="58" t="str">
        <x:f>IF(OR($A35="",$A$13=""),"",IF(COUNT($D35,$D$13)&lt;&gt;2,"N/A:input",IF(EXACT($C35,$C$13),$D35-$D$13,"N/A:cohort")))</x:f>
      </x:c>
      <x:c r="Q35" s="58" t="str">
        <x:f>IF(OR($A35="",$A$14=""),"",IF(COUNT($D35,$D$14)&lt;&gt;2,"N/A:input",IF(EXACT($C35,$C$14),$D35-$D$14,"N/A:cohort")))</x:f>
      </x:c>
      <x:c r="R35" s="58" t="str">
        <x:f>IF(OR($A35="",$A$15=""),"",IF(COUNT($D35,$D$15)&lt;&gt;2,"N/A:input",IF(EXACT($C35,$C$15),$D35-$D$15,"N/A:cohort")))</x:f>
      </x:c>
      <x:c r="S35" s="58" t="str">
        <x:f>IF(OR($A35="",$A$16=""),"",IF(COUNT($D35,$D$16)&lt;&gt;2,"N/A:input",IF(EXACT($C35,$C$16),$D35-$D$16,"N/A:cohort")))</x:f>
      </x:c>
      <x:c r="T35" s="58" t="str">
        <x:f>IF(OR($A35="",$A$17=""),"",IF(COUNT($D35,$D$17)&lt;&gt;2,"N/A:input",IF(EXACT($C35,$C$17),$D35-$D$17,"N/A:cohort")))</x:f>
      </x:c>
      <x:c r="U35" s="58" t="str">
        <x:f>IF(OR($A35="",$A$18=""),"",IF(COUNT($D35,$D$18)&lt;&gt;2,"N/A:input",IF(EXACT($C35,$C$18),$D35-$D$18,"N/A:cohort")))</x:f>
      </x:c>
      <x:c r="V35" s="58" t="str">
        <x:f>IF(OR($A35="",$A$19=""),"",IF(COUNT($D35,$D$19)&lt;&gt;2,"N/A:input",IF(EXACT($C35,$C$19),$D35-$D$19,"N/A:cohort")))</x:f>
      </x:c>
      <x:c r="W35" s="58" t="str">
        <x:f>IF(OR($A35="",$A$20=""),"",IF(COUNT($D35,$D$20)&lt;&gt;2,"N/A:input",IF(EXACT($C35,$C$20),$D35-$D$20,"N/A:cohort")))</x:f>
      </x:c>
      <x:c r="X35" s="58" t="str">
        <x:f>IF(OR($A35="",$A$21=""),"",IF(COUNT($D35,$D$21)&lt;&gt;2,"N/A:input",IF(EXACT($C35,$C$21),$D35-$D$21,"N/A:cohort")))</x:f>
      </x:c>
      <x:c r="Y35" s="58" t="str">
        <x:f>IF(OR($A35="",$A$22=""),"",IF(COUNT($D35,$D$22)&lt;&gt;2,"N/A:input",IF(EXACT($C35,$C$22),$D35-$D$22,"N/A:cohort")))</x:f>
      </x:c>
      <x:c r="Z35" s="58" t="str">
        <x:f>IF(OR($A35="",$A$23=""),"",IF(COUNT($D35,$D$23)&lt;&gt;2,"N/A:input",IF(EXACT($C35,$C$23),$D35-$D$23,"N/A:cohort")))</x:f>
      </x:c>
      <x:c r="AA35" s="58" t="str">
        <x:f>IF(OR($A35="",$A$24=""),"",IF(COUNT($D35,$D$24)&lt;&gt;2,"N/A:input",IF(EXACT($C35,$C$24),$D35-$D$24,"N/A:cohort")))</x:f>
      </x:c>
      <x:c r="AB35" s="58" t="str">
        <x:f>IF(OR($A35="",$A$25=""),"",IF(COUNT($D35,$D$25)&lt;&gt;2,"N/A:input",IF(EXACT($C35,$C$25),$D35-$D$25,"N/A:cohort")))</x:f>
      </x:c>
      <x:c r="AC35" s="58" t="str">
        <x:f>IF(OR($A35="",$A$26=""),"",IF(COUNT($D35,$D$26)&lt;&gt;2,"N/A:input",IF(EXACT($C35,$C$26),$D35-$D$26,"N/A:cohort")))</x:f>
      </x:c>
      <x:c r="AD35" s="58" t="str">
        <x:f>IF(OR($A35="",$A$27=""),"",IF(COUNT($D35,$D$27)&lt;&gt;2,"N/A:input",IF(EXACT($C35,$C$27),$D35-$D$27,"N/A:cohort")))</x:f>
      </x:c>
      <x:c r="AE35" s="58" t="str">
        <x:f>IF(OR($A35="",$A$28=""),"",IF(COUNT($D35,$D$28)&lt;&gt;2,"N/A:input",IF(EXACT($C35,$C$28),$D35-$D$28,"N/A:cohort")))</x:f>
      </x:c>
      <x:c r="AF35" s="58" t="str">
        <x:f>IF(OR($A35="",$A$29=""),"",IF(COUNT($D35,$D$29)&lt;&gt;2,"N/A:input",IF(EXACT($C35,$C$29),$D35-$D$29,"N/A:cohort")))</x:f>
      </x:c>
      <x:c r="AG35" s="58" t="str">
        <x:f>IF(OR($A35="",$A$30=""),"",IF(COUNT($D35,$D$30)&lt;&gt;2,"N/A:input",IF(EXACT($C35,$C$30),$D35-$D$30,"N/A:cohort")))</x:f>
      </x:c>
      <x:c r="AH35" s="58" t="str">
        <x:f>IF(OR($A35="",$A$31=""),"",IF(COUNT($D35,$D$31)&lt;&gt;2,"N/A:input",IF(EXACT($C35,$C$31),$D35-$D$31,"N/A:cohort")))</x:f>
      </x:c>
      <x:c r="AI35" s="58" t="str">
        <x:f>IF(OR($A35="",$A$32=""),"",IF(COUNT($D35,$D$32)&lt;&gt;2,"N/A:input",IF(EXACT($C35,$C$32),$D35-$D$32,"N/A:cohort")))</x:f>
      </x:c>
      <x:c r="AJ35" s="58" t="str">
        <x:f>IF(OR($A35="",$A$33=""),"",IF(COUNT($D35,$D$33)&lt;&gt;2,"N/A:input",IF(EXACT($C35,$C$33),$D35-$D$33,"N/A:cohort")))</x:f>
      </x:c>
      <x:c r="AK35" s="58" t="str">
        <x:f>IF(OR($A35="",$A$34=""),"",IF(COUNT($D35,$D$34)&lt;&gt;2,"N/A:input",IF(EXACT($C35,$C$34),$D35-$D$34,"N/A:cohort")))</x:f>
      </x:c>
      <x:c r="AL35" s="58" t="str">
        <x:f>IF(OR($A35="",$A$35=""),"",IF(COUNT($D35,$D$35)&lt;&gt;2,"N/A:input",IF(EXACT($C35,$C$35),$D35-$D$35,"N/A:cohort")))</x:f>
      </x:c>
      <x:c r="AM35" s="58" t="str">
        <x:f>IF(OR($A35="",$A$36=""),"",IF(COUNT($D35,$D$36)&lt;&gt;2,"N/A:input",IF(EXACT($C35,$C$36),$D35-$D$36,"N/A:cohort")))</x:f>
      </x:c>
      <x:c r="AN35" s="34" t="str">
        <x:f>IF(COUNT($D35)=0,"",SUM(IF(AND(EXACT($C$7,$C35),ISNUMBER($D$7)),($D$7&gt;$D35)+($D$7=$D35)/2,0),IF(AND(EXACT($C$8,$C35),ISNUMBER($D$8)),($D$8&gt;$D35)+($D$8=$D35)/2,0),IF(AND(EXACT($C$9,$C35),ISNUMBER($D$9)),($D$9&gt;$D35)+($D$9=$D35)/2,0),IF(AND(EXACT($C$10,$C35),ISNUMBER($D$10)),($D$10&gt;$D35)+($D$10=$D35)/2,0),IF(AND(EXACT($C$11,$C35),ISNUMBER($D$11)),($D$11&gt;$D35)+($D$11=$D35)/2,0),IF(AND(EXACT($C$12,$C35),ISNUMBER($D$12)),($D$12&gt;$D35)+($D$12=$D35)/2,0),IF(AND(EXACT($C$13,$C35),ISNUMBER($D$13)),($D$13&gt;$D35)+($D$13=$D35)/2,0),IF(AND(EXACT($C$14,$C35),ISNUMBER($D$14)),($D$14&gt;$D35)+($D$14=$D35)/2,0),IF(AND(EXACT($C$15,$C35),ISNUMBER($D$15)),($D$15&gt;$D35)+($D$15=$D35)/2,0),IF(AND(EXACT($C$16,$C35),ISNUMBER($D$16)),($D$16&gt;$D35)+($D$16=$D35)/2,0),IF(AND(EXACT($C$17,$C35),ISNUMBER($D$17)),($D$17&gt;$D35)+($D$17=$D35)/2,0),IF(AND(EXACT($C$18,$C35),ISNUMBER($D$18)),($D$18&gt;$D35)+($D$18=$D35)/2,0),IF(AND(EXACT($C$19,$C35),ISNUMBER($D$19)),($D$19&gt;$D35)+($D$19=$D35)/2,0),IF(AND(EXACT($C$20,$C35),ISNUMBER($D$20)),($D$20&gt;$D35)+($D$20=$D35)/2,0),IF(AND(EXACT($C$21,$C35),ISNUMBER($D$21)),($D$21&gt;$D35)+($D$21=$D35)/2,0),IF(AND(EXACT($C$22,$C35),ISNUMBER($D$22)),($D$22&gt;$D35)+($D$22=$D35)/2,0),IF(AND(EXACT($C$23,$C35),ISNUMBER($D$23)),($D$23&gt;$D35)+($D$23=$D35)/2,0),IF(AND(EXACT($C$24,$C35),ISNUMBER($D$24)),($D$24&gt;$D35)+($D$24=$D35)/2,0),IF(AND(EXACT($C$25,$C35),ISNUMBER($D$25)),($D$25&gt;$D35)+($D$25=$D35)/2,0),IF(AND(EXACT($C$26,$C35),ISNUMBER($D$26)),($D$26&gt;$D35)+($D$26=$D35)/2,0),IF(AND(EXACT($C$27,$C35),ISNUMBER($D$27)),($D$27&gt;$D35)+($D$27=$D35)/2,0),IF(AND(EXACT($C$28,$C35),ISNUMBER($D$28)),($D$28&gt;$D35)+($D$28=$D35)/2,0),IF(AND(EXACT($C$29,$C35),ISNUMBER($D$29)),($D$29&gt;$D35)+($D$29=$D35)/2,0),IF(AND(EXACT($C$30,$C35),ISNUMBER($D$30)),($D$30&gt;$D35)+($D$30=$D35)/2,0),IF(AND(EXACT($C$31,$C35),ISNUMBER($D$31)),($D$31&gt;$D35)+($D$31=$D35)/2,0),IF(AND(EXACT($C$32,$C35),ISNUMBER($D$32)),($D$32&gt;$D35)+($D$32=$D35)/2,0),IF(AND(EXACT($C$33,$C35),ISNUMBER($D$33)),($D$33&gt;$D35)+($D$33=$D35)/2,0),IF(AND(EXACT($C$34,$C35),ISNUMBER($D$34)),($D$34&gt;$D35)+($D$34=$D35)/2,0),IF(AND(EXACT($C$35,$C35),ISNUMBER($D$35)),($D$35&gt;$D35)+($D$35=$D35)/2,0),IF(AND(EXACT($C$36,$C35),ISNUMBER($D$36)),($D$36&gt;$D35)+($D$36=$D35)/2,0),IF(AND(EXACT($C$37,$C35),ISNUMBER($D$37)),($D$37&gt;$D35)+($D$37=$D35)/2,0),IF(AND(EXACT($C$38,$C35),ISNUMBER($D$38)),($D$38&gt;$D35)+($D$38=$D35)/2,0),IF(AND(EXACT($C$39,$C35),ISNUMBER($D$39)),($D$39&gt;$D35)+($D$39=$D35)/2,0),IF(AND(EXACT($C$40,$C35),ISNUMBER($D$40)),($D$40&gt;$D35)+($D$40=$D35)/2,0),IF(AND(EXACT($C$41,$C35),ISNUMBER($D$41)),($D$41&gt;$D35)+($D$41=$D35)/2,0),IF(AND(EXACT($C$42,$C35),ISNUMBER($D$42)),($D$42&gt;$D35)+($D$42=$D35)/2,0),IF(AND(EXACT($C$43,$C35),ISNUMBER($D$43)),($D$43&gt;$D35)+($D$43=$D35)/2,0),IF(AND(EXACT($C$44,$C35),ISNUMBER($D$44)),($D$44&gt;$D35)+($D$44=$D35)/2,0),IF(AND(EXACT($C$45,$C35),ISNUMBER($D$45)),($D$45&gt;$D35)+($D$45=$D35)/2,0),IF(AND(EXACT($C$46,$C35),ISNUMBER($D$46)),($D$46&gt;$D35)+($D$46=$D35)/2,0),IF(AND(EXACT($C$47,$C35),ISNUMBER($D$47)),($D$47&gt;$D35)+($D$47=$D35)/2,0),IF(AND(EXACT($C$48,$C35),ISNUMBER($D$48)),($D$48&gt;$D35)+($D$48=$D35)/2,0),IF(AND(EXACT($C$49,$C35),ISNUMBER($D$49)),($D$49&gt;$D35)+($D$49=$D35)/2,0),IF(AND(EXACT($C$50,$C35),ISNUMBER($D$50)),($D$50&gt;$D35)+($D$50=$D35)/2,0),IF(AND(EXACT($C$51,$C35),ISNUMBER($D$51)),($D$51&gt;$D35)+($D$51=$D35)/2,0),IF(AND(EXACT($C$52,$C35),ISNUMBER($D$52)),($D$52&gt;$D35)+($D$52=$D35)/2,0),IF(AND(EXACT($C$53,$C35),ISNUMBER($D$53)),($D$53&gt;$D35)+($D$53=$D35)/2,0),IF(AND(EXACT($C$54,$C35),ISNUMBER($D$54)),($D$54&gt;$D35)+($D$54=$D35)/2,0),IF(AND(EXACT($C$55,$C35),ISNUMBER($D$55)),($D$55&gt;$D35)+($D$55=$D35)/2,0),IF(AND(EXACT($C$56,$C35),ISNUMBER($D$56)),($D$56&gt;$D35)+($D$56=$D35)/2,0)))</x:f>
      </x:c>
      <x:c r="AO35" s="34" t="str">
        <x:f>IF(COUNT($D35)=0,"",SUM(IF(AND(EXACT($C$57,$C35),ISNUMBER($D$57)),($D$57&gt;$D35)+($D$57=$D35)/2,0),IF(AND(EXACT($C$58,$C35),ISNUMBER($D$58)),($D$58&gt;$D35)+($D$58=$D35)/2,0),IF(AND(EXACT($C$59,$C35),ISNUMBER($D$59)),($D$59&gt;$D35)+($D$59=$D35)/2,0),IF(AND(EXACT($C$60,$C35),ISNUMBER($D$60)),($D$60&gt;$D35)+($D$60=$D35)/2,0),IF(AND(EXACT($C$61,$C35),ISNUMBER($D$61)),($D$61&gt;$D35)+($D$61=$D35)/2,0),IF(AND(EXACT($C$62,$C35),ISNUMBER($D$62)),($D$62&gt;$D35)+($D$62=$D35)/2,0),IF(AND(EXACT($C$63,$C35),ISNUMBER($D$63)),($D$63&gt;$D35)+($D$63=$D35)/2,0),IF(AND(EXACT($C$64,$C35),ISNUMBER($D$64)),($D$64&gt;$D35)+($D$64=$D35)/2,0),IF(AND(EXACT($C$65,$C35),ISNUMBER($D$65)),($D$65&gt;$D35)+($D$65=$D35)/2,0),IF(AND(EXACT($C$66,$C35),ISNUMBER($D$66)),($D$66&gt;$D35)+($D$66=$D35)/2,0),IF(AND(EXACT($C$67,$C35),ISNUMBER($D$67)),($D$67&gt;$D35)+($D$67=$D35)/2,0),IF(AND(EXACT($C$68,$C35),ISNUMBER($D$68)),($D$68&gt;$D35)+($D$68=$D35)/2,0),IF(AND(EXACT($C$69,$C35),ISNUMBER($D$69)),($D$69&gt;$D35)+($D$69=$D35)/2,0),IF(AND(EXACT($C$70,$C35),ISNUMBER($D$70)),($D$70&gt;$D35)+($D$70=$D35)/2,0),IF(AND(EXACT($C$71,$C35),ISNUMBER($D$71)),($D$71&gt;$D35)+($D$71=$D35)/2,0),IF(AND(EXACT($C$72,$C35),ISNUMBER($D$72)),($D$72&gt;$D35)+($D$72=$D35)/2,0),IF(AND(EXACT($C$73,$C35),ISNUMBER($D$73)),($D$73&gt;$D35)+($D$73=$D35)/2,0),IF(AND(EXACT($C$74,$C35),ISNUMBER($D$74)),($D$74&gt;$D35)+($D$74=$D35)/2,0),IF(AND(EXACT($C$75,$C35),ISNUMBER($D$75)),($D$75&gt;$D35)+($D$75=$D35)/2,0),IF(AND(EXACT($C$76,$C35),ISNUMBER($D$76)),($D$76&gt;$D35)+($D$76=$D35)/2,0),IF(AND(EXACT($C$77,$C35),ISNUMBER($D$77)),($D$77&gt;$D35)+($D$77=$D35)/2,0),IF(AND(EXACT($C$78,$C35),ISNUMBER($D$78)),($D$78&gt;$D35)+($D$78=$D35)/2,0),IF(AND(EXACT($C$79,$C35),ISNUMBER($D$79)),($D$79&gt;$D35)+($D$79=$D35)/2,0),IF(AND(EXACT($C$80,$C35),ISNUMBER($D$80)),($D$80&gt;$D35)+($D$80=$D35)/2,0),IF(AND(EXACT($C$81,$C35),ISNUMBER($D$81)),($D$81&gt;$D35)+($D$81=$D35)/2,0),IF(AND(EXACT($C$82,$C35),ISNUMBER($D$82)),($D$82&gt;$D35)+($D$82=$D35)/2,0),IF(AND(EXACT($C$83,$C35),ISNUMBER($D$83)),($D$83&gt;$D35)+($D$83=$D35)/2,0),IF(AND(EXACT($C$84,$C35),ISNUMBER($D$84)),($D$84&gt;$D35)+($D$84=$D35)/2,0),IF(AND(EXACT($C$85,$C35),ISNUMBER($D$85)),($D$85&gt;$D35)+($D$85=$D35)/2,0),IF(AND(EXACT($C$86,$C35),ISNUMBER($D$86)),($D$86&gt;$D35)+($D$86=$D35)/2,0),IF(AND(EXACT($C$87,$C35),ISNUMBER($D$87)),($D$87&gt;$D35)+($D$87=$D35)/2,0),IF(AND(EXACT($C$88,$C35),ISNUMBER($D$88)),($D$88&gt;$D35)+($D$88=$D35)/2,0),IF(AND(EXACT($C$89,$C35),ISNUMBER($D$89)),($D$89&gt;$D35)+($D$89=$D35)/2,0),IF(AND(EXACT($C$90,$C35),ISNUMBER($D$90)),($D$90&gt;$D35)+($D$90=$D35)/2,0),IF(AND(EXACT($C$91,$C35),ISNUMBER($D$91)),($D$91&gt;$D35)+($D$91=$D35)/2,0),IF(AND(EXACT($C$92,$C35),ISNUMBER($D$92)),($D$92&gt;$D35)+($D$92=$D35)/2,0),IF(AND(EXACT($C$93,$C35),ISNUMBER($D$93)),($D$93&gt;$D35)+($D$93=$D35)/2,0),IF(AND(EXACT($C$94,$C35),ISNUMBER($D$94)),($D$94&gt;$D35)+($D$94=$D35)/2,0),IF(AND(EXACT($C$95,$C35),ISNUMBER($D$95)),($D$95&gt;$D35)+($D$95=$D35)/2,0),IF(AND(EXACT($C$96,$C35),ISNUMBER($D$96)),($D$96&gt;$D35)+($D$96=$D35)/2,0),IF(AND(EXACT($C$97,$C35),ISNUMBER($D$97)),($D$97&gt;$D35)+($D$97=$D35)/2,0),IF(AND(EXACT($C$98,$C35),ISNUMBER($D$98)),($D$98&gt;$D35)+($D$98=$D35)/2,0),IF(AND(EXACT($C$99,$C35),ISNUMBER($D$99)),($D$99&gt;$D35)+($D$99=$D35)/2,0),IF(AND(EXACT($C$100,$C35),ISNUMBER($D$100)),($D$100&gt;$D35)+($D$100=$D35)/2,0),IF(AND(EXACT($C$101,$C35),ISNUMBER($D$101)),($D$101&gt;$D35)+($D$101=$D35)/2,0),IF(AND(EXACT($C$102,$C35),ISNUMBER($D$102)),($D$102&gt;$D35)+($D$102=$D35)/2,0),IF(AND(EXACT($C$103,$C35),ISNUMBER($D$103)),($D$103&gt;$D35)+($D$103=$D35)/2,0),IF(AND(EXACT($C$104,$C35),ISNUMBER($D$104)),($D$104&gt;$D35)+($D$104=$D35)/2,0),IF(AND(EXACT($C$105,$C35),ISNUMBER($D$105)),($D$105&gt;$D35)+($D$105=$D35)/2,0),IF(AND(EXACT($C$106,$C35),ISNUMBER($D$106)),($D$106&gt;$D35)+($D$106=$D35)/2,0)))</x:f>
      </x:c>
    </x:row>
    <x:row r="36">
      <x:c r="A36" s="34" t="str">
        <x:f>IF('91_CALC_SCORES'!A36="","",'91_CALC_SCORES'!A36)</x:f>
      </x:c>
      <x:c r="B36" s="34" t="str">
        <x:f>IF($A36="","",'91_CALC_SCORES'!B36)</x:f>
      </x:c>
      <x:c r="C36" s="34" t="str">
        <x:f>IF($A36="","",'91_CALC_SCORES'!K36)</x:f>
      </x:c>
      <x:c r="D36" s="57" t="str">
        <x:f>IF(OR($A36="",NOT(OR(LEFT('91_CALC_SCORES'!AB36,4)="PASS",LEFT('91_CALC_SCORES'!AB36,5)="READY"))),"",'91_CALC_SCORES'!Y36)</x:f>
      </x:c>
      <x:c r="E36" s="34" t="str">
        <x:f>IF(COUNT(D36)=0,"",1+SUM(AN36:AO36)-1/2)</x:f>
      </x:c>
      <x:c r="F36" s="34" t="str">
        <x:f>IF($A36="","",'91_CALC_SCORES'!AB36)</x:f>
      </x:c>
      <x:c r="G36" s="34" t="str">
        <x:f>IF(A36="","","연구 베타 | 기업 백분위 아님")</x:f>
      </x:c>
      <x:c r="I36" s="13" t="str">
        <x:f>IF($A$36="","",$A$36)</x:f>
      </x:c>
      <x:c r="J36" s="58" t="str">
        <x:f>IF(OR($A36="",$A$7=""),"",IF(COUNT($D36,$D$7)&lt;&gt;2,"N/A:input",IF(EXACT($C36,$C$7),$D36-$D$7,"N/A:cohort")))</x:f>
      </x:c>
      <x:c r="K36" s="58" t="str">
        <x:f>IF(OR($A36="",$A$8=""),"",IF(COUNT($D36,$D$8)&lt;&gt;2,"N/A:input",IF(EXACT($C36,$C$8),$D36-$D$8,"N/A:cohort")))</x:f>
      </x:c>
      <x:c r="L36" s="58" t="str">
        <x:f>IF(OR($A36="",$A$9=""),"",IF(COUNT($D36,$D$9)&lt;&gt;2,"N/A:input",IF(EXACT($C36,$C$9),$D36-$D$9,"N/A:cohort")))</x:f>
      </x:c>
      <x:c r="M36" s="58" t="str">
        <x:f>IF(OR($A36="",$A$10=""),"",IF(COUNT($D36,$D$10)&lt;&gt;2,"N/A:input",IF(EXACT($C36,$C$10),$D36-$D$10,"N/A:cohort")))</x:f>
      </x:c>
      <x:c r="N36" s="58" t="str">
        <x:f>IF(OR($A36="",$A$11=""),"",IF(COUNT($D36,$D$11)&lt;&gt;2,"N/A:input",IF(EXACT($C36,$C$11),$D36-$D$11,"N/A:cohort")))</x:f>
      </x:c>
      <x:c r="O36" s="58" t="str">
        <x:f>IF(OR($A36="",$A$12=""),"",IF(COUNT($D36,$D$12)&lt;&gt;2,"N/A:input",IF(EXACT($C36,$C$12),$D36-$D$12,"N/A:cohort")))</x:f>
      </x:c>
      <x:c r="P36" s="58" t="str">
        <x:f>IF(OR($A36="",$A$13=""),"",IF(COUNT($D36,$D$13)&lt;&gt;2,"N/A:input",IF(EXACT($C36,$C$13),$D36-$D$13,"N/A:cohort")))</x:f>
      </x:c>
      <x:c r="Q36" s="58" t="str">
        <x:f>IF(OR($A36="",$A$14=""),"",IF(COUNT($D36,$D$14)&lt;&gt;2,"N/A:input",IF(EXACT($C36,$C$14),$D36-$D$14,"N/A:cohort")))</x:f>
      </x:c>
      <x:c r="R36" s="58" t="str">
        <x:f>IF(OR($A36="",$A$15=""),"",IF(COUNT($D36,$D$15)&lt;&gt;2,"N/A:input",IF(EXACT($C36,$C$15),$D36-$D$15,"N/A:cohort")))</x:f>
      </x:c>
      <x:c r="S36" s="58" t="str">
        <x:f>IF(OR($A36="",$A$16=""),"",IF(COUNT($D36,$D$16)&lt;&gt;2,"N/A:input",IF(EXACT($C36,$C$16),$D36-$D$16,"N/A:cohort")))</x:f>
      </x:c>
      <x:c r="T36" s="58" t="str">
        <x:f>IF(OR($A36="",$A$17=""),"",IF(COUNT($D36,$D$17)&lt;&gt;2,"N/A:input",IF(EXACT($C36,$C$17),$D36-$D$17,"N/A:cohort")))</x:f>
      </x:c>
      <x:c r="U36" s="58" t="str">
        <x:f>IF(OR($A36="",$A$18=""),"",IF(COUNT($D36,$D$18)&lt;&gt;2,"N/A:input",IF(EXACT($C36,$C$18),$D36-$D$18,"N/A:cohort")))</x:f>
      </x:c>
      <x:c r="V36" s="58" t="str">
        <x:f>IF(OR($A36="",$A$19=""),"",IF(COUNT($D36,$D$19)&lt;&gt;2,"N/A:input",IF(EXACT($C36,$C$19),$D36-$D$19,"N/A:cohort")))</x:f>
      </x:c>
      <x:c r="W36" s="58" t="str">
        <x:f>IF(OR($A36="",$A$20=""),"",IF(COUNT($D36,$D$20)&lt;&gt;2,"N/A:input",IF(EXACT($C36,$C$20),$D36-$D$20,"N/A:cohort")))</x:f>
      </x:c>
      <x:c r="X36" s="58" t="str">
        <x:f>IF(OR($A36="",$A$21=""),"",IF(COUNT($D36,$D$21)&lt;&gt;2,"N/A:input",IF(EXACT($C36,$C$21),$D36-$D$21,"N/A:cohort")))</x:f>
      </x:c>
      <x:c r="Y36" s="58" t="str">
        <x:f>IF(OR($A36="",$A$22=""),"",IF(COUNT($D36,$D$22)&lt;&gt;2,"N/A:input",IF(EXACT($C36,$C$22),$D36-$D$22,"N/A:cohort")))</x:f>
      </x:c>
      <x:c r="Z36" s="58" t="str">
        <x:f>IF(OR($A36="",$A$23=""),"",IF(COUNT($D36,$D$23)&lt;&gt;2,"N/A:input",IF(EXACT($C36,$C$23),$D36-$D$23,"N/A:cohort")))</x:f>
      </x:c>
      <x:c r="AA36" s="58" t="str">
        <x:f>IF(OR($A36="",$A$24=""),"",IF(COUNT($D36,$D$24)&lt;&gt;2,"N/A:input",IF(EXACT($C36,$C$24),$D36-$D$24,"N/A:cohort")))</x:f>
      </x:c>
      <x:c r="AB36" s="58" t="str">
        <x:f>IF(OR($A36="",$A$25=""),"",IF(COUNT($D36,$D$25)&lt;&gt;2,"N/A:input",IF(EXACT($C36,$C$25),$D36-$D$25,"N/A:cohort")))</x:f>
      </x:c>
      <x:c r="AC36" s="58" t="str">
        <x:f>IF(OR($A36="",$A$26=""),"",IF(COUNT($D36,$D$26)&lt;&gt;2,"N/A:input",IF(EXACT($C36,$C$26),$D36-$D$26,"N/A:cohort")))</x:f>
      </x:c>
      <x:c r="AD36" s="58" t="str">
        <x:f>IF(OR($A36="",$A$27=""),"",IF(COUNT($D36,$D$27)&lt;&gt;2,"N/A:input",IF(EXACT($C36,$C$27),$D36-$D$27,"N/A:cohort")))</x:f>
      </x:c>
      <x:c r="AE36" s="58" t="str">
        <x:f>IF(OR($A36="",$A$28=""),"",IF(COUNT($D36,$D$28)&lt;&gt;2,"N/A:input",IF(EXACT($C36,$C$28),$D36-$D$28,"N/A:cohort")))</x:f>
      </x:c>
      <x:c r="AF36" s="58" t="str">
        <x:f>IF(OR($A36="",$A$29=""),"",IF(COUNT($D36,$D$29)&lt;&gt;2,"N/A:input",IF(EXACT($C36,$C$29),$D36-$D$29,"N/A:cohort")))</x:f>
      </x:c>
      <x:c r="AG36" s="58" t="str">
        <x:f>IF(OR($A36="",$A$30=""),"",IF(COUNT($D36,$D$30)&lt;&gt;2,"N/A:input",IF(EXACT($C36,$C$30),$D36-$D$30,"N/A:cohort")))</x:f>
      </x:c>
      <x:c r="AH36" s="58" t="str">
        <x:f>IF(OR($A36="",$A$31=""),"",IF(COUNT($D36,$D$31)&lt;&gt;2,"N/A:input",IF(EXACT($C36,$C$31),$D36-$D$31,"N/A:cohort")))</x:f>
      </x:c>
      <x:c r="AI36" s="58" t="str">
        <x:f>IF(OR($A36="",$A$32=""),"",IF(COUNT($D36,$D$32)&lt;&gt;2,"N/A:input",IF(EXACT($C36,$C$32),$D36-$D$32,"N/A:cohort")))</x:f>
      </x:c>
      <x:c r="AJ36" s="58" t="str">
        <x:f>IF(OR($A36="",$A$33=""),"",IF(COUNT($D36,$D$33)&lt;&gt;2,"N/A:input",IF(EXACT($C36,$C$33),$D36-$D$33,"N/A:cohort")))</x:f>
      </x:c>
      <x:c r="AK36" s="58" t="str">
        <x:f>IF(OR($A36="",$A$34=""),"",IF(COUNT($D36,$D$34)&lt;&gt;2,"N/A:input",IF(EXACT($C36,$C$34),$D36-$D$34,"N/A:cohort")))</x:f>
      </x:c>
      <x:c r="AL36" s="58" t="str">
        <x:f>IF(OR($A36="",$A$35=""),"",IF(COUNT($D36,$D$35)&lt;&gt;2,"N/A:input",IF(EXACT($C36,$C$35),$D36-$D$35,"N/A:cohort")))</x:f>
      </x:c>
      <x:c r="AM36" s="58" t="str">
        <x:f>IF(OR($A36="",$A$36=""),"",IF(COUNT($D36,$D$36)&lt;&gt;2,"N/A:input",IF(EXACT($C36,$C$36),$D36-$D$36,"N/A:cohort")))</x:f>
      </x:c>
      <x:c r="AN36" s="34" t="str">
        <x:f>IF(COUNT($D36)=0,"",SUM(IF(AND(EXACT($C$7,$C36),ISNUMBER($D$7)),($D$7&gt;$D36)+($D$7=$D36)/2,0),IF(AND(EXACT($C$8,$C36),ISNUMBER($D$8)),($D$8&gt;$D36)+($D$8=$D36)/2,0),IF(AND(EXACT($C$9,$C36),ISNUMBER($D$9)),($D$9&gt;$D36)+($D$9=$D36)/2,0),IF(AND(EXACT($C$10,$C36),ISNUMBER($D$10)),($D$10&gt;$D36)+($D$10=$D36)/2,0),IF(AND(EXACT($C$11,$C36),ISNUMBER($D$11)),($D$11&gt;$D36)+($D$11=$D36)/2,0),IF(AND(EXACT($C$12,$C36),ISNUMBER($D$12)),($D$12&gt;$D36)+($D$12=$D36)/2,0),IF(AND(EXACT($C$13,$C36),ISNUMBER($D$13)),($D$13&gt;$D36)+($D$13=$D36)/2,0),IF(AND(EXACT($C$14,$C36),ISNUMBER($D$14)),($D$14&gt;$D36)+($D$14=$D36)/2,0),IF(AND(EXACT($C$15,$C36),ISNUMBER($D$15)),($D$15&gt;$D36)+($D$15=$D36)/2,0),IF(AND(EXACT($C$16,$C36),ISNUMBER($D$16)),($D$16&gt;$D36)+($D$16=$D36)/2,0),IF(AND(EXACT($C$17,$C36),ISNUMBER($D$17)),($D$17&gt;$D36)+($D$17=$D36)/2,0),IF(AND(EXACT($C$18,$C36),ISNUMBER($D$18)),($D$18&gt;$D36)+($D$18=$D36)/2,0),IF(AND(EXACT($C$19,$C36),ISNUMBER($D$19)),($D$19&gt;$D36)+($D$19=$D36)/2,0),IF(AND(EXACT($C$20,$C36),ISNUMBER($D$20)),($D$20&gt;$D36)+($D$20=$D36)/2,0),IF(AND(EXACT($C$21,$C36),ISNUMBER($D$21)),($D$21&gt;$D36)+($D$21=$D36)/2,0),IF(AND(EXACT($C$22,$C36),ISNUMBER($D$22)),($D$22&gt;$D36)+($D$22=$D36)/2,0),IF(AND(EXACT($C$23,$C36),ISNUMBER($D$23)),($D$23&gt;$D36)+($D$23=$D36)/2,0),IF(AND(EXACT($C$24,$C36),ISNUMBER($D$24)),($D$24&gt;$D36)+($D$24=$D36)/2,0),IF(AND(EXACT($C$25,$C36),ISNUMBER($D$25)),($D$25&gt;$D36)+($D$25=$D36)/2,0),IF(AND(EXACT($C$26,$C36),ISNUMBER($D$26)),($D$26&gt;$D36)+($D$26=$D36)/2,0),IF(AND(EXACT($C$27,$C36),ISNUMBER($D$27)),($D$27&gt;$D36)+($D$27=$D36)/2,0),IF(AND(EXACT($C$28,$C36),ISNUMBER($D$28)),($D$28&gt;$D36)+($D$28=$D36)/2,0),IF(AND(EXACT($C$29,$C36),ISNUMBER($D$29)),($D$29&gt;$D36)+($D$29=$D36)/2,0),IF(AND(EXACT($C$30,$C36),ISNUMBER($D$30)),($D$30&gt;$D36)+($D$30=$D36)/2,0),IF(AND(EXACT($C$31,$C36),ISNUMBER($D$31)),($D$31&gt;$D36)+($D$31=$D36)/2,0),IF(AND(EXACT($C$32,$C36),ISNUMBER($D$32)),($D$32&gt;$D36)+($D$32=$D36)/2,0),IF(AND(EXACT($C$33,$C36),ISNUMBER($D$33)),($D$33&gt;$D36)+($D$33=$D36)/2,0),IF(AND(EXACT($C$34,$C36),ISNUMBER($D$34)),($D$34&gt;$D36)+($D$34=$D36)/2,0),IF(AND(EXACT($C$35,$C36),ISNUMBER($D$35)),($D$35&gt;$D36)+($D$35=$D36)/2,0),IF(AND(EXACT($C$36,$C36),ISNUMBER($D$36)),($D$36&gt;$D36)+($D$36=$D36)/2,0),IF(AND(EXACT($C$37,$C36),ISNUMBER($D$37)),($D$37&gt;$D36)+($D$37=$D36)/2,0),IF(AND(EXACT($C$38,$C36),ISNUMBER($D$38)),($D$38&gt;$D36)+($D$38=$D36)/2,0),IF(AND(EXACT($C$39,$C36),ISNUMBER($D$39)),($D$39&gt;$D36)+($D$39=$D36)/2,0),IF(AND(EXACT($C$40,$C36),ISNUMBER($D$40)),($D$40&gt;$D36)+($D$40=$D36)/2,0),IF(AND(EXACT($C$41,$C36),ISNUMBER($D$41)),($D$41&gt;$D36)+($D$41=$D36)/2,0),IF(AND(EXACT($C$42,$C36),ISNUMBER($D$42)),($D$42&gt;$D36)+($D$42=$D36)/2,0),IF(AND(EXACT($C$43,$C36),ISNUMBER($D$43)),($D$43&gt;$D36)+($D$43=$D36)/2,0),IF(AND(EXACT($C$44,$C36),ISNUMBER($D$44)),($D$44&gt;$D36)+($D$44=$D36)/2,0),IF(AND(EXACT($C$45,$C36),ISNUMBER($D$45)),($D$45&gt;$D36)+($D$45=$D36)/2,0),IF(AND(EXACT($C$46,$C36),ISNUMBER($D$46)),($D$46&gt;$D36)+($D$46=$D36)/2,0),IF(AND(EXACT($C$47,$C36),ISNUMBER($D$47)),($D$47&gt;$D36)+($D$47=$D36)/2,0),IF(AND(EXACT($C$48,$C36),ISNUMBER($D$48)),($D$48&gt;$D36)+($D$48=$D36)/2,0),IF(AND(EXACT($C$49,$C36),ISNUMBER($D$49)),($D$49&gt;$D36)+($D$49=$D36)/2,0),IF(AND(EXACT($C$50,$C36),ISNUMBER($D$50)),($D$50&gt;$D36)+($D$50=$D36)/2,0),IF(AND(EXACT($C$51,$C36),ISNUMBER($D$51)),($D$51&gt;$D36)+($D$51=$D36)/2,0),IF(AND(EXACT($C$52,$C36),ISNUMBER($D$52)),($D$52&gt;$D36)+($D$52=$D36)/2,0),IF(AND(EXACT($C$53,$C36),ISNUMBER($D$53)),($D$53&gt;$D36)+($D$53=$D36)/2,0),IF(AND(EXACT($C$54,$C36),ISNUMBER($D$54)),($D$54&gt;$D36)+($D$54=$D36)/2,0),IF(AND(EXACT($C$55,$C36),ISNUMBER($D$55)),($D$55&gt;$D36)+($D$55=$D36)/2,0),IF(AND(EXACT($C$56,$C36),ISNUMBER($D$56)),($D$56&gt;$D36)+($D$56=$D36)/2,0)))</x:f>
      </x:c>
      <x:c r="AO36" s="34" t="str">
        <x:f>IF(COUNT($D36)=0,"",SUM(IF(AND(EXACT($C$57,$C36),ISNUMBER($D$57)),($D$57&gt;$D36)+($D$57=$D36)/2,0),IF(AND(EXACT($C$58,$C36),ISNUMBER($D$58)),($D$58&gt;$D36)+($D$58=$D36)/2,0),IF(AND(EXACT($C$59,$C36),ISNUMBER($D$59)),($D$59&gt;$D36)+($D$59=$D36)/2,0),IF(AND(EXACT($C$60,$C36),ISNUMBER($D$60)),($D$60&gt;$D36)+($D$60=$D36)/2,0),IF(AND(EXACT($C$61,$C36),ISNUMBER($D$61)),($D$61&gt;$D36)+($D$61=$D36)/2,0),IF(AND(EXACT($C$62,$C36),ISNUMBER($D$62)),($D$62&gt;$D36)+($D$62=$D36)/2,0),IF(AND(EXACT($C$63,$C36),ISNUMBER($D$63)),($D$63&gt;$D36)+($D$63=$D36)/2,0),IF(AND(EXACT($C$64,$C36),ISNUMBER($D$64)),($D$64&gt;$D36)+($D$64=$D36)/2,0),IF(AND(EXACT($C$65,$C36),ISNUMBER($D$65)),($D$65&gt;$D36)+($D$65=$D36)/2,0),IF(AND(EXACT($C$66,$C36),ISNUMBER($D$66)),($D$66&gt;$D36)+($D$66=$D36)/2,0),IF(AND(EXACT($C$67,$C36),ISNUMBER($D$67)),($D$67&gt;$D36)+($D$67=$D36)/2,0),IF(AND(EXACT($C$68,$C36),ISNUMBER($D$68)),($D$68&gt;$D36)+($D$68=$D36)/2,0),IF(AND(EXACT($C$69,$C36),ISNUMBER($D$69)),($D$69&gt;$D36)+($D$69=$D36)/2,0),IF(AND(EXACT($C$70,$C36),ISNUMBER($D$70)),($D$70&gt;$D36)+($D$70=$D36)/2,0),IF(AND(EXACT($C$71,$C36),ISNUMBER($D$71)),($D$71&gt;$D36)+($D$71=$D36)/2,0),IF(AND(EXACT($C$72,$C36),ISNUMBER($D$72)),($D$72&gt;$D36)+($D$72=$D36)/2,0),IF(AND(EXACT($C$73,$C36),ISNUMBER($D$73)),($D$73&gt;$D36)+($D$73=$D36)/2,0),IF(AND(EXACT($C$74,$C36),ISNUMBER($D$74)),($D$74&gt;$D36)+($D$74=$D36)/2,0),IF(AND(EXACT($C$75,$C36),ISNUMBER($D$75)),($D$75&gt;$D36)+($D$75=$D36)/2,0),IF(AND(EXACT($C$76,$C36),ISNUMBER($D$76)),($D$76&gt;$D36)+($D$76=$D36)/2,0),IF(AND(EXACT($C$77,$C36),ISNUMBER($D$77)),($D$77&gt;$D36)+($D$77=$D36)/2,0),IF(AND(EXACT($C$78,$C36),ISNUMBER($D$78)),($D$78&gt;$D36)+($D$78=$D36)/2,0),IF(AND(EXACT($C$79,$C36),ISNUMBER($D$79)),($D$79&gt;$D36)+($D$79=$D36)/2,0),IF(AND(EXACT($C$80,$C36),ISNUMBER($D$80)),($D$80&gt;$D36)+($D$80=$D36)/2,0),IF(AND(EXACT($C$81,$C36),ISNUMBER($D$81)),($D$81&gt;$D36)+($D$81=$D36)/2,0),IF(AND(EXACT($C$82,$C36),ISNUMBER($D$82)),($D$82&gt;$D36)+($D$82=$D36)/2,0),IF(AND(EXACT($C$83,$C36),ISNUMBER($D$83)),($D$83&gt;$D36)+($D$83=$D36)/2,0),IF(AND(EXACT($C$84,$C36),ISNUMBER($D$84)),($D$84&gt;$D36)+($D$84=$D36)/2,0),IF(AND(EXACT($C$85,$C36),ISNUMBER($D$85)),($D$85&gt;$D36)+($D$85=$D36)/2,0),IF(AND(EXACT($C$86,$C36),ISNUMBER($D$86)),($D$86&gt;$D36)+($D$86=$D36)/2,0),IF(AND(EXACT($C$87,$C36),ISNUMBER($D$87)),($D$87&gt;$D36)+($D$87=$D36)/2,0),IF(AND(EXACT($C$88,$C36),ISNUMBER($D$88)),($D$88&gt;$D36)+($D$88=$D36)/2,0),IF(AND(EXACT($C$89,$C36),ISNUMBER($D$89)),($D$89&gt;$D36)+($D$89=$D36)/2,0),IF(AND(EXACT($C$90,$C36),ISNUMBER($D$90)),($D$90&gt;$D36)+($D$90=$D36)/2,0),IF(AND(EXACT($C$91,$C36),ISNUMBER($D$91)),($D$91&gt;$D36)+($D$91=$D36)/2,0),IF(AND(EXACT($C$92,$C36),ISNUMBER($D$92)),($D$92&gt;$D36)+($D$92=$D36)/2,0),IF(AND(EXACT($C$93,$C36),ISNUMBER($D$93)),($D$93&gt;$D36)+($D$93=$D36)/2,0),IF(AND(EXACT($C$94,$C36),ISNUMBER($D$94)),($D$94&gt;$D36)+($D$94=$D36)/2,0),IF(AND(EXACT($C$95,$C36),ISNUMBER($D$95)),($D$95&gt;$D36)+($D$95=$D36)/2,0),IF(AND(EXACT($C$96,$C36),ISNUMBER($D$96)),($D$96&gt;$D36)+($D$96=$D36)/2,0),IF(AND(EXACT($C$97,$C36),ISNUMBER($D$97)),($D$97&gt;$D36)+($D$97=$D36)/2,0),IF(AND(EXACT($C$98,$C36),ISNUMBER($D$98)),($D$98&gt;$D36)+($D$98=$D36)/2,0),IF(AND(EXACT($C$99,$C36),ISNUMBER($D$99)),($D$99&gt;$D36)+($D$99=$D36)/2,0),IF(AND(EXACT($C$100,$C36),ISNUMBER($D$100)),($D$100&gt;$D36)+($D$100=$D36)/2,0),IF(AND(EXACT($C$101,$C36),ISNUMBER($D$101)),($D$101&gt;$D36)+($D$101=$D36)/2,0),IF(AND(EXACT($C$102,$C36),ISNUMBER($D$102)),($D$102&gt;$D36)+($D$102=$D36)/2,0),IF(AND(EXACT($C$103,$C36),ISNUMBER($D$103)),($D$103&gt;$D36)+($D$103=$D36)/2,0),IF(AND(EXACT($C$104,$C36),ISNUMBER($D$104)),($D$104&gt;$D36)+($D$104=$D36)/2,0),IF(AND(EXACT($C$105,$C36),ISNUMBER($D$105)),($D$105&gt;$D36)+($D$105=$D36)/2,0),IF(AND(EXACT($C$106,$C36),ISNUMBER($D$106)),($D$106&gt;$D36)+($D$106=$D36)/2,0)))</x:f>
      </x:c>
    </x:row>
    <x:row r="37">
      <x:c r="A37" s="34" t="str">
        <x:f>IF('91_CALC_SCORES'!A37="","",'91_CALC_SCORES'!A37)</x:f>
      </x:c>
      <x:c r="B37" s="34" t="str">
        <x:f>IF($A37="","",'91_CALC_SCORES'!B37)</x:f>
      </x:c>
      <x:c r="C37" s="34" t="str">
        <x:f>IF($A37="","",'91_CALC_SCORES'!K37)</x:f>
      </x:c>
      <x:c r="D37" s="57" t="str">
        <x:f>IF(OR($A37="",NOT(OR(LEFT('91_CALC_SCORES'!AB37,4)="PASS",LEFT('91_CALC_SCORES'!AB37,5)="READY"))),"",'91_CALC_SCORES'!Y37)</x:f>
      </x:c>
      <x:c r="E37" s="34" t="str">
        <x:f>IF(COUNT(D37)=0,"",1+SUM(AN37:AO37)-1/2)</x:f>
      </x:c>
      <x:c r="F37" s="34" t="str">
        <x:f>IF($A37="","",'91_CALC_SCORES'!AB37)</x:f>
      </x:c>
      <x:c r="G37" s="34" t="str">
        <x:f>IF(A37="","","연구 베타 | 기업 백분위 아님")</x:f>
      </x:c>
      <x:c r="AN37" s="34" t="str">
        <x:f>IF(COUNT($D37)=0,"",SUM(IF(AND(EXACT($C$7,$C37),ISNUMBER($D$7)),($D$7&gt;$D37)+($D$7=$D37)/2,0),IF(AND(EXACT($C$8,$C37),ISNUMBER($D$8)),($D$8&gt;$D37)+($D$8=$D37)/2,0),IF(AND(EXACT($C$9,$C37),ISNUMBER($D$9)),($D$9&gt;$D37)+($D$9=$D37)/2,0),IF(AND(EXACT($C$10,$C37),ISNUMBER($D$10)),($D$10&gt;$D37)+($D$10=$D37)/2,0),IF(AND(EXACT($C$11,$C37),ISNUMBER($D$11)),($D$11&gt;$D37)+($D$11=$D37)/2,0),IF(AND(EXACT($C$12,$C37),ISNUMBER($D$12)),($D$12&gt;$D37)+($D$12=$D37)/2,0),IF(AND(EXACT($C$13,$C37),ISNUMBER($D$13)),($D$13&gt;$D37)+($D$13=$D37)/2,0),IF(AND(EXACT($C$14,$C37),ISNUMBER($D$14)),($D$14&gt;$D37)+($D$14=$D37)/2,0),IF(AND(EXACT($C$15,$C37),ISNUMBER($D$15)),($D$15&gt;$D37)+($D$15=$D37)/2,0),IF(AND(EXACT($C$16,$C37),ISNUMBER($D$16)),($D$16&gt;$D37)+($D$16=$D37)/2,0),IF(AND(EXACT($C$17,$C37),ISNUMBER($D$17)),($D$17&gt;$D37)+($D$17=$D37)/2,0),IF(AND(EXACT($C$18,$C37),ISNUMBER($D$18)),($D$18&gt;$D37)+($D$18=$D37)/2,0),IF(AND(EXACT($C$19,$C37),ISNUMBER($D$19)),($D$19&gt;$D37)+($D$19=$D37)/2,0),IF(AND(EXACT($C$20,$C37),ISNUMBER($D$20)),($D$20&gt;$D37)+($D$20=$D37)/2,0),IF(AND(EXACT($C$21,$C37),ISNUMBER($D$21)),($D$21&gt;$D37)+($D$21=$D37)/2,0),IF(AND(EXACT($C$22,$C37),ISNUMBER($D$22)),($D$22&gt;$D37)+($D$22=$D37)/2,0),IF(AND(EXACT($C$23,$C37),ISNUMBER($D$23)),($D$23&gt;$D37)+($D$23=$D37)/2,0),IF(AND(EXACT($C$24,$C37),ISNUMBER($D$24)),($D$24&gt;$D37)+($D$24=$D37)/2,0),IF(AND(EXACT($C$25,$C37),ISNUMBER($D$25)),($D$25&gt;$D37)+($D$25=$D37)/2,0),IF(AND(EXACT($C$26,$C37),ISNUMBER($D$26)),($D$26&gt;$D37)+($D$26=$D37)/2,0),IF(AND(EXACT($C$27,$C37),ISNUMBER($D$27)),($D$27&gt;$D37)+($D$27=$D37)/2,0),IF(AND(EXACT($C$28,$C37),ISNUMBER($D$28)),($D$28&gt;$D37)+($D$28=$D37)/2,0),IF(AND(EXACT($C$29,$C37),ISNUMBER($D$29)),($D$29&gt;$D37)+($D$29=$D37)/2,0),IF(AND(EXACT($C$30,$C37),ISNUMBER($D$30)),($D$30&gt;$D37)+($D$30=$D37)/2,0),IF(AND(EXACT($C$31,$C37),ISNUMBER($D$31)),($D$31&gt;$D37)+($D$31=$D37)/2,0),IF(AND(EXACT($C$32,$C37),ISNUMBER($D$32)),($D$32&gt;$D37)+($D$32=$D37)/2,0),IF(AND(EXACT($C$33,$C37),ISNUMBER($D$33)),($D$33&gt;$D37)+($D$33=$D37)/2,0),IF(AND(EXACT($C$34,$C37),ISNUMBER($D$34)),($D$34&gt;$D37)+($D$34=$D37)/2,0),IF(AND(EXACT($C$35,$C37),ISNUMBER($D$35)),($D$35&gt;$D37)+($D$35=$D37)/2,0),IF(AND(EXACT($C$36,$C37),ISNUMBER($D$36)),($D$36&gt;$D37)+($D$36=$D37)/2,0),IF(AND(EXACT($C$37,$C37),ISNUMBER($D$37)),($D$37&gt;$D37)+($D$37=$D37)/2,0),IF(AND(EXACT($C$38,$C37),ISNUMBER($D$38)),($D$38&gt;$D37)+($D$38=$D37)/2,0),IF(AND(EXACT($C$39,$C37),ISNUMBER($D$39)),($D$39&gt;$D37)+($D$39=$D37)/2,0),IF(AND(EXACT($C$40,$C37),ISNUMBER($D$40)),($D$40&gt;$D37)+($D$40=$D37)/2,0),IF(AND(EXACT($C$41,$C37),ISNUMBER($D$41)),($D$41&gt;$D37)+($D$41=$D37)/2,0),IF(AND(EXACT($C$42,$C37),ISNUMBER($D$42)),($D$42&gt;$D37)+($D$42=$D37)/2,0),IF(AND(EXACT($C$43,$C37),ISNUMBER($D$43)),($D$43&gt;$D37)+($D$43=$D37)/2,0),IF(AND(EXACT($C$44,$C37),ISNUMBER($D$44)),($D$44&gt;$D37)+($D$44=$D37)/2,0),IF(AND(EXACT($C$45,$C37),ISNUMBER($D$45)),($D$45&gt;$D37)+($D$45=$D37)/2,0),IF(AND(EXACT($C$46,$C37),ISNUMBER($D$46)),($D$46&gt;$D37)+($D$46=$D37)/2,0),IF(AND(EXACT($C$47,$C37),ISNUMBER($D$47)),($D$47&gt;$D37)+($D$47=$D37)/2,0),IF(AND(EXACT($C$48,$C37),ISNUMBER($D$48)),($D$48&gt;$D37)+($D$48=$D37)/2,0),IF(AND(EXACT($C$49,$C37),ISNUMBER($D$49)),($D$49&gt;$D37)+($D$49=$D37)/2,0),IF(AND(EXACT($C$50,$C37),ISNUMBER($D$50)),($D$50&gt;$D37)+($D$50=$D37)/2,0),IF(AND(EXACT($C$51,$C37),ISNUMBER($D$51)),($D$51&gt;$D37)+($D$51=$D37)/2,0),IF(AND(EXACT($C$52,$C37),ISNUMBER($D$52)),($D$52&gt;$D37)+($D$52=$D37)/2,0),IF(AND(EXACT($C$53,$C37),ISNUMBER($D$53)),($D$53&gt;$D37)+($D$53=$D37)/2,0),IF(AND(EXACT($C$54,$C37),ISNUMBER($D$54)),($D$54&gt;$D37)+($D$54=$D37)/2,0),IF(AND(EXACT($C$55,$C37),ISNUMBER($D$55)),($D$55&gt;$D37)+($D$55=$D37)/2,0),IF(AND(EXACT($C$56,$C37),ISNUMBER($D$56)),($D$56&gt;$D37)+($D$56=$D37)/2,0)))</x:f>
      </x:c>
      <x:c r="AO37" s="34" t="str">
        <x:f>IF(COUNT($D37)=0,"",SUM(IF(AND(EXACT($C$57,$C37),ISNUMBER($D$57)),($D$57&gt;$D37)+($D$57=$D37)/2,0),IF(AND(EXACT($C$58,$C37),ISNUMBER($D$58)),($D$58&gt;$D37)+($D$58=$D37)/2,0),IF(AND(EXACT($C$59,$C37),ISNUMBER($D$59)),($D$59&gt;$D37)+($D$59=$D37)/2,0),IF(AND(EXACT($C$60,$C37),ISNUMBER($D$60)),($D$60&gt;$D37)+($D$60=$D37)/2,0),IF(AND(EXACT($C$61,$C37),ISNUMBER($D$61)),($D$61&gt;$D37)+($D$61=$D37)/2,0),IF(AND(EXACT($C$62,$C37),ISNUMBER($D$62)),($D$62&gt;$D37)+($D$62=$D37)/2,0),IF(AND(EXACT($C$63,$C37),ISNUMBER($D$63)),($D$63&gt;$D37)+($D$63=$D37)/2,0),IF(AND(EXACT($C$64,$C37),ISNUMBER($D$64)),($D$64&gt;$D37)+($D$64=$D37)/2,0),IF(AND(EXACT($C$65,$C37),ISNUMBER($D$65)),($D$65&gt;$D37)+($D$65=$D37)/2,0),IF(AND(EXACT($C$66,$C37),ISNUMBER($D$66)),($D$66&gt;$D37)+($D$66=$D37)/2,0),IF(AND(EXACT($C$67,$C37),ISNUMBER($D$67)),($D$67&gt;$D37)+($D$67=$D37)/2,0),IF(AND(EXACT($C$68,$C37),ISNUMBER($D$68)),($D$68&gt;$D37)+($D$68=$D37)/2,0),IF(AND(EXACT($C$69,$C37),ISNUMBER($D$69)),($D$69&gt;$D37)+($D$69=$D37)/2,0),IF(AND(EXACT($C$70,$C37),ISNUMBER($D$70)),($D$70&gt;$D37)+($D$70=$D37)/2,0),IF(AND(EXACT($C$71,$C37),ISNUMBER($D$71)),($D$71&gt;$D37)+($D$71=$D37)/2,0),IF(AND(EXACT($C$72,$C37),ISNUMBER($D$72)),($D$72&gt;$D37)+($D$72=$D37)/2,0),IF(AND(EXACT($C$73,$C37),ISNUMBER($D$73)),($D$73&gt;$D37)+($D$73=$D37)/2,0),IF(AND(EXACT($C$74,$C37),ISNUMBER($D$74)),($D$74&gt;$D37)+($D$74=$D37)/2,0),IF(AND(EXACT($C$75,$C37),ISNUMBER($D$75)),($D$75&gt;$D37)+($D$75=$D37)/2,0),IF(AND(EXACT($C$76,$C37),ISNUMBER($D$76)),($D$76&gt;$D37)+($D$76=$D37)/2,0),IF(AND(EXACT($C$77,$C37),ISNUMBER($D$77)),($D$77&gt;$D37)+($D$77=$D37)/2,0),IF(AND(EXACT($C$78,$C37),ISNUMBER($D$78)),($D$78&gt;$D37)+($D$78=$D37)/2,0),IF(AND(EXACT($C$79,$C37),ISNUMBER($D$79)),($D$79&gt;$D37)+($D$79=$D37)/2,0),IF(AND(EXACT($C$80,$C37),ISNUMBER($D$80)),($D$80&gt;$D37)+($D$80=$D37)/2,0),IF(AND(EXACT($C$81,$C37),ISNUMBER($D$81)),($D$81&gt;$D37)+($D$81=$D37)/2,0),IF(AND(EXACT($C$82,$C37),ISNUMBER($D$82)),($D$82&gt;$D37)+($D$82=$D37)/2,0),IF(AND(EXACT($C$83,$C37),ISNUMBER($D$83)),($D$83&gt;$D37)+($D$83=$D37)/2,0),IF(AND(EXACT($C$84,$C37),ISNUMBER($D$84)),($D$84&gt;$D37)+($D$84=$D37)/2,0),IF(AND(EXACT($C$85,$C37),ISNUMBER($D$85)),($D$85&gt;$D37)+($D$85=$D37)/2,0),IF(AND(EXACT($C$86,$C37),ISNUMBER($D$86)),($D$86&gt;$D37)+($D$86=$D37)/2,0),IF(AND(EXACT($C$87,$C37),ISNUMBER($D$87)),($D$87&gt;$D37)+($D$87=$D37)/2,0),IF(AND(EXACT($C$88,$C37),ISNUMBER($D$88)),($D$88&gt;$D37)+($D$88=$D37)/2,0),IF(AND(EXACT($C$89,$C37),ISNUMBER($D$89)),($D$89&gt;$D37)+($D$89=$D37)/2,0),IF(AND(EXACT($C$90,$C37),ISNUMBER($D$90)),($D$90&gt;$D37)+($D$90=$D37)/2,0),IF(AND(EXACT($C$91,$C37),ISNUMBER($D$91)),($D$91&gt;$D37)+($D$91=$D37)/2,0),IF(AND(EXACT($C$92,$C37),ISNUMBER($D$92)),($D$92&gt;$D37)+($D$92=$D37)/2,0),IF(AND(EXACT($C$93,$C37),ISNUMBER($D$93)),($D$93&gt;$D37)+($D$93=$D37)/2,0),IF(AND(EXACT($C$94,$C37),ISNUMBER($D$94)),($D$94&gt;$D37)+($D$94=$D37)/2,0),IF(AND(EXACT($C$95,$C37),ISNUMBER($D$95)),($D$95&gt;$D37)+($D$95=$D37)/2,0),IF(AND(EXACT($C$96,$C37),ISNUMBER($D$96)),($D$96&gt;$D37)+($D$96=$D37)/2,0),IF(AND(EXACT($C$97,$C37),ISNUMBER($D$97)),($D$97&gt;$D37)+($D$97=$D37)/2,0),IF(AND(EXACT($C$98,$C37),ISNUMBER($D$98)),($D$98&gt;$D37)+($D$98=$D37)/2,0),IF(AND(EXACT($C$99,$C37),ISNUMBER($D$99)),($D$99&gt;$D37)+($D$99=$D37)/2,0),IF(AND(EXACT($C$100,$C37),ISNUMBER($D$100)),($D$100&gt;$D37)+($D$100=$D37)/2,0),IF(AND(EXACT($C$101,$C37),ISNUMBER($D$101)),($D$101&gt;$D37)+($D$101=$D37)/2,0),IF(AND(EXACT($C$102,$C37),ISNUMBER($D$102)),($D$102&gt;$D37)+($D$102=$D37)/2,0),IF(AND(EXACT($C$103,$C37),ISNUMBER($D$103)),($D$103&gt;$D37)+($D$103=$D37)/2,0),IF(AND(EXACT($C$104,$C37),ISNUMBER($D$104)),($D$104&gt;$D37)+($D$104=$D37)/2,0),IF(AND(EXACT($C$105,$C37),ISNUMBER($D$105)),($D$105&gt;$D37)+($D$105=$D37)/2,0),IF(AND(EXACT($C$106,$C37),ISNUMBER($D$106)),($D$106&gt;$D37)+($D$106=$D37)/2,0)))</x:f>
      </x:c>
    </x:row>
    <x:row r="38">
      <x:c r="A38" s="34" t="str">
        <x:f>IF('91_CALC_SCORES'!A38="","",'91_CALC_SCORES'!A38)</x:f>
      </x:c>
      <x:c r="B38" s="34" t="str">
        <x:f>IF($A38="","",'91_CALC_SCORES'!B38)</x:f>
      </x:c>
      <x:c r="C38" s="34" t="str">
        <x:f>IF($A38="","",'91_CALC_SCORES'!K38)</x:f>
      </x:c>
      <x:c r="D38" s="57" t="str">
        <x:f>IF(OR($A38="",NOT(OR(LEFT('91_CALC_SCORES'!AB38,4)="PASS",LEFT('91_CALC_SCORES'!AB38,5)="READY"))),"",'91_CALC_SCORES'!Y38)</x:f>
      </x:c>
      <x:c r="E38" s="34" t="str">
        <x:f>IF(COUNT(D38)=0,"",1+SUM(AN38:AO38)-1/2)</x:f>
      </x:c>
      <x:c r="F38" s="34" t="str">
        <x:f>IF($A38="","",'91_CALC_SCORES'!AB38)</x:f>
      </x:c>
      <x:c r="G38" s="34" t="str">
        <x:f>IF(A38="","","연구 베타 | 기업 백분위 아님")</x:f>
      </x:c>
      <x:c r="AN38" s="34" t="str">
        <x:f>IF(COUNT($D38)=0,"",SUM(IF(AND(EXACT($C$7,$C38),ISNUMBER($D$7)),($D$7&gt;$D38)+($D$7=$D38)/2,0),IF(AND(EXACT($C$8,$C38),ISNUMBER($D$8)),($D$8&gt;$D38)+($D$8=$D38)/2,0),IF(AND(EXACT($C$9,$C38),ISNUMBER($D$9)),($D$9&gt;$D38)+($D$9=$D38)/2,0),IF(AND(EXACT($C$10,$C38),ISNUMBER($D$10)),($D$10&gt;$D38)+($D$10=$D38)/2,0),IF(AND(EXACT($C$11,$C38),ISNUMBER($D$11)),($D$11&gt;$D38)+($D$11=$D38)/2,0),IF(AND(EXACT($C$12,$C38),ISNUMBER($D$12)),($D$12&gt;$D38)+($D$12=$D38)/2,0),IF(AND(EXACT($C$13,$C38),ISNUMBER($D$13)),($D$13&gt;$D38)+($D$13=$D38)/2,0),IF(AND(EXACT($C$14,$C38),ISNUMBER($D$14)),($D$14&gt;$D38)+($D$14=$D38)/2,0),IF(AND(EXACT($C$15,$C38),ISNUMBER($D$15)),($D$15&gt;$D38)+($D$15=$D38)/2,0),IF(AND(EXACT($C$16,$C38),ISNUMBER($D$16)),($D$16&gt;$D38)+($D$16=$D38)/2,0),IF(AND(EXACT($C$17,$C38),ISNUMBER($D$17)),($D$17&gt;$D38)+($D$17=$D38)/2,0),IF(AND(EXACT($C$18,$C38),ISNUMBER($D$18)),($D$18&gt;$D38)+($D$18=$D38)/2,0),IF(AND(EXACT($C$19,$C38),ISNUMBER($D$19)),($D$19&gt;$D38)+($D$19=$D38)/2,0),IF(AND(EXACT($C$20,$C38),ISNUMBER($D$20)),($D$20&gt;$D38)+($D$20=$D38)/2,0),IF(AND(EXACT($C$21,$C38),ISNUMBER($D$21)),($D$21&gt;$D38)+($D$21=$D38)/2,0),IF(AND(EXACT($C$22,$C38),ISNUMBER($D$22)),($D$22&gt;$D38)+($D$22=$D38)/2,0),IF(AND(EXACT($C$23,$C38),ISNUMBER($D$23)),($D$23&gt;$D38)+($D$23=$D38)/2,0),IF(AND(EXACT($C$24,$C38),ISNUMBER($D$24)),($D$24&gt;$D38)+($D$24=$D38)/2,0),IF(AND(EXACT($C$25,$C38),ISNUMBER($D$25)),($D$25&gt;$D38)+($D$25=$D38)/2,0),IF(AND(EXACT($C$26,$C38),ISNUMBER($D$26)),($D$26&gt;$D38)+($D$26=$D38)/2,0),IF(AND(EXACT($C$27,$C38),ISNUMBER($D$27)),($D$27&gt;$D38)+($D$27=$D38)/2,0),IF(AND(EXACT($C$28,$C38),ISNUMBER($D$28)),($D$28&gt;$D38)+($D$28=$D38)/2,0),IF(AND(EXACT($C$29,$C38),ISNUMBER($D$29)),($D$29&gt;$D38)+($D$29=$D38)/2,0),IF(AND(EXACT($C$30,$C38),ISNUMBER($D$30)),($D$30&gt;$D38)+($D$30=$D38)/2,0),IF(AND(EXACT($C$31,$C38),ISNUMBER($D$31)),($D$31&gt;$D38)+($D$31=$D38)/2,0),IF(AND(EXACT($C$32,$C38),ISNUMBER($D$32)),($D$32&gt;$D38)+($D$32=$D38)/2,0),IF(AND(EXACT($C$33,$C38),ISNUMBER($D$33)),($D$33&gt;$D38)+($D$33=$D38)/2,0),IF(AND(EXACT($C$34,$C38),ISNUMBER($D$34)),($D$34&gt;$D38)+($D$34=$D38)/2,0),IF(AND(EXACT($C$35,$C38),ISNUMBER($D$35)),($D$35&gt;$D38)+($D$35=$D38)/2,0),IF(AND(EXACT($C$36,$C38),ISNUMBER($D$36)),($D$36&gt;$D38)+($D$36=$D38)/2,0),IF(AND(EXACT($C$37,$C38),ISNUMBER($D$37)),($D$37&gt;$D38)+($D$37=$D38)/2,0),IF(AND(EXACT($C$38,$C38),ISNUMBER($D$38)),($D$38&gt;$D38)+($D$38=$D38)/2,0),IF(AND(EXACT($C$39,$C38),ISNUMBER($D$39)),($D$39&gt;$D38)+($D$39=$D38)/2,0),IF(AND(EXACT($C$40,$C38),ISNUMBER($D$40)),($D$40&gt;$D38)+($D$40=$D38)/2,0),IF(AND(EXACT($C$41,$C38),ISNUMBER($D$41)),($D$41&gt;$D38)+($D$41=$D38)/2,0),IF(AND(EXACT($C$42,$C38),ISNUMBER($D$42)),($D$42&gt;$D38)+($D$42=$D38)/2,0),IF(AND(EXACT($C$43,$C38),ISNUMBER($D$43)),($D$43&gt;$D38)+($D$43=$D38)/2,0),IF(AND(EXACT($C$44,$C38),ISNUMBER($D$44)),($D$44&gt;$D38)+($D$44=$D38)/2,0),IF(AND(EXACT($C$45,$C38),ISNUMBER($D$45)),($D$45&gt;$D38)+($D$45=$D38)/2,0),IF(AND(EXACT($C$46,$C38),ISNUMBER($D$46)),($D$46&gt;$D38)+($D$46=$D38)/2,0),IF(AND(EXACT($C$47,$C38),ISNUMBER($D$47)),($D$47&gt;$D38)+($D$47=$D38)/2,0),IF(AND(EXACT($C$48,$C38),ISNUMBER($D$48)),($D$48&gt;$D38)+($D$48=$D38)/2,0),IF(AND(EXACT($C$49,$C38),ISNUMBER($D$49)),($D$49&gt;$D38)+($D$49=$D38)/2,0),IF(AND(EXACT($C$50,$C38),ISNUMBER($D$50)),($D$50&gt;$D38)+($D$50=$D38)/2,0),IF(AND(EXACT($C$51,$C38),ISNUMBER($D$51)),($D$51&gt;$D38)+($D$51=$D38)/2,0),IF(AND(EXACT($C$52,$C38),ISNUMBER($D$52)),($D$52&gt;$D38)+($D$52=$D38)/2,0),IF(AND(EXACT($C$53,$C38),ISNUMBER($D$53)),($D$53&gt;$D38)+($D$53=$D38)/2,0),IF(AND(EXACT($C$54,$C38),ISNUMBER($D$54)),($D$54&gt;$D38)+($D$54=$D38)/2,0),IF(AND(EXACT($C$55,$C38),ISNUMBER($D$55)),($D$55&gt;$D38)+($D$55=$D38)/2,0),IF(AND(EXACT($C$56,$C38),ISNUMBER($D$56)),($D$56&gt;$D38)+($D$56=$D38)/2,0)))</x:f>
      </x:c>
      <x:c r="AO38" s="34" t="str">
        <x:f>IF(COUNT($D38)=0,"",SUM(IF(AND(EXACT($C$57,$C38),ISNUMBER($D$57)),($D$57&gt;$D38)+($D$57=$D38)/2,0),IF(AND(EXACT($C$58,$C38),ISNUMBER($D$58)),($D$58&gt;$D38)+($D$58=$D38)/2,0),IF(AND(EXACT($C$59,$C38),ISNUMBER($D$59)),($D$59&gt;$D38)+($D$59=$D38)/2,0),IF(AND(EXACT($C$60,$C38),ISNUMBER($D$60)),($D$60&gt;$D38)+($D$60=$D38)/2,0),IF(AND(EXACT($C$61,$C38),ISNUMBER($D$61)),($D$61&gt;$D38)+($D$61=$D38)/2,0),IF(AND(EXACT($C$62,$C38),ISNUMBER($D$62)),($D$62&gt;$D38)+($D$62=$D38)/2,0),IF(AND(EXACT($C$63,$C38),ISNUMBER($D$63)),($D$63&gt;$D38)+($D$63=$D38)/2,0),IF(AND(EXACT($C$64,$C38),ISNUMBER($D$64)),($D$64&gt;$D38)+($D$64=$D38)/2,0),IF(AND(EXACT($C$65,$C38),ISNUMBER($D$65)),($D$65&gt;$D38)+($D$65=$D38)/2,0),IF(AND(EXACT($C$66,$C38),ISNUMBER($D$66)),($D$66&gt;$D38)+($D$66=$D38)/2,0),IF(AND(EXACT($C$67,$C38),ISNUMBER($D$67)),($D$67&gt;$D38)+($D$67=$D38)/2,0),IF(AND(EXACT($C$68,$C38),ISNUMBER($D$68)),($D$68&gt;$D38)+($D$68=$D38)/2,0),IF(AND(EXACT($C$69,$C38),ISNUMBER($D$69)),($D$69&gt;$D38)+($D$69=$D38)/2,0),IF(AND(EXACT($C$70,$C38),ISNUMBER($D$70)),($D$70&gt;$D38)+($D$70=$D38)/2,0),IF(AND(EXACT($C$71,$C38),ISNUMBER($D$71)),($D$71&gt;$D38)+($D$71=$D38)/2,0),IF(AND(EXACT($C$72,$C38),ISNUMBER($D$72)),($D$72&gt;$D38)+($D$72=$D38)/2,0),IF(AND(EXACT($C$73,$C38),ISNUMBER($D$73)),($D$73&gt;$D38)+($D$73=$D38)/2,0),IF(AND(EXACT($C$74,$C38),ISNUMBER($D$74)),($D$74&gt;$D38)+($D$74=$D38)/2,0),IF(AND(EXACT($C$75,$C38),ISNUMBER($D$75)),($D$75&gt;$D38)+($D$75=$D38)/2,0),IF(AND(EXACT($C$76,$C38),ISNUMBER($D$76)),($D$76&gt;$D38)+($D$76=$D38)/2,0),IF(AND(EXACT($C$77,$C38),ISNUMBER($D$77)),($D$77&gt;$D38)+($D$77=$D38)/2,0),IF(AND(EXACT($C$78,$C38),ISNUMBER($D$78)),($D$78&gt;$D38)+($D$78=$D38)/2,0),IF(AND(EXACT($C$79,$C38),ISNUMBER($D$79)),($D$79&gt;$D38)+($D$79=$D38)/2,0),IF(AND(EXACT($C$80,$C38),ISNUMBER($D$80)),($D$80&gt;$D38)+($D$80=$D38)/2,0),IF(AND(EXACT($C$81,$C38),ISNUMBER($D$81)),($D$81&gt;$D38)+($D$81=$D38)/2,0),IF(AND(EXACT($C$82,$C38),ISNUMBER($D$82)),($D$82&gt;$D38)+($D$82=$D38)/2,0),IF(AND(EXACT($C$83,$C38),ISNUMBER($D$83)),($D$83&gt;$D38)+($D$83=$D38)/2,0),IF(AND(EXACT($C$84,$C38),ISNUMBER($D$84)),($D$84&gt;$D38)+($D$84=$D38)/2,0),IF(AND(EXACT($C$85,$C38),ISNUMBER($D$85)),($D$85&gt;$D38)+($D$85=$D38)/2,0),IF(AND(EXACT($C$86,$C38),ISNUMBER($D$86)),($D$86&gt;$D38)+($D$86=$D38)/2,0),IF(AND(EXACT($C$87,$C38),ISNUMBER($D$87)),($D$87&gt;$D38)+($D$87=$D38)/2,0),IF(AND(EXACT($C$88,$C38),ISNUMBER($D$88)),($D$88&gt;$D38)+($D$88=$D38)/2,0),IF(AND(EXACT($C$89,$C38),ISNUMBER($D$89)),($D$89&gt;$D38)+($D$89=$D38)/2,0),IF(AND(EXACT($C$90,$C38),ISNUMBER($D$90)),($D$90&gt;$D38)+($D$90=$D38)/2,0),IF(AND(EXACT($C$91,$C38),ISNUMBER($D$91)),($D$91&gt;$D38)+($D$91=$D38)/2,0),IF(AND(EXACT($C$92,$C38),ISNUMBER($D$92)),($D$92&gt;$D38)+($D$92=$D38)/2,0),IF(AND(EXACT($C$93,$C38),ISNUMBER($D$93)),($D$93&gt;$D38)+($D$93=$D38)/2,0),IF(AND(EXACT($C$94,$C38),ISNUMBER($D$94)),($D$94&gt;$D38)+($D$94=$D38)/2,0),IF(AND(EXACT($C$95,$C38),ISNUMBER($D$95)),($D$95&gt;$D38)+($D$95=$D38)/2,0),IF(AND(EXACT($C$96,$C38),ISNUMBER($D$96)),($D$96&gt;$D38)+($D$96=$D38)/2,0),IF(AND(EXACT($C$97,$C38),ISNUMBER($D$97)),($D$97&gt;$D38)+($D$97=$D38)/2,0),IF(AND(EXACT($C$98,$C38),ISNUMBER($D$98)),($D$98&gt;$D38)+($D$98=$D38)/2,0),IF(AND(EXACT($C$99,$C38),ISNUMBER($D$99)),($D$99&gt;$D38)+($D$99=$D38)/2,0),IF(AND(EXACT($C$100,$C38),ISNUMBER($D$100)),($D$100&gt;$D38)+($D$100=$D38)/2,0),IF(AND(EXACT($C$101,$C38),ISNUMBER($D$101)),($D$101&gt;$D38)+($D$101=$D38)/2,0),IF(AND(EXACT($C$102,$C38),ISNUMBER($D$102)),($D$102&gt;$D38)+($D$102=$D38)/2,0),IF(AND(EXACT($C$103,$C38),ISNUMBER($D$103)),($D$103&gt;$D38)+($D$103=$D38)/2,0),IF(AND(EXACT($C$104,$C38),ISNUMBER($D$104)),($D$104&gt;$D38)+($D$104=$D38)/2,0),IF(AND(EXACT($C$105,$C38),ISNUMBER($D$105)),($D$105&gt;$D38)+($D$105=$D38)/2,0),IF(AND(EXACT($C$106,$C38),ISNUMBER($D$106)),($D$106&gt;$D38)+($D$106=$D38)/2,0)))</x:f>
      </x:c>
    </x:row>
    <x:row r="39">
      <x:c r="A39" s="34" t="str">
        <x:f>IF('91_CALC_SCORES'!A39="","",'91_CALC_SCORES'!A39)</x:f>
      </x:c>
      <x:c r="B39" s="34" t="str">
        <x:f>IF($A39="","",'91_CALC_SCORES'!B39)</x:f>
      </x:c>
      <x:c r="C39" s="34" t="str">
        <x:f>IF($A39="","",'91_CALC_SCORES'!K39)</x:f>
      </x:c>
      <x:c r="D39" s="57" t="str">
        <x:f>IF(OR($A39="",NOT(OR(LEFT('91_CALC_SCORES'!AB39,4)="PASS",LEFT('91_CALC_SCORES'!AB39,5)="READY"))),"",'91_CALC_SCORES'!Y39)</x:f>
      </x:c>
      <x:c r="E39" s="34" t="str">
        <x:f>IF(COUNT(D39)=0,"",1+SUM(AN39:AO39)-1/2)</x:f>
      </x:c>
      <x:c r="F39" s="34" t="str">
        <x:f>IF($A39="","",'91_CALC_SCORES'!AB39)</x:f>
      </x:c>
      <x:c r="G39" s="34" t="str">
        <x:f>IF(A39="","","연구 베타 | 기업 백분위 아님")</x:f>
      </x:c>
      <x:c r="AN39" s="34" t="str">
        <x:f>IF(COUNT($D39)=0,"",SUM(IF(AND(EXACT($C$7,$C39),ISNUMBER($D$7)),($D$7&gt;$D39)+($D$7=$D39)/2,0),IF(AND(EXACT($C$8,$C39),ISNUMBER($D$8)),($D$8&gt;$D39)+($D$8=$D39)/2,0),IF(AND(EXACT($C$9,$C39),ISNUMBER($D$9)),($D$9&gt;$D39)+($D$9=$D39)/2,0),IF(AND(EXACT($C$10,$C39),ISNUMBER($D$10)),($D$10&gt;$D39)+($D$10=$D39)/2,0),IF(AND(EXACT($C$11,$C39),ISNUMBER($D$11)),($D$11&gt;$D39)+($D$11=$D39)/2,0),IF(AND(EXACT($C$12,$C39),ISNUMBER($D$12)),($D$12&gt;$D39)+($D$12=$D39)/2,0),IF(AND(EXACT($C$13,$C39),ISNUMBER($D$13)),($D$13&gt;$D39)+($D$13=$D39)/2,0),IF(AND(EXACT($C$14,$C39),ISNUMBER($D$14)),($D$14&gt;$D39)+($D$14=$D39)/2,0),IF(AND(EXACT($C$15,$C39),ISNUMBER($D$15)),($D$15&gt;$D39)+($D$15=$D39)/2,0),IF(AND(EXACT($C$16,$C39),ISNUMBER($D$16)),($D$16&gt;$D39)+($D$16=$D39)/2,0),IF(AND(EXACT($C$17,$C39),ISNUMBER($D$17)),($D$17&gt;$D39)+($D$17=$D39)/2,0),IF(AND(EXACT($C$18,$C39),ISNUMBER($D$18)),($D$18&gt;$D39)+($D$18=$D39)/2,0),IF(AND(EXACT($C$19,$C39),ISNUMBER($D$19)),($D$19&gt;$D39)+($D$19=$D39)/2,0),IF(AND(EXACT($C$20,$C39),ISNUMBER($D$20)),($D$20&gt;$D39)+($D$20=$D39)/2,0),IF(AND(EXACT($C$21,$C39),ISNUMBER($D$21)),($D$21&gt;$D39)+($D$21=$D39)/2,0),IF(AND(EXACT($C$22,$C39),ISNUMBER($D$22)),($D$22&gt;$D39)+($D$22=$D39)/2,0),IF(AND(EXACT($C$23,$C39),ISNUMBER($D$23)),($D$23&gt;$D39)+($D$23=$D39)/2,0),IF(AND(EXACT($C$24,$C39),ISNUMBER($D$24)),($D$24&gt;$D39)+($D$24=$D39)/2,0),IF(AND(EXACT($C$25,$C39),ISNUMBER($D$25)),($D$25&gt;$D39)+($D$25=$D39)/2,0),IF(AND(EXACT($C$26,$C39),ISNUMBER($D$26)),($D$26&gt;$D39)+($D$26=$D39)/2,0),IF(AND(EXACT($C$27,$C39),ISNUMBER($D$27)),($D$27&gt;$D39)+($D$27=$D39)/2,0),IF(AND(EXACT($C$28,$C39),ISNUMBER($D$28)),($D$28&gt;$D39)+($D$28=$D39)/2,0),IF(AND(EXACT($C$29,$C39),ISNUMBER($D$29)),($D$29&gt;$D39)+($D$29=$D39)/2,0),IF(AND(EXACT($C$30,$C39),ISNUMBER($D$30)),($D$30&gt;$D39)+($D$30=$D39)/2,0),IF(AND(EXACT($C$31,$C39),ISNUMBER($D$31)),($D$31&gt;$D39)+($D$31=$D39)/2,0),IF(AND(EXACT($C$32,$C39),ISNUMBER($D$32)),($D$32&gt;$D39)+($D$32=$D39)/2,0),IF(AND(EXACT($C$33,$C39),ISNUMBER($D$33)),($D$33&gt;$D39)+($D$33=$D39)/2,0),IF(AND(EXACT($C$34,$C39),ISNUMBER($D$34)),($D$34&gt;$D39)+($D$34=$D39)/2,0),IF(AND(EXACT($C$35,$C39),ISNUMBER($D$35)),($D$35&gt;$D39)+($D$35=$D39)/2,0),IF(AND(EXACT($C$36,$C39),ISNUMBER($D$36)),($D$36&gt;$D39)+($D$36=$D39)/2,0),IF(AND(EXACT($C$37,$C39),ISNUMBER($D$37)),($D$37&gt;$D39)+($D$37=$D39)/2,0),IF(AND(EXACT($C$38,$C39),ISNUMBER($D$38)),($D$38&gt;$D39)+($D$38=$D39)/2,0),IF(AND(EXACT($C$39,$C39),ISNUMBER($D$39)),($D$39&gt;$D39)+($D$39=$D39)/2,0),IF(AND(EXACT($C$40,$C39),ISNUMBER($D$40)),($D$40&gt;$D39)+($D$40=$D39)/2,0),IF(AND(EXACT($C$41,$C39),ISNUMBER($D$41)),($D$41&gt;$D39)+($D$41=$D39)/2,0),IF(AND(EXACT($C$42,$C39),ISNUMBER($D$42)),($D$42&gt;$D39)+($D$42=$D39)/2,0),IF(AND(EXACT($C$43,$C39),ISNUMBER($D$43)),($D$43&gt;$D39)+($D$43=$D39)/2,0),IF(AND(EXACT($C$44,$C39),ISNUMBER($D$44)),($D$44&gt;$D39)+($D$44=$D39)/2,0),IF(AND(EXACT($C$45,$C39),ISNUMBER($D$45)),($D$45&gt;$D39)+($D$45=$D39)/2,0),IF(AND(EXACT($C$46,$C39),ISNUMBER($D$46)),($D$46&gt;$D39)+($D$46=$D39)/2,0),IF(AND(EXACT($C$47,$C39),ISNUMBER($D$47)),($D$47&gt;$D39)+($D$47=$D39)/2,0),IF(AND(EXACT($C$48,$C39),ISNUMBER($D$48)),($D$48&gt;$D39)+($D$48=$D39)/2,0),IF(AND(EXACT($C$49,$C39),ISNUMBER($D$49)),($D$49&gt;$D39)+($D$49=$D39)/2,0),IF(AND(EXACT($C$50,$C39),ISNUMBER($D$50)),($D$50&gt;$D39)+($D$50=$D39)/2,0),IF(AND(EXACT($C$51,$C39),ISNUMBER($D$51)),($D$51&gt;$D39)+($D$51=$D39)/2,0),IF(AND(EXACT($C$52,$C39),ISNUMBER($D$52)),($D$52&gt;$D39)+($D$52=$D39)/2,0),IF(AND(EXACT($C$53,$C39),ISNUMBER($D$53)),($D$53&gt;$D39)+($D$53=$D39)/2,0),IF(AND(EXACT($C$54,$C39),ISNUMBER($D$54)),($D$54&gt;$D39)+($D$54=$D39)/2,0),IF(AND(EXACT($C$55,$C39),ISNUMBER($D$55)),($D$55&gt;$D39)+($D$55=$D39)/2,0),IF(AND(EXACT($C$56,$C39),ISNUMBER($D$56)),($D$56&gt;$D39)+($D$56=$D39)/2,0)))</x:f>
      </x:c>
      <x:c r="AO39" s="34" t="str">
        <x:f>IF(COUNT($D39)=0,"",SUM(IF(AND(EXACT($C$57,$C39),ISNUMBER($D$57)),($D$57&gt;$D39)+($D$57=$D39)/2,0),IF(AND(EXACT($C$58,$C39),ISNUMBER($D$58)),($D$58&gt;$D39)+($D$58=$D39)/2,0),IF(AND(EXACT($C$59,$C39),ISNUMBER($D$59)),($D$59&gt;$D39)+($D$59=$D39)/2,0),IF(AND(EXACT($C$60,$C39),ISNUMBER($D$60)),($D$60&gt;$D39)+($D$60=$D39)/2,0),IF(AND(EXACT($C$61,$C39),ISNUMBER($D$61)),($D$61&gt;$D39)+($D$61=$D39)/2,0),IF(AND(EXACT($C$62,$C39),ISNUMBER($D$62)),($D$62&gt;$D39)+($D$62=$D39)/2,0),IF(AND(EXACT($C$63,$C39),ISNUMBER($D$63)),($D$63&gt;$D39)+($D$63=$D39)/2,0),IF(AND(EXACT($C$64,$C39),ISNUMBER($D$64)),($D$64&gt;$D39)+($D$64=$D39)/2,0),IF(AND(EXACT($C$65,$C39),ISNUMBER($D$65)),($D$65&gt;$D39)+($D$65=$D39)/2,0),IF(AND(EXACT($C$66,$C39),ISNUMBER($D$66)),($D$66&gt;$D39)+($D$66=$D39)/2,0),IF(AND(EXACT($C$67,$C39),ISNUMBER($D$67)),($D$67&gt;$D39)+($D$67=$D39)/2,0),IF(AND(EXACT($C$68,$C39),ISNUMBER($D$68)),($D$68&gt;$D39)+($D$68=$D39)/2,0),IF(AND(EXACT($C$69,$C39),ISNUMBER($D$69)),($D$69&gt;$D39)+($D$69=$D39)/2,0),IF(AND(EXACT($C$70,$C39),ISNUMBER($D$70)),($D$70&gt;$D39)+($D$70=$D39)/2,0),IF(AND(EXACT($C$71,$C39),ISNUMBER($D$71)),($D$71&gt;$D39)+($D$71=$D39)/2,0),IF(AND(EXACT($C$72,$C39),ISNUMBER($D$72)),($D$72&gt;$D39)+($D$72=$D39)/2,0),IF(AND(EXACT($C$73,$C39),ISNUMBER($D$73)),($D$73&gt;$D39)+($D$73=$D39)/2,0),IF(AND(EXACT($C$74,$C39),ISNUMBER($D$74)),($D$74&gt;$D39)+($D$74=$D39)/2,0),IF(AND(EXACT($C$75,$C39),ISNUMBER($D$75)),($D$75&gt;$D39)+($D$75=$D39)/2,0),IF(AND(EXACT($C$76,$C39),ISNUMBER($D$76)),($D$76&gt;$D39)+($D$76=$D39)/2,0),IF(AND(EXACT($C$77,$C39),ISNUMBER($D$77)),($D$77&gt;$D39)+($D$77=$D39)/2,0),IF(AND(EXACT($C$78,$C39),ISNUMBER($D$78)),($D$78&gt;$D39)+($D$78=$D39)/2,0),IF(AND(EXACT($C$79,$C39),ISNUMBER($D$79)),($D$79&gt;$D39)+($D$79=$D39)/2,0),IF(AND(EXACT($C$80,$C39),ISNUMBER($D$80)),($D$80&gt;$D39)+($D$80=$D39)/2,0),IF(AND(EXACT($C$81,$C39),ISNUMBER($D$81)),($D$81&gt;$D39)+($D$81=$D39)/2,0),IF(AND(EXACT($C$82,$C39),ISNUMBER($D$82)),($D$82&gt;$D39)+($D$82=$D39)/2,0),IF(AND(EXACT($C$83,$C39),ISNUMBER($D$83)),($D$83&gt;$D39)+($D$83=$D39)/2,0),IF(AND(EXACT($C$84,$C39),ISNUMBER($D$84)),($D$84&gt;$D39)+($D$84=$D39)/2,0),IF(AND(EXACT($C$85,$C39),ISNUMBER($D$85)),($D$85&gt;$D39)+($D$85=$D39)/2,0),IF(AND(EXACT($C$86,$C39),ISNUMBER($D$86)),($D$86&gt;$D39)+($D$86=$D39)/2,0),IF(AND(EXACT($C$87,$C39),ISNUMBER($D$87)),($D$87&gt;$D39)+($D$87=$D39)/2,0),IF(AND(EXACT($C$88,$C39),ISNUMBER($D$88)),($D$88&gt;$D39)+($D$88=$D39)/2,0),IF(AND(EXACT($C$89,$C39),ISNUMBER($D$89)),($D$89&gt;$D39)+($D$89=$D39)/2,0),IF(AND(EXACT($C$90,$C39),ISNUMBER($D$90)),($D$90&gt;$D39)+($D$90=$D39)/2,0),IF(AND(EXACT($C$91,$C39),ISNUMBER($D$91)),($D$91&gt;$D39)+($D$91=$D39)/2,0),IF(AND(EXACT($C$92,$C39),ISNUMBER($D$92)),($D$92&gt;$D39)+($D$92=$D39)/2,0),IF(AND(EXACT($C$93,$C39),ISNUMBER($D$93)),($D$93&gt;$D39)+($D$93=$D39)/2,0),IF(AND(EXACT($C$94,$C39),ISNUMBER($D$94)),($D$94&gt;$D39)+($D$94=$D39)/2,0),IF(AND(EXACT($C$95,$C39),ISNUMBER($D$95)),($D$95&gt;$D39)+($D$95=$D39)/2,0),IF(AND(EXACT($C$96,$C39),ISNUMBER($D$96)),($D$96&gt;$D39)+($D$96=$D39)/2,0),IF(AND(EXACT($C$97,$C39),ISNUMBER($D$97)),($D$97&gt;$D39)+($D$97=$D39)/2,0),IF(AND(EXACT($C$98,$C39),ISNUMBER($D$98)),($D$98&gt;$D39)+($D$98=$D39)/2,0),IF(AND(EXACT($C$99,$C39),ISNUMBER($D$99)),($D$99&gt;$D39)+($D$99=$D39)/2,0),IF(AND(EXACT($C$100,$C39),ISNUMBER($D$100)),($D$100&gt;$D39)+($D$100=$D39)/2,0),IF(AND(EXACT($C$101,$C39),ISNUMBER($D$101)),($D$101&gt;$D39)+($D$101=$D39)/2,0),IF(AND(EXACT($C$102,$C39),ISNUMBER($D$102)),($D$102&gt;$D39)+($D$102=$D39)/2,0),IF(AND(EXACT($C$103,$C39),ISNUMBER($D$103)),($D$103&gt;$D39)+($D$103=$D39)/2,0),IF(AND(EXACT($C$104,$C39),ISNUMBER($D$104)),($D$104&gt;$D39)+($D$104=$D39)/2,0),IF(AND(EXACT($C$105,$C39),ISNUMBER($D$105)),($D$105&gt;$D39)+($D$105=$D39)/2,0),IF(AND(EXACT($C$106,$C39),ISNUMBER($D$106)),($D$106&gt;$D39)+($D$106=$D39)/2,0)))</x:f>
      </x:c>
    </x:row>
    <x:row r="40">
      <x:c r="A40" s="34" t="str">
        <x:f>IF('91_CALC_SCORES'!A40="","",'91_CALC_SCORES'!A40)</x:f>
      </x:c>
      <x:c r="B40" s="34" t="str">
        <x:f>IF($A40="","",'91_CALC_SCORES'!B40)</x:f>
      </x:c>
      <x:c r="C40" s="34" t="str">
        <x:f>IF($A40="","",'91_CALC_SCORES'!K40)</x:f>
      </x:c>
      <x:c r="D40" s="57" t="str">
        <x:f>IF(OR($A40="",NOT(OR(LEFT('91_CALC_SCORES'!AB40,4)="PASS",LEFT('91_CALC_SCORES'!AB40,5)="READY"))),"",'91_CALC_SCORES'!Y40)</x:f>
      </x:c>
      <x:c r="E40" s="34" t="str">
        <x:f>IF(COUNT(D40)=0,"",1+SUM(AN40:AO40)-1/2)</x:f>
      </x:c>
      <x:c r="F40" s="34" t="str">
        <x:f>IF($A40="","",'91_CALC_SCORES'!AB40)</x:f>
      </x:c>
      <x:c r="G40" s="34" t="str">
        <x:f>IF(A40="","","연구 베타 | 기업 백분위 아님")</x:f>
      </x:c>
      <x:c r="AN40" s="34" t="str">
        <x:f>IF(COUNT($D40)=0,"",SUM(IF(AND(EXACT($C$7,$C40),ISNUMBER($D$7)),($D$7&gt;$D40)+($D$7=$D40)/2,0),IF(AND(EXACT($C$8,$C40),ISNUMBER($D$8)),($D$8&gt;$D40)+($D$8=$D40)/2,0),IF(AND(EXACT($C$9,$C40),ISNUMBER($D$9)),($D$9&gt;$D40)+($D$9=$D40)/2,0),IF(AND(EXACT($C$10,$C40),ISNUMBER($D$10)),($D$10&gt;$D40)+($D$10=$D40)/2,0),IF(AND(EXACT($C$11,$C40),ISNUMBER($D$11)),($D$11&gt;$D40)+($D$11=$D40)/2,0),IF(AND(EXACT($C$12,$C40),ISNUMBER($D$12)),($D$12&gt;$D40)+($D$12=$D40)/2,0),IF(AND(EXACT($C$13,$C40),ISNUMBER($D$13)),($D$13&gt;$D40)+($D$13=$D40)/2,0),IF(AND(EXACT($C$14,$C40),ISNUMBER($D$14)),($D$14&gt;$D40)+($D$14=$D40)/2,0),IF(AND(EXACT($C$15,$C40),ISNUMBER($D$15)),($D$15&gt;$D40)+($D$15=$D40)/2,0),IF(AND(EXACT($C$16,$C40),ISNUMBER($D$16)),($D$16&gt;$D40)+($D$16=$D40)/2,0),IF(AND(EXACT($C$17,$C40),ISNUMBER($D$17)),($D$17&gt;$D40)+($D$17=$D40)/2,0),IF(AND(EXACT($C$18,$C40),ISNUMBER($D$18)),($D$18&gt;$D40)+($D$18=$D40)/2,0),IF(AND(EXACT($C$19,$C40),ISNUMBER($D$19)),($D$19&gt;$D40)+($D$19=$D40)/2,0),IF(AND(EXACT($C$20,$C40),ISNUMBER($D$20)),($D$20&gt;$D40)+($D$20=$D40)/2,0),IF(AND(EXACT($C$21,$C40),ISNUMBER($D$21)),($D$21&gt;$D40)+($D$21=$D40)/2,0),IF(AND(EXACT($C$22,$C40),ISNUMBER($D$22)),($D$22&gt;$D40)+($D$22=$D40)/2,0),IF(AND(EXACT($C$23,$C40),ISNUMBER($D$23)),($D$23&gt;$D40)+($D$23=$D40)/2,0),IF(AND(EXACT($C$24,$C40),ISNUMBER($D$24)),($D$24&gt;$D40)+($D$24=$D40)/2,0),IF(AND(EXACT($C$25,$C40),ISNUMBER($D$25)),($D$25&gt;$D40)+($D$25=$D40)/2,0),IF(AND(EXACT($C$26,$C40),ISNUMBER($D$26)),($D$26&gt;$D40)+($D$26=$D40)/2,0),IF(AND(EXACT($C$27,$C40),ISNUMBER($D$27)),($D$27&gt;$D40)+($D$27=$D40)/2,0),IF(AND(EXACT($C$28,$C40),ISNUMBER($D$28)),($D$28&gt;$D40)+($D$28=$D40)/2,0),IF(AND(EXACT($C$29,$C40),ISNUMBER($D$29)),($D$29&gt;$D40)+($D$29=$D40)/2,0),IF(AND(EXACT($C$30,$C40),ISNUMBER($D$30)),($D$30&gt;$D40)+($D$30=$D40)/2,0),IF(AND(EXACT($C$31,$C40),ISNUMBER($D$31)),($D$31&gt;$D40)+($D$31=$D40)/2,0),IF(AND(EXACT($C$32,$C40),ISNUMBER($D$32)),($D$32&gt;$D40)+($D$32=$D40)/2,0),IF(AND(EXACT($C$33,$C40),ISNUMBER($D$33)),($D$33&gt;$D40)+($D$33=$D40)/2,0),IF(AND(EXACT($C$34,$C40),ISNUMBER($D$34)),($D$34&gt;$D40)+($D$34=$D40)/2,0),IF(AND(EXACT($C$35,$C40),ISNUMBER($D$35)),($D$35&gt;$D40)+($D$35=$D40)/2,0),IF(AND(EXACT($C$36,$C40),ISNUMBER($D$36)),($D$36&gt;$D40)+($D$36=$D40)/2,0),IF(AND(EXACT($C$37,$C40),ISNUMBER($D$37)),($D$37&gt;$D40)+($D$37=$D40)/2,0),IF(AND(EXACT($C$38,$C40),ISNUMBER($D$38)),($D$38&gt;$D40)+($D$38=$D40)/2,0),IF(AND(EXACT($C$39,$C40),ISNUMBER($D$39)),($D$39&gt;$D40)+($D$39=$D40)/2,0),IF(AND(EXACT($C$40,$C40),ISNUMBER($D$40)),($D$40&gt;$D40)+($D$40=$D40)/2,0),IF(AND(EXACT($C$41,$C40),ISNUMBER($D$41)),($D$41&gt;$D40)+($D$41=$D40)/2,0),IF(AND(EXACT($C$42,$C40),ISNUMBER($D$42)),($D$42&gt;$D40)+($D$42=$D40)/2,0),IF(AND(EXACT($C$43,$C40),ISNUMBER($D$43)),($D$43&gt;$D40)+($D$43=$D40)/2,0),IF(AND(EXACT($C$44,$C40),ISNUMBER($D$44)),($D$44&gt;$D40)+($D$44=$D40)/2,0),IF(AND(EXACT($C$45,$C40),ISNUMBER($D$45)),($D$45&gt;$D40)+($D$45=$D40)/2,0),IF(AND(EXACT($C$46,$C40),ISNUMBER($D$46)),($D$46&gt;$D40)+($D$46=$D40)/2,0),IF(AND(EXACT($C$47,$C40),ISNUMBER($D$47)),($D$47&gt;$D40)+($D$47=$D40)/2,0),IF(AND(EXACT($C$48,$C40),ISNUMBER($D$48)),($D$48&gt;$D40)+($D$48=$D40)/2,0),IF(AND(EXACT($C$49,$C40),ISNUMBER($D$49)),($D$49&gt;$D40)+($D$49=$D40)/2,0),IF(AND(EXACT($C$50,$C40),ISNUMBER($D$50)),($D$50&gt;$D40)+($D$50=$D40)/2,0),IF(AND(EXACT($C$51,$C40),ISNUMBER($D$51)),($D$51&gt;$D40)+($D$51=$D40)/2,0),IF(AND(EXACT($C$52,$C40),ISNUMBER($D$52)),($D$52&gt;$D40)+($D$52=$D40)/2,0),IF(AND(EXACT($C$53,$C40),ISNUMBER($D$53)),($D$53&gt;$D40)+($D$53=$D40)/2,0),IF(AND(EXACT($C$54,$C40),ISNUMBER($D$54)),($D$54&gt;$D40)+($D$54=$D40)/2,0),IF(AND(EXACT($C$55,$C40),ISNUMBER($D$55)),($D$55&gt;$D40)+($D$55=$D40)/2,0),IF(AND(EXACT($C$56,$C40),ISNUMBER($D$56)),($D$56&gt;$D40)+($D$56=$D40)/2,0)))</x:f>
      </x:c>
      <x:c r="AO40" s="34" t="str">
        <x:f>IF(COUNT($D40)=0,"",SUM(IF(AND(EXACT($C$57,$C40),ISNUMBER($D$57)),($D$57&gt;$D40)+($D$57=$D40)/2,0),IF(AND(EXACT($C$58,$C40),ISNUMBER($D$58)),($D$58&gt;$D40)+($D$58=$D40)/2,0),IF(AND(EXACT($C$59,$C40),ISNUMBER($D$59)),($D$59&gt;$D40)+($D$59=$D40)/2,0),IF(AND(EXACT($C$60,$C40),ISNUMBER($D$60)),($D$60&gt;$D40)+($D$60=$D40)/2,0),IF(AND(EXACT($C$61,$C40),ISNUMBER($D$61)),($D$61&gt;$D40)+($D$61=$D40)/2,0),IF(AND(EXACT($C$62,$C40),ISNUMBER($D$62)),($D$62&gt;$D40)+($D$62=$D40)/2,0),IF(AND(EXACT($C$63,$C40),ISNUMBER($D$63)),($D$63&gt;$D40)+($D$63=$D40)/2,0),IF(AND(EXACT($C$64,$C40),ISNUMBER($D$64)),($D$64&gt;$D40)+($D$64=$D40)/2,0),IF(AND(EXACT($C$65,$C40),ISNUMBER($D$65)),($D$65&gt;$D40)+($D$65=$D40)/2,0),IF(AND(EXACT($C$66,$C40),ISNUMBER($D$66)),($D$66&gt;$D40)+($D$66=$D40)/2,0),IF(AND(EXACT($C$67,$C40),ISNUMBER($D$67)),($D$67&gt;$D40)+($D$67=$D40)/2,0),IF(AND(EXACT($C$68,$C40),ISNUMBER($D$68)),($D$68&gt;$D40)+($D$68=$D40)/2,0),IF(AND(EXACT($C$69,$C40),ISNUMBER($D$69)),($D$69&gt;$D40)+($D$69=$D40)/2,0),IF(AND(EXACT($C$70,$C40),ISNUMBER($D$70)),($D$70&gt;$D40)+($D$70=$D40)/2,0),IF(AND(EXACT($C$71,$C40),ISNUMBER($D$71)),($D$71&gt;$D40)+($D$71=$D40)/2,0),IF(AND(EXACT($C$72,$C40),ISNUMBER($D$72)),($D$72&gt;$D40)+($D$72=$D40)/2,0),IF(AND(EXACT($C$73,$C40),ISNUMBER($D$73)),($D$73&gt;$D40)+($D$73=$D40)/2,0),IF(AND(EXACT($C$74,$C40),ISNUMBER($D$74)),($D$74&gt;$D40)+($D$74=$D40)/2,0),IF(AND(EXACT($C$75,$C40),ISNUMBER($D$75)),($D$75&gt;$D40)+($D$75=$D40)/2,0),IF(AND(EXACT($C$76,$C40),ISNUMBER($D$76)),($D$76&gt;$D40)+($D$76=$D40)/2,0),IF(AND(EXACT($C$77,$C40),ISNUMBER($D$77)),($D$77&gt;$D40)+($D$77=$D40)/2,0),IF(AND(EXACT($C$78,$C40),ISNUMBER($D$78)),($D$78&gt;$D40)+($D$78=$D40)/2,0),IF(AND(EXACT($C$79,$C40),ISNUMBER($D$79)),($D$79&gt;$D40)+($D$79=$D40)/2,0),IF(AND(EXACT($C$80,$C40),ISNUMBER($D$80)),($D$80&gt;$D40)+($D$80=$D40)/2,0),IF(AND(EXACT($C$81,$C40),ISNUMBER($D$81)),($D$81&gt;$D40)+($D$81=$D40)/2,0),IF(AND(EXACT($C$82,$C40),ISNUMBER($D$82)),($D$82&gt;$D40)+($D$82=$D40)/2,0),IF(AND(EXACT($C$83,$C40),ISNUMBER($D$83)),($D$83&gt;$D40)+($D$83=$D40)/2,0),IF(AND(EXACT($C$84,$C40),ISNUMBER($D$84)),($D$84&gt;$D40)+($D$84=$D40)/2,0),IF(AND(EXACT($C$85,$C40),ISNUMBER($D$85)),($D$85&gt;$D40)+($D$85=$D40)/2,0),IF(AND(EXACT($C$86,$C40),ISNUMBER($D$86)),($D$86&gt;$D40)+($D$86=$D40)/2,0),IF(AND(EXACT($C$87,$C40),ISNUMBER($D$87)),($D$87&gt;$D40)+($D$87=$D40)/2,0),IF(AND(EXACT($C$88,$C40),ISNUMBER($D$88)),($D$88&gt;$D40)+($D$88=$D40)/2,0),IF(AND(EXACT($C$89,$C40),ISNUMBER($D$89)),($D$89&gt;$D40)+($D$89=$D40)/2,0),IF(AND(EXACT($C$90,$C40),ISNUMBER($D$90)),($D$90&gt;$D40)+($D$90=$D40)/2,0),IF(AND(EXACT($C$91,$C40),ISNUMBER($D$91)),($D$91&gt;$D40)+($D$91=$D40)/2,0),IF(AND(EXACT($C$92,$C40),ISNUMBER($D$92)),($D$92&gt;$D40)+($D$92=$D40)/2,0),IF(AND(EXACT($C$93,$C40),ISNUMBER($D$93)),($D$93&gt;$D40)+($D$93=$D40)/2,0),IF(AND(EXACT($C$94,$C40),ISNUMBER($D$94)),($D$94&gt;$D40)+($D$94=$D40)/2,0),IF(AND(EXACT($C$95,$C40),ISNUMBER($D$95)),($D$95&gt;$D40)+($D$95=$D40)/2,0),IF(AND(EXACT($C$96,$C40),ISNUMBER($D$96)),($D$96&gt;$D40)+($D$96=$D40)/2,0),IF(AND(EXACT($C$97,$C40),ISNUMBER($D$97)),($D$97&gt;$D40)+($D$97=$D40)/2,0),IF(AND(EXACT($C$98,$C40),ISNUMBER($D$98)),($D$98&gt;$D40)+($D$98=$D40)/2,0),IF(AND(EXACT($C$99,$C40),ISNUMBER($D$99)),($D$99&gt;$D40)+($D$99=$D40)/2,0),IF(AND(EXACT($C$100,$C40),ISNUMBER($D$100)),($D$100&gt;$D40)+($D$100=$D40)/2,0),IF(AND(EXACT($C$101,$C40),ISNUMBER($D$101)),($D$101&gt;$D40)+($D$101=$D40)/2,0),IF(AND(EXACT($C$102,$C40),ISNUMBER($D$102)),($D$102&gt;$D40)+($D$102=$D40)/2,0),IF(AND(EXACT($C$103,$C40),ISNUMBER($D$103)),($D$103&gt;$D40)+($D$103=$D40)/2,0),IF(AND(EXACT($C$104,$C40),ISNUMBER($D$104)),($D$104&gt;$D40)+($D$104=$D40)/2,0),IF(AND(EXACT($C$105,$C40),ISNUMBER($D$105)),($D$105&gt;$D40)+($D$105=$D40)/2,0),IF(AND(EXACT($C$106,$C40),ISNUMBER($D$106)),($D$106&gt;$D40)+($D$106=$D40)/2,0)))</x:f>
      </x:c>
    </x:row>
    <x:row r="41">
      <x:c r="A41" s="34" t="str">
        <x:f>IF('91_CALC_SCORES'!A41="","",'91_CALC_SCORES'!A41)</x:f>
      </x:c>
      <x:c r="B41" s="34" t="str">
        <x:f>IF($A41="","",'91_CALC_SCORES'!B41)</x:f>
      </x:c>
      <x:c r="C41" s="34" t="str">
        <x:f>IF($A41="","",'91_CALC_SCORES'!K41)</x:f>
      </x:c>
      <x:c r="D41" s="57" t="str">
        <x:f>IF(OR($A41="",NOT(OR(LEFT('91_CALC_SCORES'!AB41,4)="PASS",LEFT('91_CALC_SCORES'!AB41,5)="READY"))),"",'91_CALC_SCORES'!Y41)</x:f>
      </x:c>
      <x:c r="E41" s="34" t="str">
        <x:f>IF(COUNT(D41)=0,"",1+SUM(AN41:AO41)-1/2)</x:f>
      </x:c>
      <x:c r="F41" s="34" t="str">
        <x:f>IF($A41="","",'91_CALC_SCORES'!AB41)</x:f>
      </x:c>
      <x:c r="G41" s="34" t="str">
        <x:f>IF(A41="","","연구 베타 | 기업 백분위 아님")</x:f>
      </x:c>
      <x:c r="AN41" s="34" t="str">
        <x:f>IF(COUNT($D41)=0,"",SUM(IF(AND(EXACT($C$7,$C41),ISNUMBER($D$7)),($D$7&gt;$D41)+($D$7=$D41)/2,0),IF(AND(EXACT($C$8,$C41),ISNUMBER($D$8)),($D$8&gt;$D41)+($D$8=$D41)/2,0),IF(AND(EXACT($C$9,$C41),ISNUMBER($D$9)),($D$9&gt;$D41)+($D$9=$D41)/2,0),IF(AND(EXACT($C$10,$C41),ISNUMBER($D$10)),($D$10&gt;$D41)+($D$10=$D41)/2,0),IF(AND(EXACT($C$11,$C41),ISNUMBER($D$11)),($D$11&gt;$D41)+($D$11=$D41)/2,0),IF(AND(EXACT($C$12,$C41),ISNUMBER($D$12)),($D$12&gt;$D41)+($D$12=$D41)/2,0),IF(AND(EXACT($C$13,$C41),ISNUMBER($D$13)),($D$13&gt;$D41)+($D$13=$D41)/2,0),IF(AND(EXACT($C$14,$C41),ISNUMBER($D$14)),($D$14&gt;$D41)+($D$14=$D41)/2,0),IF(AND(EXACT($C$15,$C41),ISNUMBER($D$15)),($D$15&gt;$D41)+($D$15=$D41)/2,0),IF(AND(EXACT($C$16,$C41),ISNUMBER($D$16)),($D$16&gt;$D41)+($D$16=$D41)/2,0),IF(AND(EXACT($C$17,$C41),ISNUMBER($D$17)),($D$17&gt;$D41)+($D$17=$D41)/2,0),IF(AND(EXACT($C$18,$C41),ISNUMBER($D$18)),($D$18&gt;$D41)+($D$18=$D41)/2,0),IF(AND(EXACT($C$19,$C41),ISNUMBER($D$19)),($D$19&gt;$D41)+($D$19=$D41)/2,0),IF(AND(EXACT($C$20,$C41),ISNUMBER($D$20)),($D$20&gt;$D41)+($D$20=$D41)/2,0),IF(AND(EXACT($C$21,$C41),ISNUMBER($D$21)),($D$21&gt;$D41)+($D$21=$D41)/2,0),IF(AND(EXACT($C$22,$C41),ISNUMBER($D$22)),($D$22&gt;$D41)+($D$22=$D41)/2,0),IF(AND(EXACT($C$23,$C41),ISNUMBER($D$23)),($D$23&gt;$D41)+($D$23=$D41)/2,0),IF(AND(EXACT($C$24,$C41),ISNUMBER($D$24)),($D$24&gt;$D41)+($D$24=$D41)/2,0),IF(AND(EXACT($C$25,$C41),ISNUMBER($D$25)),($D$25&gt;$D41)+($D$25=$D41)/2,0),IF(AND(EXACT($C$26,$C41),ISNUMBER($D$26)),($D$26&gt;$D41)+($D$26=$D41)/2,0),IF(AND(EXACT($C$27,$C41),ISNUMBER($D$27)),($D$27&gt;$D41)+($D$27=$D41)/2,0),IF(AND(EXACT($C$28,$C41),ISNUMBER($D$28)),($D$28&gt;$D41)+($D$28=$D41)/2,0),IF(AND(EXACT($C$29,$C41),ISNUMBER($D$29)),($D$29&gt;$D41)+($D$29=$D41)/2,0),IF(AND(EXACT($C$30,$C41),ISNUMBER($D$30)),($D$30&gt;$D41)+($D$30=$D41)/2,0),IF(AND(EXACT($C$31,$C41),ISNUMBER($D$31)),($D$31&gt;$D41)+($D$31=$D41)/2,0),IF(AND(EXACT($C$32,$C41),ISNUMBER($D$32)),($D$32&gt;$D41)+($D$32=$D41)/2,0),IF(AND(EXACT($C$33,$C41),ISNUMBER($D$33)),($D$33&gt;$D41)+($D$33=$D41)/2,0),IF(AND(EXACT($C$34,$C41),ISNUMBER($D$34)),($D$34&gt;$D41)+($D$34=$D41)/2,0),IF(AND(EXACT($C$35,$C41),ISNUMBER($D$35)),($D$35&gt;$D41)+($D$35=$D41)/2,0),IF(AND(EXACT($C$36,$C41),ISNUMBER($D$36)),($D$36&gt;$D41)+($D$36=$D41)/2,0),IF(AND(EXACT($C$37,$C41),ISNUMBER($D$37)),($D$37&gt;$D41)+($D$37=$D41)/2,0),IF(AND(EXACT($C$38,$C41),ISNUMBER($D$38)),($D$38&gt;$D41)+($D$38=$D41)/2,0),IF(AND(EXACT($C$39,$C41),ISNUMBER($D$39)),($D$39&gt;$D41)+($D$39=$D41)/2,0),IF(AND(EXACT($C$40,$C41),ISNUMBER($D$40)),($D$40&gt;$D41)+($D$40=$D41)/2,0),IF(AND(EXACT($C$41,$C41),ISNUMBER($D$41)),($D$41&gt;$D41)+($D$41=$D41)/2,0),IF(AND(EXACT($C$42,$C41),ISNUMBER($D$42)),($D$42&gt;$D41)+($D$42=$D41)/2,0),IF(AND(EXACT($C$43,$C41),ISNUMBER($D$43)),($D$43&gt;$D41)+($D$43=$D41)/2,0),IF(AND(EXACT($C$44,$C41),ISNUMBER($D$44)),($D$44&gt;$D41)+($D$44=$D41)/2,0),IF(AND(EXACT($C$45,$C41),ISNUMBER($D$45)),($D$45&gt;$D41)+($D$45=$D41)/2,0),IF(AND(EXACT($C$46,$C41),ISNUMBER($D$46)),($D$46&gt;$D41)+($D$46=$D41)/2,0),IF(AND(EXACT($C$47,$C41),ISNUMBER($D$47)),($D$47&gt;$D41)+($D$47=$D41)/2,0),IF(AND(EXACT($C$48,$C41),ISNUMBER($D$48)),($D$48&gt;$D41)+($D$48=$D41)/2,0),IF(AND(EXACT($C$49,$C41),ISNUMBER($D$49)),($D$49&gt;$D41)+($D$49=$D41)/2,0),IF(AND(EXACT($C$50,$C41),ISNUMBER($D$50)),($D$50&gt;$D41)+($D$50=$D41)/2,0),IF(AND(EXACT($C$51,$C41),ISNUMBER($D$51)),($D$51&gt;$D41)+($D$51=$D41)/2,0),IF(AND(EXACT($C$52,$C41),ISNUMBER($D$52)),($D$52&gt;$D41)+($D$52=$D41)/2,0),IF(AND(EXACT($C$53,$C41),ISNUMBER($D$53)),($D$53&gt;$D41)+($D$53=$D41)/2,0),IF(AND(EXACT($C$54,$C41),ISNUMBER($D$54)),($D$54&gt;$D41)+($D$54=$D41)/2,0),IF(AND(EXACT($C$55,$C41),ISNUMBER($D$55)),($D$55&gt;$D41)+($D$55=$D41)/2,0),IF(AND(EXACT($C$56,$C41),ISNUMBER($D$56)),($D$56&gt;$D41)+($D$56=$D41)/2,0)))</x:f>
      </x:c>
      <x:c r="AO41" s="34" t="str">
        <x:f>IF(COUNT($D41)=0,"",SUM(IF(AND(EXACT($C$57,$C41),ISNUMBER($D$57)),($D$57&gt;$D41)+($D$57=$D41)/2,0),IF(AND(EXACT($C$58,$C41),ISNUMBER($D$58)),($D$58&gt;$D41)+($D$58=$D41)/2,0),IF(AND(EXACT($C$59,$C41),ISNUMBER($D$59)),($D$59&gt;$D41)+($D$59=$D41)/2,0),IF(AND(EXACT($C$60,$C41),ISNUMBER($D$60)),($D$60&gt;$D41)+($D$60=$D41)/2,0),IF(AND(EXACT($C$61,$C41),ISNUMBER($D$61)),($D$61&gt;$D41)+($D$61=$D41)/2,0),IF(AND(EXACT($C$62,$C41),ISNUMBER($D$62)),($D$62&gt;$D41)+($D$62=$D41)/2,0),IF(AND(EXACT($C$63,$C41),ISNUMBER($D$63)),($D$63&gt;$D41)+($D$63=$D41)/2,0),IF(AND(EXACT($C$64,$C41),ISNUMBER($D$64)),($D$64&gt;$D41)+($D$64=$D41)/2,0),IF(AND(EXACT($C$65,$C41),ISNUMBER($D$65)),($D$65&gt;$D41)+($D$65=$D41)/2,0),IF(AND(EXACT($C$66,$C41),ISNUMBER($D$66)),($D$66&gt;$D41)+($D$66=$D41)/2,0),IF(AND(EXACT($C$67,$C41),ISNUMBER($D$67)),($D$67&gt;$D41)+($D$67=$D41)/2,0),IF(AND(EXACT($C$68,$C41),ISNUMBER($D$68)),($D$68&gt;$D41)+($D$68=$D41)/2,0),IF(AND(EXACT($C$69,$C41),ISNUMBER($D$69)),($D$69&gt;$D41)+($D$69=$D41)/2,0),IF(AND(EXACT($C$70,$C41),ISNUMBER($D$70)),($D$70&gt;$D41)+($D$70=$D41)/2,0),IF(AND(EXACT($C$71,$C41),ISNUMBER($D$71)),($D$71&gt;$D41)+($D$71=$D41)/2,0),IF(AND(EXACT($C$72,$C41),ISNUMBER($D$72)),($D$72&gt;$D41)+($D$72=$D41)/2,0),IF(AND(EXACT($C$73,$C41),ISNUMBER($D$73)),($D$73&gt;$D41)+($D$73=$D41)/2,0),IF(AND(EXACT($C$74,$C41),ISNUMBER($D$74)),($D$74&gt;$D41)+($D$74=$D41)/2,0),IF(AND(EXACT($C$75,$C41),ISNUMBER($D$75)),($D$75&gt;$D41)+($D$75=$D41)/2,0),IF(AND(EXACT($C$76,$C41),ISNUMBER($D$76)),($D$76&gt;$D41)+($D$76=$D41)/2,0),IF(AND(EXACT($C$77,$C41),ISNUMBER($D$77)),($D$77&gt;$D41)+($D$77=$D41)/2,0),IF(AND(EXACT($C$78,$C41),ISNUMBER($D$78)),($D$78&gt;$D41)+($D$78=$D41)/2,0),IF(AND(EXACT($C$79,$C41),ISNUMBER($D$79)),($D$79&gt;$D41)+($D$79=$D41)/2,0),IF(AND(EXACT($C$80,$C41),ISNUMBER($D$80)),($D$80&gt;$D41)+($D$80=$D41)/2,0),IF(AND(EXACT($C$81,$C41),ISNUMBER($D$81)),($D$81&gt;$D41)+($D$81=$D41)/2,0),IF(AND(EXACT($C$82,$C41),ISNUMBER($D$82)),($D$82&gt;$D41)+($D$82=$D41)/2,0),IF(AND(EXACT($C$83,$C41),ISNUMBER($D$83)),($D$83&gt;$D41)+($D$83=$D41)/2,0),IF(AND(EXACT($C$84,$C41),ISNUMBER($D$84)),($D$84&gt;$D41)+($D$84=$D41)/2,0),IF(AND(EXACT($C$85,$C41),ISNUMBER($D$85)),($D$85&gt;$D41)+($D$85=$D41)/2,0),IF(AND(EXACT($C$86,$C41),ISNUMBER($D$86)),($D$86&gt;$D41)+($D$86=$D41)/2,0),IF(AND(EXACT($C$87,$C41),ISNUMBER($D$87)),($D$87&gt;$D41)+($D$87=$D41)/2,0),IF(AND(EXACT($C$88,$C41),ISNUMBER($D$88)),($D$88&gt;$D41)+($D$88=$D41)/2,0),IF(AND(EXACT($C$89,$C41),ISNUMBER($D$89)),($D$89&gt;$D41)+($D$89=$D41)/2,0),IF(AND(EXACT($C$90,$C41),ISNUMBER($D$90)),($D$90&gt;$D41)+($D$90=$D41)/2,0),IF(AND(EXACT($C$91,$C41),ISNUMBER($D$91)),($D$91&gt;$D41)+($D$91=$D41)/2,0),IF(AND(EXACT($C$92,$C41),ISNUMBER($D$92)),($D$92&gt;$D41)+($D$92=$D41)/2,0),IF(AND(EXACT($C$93,$C41),ISNUMBER($D$93)),($D$93&gt;$D41)+($D$93=$D41)/2,0),IF(AND(EXACT($C$94,$C41),ISNUMBER($D$94)),($D$94&gt;$D41)+($D$94=$D41)/2,0),IF(AND(EXACT($C$95,$C41),ISNUMBER($D$95)),($D$95&gt;$D41)+($D$95=$D41)/2,0),IF(AND(EXACT($C$96,$C41),ISNUMBER($D$96)),($D$96&gt;$D41)+($D$96=$D41)/2,0),IF(AND(EXACT($C$97,$C41),ISNUMBER($D$97)),($D$97&gt;$D41)+($D$97=$D41)/2,0),IF(AND(EXACT($C$98,$C41),ISNUMBER($D$98)),($D$98&gt;$D41)+($D$98=$D41)/2,0),IF(AND(EXACT($C$99,$C41),ISNUMBER($D$99)),($D$99&gt;$D41)+($D$99=$D41)/2,0),IF(AND(EXACT($C$100,$C41),ISNUMBER($D$100)),($D$100&gt;$D41)+($D$100=$D41)/2,0),IF(AND(EXACT($C$101,$C41),ISNUMBER($D$101)),($D$101&gt;$D41)+($D$101=$D41)/2,0),IF(AND(EXACT($C$102,$C41),ISNUMBER($D$102)),($D$102&gt;$D41)+($D$102=$D41)/2,0),IF(AND(EXACT($C$103,$C41),ISNUMBER($D$103)),($D$103&gt;$D41)+($D$103=$D41)/2,0),IF(AND(EXACT($C$104,$C41),ISNUMBER($D$104)),($D$104&gt;$D41)+($D$104=$D41)/2,0),IF(AND(EXACT($C$105,$C41),ISNUMBER($D$105)),($D$105&gt;$D41)+($D$105=$D41)/2,0),IF(AND(EXACT($C$106,$C41),ISNUMBER($D$106)),($D$106&gt;$D41)+($D$106=$D41)/2,0)))</x:f>
      </x:c>
    </x:row>
    <x:row r="42">
      <x:c r="A42" s="34" t="str">
        <x:f>IF('91_CALC_SCORES'!A42="","",'91_CALC_SCORES'!A42)</x:f>
      </x:c>
      <x:c r="B42" s="34" t="str">
        <x:f>IF($A42="","",'91_CALC_SCORES'!B42)</x:f>
      </x:c>
      <x:c r="C42" s="34" t="str">
        <x:f>IF($A42="","",'91_CALC_SCORES'!K42)</x:f>
      </x:c>
      <x:c r="D42" s="57" t="str">
        <x:f>IF(OR($A42="",NOT(OR(LEFT('91_CALC_SCORES'!AB42,4)="PASS",LEFT('91_CALC_SCORES'!AB42,5)="READY"))),"",'91_CALC_SCORES'!Y42)</x:f>
      </x:c>
      <x:c r="E42" s="34" t="str">
        <x:f>IF(COUNT(D42)=0,"",1+SUM(AN42:AO42)-1/2)</x:f>
      </x:c>
      <x:c r="F42" s="34" t="str">
        <x:f>IF($A42="","",'91_CALC_SCORES'!AB42)</x:f>
      </x:c>
      <x:c r="G42" s="34" t="str">
        <x:f>IF(A42="","","연구 베타 | 기업 백분위 아님")</x:f>
      </x:c>
      <x:c r="AN42" s="34" t="str">
        <x:f>IF(COUNT($D42)=0,"",SUM(IF(AND(EXACT($C$7,$C42),ISNUMBER($D$7)),($D$7&gt;$D42)+($D$7=$D42)/2,0),IF(AND(EXACT($C$8,$C42),ISNUMBER($D$8)),($D$8&gt;$D42)+($D$8=$D42)/2,0),IF(AND(EXACT($C$9,$C42),ISNUMBER($D$9)),($D$9&gt;$D42)+($D$9=$D42)/2,0),IF(AND(EXACT($C$10,$C42),ISNUMBER($D$10)),($D$10&gt;$D42)+($D$10=$D42)/2,0),IF(AND(EXACT($C$11,$C42),ISNUMBER($D$11)),($D$11&gt;$D42)+($D$11=$D42)/2,0),IF(AND(EXACT($C$12,$C42),ISNUMBER($D$12)),($D$12&gt;$D42)+($D$12=$D42)/2,0),IF(AND(EXACT($C$13,$C42),ISNUMBER($D$13)),($D$13&gt;$D42)+($D$13=$D42)/2,0),IF(AND(EXACT($C$14,$C42),ISNUMBER($D$14)),($D$14&gt;$D42)+($D$14=$D42)/2,0),IF(AND(EXACT($C$15,$C42),ISNUMBER($D$15)),($D$15&gt;$D42)+($D$15=$D42)/2,0),IF(AND(EXACT($C$16,$C42),ISNUMBER($D$16)),($D$16&gt;$D42)+($D$16=$D42)/2,0),IF(AND(EXACT($C$17,$C42),ISNUMBER($D$17)),($D$17&gt;$D42)+($D$17=$D42)/2,0),IF(AND(EXACT($C$18,$C42),ISNUMBER($D$18)),($D$18&gt;$D42)+($D$18=$D42)/2,0),IF(AND(EXACT($C$19,$C42),ISNUMBER($D$19)),($D$19&gt;$D42)+($D$19=$D42)/2,0),IF(AND(EXACT($C$20,$C42),ISNUMBER($D$20)),($D$20&gt;$D42)+($D$20=$D42)/2,0),IF(AND(EXACT($C$21,$C42),ISNUMBER($D$21)),($D$21&gt;$D42)+($D$21=$D42)/2,0),IF(AND(EXACT($C$22,$C42),ISNUMBER($D$22)),($D$22&gt;$D42)+($D$22=$D42)/2,0),IF(AND(EXACT($C$23,$C42),ISNUMBER($D$23)),($D$23&gt;$D42)+($D$23=$D42)/2,0),IF(AND(EXACT($C$24,$C42),ISNUMBER($D$24)),($D$24&gt;$D42)+($D$24=$D42)/2,0),IF(AND(EXACT($C$25,$C42),ISNUMBER($D$25)),($D$25&gt;$D42)+($D$25=$D42)/2,0),IF(AND(EXACT($C$26,$C42),ISNUMBER($D$26)),($D$26&gt;$D42)+($D$26=$D42)/2,0),IF(AND(EXACT($C$27,$C42),ISNUMBER($D$27)),($D$27&gt;$D42)+($D$27=$D42)/2,0),IF(AND(EXACT($C$28,$C42),ISNUMBER($D$28)),($D$28&gt;$D42)+($D$28=$D42)/2,0),IF(AND(EXACT($C$29,$C42),ISNUMBER($D$29)),($D$29&gt;$D42)+($D$29=$D42)/2,0),IF(AND(EXACT($C$30,$C42),ISNUMBER($D$30)),($D$30&gt;$D42)+($D$30=$D42)/2,0),IF(AND(EXACT($C$31,$C42),ISNUMBER($D$31)),($D$31&gt;$D42)+($D$31=$D42)/2,0),IF(AND(EXACT($C$32,$C42),ISNUMBER($D$32)),($D$32&gt;$D42)+($D$32=$D42)/2,0),IF(AND(EXACT($C$33,$C42),ISNUMBER($D$33)),($D$33&gt;$D42)+($D$33=$D42)/2,0),IF(AND(EXACT($C$34,$C42),ISNUMBER($D$34)),($D$34&gt;$D42)+($D$34=$D42)/2,0),IF(AND(EXACT($C$35,$C42),ISNUMBER($D$35)),($D$35&gt;$D42)+($D$35=$D42)/2,0),IF(AND(EXACT($C$36,$C42),ISNUMBER($D$36)),($D$36&gt;$D42)+($D$36=$D42)/2,0),IF(AND(EXACT($C$37,$C42),ISNUMBER($D$37)),($D$37&gt;$D42)+($D$37=$D42)/2,0),IF(AND(EXACT($C$38,$C42),ISNUMBER($D$38)),($D$38&gt;$D42)+($D$38=$D42)/2,0),IF(AND(EXACT($C$39,$C42),ISNUMBER($D$39)),($D$39&gt;$D42)+($D$39=$D42)/2,0),IF(AND(EXACT($C$40,$C42),ISNUMBER($D$40)),($D$40&gt;$D42)+($D$40=$D42)/2,0),IF(AND(EXACT($C$41,$C42),ISNUMBER($D$41)),($D$41&gt;$D42)+($D$41=$D42)/2,0),IF(AND(EXACT($C$42,$C42),ISNUMBER($D$42)),($D$42&gt;$D42)+($D$42=$D42)/2,0),IF(AND(EXACT($C$43,$C42),ISNUMBER($D$43)),($D$43&gt;$D42)+($D$43=$D42)/2,0),IF(AND(EXACT($C$44,$C42),ISNUMBER($D$44)),($D$44&gt;$D42)+($D$44=$D42)/2,0),IF(AND(EXACT($C$45,$C42),ISNUMBER($D$45)),($D$45&gt;$D42)+($D$45=$D42)/2,0),IF(AND(EXACT($C$46,$C42),ISNUMBER($D$46)),($D$46&gt;$D42)+($D$46=$D42)/2,0),IF(AND(EXACT($C$47,$C42),ISNUMBER($D$47)),($D$47&gt;$D42)+($D$47=$D42)/2,0),IF(AND(EXACT($C$48,$C42),ISNUMBER($D$48)),($D$48&gt;$D42)+($D$48=$D42)/2,0),IF(AND(EXACT($C$49,$C42),ISNUMBER($D$49)),($D$49&gt;$D42)+($D$49=$D42)/2,0),IF(AND(EXACT($C$50,$C42),ISNUMBER($D$50)),($D$50&gt;$D42)+($D$50=$D42)/2,0),IF(AND(EXACT($C$51,$C42),ISNUMBER($D$51)),($D$51&gt;$D42)+($D$51=$D42)/2,0),IF(AND(EXACT($C$52,$C42),ISNUMBER($D$52)),($D$52&gt;$D42)+($D$52=$D42)/2,0),IF(AND(EXACT($C$53,$C42),ISNUMBER($D$53)),($D$53&gt;$D42)+($D$53=$D42)/2,0),IF(AND(EXACT($C$54,$C42),ISNUMBER($D$54)),($D$54&gt;$D42)+($D$54=$D42)/2,0),IF(AND(EXACT($C$55,$C42),ISNUMBER($D$55)),($D$55&gt;$D42)+($D$55=$D42)/2,0),IF(AND(EXACT($C$56,$C42),ISNUMBER($D$56)),($D$56&gt;$D42)+($D$56=$D42)/2,0)))</x:f>
      </x:c>
      <x:c r="AO42" s="34" t="str">
        <x:f>IF(COUNT($D42)=0,"",SUM(IF(AND(EXACT($C$57,$C42),ISNUMBER($D$57)),($D$57&gt;$D42)+($D$57=$D42)/2,0),IF(AND(EXACT($C$58,$C42),ISNUMBER($D$58)),($D$58&gt;$D42)+($D$58=$D42)/2,0),IF(AND(EXACT($C$59,$C42),ISNUMBER($D$59)),($D$59&gt;$D42)+($D$59=$D42)/2,0),IF(AND(EXACT($C$60,$C42),ISNUMBER($D$60)),($D$60&gt;$D42)+($D$60=$D42)/2,0),IF(AND(EXACT($C$61,$C42),ISNUMBER($D$61)),($D$61&gt;$D42)+($D$61=$D42)/2,0),IF(AND(EXACT($C$62,$C42),ISNUMBER($D$62)),($D$62&gt;$D42)+($D$62=$D42)/2,0),IF(AND(EXACT($C$63,$C42),ISNUMBER($D$63)),($D$63&gt;$D42)+($D$63=$D42)/2,0),IF(AND(EXACT($C$64,$C42),ISNUMBER($D$64)),($D$64&gt;$D42)+($D$64=$D42)/2,0),IF(AND(EXACT($C$65,$C42),ISNUMBER($D$65)),($D$65&gt;$D42)+($D$65=$D42)/2,0),IF(AND(EXACT($C$66,$C42),ISNUMBER($D$66)),($D$66&gt;$D42)+($D$66=$D42)/2,0),IF(AND(EXACT($C$67,$C42),ISNUMBER($D$67)),($D$67&gt;$D42)+($D$67=$D42)/2,0),IF(AND(EXACT($C$68,$C42),ISNUMBER($D$68)),($D$68&gt;$D42)+($D$68=$D42)/2,0),IF(AND(EXACT($C$69,$C42),ISNUMBER($D$69)),($D$69&gt;$D42)+($D$69=$D42)/2,0),IF(AND(EXACT($C$70,$C42),ISNUMBER($D$70)),($D$70&gt;$D42)+($D$70=$D42)/2,0),IF(AND(EXACT($C$71,$C42),ISNUMBER($D$71)),($D$71&gt;$D42)+($D$71=$D42)/2,0),IF(AND(EXACT($C$72,$C42),ISNUMBER($D$72)),($D$72&gt;$D42)+($D$72=$D42)/2,0),IF(AND(EXACT($C$73,$C42),ISNUMBER($D$73)),($D$73&gt;$D42)+($D$73=$D42)/2,0),IF(AND(EXACT($C$74,$C42),ISNUMBER($D$74)),($D$74&gt;$D42)+($D$74=$D42)/2,0),IF(AND(EXACT($C$75,$C42),ISNUMBER($D$75)),($D$75&gt;$D42)+($D$75=$D42)/2,0),IF(AND(EXACT($C$76,$C42),ISNUMBER($D$76)),($D$76&gt;$D42)+($D$76=$D42)/2,0),IF(AND(EXACT($C$77,$C42),ISNUMBER($D$77)),($D$77&gt;$D42)+($D$77=$D42)/2,0),IF(AND(EXACT($C$78,$C42),ISNUMBER($D$78)),($D$78&gt;$D42)+($D$78=$D42)/2,0),IF(AND(EXACT($C$79,$C42),ISNUMBER($D$79)),($D$79&gt;$D42)+($D$79=$D42)/2,0),IF(AND(EXACT($C$80,$C42),ISNUMBER($D$80)),($D$80&gt;$D42)+($D$80=$D42)/2,0),IF(AND(EXACT($C$81,$C42),ISNUMBER($D$81)),($D$81&gt;$D42)+($D$81=$D42)/2,0),IF(AND(EXACT($C$82,$C42),ISNUMBER($D$82)),($D$82&gt;$D42)+($D$82=$D42)/2,0),IF(AND(EXACT($C$83,$C42),ISNUMBER($D$83)),($D$83&gt;$D42)+($D$83=$D42)/2,0),IF(AND(EXACT($C$84,$C42),ISNUMBER($D$84)),($D$84&gt;$D42)+($D$84=$D42)/2,0),IF(AND(EXACT($C$85,$C42),ISNUMBER($D$85)),($D$85&gt;$D42)+($D$85=$D42)/2,0),IF(AND(EXACT($C$86,$C42),ISNUMBER($D$86)),($D$86&gt;$D42)+($D$86=$D42)/2,0),IF(AND(EXACT($C$87,$C42),ISNUMBER($D$87)),($D$87&gt;$D42)+($D$87=$D42)/2,0),IF(AND(EXACT($C$88,$C42),ISNUMBER($D$88)),($D$88&gt;$D42)+($D$88=$D42)/2,0),IF(AND(EXACT($C$89,$C42),ISNUMBER($D$89)),($D$89&gt;$D42)+($D$89=$D42)/2,0),IF(AND(EXACT($C$90,$C42),ISNUMBER($D$90)),($D$90&gt;$D42)+($D$90=$D42)/2,0),IF(AND(EXACT($C$91,$C42),ISNUMBER($D$91)),($D$91&gt;$D42)+($D$91=$D42)/2,0),IF(AND(EXACT($C$92,$C42),ISNUMBER($D$92)),($D$92&gt;$D42)+($D$92=$D42)/2,0),IF(AND(EXACT($C$93,$C42),ISNUMBER($D$93)),($D$93&gt;$D42)+($D$93=$D42)/2,0),IF(AND(EXACT($C$94,$C42),ISNUMBER($D$94)),($D$94&gt;$D42)+($D$94=$D42)/2,0),IF(AND(EXACT($C$95,$C42),ISNUMBER($D$95)),($D$95&gt;$D42)+($D$95=$D42)/2,0),IF(AND(EXACT($C$96,$C42),ISNUMBER($D$96)),($D$96&gt;$D42)+($D$96=$D42)/2,0),IF(AND(EXACT($C$97,$C42),ISNUMBER($D$97)),($D$97&gt;$D42)+($D$97=$D42)/2,0),IF(AND(EXACT($C$98,$C42),ISNUMBER($D$98)),($D$98&gt;$D42)+($D$98=$D42)/2,0),IF(AND(EXACT($C$99,$C42),ISNUMBER($D$99)),($D$99&gt;$D42)+($D$99=$D42)/2,0),IF(AND(EXACT($C$100,$C42),ISNUMBER($D$100)),($D$100&gt;$D42)+($D$100=$D42)/2,0),IF(AND(EXACT($C$101,$C42),ISNUMBER($D$101)),($D$101&gt;$D42)+($D$101=$D42)/2,0),IF(AND(EXACT($C$102,$C42),ISNUMBER($D$102)),($D$102&gt;$D42)+($D$102=$D42)/2,0),IF(AND(EXACT($C$103,$C42),ISNUMBER($D$103)),($D$103&gt;$D42)+($D$103=$D42)/2,0),IF(AND(EXACT($C$104,$C42),ISNUMBER($D$104)),($D$104&gt;$D42)+($D$104=$D42)/2,0),IF(AND(EXACT($C$105,$C42),ISNUMBER($D$105)),($D$105&gt;$D42)+($D$105=$D42)/2,0),IF(AND(EXACT($C$106,$C42),ISNUMBER($D$106)),($D$106&gt;$D42)+($D$106=$D42)/2,0)))</x:f>
      </x:c>
    </x:row>
    <x:row r="43">
      <x:c r="A43" s="34" t="str">
        <x:f>IF('91_CALC_SCORES'!A43="","",'91_CALC_SCORES'!A43)</x:f>
      </x:c>
      <x:c r="B43" s="34" t="str">
        <x:f>IF($A43="","",'91_CALC_SCORES'!B43)</x:f>
      </x:c>
      <x:c r="C43" s="34" t="str">
        <x:f>IF($A43="","",'91_CALC_SCORES'!K43)</x:f>
      </x:c>
      <x:c r="D43" s="57" t="str">
        <x:f>IF(OR($A43="",NOT(OR(LEFT('91_CALC_SCORES'!AB43,4)="PASS",LEFT('91_CALC_SCORES'!AB43,5)="READY"))),"",'91_CALC_SCORES'!Y43)</x:f>
      </x:c>
      <x:c r="E43" s="34" t="str">
        <x:f>IF(COUNT(D43)=0,"",1+SUM(AN43:AO43)-1/2)</x:f>
      </x:c>
      <x:c r="F43" s="34" t="str">
        <x:f>IF($A43="","",'91_CALC_SCORES'!AB43)</x:f>
      </x:c>
      <x:c r="G43" s="34" t="str">
        <x:f>IF(A43="","","연구 베타 | 기업 백분위 아님")</x:f>
      </x:c>
      <x:c r="AN43" s="34" t="str">
        <x:f>IF(COUNT($D43)=0,"",SUM(IF(AND(EXACT($C$7,$C43),ISNUMBER($D$7)),($D$7&gt;$D43)+($D$7=$D43)/2,0),IF(AND(EXACT($C$8,$C43),ISNUMBER($D$8)),($D$8&gt;$D43)+($D$8=$D43)/2,0),IF(AND(EXACT($C$9,$C43),ISNUMBER($D$9)),($D$9&gt;$D43)+($D$9=$D43)/2,0),IF(AND(EXACT($C$10,$C43),ISNUMBER($D$10)),($D$10&gt;$D43)+($D$10=$D43)/2,0),IF(AND(EXACT($C$11,$C43),ISNUMBER($D$11)),($D$11&gt;$D43)+($D$11=$D43)/2,0),IF(AND(EXACT($C$12,$C43),ISNUMBER($D$12)),($D$12&gt;$D43)+($D$12=$D43)/2,0),IF(AND(EXACT($C$13,$C43),ISNUMBER($D$13)),($D$13&gt;$D43)+($D$13=$D43)/2,0),IF(AND(EXACT($C$14,$C43),ISNUMBER($D$14)),($D$14&gt;$D43)+($D$14=$D43)/2,0),IF(AND(EXACT($C$15,$C43),ISNUMBER($D$15)),($D$15&gt;$D43)+($D$15=$D43)/2,0),IF(AND(EXACT($C$16,$C43),ISNUMBER($D$16)),($D$16&gt;$D43)+($D$16=$D43)/2,0),IF(AND(EXACT($C$17,$C43),ISNUMBER($D$17)),($D$17&gt;$D43)+($D$17=$D43)/2,0),IF(AND(EXACT($C$18,$C43),ISNUMBER($D$18)),($D$18&gt;$D43)+($D$18=$D43)/2,0),IF(AND(EXACT($C$19,$C43),ISNUMBER($D$19)),($D$19&gt;$D43)+($D$19=$D43)/2,0),IF(AND(EXACT($C$20,$C43),ISNUMBER($D$20)),($D$20&gt;$D43)+($D$20=$D43)/2,0),IF(AND(EXACT($C$21,$C43),ISNUMBER($D$21)),($D$21&gt;$D43)+($D$21=$D43)/2,0),IF(AND(EXACT($C$22,$C43),ISNUMBER($D$22)),($D$22&gt;$D43)+($D$22=$D43)/2,0),IF(AND(EXACT($C$23,$C43),ISNUMBER($D$23)),($D$23&gt;$D43)+($D$23=$D43)/2,0),IF(AND(EXACT($C$24,$C43),ISNUMBER($D$24)),($D$24&gt;$D43)+($D$24=$D43)/2,0),IF(AND(EXACT($C$25,$C43),ISNUMBER($D$25)),($D$25&gt;$D43)+($D$25=$D43)/2,0),IF(AND(EXACT($C$26,$C43),ISNUMBER($D$26)),($D$26&gt;$D43)+($D$26=$D43)/2,0),IF(AND(EXACT($C$27,$C43),ISNUMBER($D$27)),($D$27&gt;$D43)+($D$27=$D43)/2,0),IF(AND(EXACT($C$28,$C43),ISNUMBER($D$28)),($D$28&gt;$D43)+($D$28=$D43)/2,0),IF(AND(EXACT($C$29,$C43),ISNUMBER($D$29)),($D$29&gt;$D43)+($D$29=$D43)/2,0),IF(AND(EXACT($C$30,$C43),ISNUMBER($D$30)),($D$30&gt;$D43)+($D$30=$D43)/2,0),IF(AND(EXACT($C$31,$C43),ISNUMBER($D$31)),($D$31&gt;$D43)+($D$31=$D43)/2,0),IF(AND(EXACT($C$32,$C43),ISNUMBER($D$32)),($D$32&gt;$D43)+($D$32=$D43)/2,0),IF(AND(EXACT($C$33,$C43),ISNUMBER($D$33)),($D$33&gt;$D43)+($D$33=$D43)/2,0),IF(AND(EXACT($C$34,$C43),ISNUMBER($D$34)),($D$34&gt;$D43)+($D$34=$D43)/2,0),IF(AND(EXACT($C$35,$C43),ISNUMBER($D$35)),($D$35&gt;$D43)+($D$35=$D43)/2,0),IF(AND(EXACT($C$36,$C43),ISNUMBER($D$36)),($D$36&gt;$D43)+($D$36=$D43)/2,0),IF(AND(EXACT($C$37,$C43),ISNUMBER($D$37)),($D$37&gt;$D43)+($D$37=$D43)/2,0),IF(AND(EXACT($C$38,$C43),ISNUMBER($D$38)),($D$38&gt;$D43)+($D$38=$D43)/2,0),IF(AND(EXACT($C$39,$C43),ISNUMBER($D$39)),($D$39&gt;$D43)+($D$39=$D43)/2,0),IF(AND(EXACT($C$40,$C43),ISNUMBER($D$40)),($D$40&gt;$D43)+($D$40=$D43)/2,0),IF(AND(EXACT($C$41,$C43),ISNUMBER($D$41)),($D$41&gt;$D43)+($D$41=$D43)/2,0),IF(AND(EXACT($C$42,$C43),ISNUMBER($D$42)),($D$42&gt;$D43)+($D$42=$D43)/2,0),IF(AND(EXACT($C$43,$C43),ISNUMBER($D$43)),($D$43&gt;$D43)+($D$43=$D43)/2,0),IF(AND(EXACT($C$44,$C43),ISNUMBER($D$44)),($D$44&gt;$D43)+($D$44=$D43)/2,0),IF(AND(EXACT($C$45,$C43),ISNUMBER($D$45)),($D$45&gt;$D43)+($D$45=$D43)/2,0),IF(AND(EXACT($C$46,$C43),ISNUMBER($D$46)),($D$46&gt;$D43)+($D$46=$D43)/2,0),IF(AND(EXACT($C$47,$C43),ISNUMBER($D$47)),($D$47&gt;$D43)+($D$47=$D43)/2,0),IF(AND(EXACT($C$48,$C43),ISNUMBER($D$48)),($D$48&gt;$D43)+($D$48=$D43)/2,0),IF(AND(EXACT($C$49,$C43),ISNUMBER($D$49)),($D$49&gt;$D43)+($D$49=$D43)/2,0),IF(AND(EXACT($C$50,$C43),ISNUMBER($D$50)),($D$50&gt;$D43)+($D$50=$D43)/2,0),IF(AND(EXACT($C$51,$C43),ISNUMBER($D$51)),($D$51&gt;$D43)+($D$51=$D43)/2,0),IF(AND(EXACT($C$52,$C43),ISNUMBER($D$52)),($D$52&gt;$D43)+($D$52=$D43)/2,0),IF(AND(EXACT($C$53,$C43),ISNUMBER($D$53)),($D$53&gt;$D43)+($D$53=$D43)/2,0),IF(AND(EXACT($C$54,$C43),ISNUMBER($D$54)),($D$54&gt;$D43)+($D$54=$D43)/2,0),IF(AND(EXACT($C$55,$C43),ISNUMBER($D$55)),($D$55&gt;$D43)+($D$55=$D43)/2,0),IF(AND(EXACT($C$56,$C43),ISNUMBER($D$56)),($D$56&gt;$D43)+($D$56=$D43)/2,0)))</x:f>
      </x:c>
      <x:c r="AO43" s="34" t="str">
        <x:f>IF(COUNT($D43)=0,"",SUM(IF(AND(EXACT($C$57,$C43),ISNUMBER($D$57)),($D$57&gt;$D43)+($D$57=$D43)/2,0),IF(AND(EXACT($C$58,$C43),ISNUMBER($D$58)),($D$58&gt;$D43)+($D$58=$D43)/2,0),IF(AND(EXACT($C$59,$C43),ISNUMBER($D$59)),($D$59&gt;$D43)+($D$59=$D43)/2,0),IF(AND(EXACT($C$60,$C43),ISNUMBER($D$60)),($D$60&gt;$D43)+($D$60=$D43)/2,0),IF(AND(EXACT($C$61,$C43),ISNUMBER($D$61)),($D$61&gt;$D43)+($D$61=$D43)/2,0),IF(AND(EXACT($C$62,$C43),ISNUMBER($D$62)),($D$62&gt;$D43)+($D$62=$D43)/2,0),IF(AND(EXACT($C$63,$C43),ISNUMBER($D$63)),($D$63&gt;$D43)+($D$63=$D43)/2,0),IF(AND(EXACT($C$64,$C43),ISNUMBER($D$64)),($D$64&gt;$D43)+($D$64=$D43)/2,0),IF(AND(EXACT($C$65,$C43),ISNUMBER($D$65)),($D$65&gt;$D43)+($D$65=$D43)/2,0),IF(AND(EXACT($C$66,$C43),ISNUMBER($D$66)),($D$66&gt;$D43)+($D$66=$D43)/2,0),IF(AND(EXACT($C$67,$C43),ISNUMBER($D$67)),($D$67&gt;$D43)+($D$67=$D43)/2,0),IF(AND(EXACT($C$68,$C43),ISNUMBER($D$68)),($D$68&gt;$D43)+($D$68=$D43)/2,0),IF(AND(EXACT($C$69,$C43),ISNUMBER($D$69)),($D$69&gt;$D43)+($D$69=$D43)/2,0),IF(AND(EXACT($C$70,$C43),ISNUMBER($D$70)),($D$70&gt;$D43)+($D$70=$D43)/2,0),IF(AND(EXACT($C$71,$C43),ISNUMBER($D$71)),($D$71&gt;$D43)+($D$71=$D43)/2,0),IF(AND(EXACT($C$72,$C43),ISNUMBER($D$72)),($D$72&gt;$D43)+($D$72=$D43)/2,0),IF(AND(EXACT($C$73,$C43),ISNUMBER($D$73)),($D$73&gt;$D43)+($D$73=$D43)/2,0),IF(AND(EXACT($C$74,$C43),ISNUMBER($D$74)),($D$74&gt;$D43)+($D$74=$D43)/2,0),IF(AND(EXACT($C$75,$C43),ISNUMBER($D$75)),($D$75&gt;$D43)+($D$75=$D43)/2,0),IF(AND(EXACT($C$76,$C43),ISNUMBER($D$76)),($D$76&gt;$D43)+($D$76=$D43)/2,0),IF(AND(EXACT($C$77,$C43),ISNUMBER($D$77)),($D$77&gt;$D43)+($D$77=$D43)/2,0),IF(AND(EXACT($C$78,$C43),ISNUMBER($D$78)),($D$78&gt;$D43)+($D$78=$D43)/2,0),IF(AND(EXACT($C$79,$C43),ISNUMBER($D$79)),($D$79&gt;$D43)+($D$79=$D43)/2,0),IF(AND(EXACT($C$80,$C43),ISNUMBER($D$80)),($D$80&gt;$D43)+($D$80=$D43)/2,0),IF(AND(EXACT($C$81,$C43),ISNUMBER($D$81)),($D$81&gt;$D43)+($D$81=$D43)/2,0),IF(AND(EXACT($C$82,$C43),ISNUMBER($D$82)),($D$82&gt;$D43)+($D$82=$D43)/2,0),IF(AND(EXACT($C$83,$C43),ISNUMBER($D$83)),($D$83&gt;$D43)+($D$83=$D43)/2,0),IF(AND(EXACT($C$84,$C43),ISNUMBER($D$84)),($D$84&gt;$D43)+($D$84=$D43)/2,0),IF(AND(EXACT($C$85,$C43),ISNUMBER($D$85)),($D$85&gt;$D43)+($D$85=$D43)/2,0),IF(AND(EXACT($C$86,$C43),ISNUMBER($D$86)),($D$86&gt;$D43)+($D$86=$D43)/2,0),IF(AND(EXACT($C$87,$C43),ISNUMBER($D$87)),($D$87&gt;$D43)+($D$87=$D43)/2,0),IF(AND(EXACT($C$88,$C43),ISNUMBER($D$88)),($D$88&gt;$D43)+($D$88=$D43)/2,0),IF(AND(EXACT($C$89,$C43),ISNUMBER($D$89)),($D$89&gt;$D43)+($D$89=$D43)/2,0),IF(AND(EXACT($C$90,$C43),ISNUMBER($D$90)),($D$90&gt;$D43)+($D$90=$D43)/2,0),IF(AND(EXACT($C$91,$C43),ISNUMBER($D$91)),($D$91&gt;$D43)+($D$91=$D43)/2,0),IF(AND(EXACT($C$92,$C43),ISNUMBER($D$92)),($D$92&gt;$D43)+($D$92=$D43)/2,0),IF(AND(EXACT($C$93,$C43),ISNUMBER($D$93)),($D$93&gt;$D43)+($D$93=$D43)/2,0),IF(AND(EXACT($C$94,$C43),ISNUMBER($D$94)),($D$94&gt;$D43)+($D$94=$D43)/2,0),IF(AND(EXACT($C$95,$C43),ISNUMBER($D$95)),($D$95&gt;$D43)+($D$95=$D43)/2,0),IF(AND(EXACT($C$96,$C43),ISNUMBER($D$96)),($D$96&gt;$D43)+($D$96=$D43)/2,0),IF(AND(EXACT($C$97,$C43),ISNUMBER($D$97)),($D$97&gt;$D43)+($D$97=$D43)/2,0),IF(AND(EXACT($C$98,$C43),ISNUMBER($D$98)),($D$98&gt;$D43)+($D$98=$D43)/2,0),IF(AND(EXACT($C$99,$C43),ISNUMBER($D$99)),($D$99&gt;$D43)+($D$99=$D43)/2,0),IF(AND(EXACT($C$100,$C43),ISNUMBER($D$100)),($D$100&gt;$D43)+($D$100=$D43)/2,0),IF(AND(EXACT($C$101,$C43),ISNUMBER($D$101)),($D$101&gt;$D43)+($D$101=$D43)/2,0),IF(AND(EXACT($C$102,$C43),ISNUMBER($D$102)),($D$102&gt;$D43)+($D$102=$D43)/2,0),IF(AND(EXACT($C$103,$C43),ISNUMBER($D$103)),($D$103&gt;$D43)+($D$103=$D43)/2,0),IF(AND(EXACT($C$104,$C43),ISNUMBER($D$104)),($D$104&gt;$D43)+($D$104=$D43)/2,0),IF(AND(EXACT($C$105,$C43),ISNUMBER($D$105)),($D$105&gt;$D43)+($D$105=$D43)/2,0),IF(AND(EXACT($C$106,$C43),ISNUMBER($D$106)),($D$106&gt;$D43)+($D$106=$D43)/2,0)))</x:f>
      </x:c>
    </x:row>
    <x:row r="44">
      <x:c r="A44" s="34" t="str">
        <x:f>IF('91_CALC_SCORES'!A44="","",'91_CALC_SCORES'!A44)</x:f>
      </x:c>
      <x:c r="B44" s="34" t="str">
        <x:f>IF($A44="","",'91_CALC_SCORES'!B44)</x:f>
      </x:c>
      <x:c r="C44" s="34" t="str">
        <x:f>IF($A44="","",'91_CALC_SCORES'!K44)</x:f>
      </x:c>
      <x:c r="D44" s="57" t="str">
        <x:f>IF(OR($A44="",NOT(OR(LEFT('91_CALC_SCORES'!AB44,4)="PASS",LEFT('91_CALC_SCORES'!AB44,5)="READY"))),"",'91_CALC_SCORES'!Y44)</x:f>
      </x:c>
      <x:c r="E44" s="34" t="str">
        <x:f>IF(COUNT(D44)=0,"",1+SUM(AN44:AO44)-1/2)</x:f>
      </x:c>
      <x:c r="F44" s="34" t="str">
        <x:f>IF($A44="","",'91_CALC_SCORES'!AB44)</x:f>
      </x:c>
      <x:c r="G44" s="34" t="str">
        <x:f>IF(A44="","","연구 베타 | 기업 백분위 아님")</x:f>
      </x:c>
      <x:c r="AN44" s="34" t="str">
        <x:f>IF(COUNT($D44)=0,"",SUM(IF(AND(EXACT($C$7,$C44),ISNUMBER($D$7)),($D$7&gt;$D44)+($D$7=$D44)/2,0),IF(AND(EXACT($C$8,$C44),ISNUMBER($D$8)),($D$8&gt;$D44)+($D$8=$D44)/2,0),IF(AND(EXACT($C$9,$C44),ISNUMBER($D$9)),($D$9&gt;$D44)+($D$9=$D44)/2,0),IF(AND(EXACT($C$10,$C44),ISNUMBER($D$10)),($D$10&gt;$D44)+($D$10=$D44)/2,0),IF(AND(EXACT($C$11,$C44),ISNUMBER($D$11)),($D$11&gt;$D44)+($D$11=$D44)/2,0),IF(AND(EXACT($C$12,$C44),ISNUMBER($D$12)),($D$12&gt;$D44)+($D$12=$D44)/2,0),IF(AND(EXACT($C$13,$C44),ISNUMBER($D$13)),($D$13&gt;$D44)+($D$13=$D44)/2,0),IF(AND(EXACT($C$14,$C44),ISNUMBER($D$14)),($D$14&gt;$D44)+($D$14=$D44)/2,0),IF(AND(EXACT($C$15,$C44),ISNUMBER($D$15)),($D$15&gt;$D44)+($D$15=$D44)/2,0),IF(AND(EXACT($C$16,$C44),ISNUMBER($D$16)),($D$16&gt;$D44)+($D$16=$D44)/2,0),IF(AND(EXACT($C$17,$C44),ISNUMBER($D$17)),($D$17&gt;$D44)+($D$17=$D44)/2,0),IF(AND(EXACT($C$18,$C44),ISNUMBER($D$18)),($D$18&gt;$D44)+($D$18=$D44)/2,0),IF(AND(EXACT($C$19,$C44),ISNUMBER($D$19)),($D$19&gt;$D44)+($D$19=$D44)/2,0),IF(AND(EXACT($C$20,$C44),ISNUMBER($D$20)),($D$20&gt;$D44)+($D$20=$D44)/2,0),IF(AND(EXACT($C$21,$C44),ISNUMBER($D$21)),($D$21&gt;$D44)+($D$21=$D44)/2,0),IF(AND(EXACT($C$22,$C44),ISNUMBER($D$22)),($D$22&gt;$D44)+($D$22=$D44)/2,0),IF(AND(EXACT($C$23,$C44),ISNUMBER($D$23)),($D$23&gt;$D44)+($D$23=$D44)/2,0),IF(AND(EXACT($C$24,$C44),ISNUMBER($D$24)),($D$24&gt;$D44)+($D$24=$D44)/2,0),IF(AND(EXACT($C$25,$C44),ISNUMBER($D$25)),($D$25&gt;$D44)+($D$25=$D44)/2,0),IF(AND(EXACT($C$26,$C44),ISNUMBER($D$26)),($D$26&gt;$D44)+($D$26=$D44)/2,0),IF(AND(EXACT($C$27,$C44),ISNUMBER($D$27)),($D$27&gt;$D44)+($D$27=$D44)/2,0),IF(AND(EXACT($C$28,$C44),ISNUMBER($D$28)),($D$28&gt;$D44)+($D$28=$D44)/2,0),IF(AND(EXACT($C$29,$C44),ISNUMBER($D$29)),($D$29&gt;$D44)+($D$29=$D44)/2,0),IF(AND(EXACT($C$30,$C44),ISNUMBER($D$30)),($D$30&gt;$D44)+($D$30=$D44)/2,0),IF(AND(EXACT($C$31,$C44),ISNUMBER($D$31)),($D$31&gt;$D44)+($D$31=$D44)/2,0),IF(AND(EXACT($C$32,$C44),ISNUMBER($D$32)),($D$32&gt;$D44)+($D$32=$D44)/2,0),IF(AND(EXACT($C$33,$C44),ISNUMBER($D$33)),($D$33&gt;$D44)+($D$33=$D44)/2,0),IF(AND(EXACT($C$34,$C44),ISNUMBER($D$34)),($D$34&gt;$D44)+($D$34=$D44)/2,0),IF(AND(EXACT($C$35,$C44),ISNUMBER($D$35)),($D$35&gt;$D44)+($D$35=$D44)/2,0),IF(AND(EXACT($C$36,$C44),ISNUMBER($D$36)),($D$36&gt;$D44)+($D$36=$D44)/2,0),IF(AND(EXACT($C$37,$C44),ISNUMBER($D$37)),($D$37&gt;$D44)+($D$37=$D44)/2,0),IF(AND(EXACT($C$38,$C44),ISNUMBER($D$38)),($D$38&gt;$D44)+($D$38=$D44)/2,0),IF(AND(EXACT($C$39,$C44),ISNUMBER($D$39)),($D$39&gt;$D44)+($D$39=$D44)/2,0),IF(AND(EXACT($C$40,$C44),ISNUMBER($D$40)),($D$40&gt;$D44)+($D$40=$D44)/2,0),IF(AND(EXACT($C$41,$C44),ISNUMBER($D$41)),($D$41&gt;$D44)+($D$41=$D44)/2,0),IF(AND(EXACT($C$42,$C44),ISNUMBER($D$42)),($D$42&gt;$D44)+($D$42=$D44)/2,0),IF(AND(EXACT($C$43,$C44),ISNUMBER($D$43)),($D$43&gt;$D44)+($D$43=$D44)/2,0),IF(AND(EXACT($C$44,$C44),ISNUMBER($D$44)),($D$44&gt;$D44)+($D$44=$D44)/2,0),IF(AND(EXACT($C$45,$C44),ISNUMBER($D$45)),($D$45&gt;$D44)+($D$45=$D44)/2,0),IF(AND(EXACT($C$46,$C44),ISNUMBER($D$46)),($D$46&gt;$D44)+($D$46=$D44)/2,0),IF(AND(EXACT($C$47,$C44),ISNUMBER($D$47)),($D$47&gt;$D44)+($D$47=$D44)/2,0),IF(AND(EXACT($C$48,$C44),ISNUMBER($D$48)),($D$48&gt;$D44)+($D$48=$D44)/2,0),IF(AND(EXACT($C$49,$C44),ISNUMBER($D$49)),($D$49&gt;$D44)+($D$49=$D44)/2,0),IF(AND(EXACT($C$50,$C44),ISNUMBER($D$50)),($D$50&gt;$D44)+($D$50=$D44)/2,0),IF(AND(EXACT($C$51,$C44),ISNUMBER($D$51)),($D$51&gt;$D44)+($D$51=$D44)/2,0),IF(AND(EXACT($C$52,$C44),ISNUMBER($D$52)),($D$52&gt;$D44)+($D$52=$D44)/2,0),IF(AND(EXACT($C$53,$C44),ISNUMBER($D$53)),($D$53&gt;$D44)+($D$53=$D44)/2,0),IF(AND(EXACT($C$54,$C44),ISNUMBER($D$54)),($D$54&gt;$D44)+($D$54=$D44)/2,0),IF(AND(EXACT($C$55,$C44),ISNUMBER($D$55)),($D$55&gt;$D44)+($D$55=$D44)/2,0),IF(AND(EXACT($C$56,$C44),ISNUMBER($D$56)),($D$56&gt;$D44)+($D$56=$D44)/2,0)))</x:f>
      </x:c>
      <x:c r="AO44" s="34" t="str">
        <x:f>IF(COUNT($D44)=0,"",SUM(IF(AND(EXACT($C$57,$C44),ISNUMBER($D$57)),($D$57&gt;$D44)+($D$57=$D44)/2,0),IF(AND(EXACT($C$58,$C44),ISNUMBER($D$58)),($D$58&gt;$D44)+($D$58=$D44)/2,0),IF(AND(EXACT($C$59,$C44),ISNUMBER($D$59)),($D$59&gt;$D44)+($D$59=$D44)/2,0),IF(AND(EXACT($C$60,$C44),ISNUMBER($D$60)),($D$60&gt;$D44)+($D$60=$D44)/2,0),IF(AND(EXACT($C$61,$C44),ISNUMBER($D$61)),($D$61&gt;$D44)+($D$61=$D44)/2,0),IF(AND(EXACT($C$62,$C44),ISNUMBER($D$62)),($D$62&gt;$D44)+($D$62=$D44)/2,0),IF(AND(EXACT($C$63,$C44),ISNUMBER($D$63)),($D$63&gt;$D44)+($D$63=$D44)/2,0),IF(AND(EXACT($C$64,$C44),ISNUMBER($D$64)),($D$64&gt;$D44)+($D$64=$D44)/2,0),IF(AND(EXACT($C$65,$C44),ISNUMBER($D$65)),($D$65&gt;$D44)+($D$65=$D44)/2,0),IF(AND(EXACT($C$66,$C44),ISNUMBER($D$66)),($D$66&gt;$D44)+($D$66=$D44)/2,0),IF(AND(EXACT($C$67,$C44),ISNUMBER($D$67)),($D$67&gt;$D44)+($D$67=$D44)/2,0),IF(AND(EXACT($C$68,$C44),ISNUMBER($D$68)),($D$68&gt;$D44)+($D$68=$D44)/2,0),IF(AND(EXACT($C$69,$C44),ISNUMBER($D$69)),($D$69&gt;$D44)+($D$69=$D44)/2,0),IF(AND(EXACT($C$70,$C44),ISNUMBER($D$70)),($D$70&gt;$D44)+($D$70=$D44)/2,0),IF(AND(EXACT($C$71,$C44),ISNUMBER($D$71)),($D$71&gt;$D44)+($D$71=$D44)/2,0),IF(AND(EXACT($C$72,$C44),ISNUMBER($D$72)),($D$72&gt;$D44)+($D$72=$D44)/2,0),IF(AND(EXACT($C$73,$C44),ISNUMBER($D$73)),($D$73&gt;$D44)+($D$73=$D44)/2,0),IF(AND(EXACT($C$74,$C44),ISNUMBER($D$74)),($D$74&gt;$D44)+($D$74=$D44)/2,0),IF(AND(EXACT($C$75,$C44),ISNUMBER($D$75)),($D$75&gt;$D44)+($D$75=$D44)/2,0),IF(AND(EXACT($C$76,$C44),ISNUMBER($D$76)),($D$76&gt;$D44)+($D$76=$D44)/2,0),IF(AND(EXACT($C$77,$C44),ISNUMBER($D$77)),($D$77&gt;$D44)+($D$77=$D44)/2,0),IF(AND(EXACT($C$78,$C44),ISNUMBER($D$78)),($D$78&gt;$D44)+($D$78=$D44)/2,0),IF(AND(EXACT($C$79,$C44),ISNUMBER($D$79)),($D$79&gt;$D44)+($D$79=$D44)/2,0),IF(AND(EXACT($C$80,$C44),ISNUMBER($D$80)),($D$80&gt;$D44)+($D$80=$D44)/2,0),IF(AND(EXACT($C$81,$C44),ISNUMBER($D$81)),($D$81&gt;$D44)+($D$81=$D44)/2,0),IF(AND(EXACT($C$82,$C44),ISNUMBER($D$82)),($D$82&gt;$D44)+($D$82=$D44)/2,0),IF(AND(EXACT($C$83,$C44),ISNUMBER($D$83)),($D$83&gt;$D44)+($D$83=$D44)/2,0),IF(AND(EXACT($C$84,$C44),ISNUMBER($D$84)),($D$84&gt;$D44)+($D$84=$D44)/2,0),IF(AND(EXACT($C$85,$C44),ISNUMBER($D$85)),($D$85&gt;$D44)+($D$85=$D44)/2,0),IF(AND(EXACT($C$86,$C44),ISNUMBER($D$86)),($D$86&gt;$D44)+($D$86=$D44)/2,0),IF(AND(EXACT($C$87,$C44),ISNUMBER($D$87)),($D$87&gt;$D44)+($D$87=$D44)/2,0),IF(AND(EXACT($C$88,$C44),ISNUMBER($D$88)),($D$88&gt;$D44)+($D$88=$D44)/2,0),IF(AND(EXACT($C$89,$C44),ISNUMBER($D$89)),($D$89&gt;$D44)+($D$89=$D44)/2,0),IF(AND(EXACT($C$90,$C44),ISNUMBER($D$90)),($D$90&gt;$D44)+($D$90=$D44)/2,0),IF(AND(EXACT($C$91,$C44),ISNUMBER($D$91)),($D$91&gt;$D44)+($D$91=$D44)/2,0),IF(AND(EXACT($C$92,$C44),ISNUMBER($D$92)),($D$92&gt;$D44)+($D$92=$D44)/2,0),IF(AND(EXACT($C$93,$C44),ISNUMBER($D$93)),($D$93&gt;$D44)+($D$93=$D44)/2,0),IF(AND(EXACT($C$94,$C44),ISNUMBER($D$94)),($D$94&gt;$D44)+($D$94=$D44)/2,0),IF(AND(EXACT($C$95,$C44),ISNUMBER($D$95)),($D$95&gt;$D44)+($D$95=$D44)/2,0),IF(AND(EXACT($C$96,$C44),ISNUMBER($D$96)),($D$96&gt;$D44)+($D$96=$D44)/2,0),IF(AND(EXACT($C$97,$C44),ISNUMBER($D$97)),($D$97&gt;$D44)+($D$97=$D44)/2,0),IF(AND(EXACT($C$98,$C44),ISNUMBER($D$98)),($D$98&gt;$D44)+($D$98=$D44)/2,0),IF(AND(EXACT($C$99,$C44),ISNUMBER($D$99)),($D$99&gt;$D44)+($D$99=$D44)/2,0),IF(AND(EXACT($C$100,$C44),ISNUMBER($D$100)),($D$100&gt;$D44)+($D$100=$D44)/2,0),IF(AND(EXACT($C$101,$C44),ISNUMBER($D$101)),($D$101&gt;$D44)+($D$101=$D44)/2,0),IF(AND(EXACT($C$102,$C44),ISNUMBER($D$102)),($D$102&gt;$D44)+($D$102=$D44)/2,0),IF(AND(EXACT($C$103,$C44),ISNUMBER($D$103)),($D$103&gt;$D44)+($D$103=$D44)/2,0),IF(AND(EXACT($C$104,$C44),ISNUMBER($D$104)),($D$104&gt;$D44)+($D$104=$D44)/2,0),IF(AND(EXACT($C$105,$C44),ISNUMBER($D$105)),($D$105&gt;$D44)+($D$105=$D44)/2,0),IF(AND(EXACT($C$106,$C44),ISNUMBER($D$106)),($D$106&gt;$D44)+($D$106=$D44)/2,0)))</x:f>
      </x:c>
    </x:row>
    <x:row r="45">
      <x:c r="A45" s="34" t="str">
        <x:f>IF('91_CALC_SCORES'!A45="","",'91_CALC_SCORES'!A45)</x:f>
      </x:c>
      <x:c r="B45" s="34" t="str">
        <x:f>IF($A45="","",'91_CALC_SCORES'!B45)</x:f>
      </x:c>
      <x:c r="C45" s="34" t="str">
        <x:f>IF($A45="","",'91_CALC_SCORES'!K45)</x:f>
      </x:c>
      <x:c r="D45" s="57" t="str">
        <x:f>IF(OR($A45="",NOT(OR(LEFT('91_CALC_SCORES'!AB45,4)="PASS",LEFT('91_CALC_SCORES'!AB45,5)="READY"))),"",'91_CALC_SCORES'!Y45)</x:f>
      </x:c>
      <x:c r="E45" s="34" t="str">
        <x:f>IF(COUNT(D45)=0,"",1+SUM(AN45:AO45)-1/2)</x:f>
      </x:c>
      <x:c r="F45" s="34" t="str">
        <x:f>IF($A45="","",'91_CALC_SCORES'!AB45)</x:f>
      </x:c>
      <x:c r="G45" s="34" t="str">
        <x:f>IF(A45="","","연구 베타 | 기업 백분위 아님")</x:f>
      </x:c>
      <x:c r="AN45" s="34" t="str">
        <x:f>IF(COUNT($D45)=0,"",SUM(IF(AND(EXACT($C$7,$C45),ISNUMBER($D$7)),($D$7&gt;$D45)+($D$7=$D45)/2,0),IF(AND(EXACT($C$8,$C45),ISNUMBER($D$8)),($D$8&gt;$D45)+($D$8=$D45)/2,0),IF(AND(EXACT($C$9,$C45),ISNUMBER($D$9)),($D$9&gt;$D45)+($D$9=$D45)/2,0),IF(AND(EXACT($C$10,$C45),ISNUMBER($D$10)),($D$10&gt;$D45)+($D$10=$D45)/2,0),IF(AND(EXACT($C$11,$C45),ISNUMBER($D$11)),($D$11&gt;$D45)+($D$11=$D45)/2,0),IF(AND(EXACT($C$12,$C45),ISNUMBER($D$12)),($D$12&gt;$D45)+($D$12=$D45)/2,0),IF(AND(EXACT($C$13,$C45),ISNUMBER($D$13)),($D$13&gt;$D45)+($D$13=$D45)/2,0),IF(AND(EXACT($C$14,$C45),ISNUMBER($D$14)),($D$14&gt;$D45)+($D$14=$D45)/2,0),IF(AND(EXACT($C$15,$C45),ISNUMBER($D$15)),($D$15&gt;$D45)+($D$15=$D45)/2,0),IF(AND(EXACT($C$16,$C45),ISNUMBER($D$16)),($D$16&gt;$D45)+($D$16=$D45)/2,0),IF(AND(EXACT($C$17,$C45),ISNUMBER($D$17)),($D$17&gt;$D45)+($D$17=$D45)/2,0),IF(AND(EXACT($C$18,$C45),ISNUMBER($D$18)),($D$18&gt;$D45)+($D$18=$D45)/2,0),IF(AND(EXACT($C$19,$C45),ISNUMBER($D$19)),($D$19&gt;$D45)+($D$19=$D45)/2,0),IF(AND(EXACT($C$20,$C45),ISNUMBER($D$20)),($D$20&gt;$D45)+($D$20=$D45)/2,0),IF(AND(EXACT($C$21,$C45),ISNUMBER($D$21)),($D$21&gt;$D45)+($D$21=$D45)/2,0),IF(AND(EXACT($C$22,$C45),ISNUMBER($D$22)),($D$22&gt;$D45)+($D$22=$D45)/2,0),IF(AND(EXACT($C$23,$C45),ISNUMBER($D$23)),($D$23&gt;$D45)+($D$23=$D45)/2,0),IF(AND(EXACT($C$24,$C45),ISNUMBER($D$24)),($D$24&gt;$D45)+($D$24=$D45)/2,0),IF(AND(EXACT($C$25,$C45),ISNUMBER($D$25)),($D$25&gt;$D45)+($D$25=$D45)/2,0),IF(AND(EXACT($C$26,$C45),ISNUMBER($D$26)),($D$26&gt;$D45)+($D$26=$D45)/2,0),IF(AND(EXACT($C$27,$C45),ISNUMBER($D$27)),($D$27&gt;$D45)+($D$27=$D45)/2,0),IF(AND(EXACT($C$28,$C45),ISNUMBER($D$28)),($D$28&gt;$D45)+($D$28=$D45)/2,0),IF(AND(EXACT($C$29,$C45),ISNUMBER($D$29)),($D$29&gt;$D45)+($D$29=$D45)/2,0),IF(AND(EXACT($C$30,$C45),ISNUMBER($D$30)),($D$30&gt;$D45)+($D$30=$D45)/2,0),IF(AND(EXACT($C$31,$C45),ISNUMBER($D$31)),($D$31&gt;$D45)+($D$31=$D45)/2,0),IF(AND(EXACT($C$32,$C45),ISNUMBER($D$32)),($D$32&gt;$D45)+($D$32=$D45)/2,0),IF(AND(EXACT($C$33,$C45),ISNUMBER($D$33)),($D$33&gt;$D45)+($D$33=$D45)/2,0),IF(AND(EXACT($C$34,$C45),ISNUMBER($D$34)),($D$34&gt;$D45)+($D$34=$D45)/2,0),IF(AND(EXACT($C$35,$C45),ISNUMBER($D$35)),($D$35&gt;$D45)+($D$35=$D45)/2,0),IF(AND(EXACT($C$36,$C45),ISNUMBER($D$36)),($D$36&gt;$D45)+($D$36=$D45)/2,0),IF(AND(EXACT($C$37,$C45),ISNUMBER($D$37)),($D$37&gt;$D45)+($D$37=$D45)/2,0),IF(AND(EXACT($C$38,$C45),ISNUMBER($D$38)),($D$38&gt;$D45)+($D$38=$D45)/2,0),IF(AND(EXACT($C$39,$C45),ISNUMBER($D$39)),($D$39&gt;$D45)+($D$39=$D45)/2,0),IF(AND(EXACT($C$40,$C45),ISNUMBER($D$40)),($D$40&gt;$D45)+($D$40=$D45)/2,0),IF(AND(EXACT($C$41,$C45),ISNUMBER($D$41)),($D$41&gt;$D45)+($D$41=$D45)/2,0),IF(AND(EXACT($C$42,$C45),ISNUMBER($D$42)),($D$42&gt;$D45)+($D$42=$D45)/2,0),IF(AND(EXACT($C$43,$C45),ISNUMBER($D$43)),($D$43&gt;$D45)+($D$43=$D45)/2,0),IF(AND(EXACT($C$44,$C45),ISNUMBER($D$44)),($D$44&gt;$D45)+($D$44=$D45)/2,0),IF(AND(EXACT($C$45,$C45),ISNUMBER($D$45)),($D$45&gt;$D45)+($D$45=$D45)/2,0),IF(AND(EXACT($C$46,$C45),ISNUMBER($D$46)),($D$46&gt;$D45)+($D$46=$D45)/2,0),IF(AND(EXACT($C$47,$C45),ISNUMBER($D$47)),($D$47&gt;$D45)+($D$47=$D45)/2,0),IF(AND(EXACT($C$48,$C45),ISNUMBER($D$48)),($D$48&gt;$D45)+($D$48=$D45)/2,0),IF(AND(EXACT($C$49,$C45),ISNUMBER($D$49)),($D$49&gt;$D45)+($D$49=$D45)/2,0),IF(AND(EXACT($C$50,$C45),ISNUMBER($D$50)),($D$50&gt;$D45)+($D$50=$D45)/2,0),IF(AND(EXACT($C$51,$C45),ISNUMBER($D$51)),($D$51&gt;$D45)+($D$51=$D45)/2,0),IF(AND(EXACT($C$52,$C45),ISNUMBER($D$52)),($D$52&gt;$D45)+($D$52=$D45)/2,0),IF(AND(EXACT($C$53,$C45),ISNUMBER($D$53)),($D$53&gt;$D45)+($D$53=$D45)/2,0),IF(AND(EXACT($C$54,$C45),ISNUMBER($D$54)),($D$54&gt;$D45)+($D$54=$D45)/2,0),IF(AND(EXACT($C$55,$C45),ISNUMBER($D$55)),($D$55&gt;$D45)+($D$55=$D45)/2,0),IF(AND(EXACT($C$56,$C45),ISNUMBER($D$56)),($D$56&gt;$D45)+($D$56=$D45)/2,0)))</x:f>
      </x:c>
      <x:c r="AO45" s="34" t="str">
        <x:f>IF(COUNT($D45)=0,"",SUM(IF(AND(EXACT($C$57,$C45),ISNUMBER($D$57)),($D$57&gt;$D45)+($D$57=$D45)/2,0),IF(AND(EXACT($C$58,$C45),ISNUMBER($D$58)),($D$58&gt;$D45)+($D$58=$D45)/2,0),IF(AND(EXACT($C$59,$C45),ISNUMBER($D$59)),($D$59&gt;$D45)+($D$59=$D45)/2,0),IF(AND(EXACT($C$60,$C45),ISNUMBER($D$60)),($D$60&gt;$D45)+($D$60=$D45)/2,0),IF(AND(EXACT($C$61,$C45),ISNUMBER($D$61)),($D$61&gt;$D45)+($D$61=$D45)/2,0),IF(AND(EXACT($C$62,$C45),ISNUMBER($D$62)),($D$62&gt;$D45)+($D$62=$D45)/2,0),IF(AND(EXACT($C$63,$C45),ISNUMBER($D$63)),($D$63&gt;$D45)+($D$63=$D45)/2,0),IF(AND(EXACT($C$64,$C45),ISNUMBER($D$64)),($D$64&gt;$D45)+($D$64=$D45)/2,0),IF(AND(EXACT($C$65,$C45),ISNUMBER($D$65)),($D$65&gt;$D45)+($D$65=$D45)/2,0),IF(AND(EXACT($C$66,$C45),ISNUMBER($D$66)),($D$66&gt;$D45)+($D$66=$D45)/2,0),IF(AND(EXACT($C$67,$C45),ISNUMBER($D$67)),($D$67&gt;$D45)+($D$67=$D45)/2,0),IF(AND(EXACT($C$68,$C45),ISNUMBER($D$68)),($D$68&gt;$D45)+($D$68=$D45)/2,0),IF(AND(EXACT($C$69,$C45),ISNUMBER($D$69)),($D$69&gt;$D45)+($D$69=$D45)/2,0),IF(AND(EXACT($C$70,$C45),ISNUMBER($D$70)),($D$70&gt;$D45)+($D$70=$D45)/2,0),IF(AND(EXACT($C$71,$C45),ISNUMBER($D$71)),($D$71&gt;$D45)+($D$71=$D45)/2,0),IF(AND(EXACT($C$72,$C45),ISNUMBER($D$72)),($D$72&gt;$D45)+($D$72=$D45)/2,0),IF(AND(EXACT($C$73,$C45),ISNUMBER($D$73)),($D$73&gt;$D45)+($D$73=$D45)/2,0),IF(AND(EXACT($C$74,$C45),ISNUMBER($D$74)),($D$74&gt;$D45)+($D$74=$D45)/2,0),IF(AND(EXACT($C$75,$C45),ISNUMBER($D$75)),($D$75&gt;$D45)+($D$75=$D45)/2,0),IF(AND(EXACT($C$76,$C45),ISNUMBER($D$76)),($D$76&gt;$D45)+($D$76=$D45)/2,0),IF(AND(EXACT($C$77,$C45),ISNUMBER($D$77)),($D$77&gt;$D45)+($D$77=$D45)/2,0),IF(AND(EXACT($C$78,$C45),ISNUMBER($D$78)),($D$78&gt;$D45)+($D$78=$D45)/2,0),IF(AND(EXACT($C$79,$C45),ISNUMBER($D$79)),($D$79&gt;$D45)+($D$79=$D45)/2,0),IF(AND(EXACT($C$80,$C45),ISNUMBER($D$80)),($D$80&gt;$D45)+($D$80=$D45)/2,0),IF(AND(EXACT($C$81,$C45),ISNUMBER($D$81)),($D$81&gt;$D45)+($D$81=$D45)/2,0),IF(AND(EXACT($C$82,$C45),ISNUMBER($D$82)),($D$82&gt;$D45)+($D$82=$D45)/2,0),IF(AND(EXACT($C$83,$C45),ISNUMBER($D$83)),($D$83&gt;$D45)+($D$83=$D45)/2,0),IF(AND(EXACT($C$84,$C45),ISNUMBER($D$84)),($D$84&gt;$D45)+($D$84=$D45)/2,0),IF(AND(EXACT($C$85,$C45),ISNUMBER($D$85)),($D$85&gt;$D45)+($D$85=$D45)/2,0),IF(AND(EXACT($C$86,$C45),ISNUMBER($D$86)),($D$86&gt;$D45)+($D$86=$D45)/2,0),IF(AND(EXACT($C$87,$C45),ISNUMBER($D$87)),($D$87&gt;$D45)+($D$87=$D45)/2,0),IF(AND(EXACT($C$88,$C45),ISNUMBER($D$88)),($D$88&gt;$D45)+($D$88=$D45)/2,0),IF(AND(EXACT($C$89,$C45),ISNUMBER($D$89)),($D$89&gt;$D45)+($D$89=$D45)/2,0),IF(AND(EXACT($C$90,$C45),ISNUMBER($D$90)),($D$90&gt;$D45)+($D$90=$D45)/2,0),IF(AND(EXACT($C$91,$C45),ISNUMBER($D$91)),($D$91&gt;$D45)+($D$91=$D45)/2,0),IF(AND(EXACT($C$92,$C45),ISNUMBER($D$92)),($D$92&gt;$D45)+($D$92=$D45)/2,0),IF(AND(EXACT($C$93,$C45),ISNUMBER($D$93)),($D$93&gt;$D45)+($D$93=$D45)/2,0),IF(AND(EXACT($C$94,$C45),ISNUMBER($D$94)),($D$94&gt;$D45)+($D$94=$D45)/2,0),IF(AND(EXACT($C$95,$C45),ISNUMBER($D$95)),($D$95&gt;$D45)+($D$95=$D45)/2,0),IF(AND(EXACT($C$96,$C45),ISNUMBER($D$96)),($D$96&gt;$D45)+($D$96=$D45)/2,0),IF(AND(EXACT($C$97,$C45),ISNUMBER($D$97)),($D$97&gt;$D45)+($D$97=$D45)/2,0),IF(AND(EXACT($C$98,$C45),ISNUMBER($D$98)),($D$98&gt;$D45)+($D$98=$D45)/2,0),IF(AND(EXACT($C$99,$C45),ISNUMBER($D$99)),($D$99&gt;$D45)+($D$99=$D45)/2,0),IF(AND(EXACT($C$100,$C45),ISNUMBER($D$100)),($D$100&gt;$D45)+($D$100=$D45)/2,0),IF(AND(EXACT($C$101,$C45),ISNUMBER($D$101)),($D$101&gt;$D45)+($D$101=$D45)/2,0),IF(AND(EXACT($C$102,$C45),ISNUMBER($D$102)),($D$102&gt;$D45)+($D$102=$D45)/2,0),IF(AND(EXACT($C$103,$C45),ISNUMBER($D$103)),($D$103&gt;$D45)+($D$103=$D45)/2,0),IF(AND(EXACT($C$104,$C45),ISNUMBER($D$104)),($D$104&gt;$D45)+($D$104=$D45)/2,0),IF(AND(EXACT($C$105,$C45),ISNUMBER($D$105)),($D$105&gt;$D45)+($D$105=$D45)/2,0),IF(AND(EXACT($C$106,$C45),ISNUMBER($D$106)),($D$106&gt;$D45)+($D$106=$D45)/2,0)))</x:f>
      </x:c>
    </x:row>
    <x:row r="46">
      <x:c r="A46" s="34" t="str">
        <x:f>IF('91_CALC_SCORES'!A46="","",'91_CALC_SCORES'!A46)</x:f>
      </x:c>
      <x:c r="B46" s="34" t="str">
        <x:f>IF($A46="","",'91_CALC_SCORES'!B46)</x:f>
      </x:c>
      <x:c r="C46" s="34" t="str">
        <x:f>IF($A46="","",'91_CALC_SCORES'!K46)</x:f>
      </x:c>
      <x:c r="D46" s="57" t="str">
        <x:f>IF(OR($A46="",NOT(OR(LEFT('91_CALC_SCORES'!AB46,4)="PASS",LEFT('91_CALC_SCORES'!AB46,5)="READY"))),"",'91_CALC_SCORES'!Y46)</x:f>
      </x:c>
      <x:c r="E46" s="34" t="str">
        <x:f>IF(COUNT(D46)=0,"",1+SUM(AN46:AO46)-1/2)</x:f>
      </x:c>
      <x:c r="F46" s="34" t="str">
        <x:f>IF($A46="","",'91_CALC_SCORES'!AB46)</x:f>
      </x:c>
      <x:c r="G46" s="34" t="str">
        <x:f>IF(A46="","","연구 베타 | 기업 백분위 아님")</x:f>
      </x:c>
      <x:c r="AN46" s="34" t="str">
        <x:f>IF(COUNT($D46)=0,"",SUM(IF(AND(EXACT($C$7,$C46),ISNUMBER($D$7)),($D$7&gt;$D46)+($D$7=$D46)/2,0),IF(AND(EXACT($C$8,$C46),ISNUMBER($D$8)),($D$8&gt;$D46)+($D$8=$D46)/2,0),IF(AND(EXACT($C$9,$C46),ISNUMBER($D$9)),($D$9&gt;$D46)+($D$9=$D46)/2,0),IF(AND(EXACT($C$10,$C46),ISNUMBER($D$10)),($D$10&gt;$D46)+($D$10=$D46)/2,0),IF(AND(EXACT($C$11,$C46),ISNUMBER($D$11)),($D$11&gt;$D46)+($D$11=$D46)/2,0),IF(AND(EXACT($C$12,$C46),ISNUMBER($D$12)),($D$12&gt;$D46)+($D$12=$D46)/2,0),IF(AND(EXACT($C$13,$C46),ISNUMBER($D$13)),($D$13&gt;$D46)+($D$13=$D46)/2,0),IF(AND(EXACT($C$14,$C46),ISNUMBER($D$14)),($D$14&gt;$D46)+($D$14=$D46)/2,0),IF(AND(EXACT($C$15,$C46),ISNUMBER($D$15)),($D$15&gt;$D46)+($D$15=$D46)/2,0),IF(AND(EXACT($C$16,$C46),ISNUMBER($D$16)),($D$16&gt;$D46)+($D$16=$D46)/2,0),IF(AND(EXACT($C$17,$C46),ISNUMBER($D$17)),($D$17&gt;$D46)+($D$17=$D46)/2,0),IF(AND(EXACT($C$18,$C46),ISNUMBER($D$18)),($D$18&gt;$D46)+($D$18=$D46)/2,0),IF(AND(EXACT($C$19,$C46),ISNUMBER($D$19)),($D$19&gt;$D46)+($D$19=$D46)/2,0),IF(AND(EXACT($C$20,$C46),ISNUMBER($D$20)),($D$20&gt;$D46)+($D$20=$D46)/2,0),IF(AND(EXACT($C$21,$C46),ISNUMBER($D$21)),($D$21&gt;$D46)+($D$21=$D46)/2,0),IF(AND(EXACT($C$22,$C46),ISNUMBER($D$22)),($D$22&gt;$D46)+($D$22=$D46)/2,0),IF(AND(EXACT($C$23,$C46),ISNUMBER($D$23)),($D$23&gt;$D46)+($D$23=$D46)/2,0),IF(AND(EXACT($C$24,$C46),ISNUMBER($D$24)),($D$24&gt;$D46)+($D$24=$D46)/2,0),IF(AND(EXACT($C$25,$C46),ISNUMBER($D$25)),($D$25&gt;$D46)+($D$25=$D46)/2,0),IF(AND(EXACT($C$26,$C46),ISNUMBER($D$26)),($D$26&gt;$D46)+($D$26=$D46)/2,0),IF(AND(EXACT($C$27,$C46),ISNUMBER($D$27)),($D$27&gt;$D46)+($D$27=$D46)/2,0),IF(AND(EXACT($C$28,$C46),ISNUMBER($D$28)),($D$28&gt;$D46)+($D$28=$D46)/2,0),IF(AND(EXACT($C$29,$C46),ISNUMBER($D$29)),($D$29&gt;$D46)+($D$29=$D46)/2,0),IF(AND(EXACT($C$30,$C46),ISNUMBER($D$30)),($D$30&gt;$D46)+($D$30=$D46)/2,0),IF(AND(EXACT($C$31,$C46),ISNUMBER($D$31)),($D$31&gt;$D46)+($D$31=$D46)/2,0),IF(AND(EXACT($C$32,$C46),ISNUMBER($D$32)),($D$32&gt;$D46)+($D$32=$D46)/2,0),IF(AND(EXACT($C$33,$C46),ISNUMBER($D$33)),($D$33&gt;$D46)+($D$33=$D46)/2,0),IF(AND(EXACT($C$34,$C46),ISNUMBER($D$34)),($D$34&gt;$D46)+($D$34=$D46)/2,0),IF(AND(EXACT($C$35,$C46),ISNUMBER($D$35)),($D$35&gt;$D46)+($D$35=$D46)/2,0),IF(AND(EXACT($C$36,$C46),ISNUMBER($D$36)),($D$36&gt;$D46)+($D$36=$D46)/2,0),IF(AND(EXACT($C$37,$C46),ISNUMBER($D$37)),($D$37&gt;$D46)+($D$37=$D46)/2,0),IF(AND(EXACT($C$38,$C46),ISNUMBER($D$38)),($D$38&gt;$D46)+($D$38=$D46)/2,0),IF(AND(EXACT($C$39,$C46),ISNUMBER($D$39)),($D$39&gt;$D46)+($D$39=$D46)/2,0),IF(AND(EXACT($C$40,$C46),ISNUMBER($D$40)),($D$40&gt;$D46)+($D$40=$D46)/2,0),IF(AND(EXACT($C$41,$C46),ISNUMBER($D$41)),($D$41&gt;$D46)+($D$41=$D46)/2,0),IF(AND(EXACT($C$42,$C46),ISNUMBER($D$42)),($D$42&gt;$D46)+($D$42=$D46)/2,0),IF(AND(EXACT($C$43,$C46),ISNUMBER($D$43)),($D$43&gt;$D46)+($D$43=$D46)/2,0),IF(AND(EXACT($C$44,$C46),ISNUMBER($D$44)),($D$44&gt;$D46)+($D$44=$D46)/2,0),IF(AND(EXACT($C$45,$C46),ISNUMBER($D$45)),($D$45&gt;$D46)+($D$45=$D46)/2,0),IF(AND(EXACT($C$46,$C46),ISNUMBER($D$46)),($D$46&gt;$D46)+($D$46=$D46)/2,0),IF(AND(EXACT($C$47,$C46),ISNUMBER($D$47)),($D$47&gt;$D46)+($D$47=$D46)/2,0),IF(AND(EXACT($C$48,$C46),ISNUMBER($D$48)),($D$48&gt;$D46)+($D$48=$D46)/2,0),IF(AND(EXACT($C$49,$C46),ISNUMBER($D$49)),($D$49&gt;$D46)+($D$49=$D46)/2,0),IF(AND(EXACT($C$50,$C46),ISNUMBER($D$50)),($D$50&gt;$D46)+($D$50=$D46)/2,0),IF(AND(EXACT($C$51,$C46),ISNUMBER($D$51)),($D$51&gt;$D46)+($D$51=$D46)/2,0),IF(AND(EXACT($C$52,$C46),ISNUMBER($D$52)),($D$52&gt;$D46)+($D$52=$D46)/2,0),IF(AND(EXACT($C$53,$C46),ISNUMBER($D$53)),($D$53&gt;$D46)+($D$53=$D46)/2,0),IF(AND(EXACT($C$54,$C46),ISNUMBER($D$54)),($D$54&gt;$D46)+($D$54=$D46)/2,0),IF(AND(EXACT($C$55,$C46),ISNUMBER($D$55)),($D$55&gt;$D46)+($D$55=$D46)/2,0),IF(AND(EXACT($C$56,$C46),ISNUMBER($D$56)),($D$56&gt;$D46)+($D$56=$D46)/2,0)))</x:f>
      </x:c>
      <x:c r="AO46" s="34" t="str">
        <x:f>IF(COUNT($D46)=0,"",SUM(IF(AND(EXACT($C$57,$C46),ISNUMBER($D$57)),($D$57&gt;$D46)+($D$57=$D46)/2,0),IF(AND(EXACT($C$58,$C46),ISNUMBER($D$58)),($D$58&gt;$D46)+($D$58=$D46)/2,0),IF(AND(EXACT($C$59,$C46),ISNUMBER($D$59)),($D$59&gt;$D46)+($D$59=$D46)/2,0),IF(AND(EXACT($C$60,$C46),ISNUMBER($D$60)),($D$60&gt;$D46)+($D$60=$D46)/2,0),IF(AND(EXACT($C$61,$C46),ISNUMBER($D$61)),($D$61&gt;$D46)+($D$61=$D46)/2,0),IF(AND(EXACT($C$62,$C46),ISNUMBER($D$62)),($D$62&gt;$D46)+($D$62=$D46)/2,0),IF(AND(EXACT($C$63,$C46),ISNUMBER($D$63)),($D$63&gt;$D46)+($D$63=$D46)/2,0),IF(AND(EXACT($C$64,$C46),ISNUMBER($D$64)),($D$64&gt;$D46)+($D$64=$D46)/2,0),IF(AND(EXACT($C$65,$C46),ISNUMBER($D$65)),($D$65&gt;$D46)+($D$65=$D46)/2,0),IF(AND(EXACT($C$66,$C46),ISNUMBER($D$66)),($D$66&gt;$D46)+($D$66=$D46)/2,0),IF(AND(EXACT($C$67,$C46),ISNUMBER($D$67)),($D$67&gt;$D46)+($D$67=$D46)/2,0),IF(AND(EXACT($C$68,$C46),ISNUMBER($D$68)),($D$68&gt;$D46)+($D$68=$D46)/2,0),IF(AND(EXACT($C$69,$C46),ISNUMBER($D$69)),($D$69&gt;$D46)+($D$69=$D46)/2,0),IF(AND(EXACT($C$70,$C46),ISNUMBER($D$70)),($D$70&gt;$D46)+($D$70=$D46)/2,0),IF(AND(EXACT($C$71,$C46),ISNUMBER($D$71)),($D$71&gt;$D46)+($D$71=$D46)/2,0),IF(AND(EXACT($C$72,$C46),ISNUMBER($D$72)),($D$72&gt;$D46)+($D$72=$D46)/2,0),IF(AND(EXACT($C$73,$C46),ISNUMBER($D$73)),($D$73&gt;$D46)+($D$73=$D46)/2,0),IF(AND(EXACT($C$74,$C46),ISNUMBER($D$74)),($D$74&gt;$D46)+($D$74=$D46)/2,0),IF(AND(EXACT($C$75,$C46),ISNUMBER($D$75)),($D$75&gt;$D46)+($D$75=$D46)/2,0),IF(AND(EXACT($C$76,$C46),ISNUMBER($D$76)),($D$76&gt;$D46)+($D$76=$D46)/2,0),IF(AND(EXACT($C$77,$C46),ISNUMBER($D$77)),($D$77&gt;$D46)+($D$77=$D46)/2,0),IF(AND(EXACT($C$78,$C46),ISNUMBER($D$78)),($D$78&gt;$D46)+($D$78=$D46)/2,0),IF(AND(EXACT($C$79,$C46),ISNUMBER($D$79)),($D$79&gt;$D46)+($D$79=$D46)/2,0),IF(AND(EXACT($C$80,$C46),ISNUMBER($D$80)),($D$80&gt;$D46)+($D$80=$D46)/2,0),IF(AND(EXACT($C$81,$C46),ISNUMBER($D$81)),($D$81&gt;$D46)+($D$81=$D46)/2,0),IF(AND(EXACT($C$82,$C46),ISNUMBER($D$82)),($D$82&gt;$D46)+($D$82=$D46)/2,0),IF(AND(EXACT($C$83,$C46),ISNUMBER($D$83)),($D$83&gt;$D46)+($D$83=$D46)/2,0),IF(AND(EXACT($C$84,$C46),ISNUMBER($D$84)),($D$84&gt;$D46)+($D$84=$D46)/2,0),IF(AND(EXACT($C$85,$C46),ISNUMBER($D$85)),($D$85&gt;$D46)+($D$85=$D46)/2,0),IF(AND(EXACT($C$86,$C46),ISNUMBER($D$86)),($D$86&gt;$D46)+($D$86=$D46)/2,0),IF(AND(EXACT($C$87,$C46),ISNUMBER($D$87)),($D$87&gt;$D46)+($D$87=$D46)/2,0),IF(AND(EXACT($C$88,$C46),ISNUMBER($D$88)),($D$88&gt;$D46)+($D$88=$D46)/2,0),IF(AND(EXACT($C$89,$C46),ISNUMBER($D$89)),($D$89&gt;$D46)+($D$89=$D46)/2,0),IF(AND(EXACT($C$90,$C46),ISNUMBER($D$90)),($D$90&gt;$D46)+($D$90=$D46)/2,0),IF(AND(EXACT($C$91,$C46),ISNUMBER($D$91)),($D$91&gt;$D46)+($D$91=$D46)/2,0),IF(AND(EXACT($C$92,$C46),ISNUMBER($D$92)),($D$92&gt;$D46)+($D$92=$D46)/2,0),IF(AND(EXACT($C$93,$C46),ISNUMBER($D$93)),($D$93&gt;$D46)+($D$93=$D46)/2,0),IF(AND(EXACT($C$94,$C46),ISNUMBER($D$94)),($D$94&gt;$D46)+($D$94=$D46)/2,0),IF(AND(EXACT($C$95,$C46),ISNUMBER($D$95)),($D$95&gt;$D46)+($D$95=$D46)/2,0),IF(AND(EXACT($C$96,$C46),ISNUMBER($D$96)),($D$96&gt;$D46)+($D$96=$D46)/2,0),IF(AND(EXACT($C$97,$C46),ISNUMBER($D$97)),($D$97&gt;$D46)+($D$97=$D46)/2,0),IF(AND(EXACT($C$98,$C46),ISNUMBER($D$98)),($D$98&gt;$D46)+($D$98=$D46)/2,0),IF(AND(EXACT($C$99,$C46),ISNUMBER($D$99)),($D$99&gt;$D46)+($D$99=$D46)/2,0),IF(AND(EXACT($C$100,$C46),ISNUMBER($D$100)),($D$100&gt;$D46)+($D$100=$D46)/2,0),IF(AND(EXACT($C$101,$C46),ISNUMBER($D$101)),($D$101&gt;$D46)+($D$101=$D46)/2,0),IF(AND(EXACT($C$102,$C46),ISNUMBER($D$102)),($D$102&gt;$D46)+($D$102=$D46)/2,0),IF(AND(EXACT($C$103,$C46),ISNUMBER($D$103)),($D$103&gt;$D46)+($D$103=$D46)/2,0),IF(AND(EXACT($C$104,$C46),ISNUMBER($D$104)),($D$104&gt;$D46)+($D$104=$D46)/2,0),IF(AND(EXACT($C$105,$C46),ISNUMBER($D$105)),($D$105&gt;$D46)+($D$105=$D46)/2,0),IF(AND(EXACT($C$106,$C46),ISNUMBER($D$106)),($D$106&gt;$D46)+($D$106=$D46)/2,0)))</x:f>
      </x:c>
    </x:row>
    <x:row r="47">
      <x:c r="A47" s="34" t="str">
        <x:f>IF('91_CALC_SCORES'!A47="","",'91_CALC_SCORES'!A47)</x:f>
      </x:c>
      <x:c r="B47" s="34" t="str">
        <x:f>IF($A47="","",'91_CALC_SCORES'!B47)</x:f>
      </x:c>
      <x:c r="C47" s="34" t="str">
        <x:f>IF($A47="","",'91_CALC_SCORES'!K47)</x:f>
      </x:c>
      <x:c r="D47" s="57" t="str">
        <x:f>IF(OR($A47="",NOT(OR(LEFT('91_CALC_SCORES'!AB47,4)="PASS",LEFT('91_CALC_SCORES'!AB47,5)="READY"))),"",'91_CALC_SCORES'!Y47)</x:f>
      </x:c>
      <x:c r="E47" s="34" t="str">
        <x:f>IF(COUNT(D47)=0,"",1+SUM(AN47:AO47)-1/2)</x:f>
      </x:c>
      <x:c r="F47" s="34" t="str">
        <x:f>IF($A47="","",'91_CALC_SCORES'!AB47)</x:f>
      </x:c>
      <x:c r="G47" s="34" t="str">
        <x:f>IF(A47="","","연구 베타 | 기업 백분위 아님")</x:f>
      </x:c>
      <x:c r="AN47" s="34" t="str">
        <x:f>IF(COUNT($D47)=0,"",SUM(IF(AND(EXACT($C$7,$C47),ISNUMBER($D$7)),($D$7&gt;$D47)+($D$7=$D47)/2,0),IF(AND(EXACT($C$8,$C47),ISNUMBER($D$8)),($D$8&gt;$D47)+($D$8=$D47)/2,0),IF(AND(EXACT($C$9,$C47),ISNUMBER($D$9)),($D$9&gt;$D47)+($D$9=$D47)/2,0),IF(AND(EXACT($C$10,$C47),ISNUMBER($D$10)),($D$10&gt;$D47)+($D$10=$D47)/2,0),IF(AND(EXACT($C$11,$C47),ISNUMBER($D$11)),($D$11&gt;$D47)+($D$11=$D47)/2,0),IF(AND(EXACT($C$12,$C47),ISNUMBER($D$12)),($D$12&gt;$D47)+($D$12=$D47)/2,0),IF(AND(EXACT($C$13,$C47),ISNUMBER($D$13)),($D$13&gt;$D47)+($D$13=$D47)/2,0),IF(AND(EXACT($C$14,$C47),ISNUMBER($D$14)),($D$14&gt;$D47)+($D$14=$D47)/2,0),IF(AND(EXACT($C$15,$C47),ISNUMBER($D$15)),($D$15&gt;$D47)+($D$15=$D47)/2,0),IF(AND(EXACT($C$16,$C47),ISNUMBER($D$16)),($D$16&gt;$D47)+($D$16=$D47)/2,0),IF(AND(EXACT($C$17,$C47),ISNUMBER($D$17)),($D$17&gt;$D47)+($D$17=$D47)/2,0),IF(AND(EXACT($C$18,$C47),ISNUMBER($D$18)),($D$18&gt;$D47)+($D$18=$D47)/2,0),IF(AND(EXACT($C$19,$C47),ISNUMBER($D$19)),($D$19&gt;$D47)+($D$19=$D47)/2,0),IF(AND(EXACT($C$20,$C47),ISNUMBER($D$20)),($D$20&gt;$D47)+($D$20=$D47)/2,0),IF(AND(EXACT($C$21,$C47),ISNUMBER($D$21)),($D$21&gt;$D47)+($D$21=$D47)/2,0),IF(AND(EXACT($C$22,$C47),ISNUMBER($D$22)),($D$22&gt;$D47)+($D$22=$D47)/2,0),IF(AND(EXACT($C$23,$C47),ISNUMBER($D$23)),($D$23&gt;$D47)+($D$23=$D47)/2,0),IF(AND(EXACT($C$24,$C47),ISNUMBER($D$24)),($D$24&gt;$D47)+($D$24=$D47)/2,0),IF(AND(EXACT($C$25,$C47),ISNUMBER($D$25)),($D$25&gt;$D47)+($D$25=$D47)/2,0),IF(AND(EXACT($C$26,$C47),ISNUMBER($D$26)),($D$26&gt;$D47)+($D$26=$D47)/2,0),IF(AND(EXACT($C$27,$C47),ISNUMBER($D$27)),($D$27&gt;$D47)+($D$27=$D47)/2,0),IF(AND(EXACT($C$28,$C47),ISNUMBER($D$28)),($D$28&gt;$D47)+($D$28=$D47)/2,0),IF(AND(EXACT($C$29,$C47),ISNUMBER($D$29)),($D$29&gt;$D47)+($D$29=$D47)/2,0),IF(AND(EXACT($C$30,$C47),ISNUMBER($D$30)),($D$30&gt;$D47)+($D$30=$D47)/2,0),IF(AND(EXACT($C$31,$C47),ISNUMBER($D$31)),($D$31&gt;$D47)+($D$31=$D47)/2,0),IF(AND(EXACT($C$32,$C47),ISNUMBER($D$32)),($D$32&gt;$D47)+($D$32=$D47)/2,0),IF(AND(EXACT($C$33,$C47),ISNUMBER($D$33)),($D$33&gt;$D47)+($D$33=$D47)/2,0),IF(AND(EXACT($C$34,$C47),ISNUMBER($D$34)),($D$34&gt;$D47)+($D$34=$D47)/2,0),IF(AND(EXACT($C$35,$C47),ISNUMBER($D$35)),($D$35&gt;$D47)+($D$35=$D47)/2,0),IF(AND(EXACT($C$36,$C47),ISNUMBER($D$36)),($D$36&gt;$D47)+($D$36=$D47)/2,0),IF(AND(EXACT($C$37,$C47),ISNUMBER($D$37)),($D$37&gt;$D47)+($D$37=$D47)/2,0),IF(AND(EXACT($C$38,$C47),ISNUMBER($D$38)),($D$38&gt;$D47)+($D$38=$D47)/2,0),IF(AND(EXACT($C$39,$C47),ISNUMBER($D$39)),($D$39&gt;$D47)+($D$39=$D47)/2,0),IF(AND(EXACT($C$40,$C47),ISNUMBER($D$40)),($D$40&gt;$D47)+($D$40=$D47)/2,0),IF(AND(EXACT($C$41,$C47),ISNUMBER($D$41)),($D$41&gt;$D47)+($D$41=$D47)/2,0),IF(AND(EXACT($C$42,$C47),ISNUMBER($D$42)),($D$42&gt;$D47)+($D$42=$D47)/2,0),IF(AND(EXACT($C$43,$C47),ISNUMBER($D$43)),($D$43&gt;$D47)+($D$43=$D47)/2,0),IF(AND(EXACT($C$44,$C47),ISNUMBER($D$44)),($D$44&gt;$D47)+($D$44=$D47)/2,0),IF(AND(EXACT($C$45,$C47),ISNUMBER($D$45)),($D$45&gt;$D47)+($D$45=$D47)/2,0),IF(AND(EXACT($C$46,$C47),ISNUMBER($D$46)),($D$46&gt;$D47)+($D$46=$D47)/2,0),IF(AND(EXACT($C$47,$C47),ISNUMBER($D$47)),($D$47&gt;$D47)+($D$47=$D47)/2,0),IF(AND(EXACT($C$48,$C47),ISNUMBER($D$48)),($D$48&gt;$D47)+($D$48=$D47)/2,0),IF(AND(EXACT($C$49,$C47),ISNUMBER($D$49)),($D$49&gt;$D47)+($D$49=$D47)/2,0),IF(AND(EXACT($C$50,$C47),ISNUMBER($D$50)),($D$50&gt;$D47)+($D$50=$D47)/2,0),IF(AND(EXACT($C$51,$C47),ISNUMBER($D$51)),($D$51&gt;$D47)+($D$51=$D47)/2,0),IF(AND(EXACT($C$52,$C47),ISNUMBER($D$52)),($D$52&gt;$D47)+($D$52=$D47)/2,0),IF(AND(EXACT($C$53,$C47),ISNUMBER($D$53)),($D$53&gt;$D47)+($D$53=$D47)/2,0),IF(AND(EXACT($C$54,$C47),ISNUMBER($D$54)),($D$54&gt;$D47)+($D$54=$D47)/2,0),IF(AND(EXACT($C$55,$C47),ISNUMBER($D$55)),($D$55&gt;$D47)+($D$55=$D47)/2,0),IF(AND(EXACT($C$56,$C47),ISNUMBER($D$56)),($D$56&gt;$D47)+($D$56=$D47)/2,0)))</x:f>
      </x:c>
      <x:c r="AO47" s="34" t="str">
        <x:f>IF(COUNT($D47)=0,"",SUM(IF(AND(EXACT($C$57,$C47),ISNUMBER($D$57)),($D$57&gt;$D47)+($D$57=$D47)/2,0),IF(AND(EXACT($C$58,$C47),ISNUMBER($D$58)),($D$58&gt;$D47)+($D$58=$D47)/2,0),IF(AND(EXACT($C$59,$C47),ISNUMBER($D$59)),($D$59&gt;$D47)+($D$59=$D47)/2,0),IF(AND(EXACT($C$60,$C47),ISNUMBER($D$60)),($D$60&gt;$D47)+($D$60=$D47)/2,0),IF(AND(EXACT($C$61,$C47),ISNUMBER($D$61)),($D$61&gt;$D47)+($D$61=$D47)/2,0),IF(AND(EXACT($C$62,$C47),ISNUMBER($D$62)),($D$62&gt;$D47)+($D$62=$D47)/2,0),IF(AND(EXACT($C$63,$C47),ISNUMBER($D$63)),($D$63&gt;$D47)+($D$63=$D47)/2,0),IF(AND(EXACT($C$64,$C47),ISNUMBER($D$64)),($D$64&gt;$D47)+($D$64=$D47)/2,0),IF(AND(EXACT($C$65,$C47),ISNUMBER($D$65)),($D$65&gt;$D47)+($D$65=$D47)/2,0),IF(AND(EXACT($C$66,$C47),ISNUMBER($D$66)),($D$66&gt;$D47)+($D$66=$D47)/2,0),IF(AND(EXACT($C$67,$C47),ISNUMBER($D$67)),($D$67&gt;$D47)+($D$67=$D47)/2,0),IF(AND(EXACT($C$68,$C47),ISNUMBER($D$68)),($D$68&gt;$D47)+($D$68=$D47)/2,0),IF(AND(EXACT($C$69,$C47),ISNUMBER($D$69)),($D$69&gt;$D47)+($D$69=$D47)/2,0),IF(AND(EXACT($C$70,$C47),ISNUMBER($D$70)),($D$70&gt;$D47)+($D$70=$D47)/2,0),IF(AND(EXACT($C$71,$C47),ISNUMBER($D$71)),($D$71&gt;$D47)+($D$71=$D47)/2,0),IF(AND(EXACT($C$72,$C47),ISNUMBER($D$72)),($D$72&gt;$D47)+($D$72=$D47)/2,0),IF(AND(EXACT($C$73,$C47),ISNUMBER($D$73)),($D$73&gt;$D47)+($D$73=$D47)/2,0),IF(AND(EXACT($C$74,$C47),ISNUMBER($D$74)),($D$74&gt;$D47)+($D$74=$D47)/2,0),IF(AND(EXACT($C$75,$C47),ISNUMBER($D$75)),($D$75&gt;$D47)+($D$75=$D47)/2,0),IF(AND(EXACT($C$76,$C47),ISNUMBER($D$76)),($D$76&gt;$D47)+($D$76=$D47)/2,0),IF(AND(EXACT($C$77,$C47),ISNUMBER($D$77)),($D$77&gt;$D47)+($D$77=$D47)/2,0),IF(AND(EXACT($C$78,$C47),ISNUMBER($D$78)),($D$78&gt;$D47)+($D$78=$D47)/2,0),IF(AND(EXACT($C$79,$C47),ISNUMBER($D$79)),($D$79&gt;$D47)+($D$79=$D47)/2,0),IF(AND(EXACT($C$80,$C47),ISNUMBER($D$80)),($D$80&gt;$D47)+($D$80=$D47)/2,0),IF(AND(EXACT($C$81,$C47),ISNUMBER($D$81)),($D$81&gt;$D47)+($D$81=$D47)/2,0),IF(AND(EXACT($C$82,$C47),ISNUMBER($D$82)),($D$82&gt;$D47)+($D$82=$D47)/2,0),IF(AND(EXACT($C$83,$C47),ISNUMBER($D$83)),($D$83&gt;$D47)+($D$83=$D47)/2,0),IF(AND(EXACT($C$84,$C47),ISNUMBER($D$84)),($D$84&gt;$D47)+($D$84=$D47)/2,0),IF(AND(EXACT($C$85,$C47),ISNUMBER($D$85)),($D$85&gt;$D47)+($D$85=$D47)/2,0),IF(AND(EXACT($C$86,$C47),ISNUMBER($D$86)),($D$86&gt;$D47)+($D$86=$D47)/2,0),IF(AND(EXACT($C$87,$C47),ISNUMBER($D$87)),($D$87&gt;$D47)+($D$87=$D47)/2,0),IF(AND(EXACT($C$88,$C47),ISNUMBER($D$88)),($D$88&gt;$D47)+($D$88=$D47)/2,0),IF(AND(EXACT($C$89,$C47),ISNUMBER($D$89)),($D$89&gt;$D47)+($D$89=$D47)/2,0),IF(AND(EXACT($C$90,$C47),ISNUMBER($D$90)),($D$90&gt;$D47)+($D$90=$D47)/2,0),IF(AND(EXACT($C$91,$C47),ISNUMBER($D$91)),($D$91&gt;$D47)+($D$91=$D47)/2,0),IF(AND(EXACT($C$92,$C47),ISNUMBER($D$92)),($D$92&gt;$D47)+($D$92=$D47)/2,0),IF(AND(EXACT($C$93,$C47),ISNUMBER($D$93)),($D$93&gt;$D47)+($D$93=$D47)/2,0),IF(AND(EXACT($C$94,$C47),ISNUMBER($D$94)),($D$94&gt;$D47)+($D$94=$D47)/2,0),IF(AND(EXACT($C$95,$C47),ISNUMBER($D$95)),($D$95&gt;$D47)+($D$95=$D47)/2,0),IF(AND(EXACT($C$96,$C47),ISNUMBER($D$96)),($D$96&gt;$D47)+($D$96=$D47)/2,0),IF(AND(EXACT($C$97,$C47),ISNUMBER($D$97)),($D$97&gt;$D47)+($D$97=$D47)/2,0),IF(AND(EXACT($C$98,$C47),ISNUMBER($D$98)),($D$98&gt;$D47)+($D$98=$D47)/2,0),IF(AND(EXACT($C$99,$C47),ISNUMBER($D$99)),($D$99&gt;$D47)+($D$99=$D47)/2,0),IF(AND(EXACT($C$100,$C47),ISNUMBER($D$100)),($D$100&gt;$D47)+($D$100=$D47)/2,0),IF(AND(EXACT($C$101,$C47),ISNUMBER($D$101)),($D$101&gt;$D47)+($D$101=$D47)/2,0),IF(AND(EXACT($C$102,$C47),ISNUMBER($D$102)),($D$102&gt;$D47)+($D$102=$D47)/2,0),IF(AND(EXACT($C$103,$C47),ISNUMBER($D$103)),($D$103&gt;$D47)+($D$103=$D47)/2,0),IF(AND(EXACT($C$104,$C47),ISNUMBER($D$104)),($D$104&gt;$D47)+($D$104=$D47)/2,0),IF(AND(EXACT($C$105,$C47),ISNUMBER($D$105)),($D$105&gt;$D47)+($D$105=$D47)/2,0),IF(AND(EXACT($C$106,$C47),ISNUMBER($D$106)),($D$106&gt;$D47)+($D$106=$D47)/2,0)))</x:f>
      </x:c>
    </x:row>
    <x:row r="48">
      <x:c r="A48" s="34" t="str">
        <x:f>IF('91_CALC_SCORES'!A48="","",'91_CALC_SCORES'!A48)</x:f>
      </x:c>
      <x:c r="B48" s="34" t="str">
        <x:f>IF($A48="","",'91_CALC_SCORES'!B48)</x:f>
      </x:c>
      <x:c r="C48" s="34" t="str">
        <x:f>IF($A48="","",'91_CALC_SCORES'!K48)</x:f>
      </x:c>
      <x:c r="D48" s="57" t="str">
        <x:f>IF(OR($A48="",NOT(OR(LEFT('91_CALC_SCORES'!AB48,4)="PASS",LEFT('91_CALC_SCORES'!AB48,5)="READY"))),"",'91_CALC_SCORES'!Y48)</x:f>
      </x:c>
      <x:c r="E48" s="34" t="str">
        <x:f>IF(COUNT(D48)=0,"",1+SUM(AN48:AO48)-1/2)</x:f>
      </x:c>
      <x:c r="F48" s="34" t="str">
        <x:f>IF($A48="","",'91_CALC_SCORES'!AB48)</x:f>
      </x:c>
      <x:c r="G48" s="34" t="str">
        <x:f>IF(A48="","","연구 베타 | 기업 백분위 아님")</x:f>
      </x:c>
      <x:c r="AN48" s="34" t="str">
        <x:f>IF(COUNT($D48)=0,"",SUM(IF(AND(EXACT($C$7,$C48),ISNUMBER($D$7)),($D$7&gt;$D48)+($D$7=$D48)/2,0),IF(AND(EXACT($C$8,$C48),ISNUMBER($D$8)),($D$8&gt;$D48)+($D$8=$D48)/2,0),IF(AND(EXACT($C$9,$C48),ISNUMBER($D$9)),($D$9&gt;$D48)+($D$9=$D48)/2,0),IF(AND(EXACT($C$10,$C48),ISNUMBER($D$10)),($D$10&gt;$D48)+($D$10=$D48)/2,0),IF(AND(EXACT($C$11,$C48),ISNUMBER($D$11)),($D$11&gt;$D48)+($D$11=$D48)/2,0),IF(AND(EXACT($C$12,$C48),ISNUMBER($D$12)),($D$12&gt;$D48)+($D$12=$D48)/2,0),IF(AND(EXACT($C$13,$C48),ISNUMBER($D$13)),($D$13&gt;$D48)+($D$13=$D48)/2,0),IF(AND(EXACT($C$14,$C48),ISNUMBER($D$14)),($D$14&gt;$D48)+($D$14=$D48)/2,0),IF(AND(EXACT($C$15,$C48),ISNUMBER($D$15)),($D$15&gt;$D48)+($D$15=$D48)/2,0),IF(AND(EXACT($C$16,$C48),ISNUMBER($D$16)),($D$16&gt;$D48)+($D$16=$D48)/2,0),IF(AND(EXACT($C$17,$C48),ISNUMBER($D$17)),($D$17&gt;$D48)+($D$17=$D48)/2,0),IF(AND(EXACT($C$18,$C48),ISNUMBER($D$18)),($D$18&gt;$D48)+($D$18=$D48)/2,0),IF(AND(EXACT($C$19,$C48),ISNUMBER($D$19)),($D$19&gt;$D48)+($D$19=$D48)/2,0),IF(AND(EXACT($C$20,$C48),ISNUMBER($D$20)),($D$20&gt;$D48)+($D$20=$D48)/2,0),IF(AND(EXACT($C$21,$C48),ISNUMBER($D$21)),($D$21&gt;$D48)+($D$21=$D48)/2,0),IF(AND(EXACT($C$22,$C48),ISNUMBER($D$22)),($D$22&gt;$D48)+($D$22=$D48)/2,0),IF(AND(EXACT($C$23,$C48),ISNUMBER($D$23)),($D$23&gt;$D48)+($D$23=$D48)/2,0),IF(AND(EXACT($C$24,$C48),ISNUMBER($D$24)),($D$24&gt;$D48)+($D$24=$D48)/2,0),IF(AND(EXACT($C$25,$C48),ISNUMBER($D$25)),($D$25&gt;$D48)+($D$25=$D48)/2,0),IF(AND(EXACT($C$26,$C48),ISNUMBER($D$26)),($D$26&gt;$D48)+($D$26=$D48)/2,0),IF(AND(EXACT($C$27,$C48),ISNUMBER($D$27)),($D$27&gt;$D48)+($D$27=$D48)/2,0),IF(AND(EXACT($C$28,$C48),ISNUMBER($D$28)),($D$28&gt;$D48)+($D$28=$D48)/2,0),IF(AND(EXACT($C$29,$C48),ISNUMBER($D$29)),($D$29&gt;$D48)+($D$29=$D48)/2,0),IF(AND(EXACT($C$30,$C48),ISNUMBER($D$30)),($D$30&gt;$D48)+($D$30=$D48)/2,0),IF(AND(EXACT($C$31,$C48),ISNUMBER($D$31)),($D$31&gt;$D48)+($D$31=$D48)/2,0),IF(AND(EXACT($C$32,$C48),ISNUMBER($D$32)),($D$32&gt;$D48)+($D$32=$D48)/2,0),IF(AND(EXACT($C$33,$C48),ISNUMBER($D$33)),($D$33&gt;$D48)+($D$33=$D48)/2,0),IF(AND(EXACT($C$34,$C48),ISNUMBER($D$34)),($D$34&gt;$D48)+($D$34=$D48)/2,0),IF(AND(EXACT($C$35,$C48),ISNUMBER($D$35)),($D$35&gt;$D48)+($D$35=$D48)/2,0),IF(AND(EXACT($C$36,$C48),ISNUMBER($D$36)),($D$36&gt;$D48)+($D$36=$D48)/2,0),IF(AND(EXACT($C$37,$C48),ISNUMBER($D$37)),($D$37&gt;$D48)+($D$37=$D48)/2,0),IF(AND(EXACT($C$38,$C48),ISNUMBER($D$38)),($D$38&gt;$D48)+($D$38=$D48)/2,0),IF(AND(EXACT($C$39,$C48),ISNUMBER($D$39)),($D$39&gt;$D48)+($D$39=$D48)/2,0),IF(AND(EXACT($C$40,$C48),ISNUMBER($D$40)),($D$40&gt;$D48)+($D$40=$D48)/2,0),IF(AND(EXACT($C$41,$C48),ISNUMBER($D$41)),($D$41&gt;$D48)+($D$41=$D48)/2,0),IF(AND(EXACT($C$42,$C48),ISNUMBER($D$42)),($D$42&gt;$D48)+($D$42=$D48)/2,0),IF(AND(EXACT($C$43,$C48),ISNUMBER($D$43)),($D$43&gt;$D48)+($D$43=$D48)/2,0),IF(AND(EXACT($C$44,$C48),ISNUMBER($D$44)),($D$44&gt;$D48)+($D$44=$D48)/2,0),IF(AND(EXACT($C$45,$C48),ISNUMBER($D$45)),($D$45&gt;$D48)+($D$45=$D48)/2,0),IF(AND(EXACT($C$46,$C48),ISNUMBER($D$46)),($D$46&gt;$D48)+($D$46=$D48)/2,0),IF(AND(EXACT($C$47,$C48),ISNUMBER($D$47)),($D$47&gt;$D48)+($D$47=$D48)/2,0),IF(AND(EXACT($C$48,$C48),ISNUMBER($D$48)),($D$48&gt;$D48)+($D$48=$D48)/2,0),IF(AND(EXACT($C$49,$C48),ISNUMBER($D$49)),($D$49&gt;$D48)+($D$49=$D48)/2,0),IF(AND(EXACT($C$50,$C48),ISNUMBER($D$50)),($D$50&gt;$D48)+($D$50=$D48)/2,0),IF(AND(EXACT($C$51,$C48),ISNUMBER($D$51)),($D$51&gt;$D48)+($D$51=$D48)/2,0),IF(AND(EXACT($C$52,$C48),ISNUMBER($D$52)),($D$52&gt;$D48)+($D$52=$D48)/2,0),IF(AND(EXACT($C$53,$C48),ISNUMBER($D$53)),($D$53&gt;$D48)+($D$53=$D48)/2,0),IF(AND(EXACT($C$54,$C48),ISNUMBER($D$54)),($D$54&gt;$D48)+($D$54=$D48)/2,0),IF(AND(EXACT($C$55,$C48),ISNUMBER($D$55)),($D$55&gt;$D48)+($D$55=$D48)/2,0),IF(AND(EXACT($C$56,$C48),ISNUMBER($D$56)),($D$56&gt;$D48)+($D$56=$D48)/2,0)))</x:f>
      </x:c>
      <x:c r="AO48" s="34" t="str">
        <x:f>IF(COUNT($D48)=0,"",SUM(IF(AND(EXACT($C$57,$C48),ISNUMBER($D$57)),($D$57&gt;$D48)+($D$57=$D48)/2,0),IF(AND(EXACT($C$58,$C48),ISNUMBER($D$58)),($D$58&gt;$D48)+($D$58=$D48)/2,0),IF(AND(EXACT($C$59,$C48),ISNUMBER($D$59)),($D$59&gt;$D48)+($D$59=$D48)/2,0),IF(AND(EXACT($C$60,$C48),ISNUMBER($D$60)),($D$60&gt;$D48)+($D$60=$D48)/2,0),IF(AND(EXACT($C$61,$C48),ISNUMBER($D$61)),($D$61&gt;$D48)+($D$61=$D48)/2,0),IF(AND(EXACT($C$62,$C48),ISNUMBER($D$62)),($D$62&gt;$D48)+($D$62=$D48)/2,0),IF(AND(EXACT($C$63,$C48),ISNUMBER($D$63)),($D$63&gt;$D48)+($D$63=$D48)/2,0),IF(AND(EXACT($C$64,$C48),ISNUMBER($D$64)),($D$64&gt;$D48)+($D$64=$D48)/2,0),IF(AND(EXACT($C$65,$C48),ISNUMBER($D$65)),($D$65&gt;$D48)+($D$65=$D48)/2,0),IF(AND(EXACT($C$66,$C48),ISNUMBER($D$66)),($D$66&gt;$D48)+($D$66=$D48)/2,0),IF(AND(EXACT($C$67,$C48),ISNUMBER($D$67)),($D$67&gt;$D48)+($D$67=$D48)/2,0),IF(AND(EXACT($C$68,$C48),ISNUMBER($D$68)),($D$68&gt;$D48)+($D$68=$D48)/2,0),IF(AND(EXACT($C$69,$C48),ISNUMBER($D$69)),($D$69&gt;$D48)+($D$69=$D48)/2,0),IF(AND(EXACT($C$70,$C48),ISNUMBER($D$70)),($D$70&gt;$D48)+($D$70=$D48)/2,0),IF(AND(EXACT($C$71,$C48),ISNUMBER($D$71)),($D$71&gt;$D48)+($D$71=$D48)/2,0),IF(AND(EXACT($C$72,$C48),ISNUMBER($D$72)),($D$72&gt;$D48)+($D$72=$D48)/2,0),IF(AND(EXACT($C$73,$C48),ISNUMBER($D$73)),($D$73&gt;$D48)+($D$73=$D48)/2,0),IF(AND(EXACT($C$74,$C48),ISNUMBER($D$74)),($D$74&gt;$D48)+($D$74=$D48)/2,0),IF(AND(EXACT($C$75,$C48),ISNUMBER($D$75)),($D$75&gt;$D48)+($D$75=$D48)/2,0),IF(AND(EXACT($C$76,$C48),ISNUMBER($D$76)),($D$76&gt;$D48)+($D$76=$D48)/2,0),IF(AND(EXACT($C$77,$C48),ISNUMBER($D$77)),($D$77&gt;$D48)+($D$77=$D48)/2,0),IF(AND(EXACT($C$78,$C48),ISNUMBER($D$78)),($D$78&gt;$D48)+($D$78=$D48)/2,0),IF(AND(EXACT($C$79,$C48),ISNUMBER($D$79)),($D$79&gt;$D48)+($D$79=$D48)/2,0),IF(AND(EXACT($C$80,$C48),ISNUMBER($D$80)),($D$80&gt;$D48)+($D$80=$D48)/2,0),IF(AND(EXACT($C$81,$C48),ISNUMBER($D$81)),($D$81&gt;$D48)+($D$81=$D48)/2,0),IF(AND(EXACT($C$82,$C48),ISNUMBER($D$82)),($D$82&gt;$D48)+($D$82=$D48)/2,0),IF(AND(EXACT($C$83,$C48),ISNUMBER($D$83)),($D$83&gt;$D48)+($D$83=$D48)/2,0),IF(AND(EXACT($C$84,$C48),ISNUMBER($D$84)),($D$84&gt;$D48)+($D$84=$D48)/2,0),IF(AND(EXACT($C$85,$C48),ISNUMBER($D$85)),($D$85&gt;$D48)+($D$85=$D48)/2,0),IF(AND(EXACT($C$86,$C48),ISNUMBER($D$86)),($D$86&gt;$D48)+($D$86=$D48)/2,0),IF(AND(EXACT($C$87,$C48),ISNUMBER($D$87)),($D$87&gt;$D48)+($D$87=$D48)/2,0),IF(AND(EXACT($C$88,$C48),ISNUMBER($D$88)),($D$88&gt;$D48)+($D$88=$D48)/2,0),IF(AND(EXACT($C$89,$C48),ISNUMBER($D$89)),($D$89&gt;$D48)+($D$89=$D48)/2,0),IF(AND(EXACT($C$90,$C48),ISNUMBER($D$90)),($D$90&gt;$D48)+($D$90=$D48)/2,0),IF(AND(EXACT($C$91,$C48),ISNUMBER($D$91)),($D$91&gt;$D48)+($D$91=$D48)/2,0),IF(AND(EXACT($C$92,$C48),ISNUMBER($D$92)),($D$92&gt;$D48)+($D$92=$D48)/2,0),IF(AND(EXACT($C$93,$C48),ISNUMBER($D$93)),($D$93&gt;$D48)+($D$93=$D48)/2,0),IF(AND(EXACT($C$94,$C48),ISNUMBER($D$94)),($D$94&gt;$D48)+($D$94=$D48)/2,0),IF(AND(EXACT($C$95,$C48),ISNUMBER($D$95)),($D$95&gt;$D48)+($D$95=$D48)/2,0),IF(AND(EXACT($C$96,$C48),ISNUMBER($D$96)),($D$96&gt;$D48)+($D$96=$D48)/2,0),IF(AND(EXACT($C$97,$C48),ISNUMBER($D$97)),($D$97&gt;$D48)+($D$97=$D48)/2,0),IF(AND(EXACT($C$98,$C48),ISNUMBER($D$98)),($D$98&gt;$D48)+($D$98=$D48)/2,0),IF(AND(EXACT($C$99,$C48),ISNUMBER($D$99)),($D$99&gt;$D48)+($D$99=$D48)/2,0),IF(AND(EXACT($C$100,$C48),ISNUMBER($D$100)),($D$100&gt;$D48)+($D$100=$D48)/2,0),IF(AND(EXACT($C$101,$C48),ISNUMBER($D$101)),($D$101&gt;$D48)+($D$101=$D48)/2,0),IF(AND(EXACT($C$102,$C48),ISNUMBER($D$102)),($D$102&gt;$D48)+($D$102=$D48)/2,0),IF(AND(EXACT($C$103,$C48),ISNUMBER($D$103)),($D$103&gt;$D48)+($D$103=$D48)/2,0),IF(AND(EXACT($C$104,$C48),ISNUMBER($D$104)),($D$104&gt;$D48)+($D$104=$D48)/2,0),IF(AND(EXACT($C$105,$C48),ISNUMBER($D$105)),($D$105&gt;$D48)+($D$105=$D48)/2,0),IF(AND(EXACT($C$106,$C48),ISNUMBER($D$106)),($D$106&gt;$D48)+($D$106=$D48)/2,0)))</x:f>
      </x:c>
    </x:row>
    <x:row r="49">
      <x:c r="A49" s="34" t="str">
        <x:f>IF('91_CALC_SCORES'!A49="","",'91_CALC_SCORES'!A49)</x:f>
      </x:c>
      <x:c r="B49" s="34" t="str">
        <x:f>IF($A49="","",'91_CALC_SCORES'!B49)</x:f>
      </x:c>
      <x:c r="C49" s="34" t="str">
        <x:f>IF($A49="","",'91_CALC_SCORES'!K49)</x:f>
      </x:c>
      <x:c r="D49" s="57" t="str">
        <x:f>IF(OR($A49="",NOT(OR(LEFT('91_CALC_SCORES'!AB49,4)="PASS",LEFT('91_CALC_SCORES'!AB49,5)="READY"))),"",'91_CALC_SCORES'!Y49)</x:f>
      </x:c>
      <x:c r="E49" s="34" t="str">
        <x:f>IF(COUNT(D49)=0,"",1+SUM(AN49:AO49)-1/2)</x:f>
      </x:c>
      <x:c r="F49" s="34" t="str">
        <x:f>IF($A49="","",'91_CALC_SCORES'!AB49)</x:f>
      </x:c>
      <x:c r="G49" s="34" t="str">
        <x:f>IF(A49="","","연구 베타 | 기업 백분위 아님")</x:f>
      </x:c>
      <x:c r="AN49" s="34" t="str">
        <x:f>IF(COUNT($D49)=0,"",SUM(IF(AND(EXACT($C$7,$C49),ISNUMBER($D$7)),($D$7&gt;$D49)+($D$7=$D49)/2,0),IF(AND(EXACT($C$8,$C49),ISNUMBER($D$8)),($D$8&gt;$D49)+($D$8=$D49)/2,0),IF(AND(EXACT($C$9,$C49),ISNUMBER($D$9)),($D$9&gt;$D49)+($D$9=$D49)/2,0),IF(AND(EXACT($C$10,$C49),ISNUMBER($D$10)),($D$10&gt;$D49)+($D$10=$D49)/2,0),IF(AND(EXACT($C$11,$C49),ISNUMBER($D$11)),($D$11&gt;$D49)+($D$11=$D49)/2,0),IF(AND(EXACT($C$12,$C49),ISNUMBER($D$12)),($D$12&gt;$D49)+($D$12=$D49)/2,0),IF(AND(EXACT($C$13,$C49),ISNUMBER($D$13)),($D$13&gt;$D49)+($D$13=$D49)/2,0),IF(AND(EXACT($C$14,$C49),ISNUMBER($D$14)),($D$14&gt;$D49)+($D$14=$D49)/2,0),IF(AND(EXACT($C$15,$C49),ISNUMBER($D$15)),($D$15&gt;$D49)+($D$15=$D49)/2,0),IF(AND(EXACT($C$16,$C49),ISNUMBER($D$16)),($D$16&gt;$D49)+($D$16=$D49)/2,0),IF(AND(EXACT($C$17,$C49),ISNUMBER($D$17)),($D$17&gt;$D49)+($D$17=$D49)/2,0),IF(AND(EXACT($C$18,$C49),ISNUMBER($D$18)),($D$18&gt;$D49)+($D$18=$D49)/2,0),IF(AND(EXACT($C$19,$C49),ISNUMBER($D$19)),($D$19&gt;$D49)+($D$19=$D49)/2,0),IF(AND(EXACT($C$20,$C49),ISNUMBER($D$20)),($D$20&gt;$D49)+($D$20=$D49)/2,0),IF(AND(EXACT($C$21,$C49),ISNUMBER($D$21)),($D$21&gt;$D49)+($D$21=$D49)/2,0),IF(AND(EXACT($C$22,$C49),ISNUMBER($D$22)),($D$22&gt;$D49)+($D$22=$D49)/2,0),IF(AND(EXACT($C$23,$C49),ISNUMBER($D$23)),($D$23&gt;$D49)+($D$23=$D49)/2,0),IF(AND(EXACT($C$24,$C49),ISNUMBER($D$24)),($D$24&gt;$D49)+($D$24=$D49)/2,0),IF(AND(EXACT($C$25,$C49),ISNUMBER($D$25)),($D$25&gt;$D49)+($D$25=$D49)/2,0),IF(AND(EXACT($C$26,$C49),ISNUMBER($D$26)),($D$26&gt;$D49)+($D$26=$D49)/2,0),IF(AND(EXACT($C$27,$C49),ISNUMBER($D$27)),($D$27&gt;$D49)+($D$27=$D49)/2,0),IF(AND(EXACT($C$28,$C49),ISNUMBER($D$28)),($D$28&gt;$D49)+($D$28=$D49)/2,0),IF(AND(EXACT($C$29,$C49),ISNUMBER($D$29)),($D$29&gt;$D49)+($D$29=$D49)/2,0),IF(AND(EXACT($C$30,$C49),ISNUMBER($D$30)),($D$30&gt;$D49)+($D$30=$D49)/2,0),IF(AND(EXACT($C$31,$C49),ISNUMBER($D$31)),($D$31&gt;$D49)+($D$31=$D49)/2,0),IF(AND(EXACT($C$32,$C49),ISNUMBER($D$32)),($D$32&gt;$D49)+($D$32=$D49)/2,0),IF(AND(EXACT($C$33,$C49),ISNUMBER($D$33)),($D$33&gt;$D49)+($D$33=$D49)/2,0),IF(AND(EXACT($C$34,$C49),ISNUMBER($D$34)),($D$34&gt;$D49)+($D$34=$D49)/2,0),IF(AND(EXACT($C$35,$C49),ISNUMBER($D$35)),($D$35&gt;$D49)+($D$35=$D49)/2,0),IF(AND(EXACT($C$36,$C49),ISNUMBER($D$36)),($D$36&gt;$D49)+($D$36=$D49)/2,0),IF(AND(EXACT($C$37,$C49),ISNUMBER($D$37)),($D$37&gt;$D49)+($D$37=$D49)/2,0),IF(AND(EXACT($C$38,$C49),ISNUMBER($D$38)),($D$38&gt;$D49)+($D$38=$D49)/2,0),IF(AND(EXACT($C$39,$C49),ISNUMBER($D$39)),($D$39&gt;$D49)+($D$39=$D49)/2,0),IF(AND(EXACT($C$40,$C49),ISNUMBER($D$40)),($D$40&gt;$D49)+($D$40=$D49)/2,0),IF(AND(EXACT($C$41,$C49),ISNUMBER($D$41)),($D$41&gt;$D49)+($D$41=$D49)/2,0),IF(AND(EXACT($C$42,$C49),ISNUMBER($D$42)),($D$42&gt;$D49)+($D$42=$D49)/2,0),IF(AND(EXACT($C$43,$C49),ISNUMBER($D$43)),($D$43&gt;$D49)+($D$43=$D49)/2,0),IF(AND(EXACT($C$44,$C49),ISNUMBER($D$44)),($D$44&gt;$D49)+($D$44=$D49)/2,0),IF(AND(EXACT($C$45,$C49),ISNUMBER($D$45)),($D$45&gt;$D49)+($D$45=$D49)/2,0),IF(AND(EXACT($C$46,$C49),ISNUMBER($D$46)),($D$46&gt;$D49)+($D$46=$D49)/2,0),IF(AND(EXACT($C$47,$C49),ISNUMBER($D$47)),($D$47&gt;$D49)+($D$47=$D49)/2,0),IF(AND(EXACT($C$48,$C49),ISNUMBER($D$48)),($D$48&gt;$D49)+($D$48=$D49)/2,0),IF(AND(EXACT($C$49,$C49),ISNUMBER($D$49)),($D$49&gt;$D49)+($D$49=$D49)/2,0),IF(AND(EXACT($C$50,$C49),ISNUMBER($D$50)),($D$50&gt;$D49)+($D$50=$D49)/2,0),IF(AND(EXACT($C$51,$C49),ISNUMBER($D$51)),($D$51&gt;$D49)+($D$51=$D49)/2,0),IF(AND(EXACT($C$52,$C49),ISNUMBER($D$52)),($D$52&gt;$D49)+($D$52=$D49)/2,0),IF(AND(EXACT($C$53,$C49),ISNUMBER($D$53)),($D$53&gt;$D49)+($D$53=$D49)/2,0),IF(AND(EXACT($C$54,$C49),ISNUMBER($D$54)),($D$54&gt;$D49)+($D$54=$D49)/2,0),IF(AND(EXACT($C$55,$C49),ISNUMBER($D$55)),($D$55&gt;$D49)+($D$55=$D49)/2,0),IF(AND(EXACT($C$56,$C49),ISNUMBER($D$56)),($D$56&gt;$D49)+($D$56=$D49)/2,0)))</x:f>
      </x:c>
      <x:c r="AO49" s="34" t="str">
        <x:f>IF(COUNT($D49)=0,"",SUM(IF(AND(EXACT($C$57,$C49),ISNUMBER($D$57)),($D$57&gt;$D49)+($D$57=$D49)/2,0),IF(AND(EXACT($C$58,$C49),ISNUMBER($D$58)),($D$58&gt;$D49)+($D$58=$D49)/2,0),IF(AND(EXACT($C$59,$C49),ISNUMBER($D$59)),($D$59&gt;$D49)+($D$59=$D49)/2,0),IF(AND(EXACT($C$60,$C49),ISNUMBER($D$60)),($D$60&gt;$D49)+($D$60=$D49)/2,0),IF(AND(EXACT($C$61,$C49),ISNUMBER($D$61)),($D$61&gt;$D49)+($D$61=$D49)/2,0),IF(AND(EXACT($C$62,$C49),ISNUMBER($D$62)),($D$62&gt;$D49)+($D$62=$D49)/2,0),IF(AND(EXACT($C$63,$C49),ISNUMBER($D$63)),($D$63&gt;$D49)+($D$63=$D49)/2,0),IF(AND(EXACT($C$64,$C49),ISNUMBER($D$64)),($D$64&gt;$D49)+($D$64=$D49)/2,0),IF(AND(EXACT($C$65,$C49),ISNUMBER($D$65)),($D$65&gt;$D49)+($D$65=$D49)/2,0),IF(AND(EXACT($C$66,$C49),ISNUMBER($D$66)),($D$66&gt;$D49)+($D$66=$D49)/2,0),IF(AND(EXACT($C$67,$C49),ISNUMBER($D$67)),($D$67&gt;$D49)+($D$67=$D49)/2,0),IF(AND(EXACT($C$68,$C49),ISNUMBER($D$68)),($D$68&gt;$D49)+($D$68=$D49)/2,0),IF(AND(EXACT($C$69,$C49),ISNUMBER($D$69)),($D$69&gt;$D49)+($D$69=$D49)/2,0),IF(AND(EXACT($C$70,$C49),ISNUMBER($D$70)),($D$70&gt;$D49)+($D$70=$D49)/2,0),IF(AND(EXACT($C$71,$C49),ISNUMBER($D$71)),($D$71&gt;$D49)+($D$71=$D49)/2,0),IF(AND(EXACT($C$72,$C49),ISNUMBER($D$72)),($D$72&gt;$D49)+($D$72=$D49)/2,0),IF(AND(EXACT($C$73,$C49),ISNUMBER($D$73)),($D$73&gt;$D49)+($D$73=$D49)/2,0),IF(AND(EXACT($C$74,$C49),ISNUMBER($D$74)),($D$74&gt;$D49)+($D$74=$D49)/2,0),IF(AND(EXACT($C$75,$C49),ISNUMBER($D$75)),($D$75&gt;$D49)+($D$75=$D49)/2,0),IF(AND(EXACT($C$76,$C49),ISNUMBER($D$76)),($D$76&gt;$D49)+($D$76=$D49)/2,0),IF(AND(EXACT($C$77,$C49),ISNUMBER($D$77)),($D$77&gt;$D49)+($D$77=$D49)/2,0),IF(AND(EXACT($C$78,$C49),ISNUMBER($D$78)),($D$78&gt;$D49)+($D$78=$D49)/2,0),IF(AND(EXACT($C$79,$C49),ISNUMBER($D$79)),($D$79&gt;$D49)+($D$79=$D49)/2,0),IF(AND(EXACT($C$80,$C49),ISNUMBER($D$80)),($D$80&gt;$D49)+($D$80=$D49)/2,0),IF(AND(EXACT($C$81,$C49),ISNUMBER($D$81)),($D$81&gt;$D49)+($D$81=$D49)/2,0),IF(AND(EXACT($C$82,$C49),ISNUMBER($D$82)),($D$82&gt;$D49)+($D$82=$D49)/2,0),IF(AND(EXACT($C$83,$C49),ISNUMBER($D$83)),($D$83&gt;$D49)+($D$83=$D49)/2,0),IF(AND(EXACT($C$84,$C49),ISNUMBER($D$84)),($D$84&gt;$D49)+($D$84=$D49)/2,0),IF(AND(EXACT($C$85,$C49),ISNUMBER($D$85)),($D$85&gt;$D49)+($D$85=$D49)/2,0),IF(AND(EXACT($C$86,$C49),ISNUMBER($D$86)),($D$86&gt;$D49)+($D$86=$D49)/2,0),IF(AND(EXACT($C$87,$C49),ISNUMBER($D$87)),($D$87&gt;$D49)+($D$87=$D49)/2,0),IF(AND(EXACT($C$88,$C49),ISNUMBER($D$88)),($D$88&gt;$D49)+($D$88=$D49)/2,0),IF(AND(EXACT($C$89,$C49),ISNUMBER($D$89)),($D$89&gt;$D49)+($D$89=$D49)/2,0),IF(AND(EXACT($C$90,$C49),ISNUMBER($D$90)),($D$90&gt;$D49)+($D$90=$D49)/2,0),IF(AND(EXACT($C$91,$C49),ISNUMBER($D$91)),($D$91&gt;$D49)+($D$91=$D49)/2,0),IF(AND(EXACT($C$92,$C49),ISNUMBER($D$92)),($D$92&gt;$D49)+($D$92=$D49)/2,0),IF(AND(EXACT($C$93,$C49),ISNUMBER($D$93)),($D$93&gt;$D49)+($D$93=$D49)/2,0),IF(AND(EXACT($C$94,$C49),ISNUMBER($D$94)),($D$94&gt;$D49)+($D$94=$D49)/2,0),IF(AND(EXACT($C$95,$C49),ISNUMBER($D$95)),($D$95&gt;$D49)+($D$95=$D49)/2,0),IF(AND(EXACT($C$96,$C49),ISNUMBER($D$96)),($D$96&gt;$D49)+($D$96=$D49)/2,0),IF(AND(EXACT($C$97,$C49),ISNUMBER($D$97)),($D$97&gt;$D49)+($D$97=$D49)/2,0),IF(AND(EXACT($C$98,$C49),ISNUMBER($D$98)),($D$98&gt;$D49)+($D$98=$D49)/2,0),IF(AND(EXACT($C$99,$C49),ISNUMBER($D$99)),($D$99&gt;$D49)+($D$99=$D49)/2,0),IF(AND(EXACT($C$100,$C49),ISNUMBER($D$100)),($D$100&gt;$D49)+($D$100=$D49)/2,0),IF(AND(EXACT($C$101,$C49),ISNUMBER($D$101)),($D$101&gt;$D49)+($D$101=$D49)/2,0),IF(AND(EXACT($C$102,$C49),ISNUMBER($D$102)),($D$102&gt;$D49)+($D$102=$D49)/2,0),IF(AND(EXACT($C$103,$C49),ISNUMBER($D$103)),($D$103&gt;$D49)+($D$103=$D49)/2,0),IF(AND(EXACT($C$104,$C49),ISNUMBER($D$104)),($D$104&gt;$D49)+($D$104=$D49)/2,0),IF(AND(EXACT($C$105,$C49),ISNUMBER($D$105)),($D$105&gt;$D49)+($D$105=$D49)/2,0),IF(AND(EXACT($C$106,$C49),ISNUMBER($D$106)),($D$106&gt;$D49)+($D$106=$D49)/2,0)))</x:f>
      </x:c>
    </x:row>
    <x:row r="50">
      <x:c r="A50" s="34" t="str">
        <x:f>IF('91_CALC_SCORES'!A50="","",'91_CALC_SCORES'!A50)</x:f>
      </x:c>
      <x:c r="B50" s="34" t="str">
        <x:f>IF($A50="","",'91_CALC_SCORES'!B50)</x:f>
      </x:c>
      <x:c r="C50" s="34" t="str">
        <x:f>IF($A50="","",'91_CALC_SCORES'!K50)</x:f>
      </x:c>
      <x:c r="D50" s="57" t="str">
        <x:f>IF(OR($A50="",NOT(OR(LEFT('91_CALC_SCORES'!AB50,4)="PASS",LEFT('91_CALC_SCORES'!AB50,5)="READY"))),"",'91_CALC_SCORES'!Y50)</x:f>
      </x:c>
      <x:c r="E50" s="34" t="str">
        <x:f>IF(COUNT(D50)=0,"",1+SUM(AN50:AO50)-1/2)</x:f>
      </x:c>
      <x:c r="F50" s="34" t="str">
        <x:f>IF($A50="","",'91_CALC_SCORES'!AB50)</x:f>
      </x:c>
      <x:c r="G50" s="34" t="str">
        <x:f>IF(A50="","","연구 베타 | 기업 백분위 아님")</x:f>
      </x:c>
      <x:c r="AN50" s="34" t="str">
        <x:f>IF(COUNT($D50)=0,"",SUM(IF(AND(EXACT($C$7,$C50),ISNUMBER($D$7)),($D$7&gt;$D50)+($D$7=$D50)/2,0),IF(AND(EXACT($C$8,$C50),ISNUMBER($D$8)),($D$8&gt;$D50)+($D$8=$D50)/2,0),IF(AND(EXACT($C$9,$C50),ISNUMBER($D$9)),($D$9&gt;$D50)+($D$9=$D50)/2,0),IF(AND(EXACT($C$10,$C50),ISNUMBER($D$10)),($D$10&gt;$D50)+($D$10=$D50)/2,0),IF(AND(EXACT($C$11,$C50),ISNUMBER($D$11)),($D$11&gt;$D50)+($D$11=$D50)/2,0),IF(AND(EXACT($C$12,$C50),ISNUMBER($D$12)),($D$12&gt;$D50)+($D$12=$D50)/2,0),IF(AND(EXACT($C$13,$C50),ISNUMBER($D$13)),($D$13&gt;$D50)+($D$13=$D50)/2,0),IF(AND(EXACT($C$14,$C50),ISNUMBER($D$14)),($D$14&gt;$D50)+($D$14=$D50)/2,0),IF(AND(EXACT($C$15,$C50),ISNUMBER($D$15)),($D$15&gt;$D50)+($D$15=$D50)/2,0),IF(AND(EXACT($C$16,$C50),ISNUMBER($D$16)),($D$16&gt;$D50)+($D$16=$D50)/2,0),IF(AND(EXACT($C$17,$C50),ISNUMBER($D$17)),($D$17&gt;$D50)+($D$17=$D50)/2,0),IF(AND(EXACT($C$18,$C50),ISNUMBER($D$18)),($D$18&gt;$D50)+($D$18=$D50)/2,0),IF(AND(EXACT($C$19,$C50),ISNUMBER($D$19)),($D$19&gt;$D50)+($D$19=$D50)/2,0),IF(AND(EXACT($C$20,$C50),ISNUMBER($D$20)),($D$20&gt;$D50)+($D$20=$D50)/2,0),IF(AND(EXACT($C$21,$C50),ISNUMBER($D$21)),($D$21&gt;$D50)+($D$21=$D50)/2,0),IF(AND(EXACT($C$22,$C50),ISNUMBER($D$22)),($D$22&gt;$D50)+($D$22=$D50)/2,0),IF(AND(EXACT($C$23,$C50),ISNUMBER($D$23)),($D$23&gt;$D50)+($D$23=$D50)/2,0),IF(AND(EXACT($C$24,$C50),ISNUMBER($D$24)),($D$24&gt;$D50)+($D$24=$D50)/2,0),IF(AND(EXACT($C$25,$C50),ISNUMBER($D$25)),($D$25&gt;$D50)+($D$25=$D50)/2,0),IF(AND(EXACT($C$26,$C50),ISNUMBER($D$26)),($D$26&gt;$D50)+($D$26=$D50)/2,0),IF(AND(EXACT($C$27,$C50),ISNUMBER($D$27)),($D$27&gt;$D50)+($D$27=$D50)/2,0),IF(AND(EXACT($C$28,$C50),ISNUMBER($D$28)),($D$28&gt;$D50)+($D$28=$D50)/2,0),IF(AND(EXACT($C$29,$C50),ISNUMBER($D$29)),($D$29&gt;$D50)+($D$29=$D50)/2,0),IF(AND(EXACT($C$30,$C50),ISNUMBER($D$30)),($D$30&gt;$D50)+($D$30=$D50)/2,0),IF(AND(EXACT($C$31,$C50),ISNUMBER($D$31)),($D$31&gt;$D50)+($D$31=$D50)/2,0),IF(AND(EXACT($C$32,$C50),ISNUMBER($D$32)),($D$32&gt;$D50)+($D$32=$D50)/2,0),IF(AND(EXACT($C$33,$C50),ISNUMBER($D$33)),($D$33&gt;$D50)+($D$33=$D50)/2,0),IF(AND(EXACT($C$34,$C50),ISNUMBER($D$34)),($D$34&gt;$D50)+($D$34=$D50)/2,0),IF(AND(EXACT($C$35,$C50),ISNUMBER($D$35)),($D$35&gt;$D50)+($D$35=$D50)/2,0),IF(AND(EXACT($C$36,$C50),ISNUMBER($D$36)),($D$36&gt;$D50)+($D$36=$D50)/2,0),IF(AND(EXACT($C$37,$C50),ISNUMBER($D$37)),($D$37&gt;$D50)+($D$37=$D50)/2,0),IF(AND(EXACT($C$38,$C50),ISNUMBER($D$38)),($D$38&gt;$D50)+($D$38=$D50)/2,0),IF(AND(EXACT($C$39,$C50),ISNUMBER($D$39)),($D$39&gt;$D50)+($D$39=$D50)/2,0),IF(AND(EXACT($C$40,$C50),ISNUMBER($D$40)),($D$40&gt;$D50)+($D$40=$D50)/2,0),IF(AND(EXACT($C$41,$C50),ISNUMBER($D$41)),($D$41&gt;$D50)+($D$41=$D50)/2,0),IF(AND(EXACT($C$42,$C50),ISNUMBER($D$42)),($D$42&gt;$D50)+($D$42=$D50)/2,0),IF(AND(EXACT($C$43,$C50),ISNUMBER($D$43)),($D$43&gt;$D50)+($D$43=$D50)/2,0),IF(AND(EXACT($C$44,$C50),ISNUMBER($D$44)),($D$44&gt;$D50)+($D$44=$D50)/2,0),IF(AND(EXACT($C$45,$C50),ISNUMBER($D$45)),($D$45&gt;$D50)+($D$45=$D50)/2,0),IF(AND(EXACT($C$46,$C50),ISNUMBER($D$46)),($D$46&gt;$D50)+($D$46=$D50)/2,0),IF(AND(EXACT($C$47,$C50),ISNUMBER($D$47)),($D$47&gt;$D50)+($D$47=$D50)/2,0),IF(AND(EXACT($C$48,$C50),ISNUMBER($D$48)),($D$48&gt;$D50)+($D$48=$D50)/2,0),IF(AND(EXACT($C$49,$C50),ISNUMBER($D$49)),($D$49&gt;$D50)+($D$49=$D50)/2,0),IF(AND(EXACT($C$50,$C50),ISNUMBER($D$50)),($D$50&gt;$D50)+($D$50=$D50)/2,0),IF(AND(EXACT($C$51,$C50),ISNUMBER($D$51)),($D$51&gt;$D50)+($D$51=$D50)/2,0),IF(AND(EXACT($C$52,$C50),ISNUMBER($D$52)),($D$52&gt;$D50)+($D$52=$D50)/2,0),IF(AND(EXACT($C$53,$C50),ISNUMBER($D$53)),($D$53&gt;$D50)+($D$53=$D50)/2,0),IF(AND(EXACT($C$54,$C50),ISNUMBER($D$54)),($D$54&gt;$D50)+($D$54=$D50)/2,0),IF(AND(EXACT($C$55,$C50),ISNUMBER($D$55)),($D$55&gt;$D50)+($D$55=$D50)/2,0),IF(AND(EXACT($C$56,$C50),ISNUMBER($D$56)),($D$56&gt;$D50)+($D$56=$D50)/2,0)))</x:f>
      </x:c>
      <x:c r="AO50" s="34" t="str">
        <x:f>IF(COUNT($D50)=0,"",SUM(IF(AND(EXACT($C$57,$C50),ISNUMBER($D$57)),($D$57&gt;$D50)+($D$57=$D50)/2,0),IF(AND(EXACT($C$58,$C50),ISNUMBER($D$58)),($D$58&gt;$D50)+($D$58=$D50)/2,0),IF(AND(EXACT($C$59,$C50),ISNUMBER($D$59)),($D$59&gt;$D50)+($D$59=$D50)/2,0),IF(AND(EXACT($C$60,$C50),ISNUMBER($D$60)),($D$60&gt;$D50)+($D$60=$D50)/2,0),IF(AND(EXACT($C$61,$C50),ISNUMBER($D$61)),($D$61&gt;$D50)+($D$61=$D50)/2,0),IF(AND(EXACT($C$62,$C50),ISNUMBER($D$62)),($D$62&gt;$D50)+($D$62=$D50)/2,0),IF(AND(EXACT($C$63,$C50),ISNUMBER($D$63)),($D$63&gt;$D50)+($D$63=$D50)/2,0),IF(AND(EXACT($C$64,$C50),ISNUMBER($D$64)),($D$64&gt;$D50)+($D$64=$D50)/2,0),IF(AND(EXACT($C$65,$C50),ISNUMBER($D$65)),($D$65&gt;$D50)+($D$65=$D50)/2,0),IF(AND(EXACT($C$66,$C50),ISNUMBER($D$66)),($D$66&gt;$D50)+($D$66=$D50)/2,0),IF(AND(EXACT($C$67,$C50),ISNUMBER($D$67)),($D$67&gt;$D50)+($D$67=$D50)/2,0),IF(AND(EXACT($C$68,$C50),ISNUMBER($D$68)),($D$68&gt;$D50)+($D$68=$D50)/2,0),IF(AND(EXACT($C$69,$C50),ISNUMBER($D$69)),($D$69&gt;$D50)+($D$69=$D50)/2,0),IF(AND(EXACT($C$70,$C50),ISNUMBER($D$70)),($D$70&gt;$D50)+($D$70=$D50)/2,0),IF(AND(EXACT($C$71,$C50),ISNUMBER($D$71)),($D$71&gt;$D50)+($D$71=$D50)/2,0),IF(AND(EXACT($C$72,$C50),ISNUMBER($D$72)),($D$72&gt;$D50)+($D$72=$D50)/2,0),IF(AND(EXACT($C$73,$C50),ISNUMBER($D$73)),($D$73&gt;$D50)+($D$73=$D50)/2,0),IF(AND(EXACT($C$74,$C50),ISNUMBER($D$74)),($D$74&gt;$D50)+($D$74=$D50)/2,0),IF(AND(EXACT($C$75,$C50),ISNUMBER($D$75)),($D$75&gt;$D50)+($D$75=$D50)/2,0),IF(AND(EXACT($C$76,$C50),ISNUMBER($D$76)),($D$76&gt;$D50)+($D$76=$D50)/2,0),IF(AND(EXACT($C$77,$C50),ISNUMBER($D$77)),($D$77&gt;$D50)+($D$77=$D50)/2,0),IF(AND(EXACT($C$78,$C50),ISNUMBER($D$78)),($D$78&gt;$D50)+($D$78=$D50)/2,0),IF(AND(EXACT($C$79,$C50),ISNUMBER($D$79)),($D$79&gt;$D50)+($D$79=$D50)/2,0),IF(AND(EXACT($C$80,$C50),ISNUMBER($D$80)),($D$80&gt;$D50)+($D$80=$D50)/2,0),IF(AND(EXACT($C$81,$C50),ISNUMBER($D$81)),($D$81&gt;$D50)+($D$81=$D50)/2,0),IF(AND(EXACT($C$82,$C50),ISNUMBER($D$82)),($D$82&gt;$D50)+($D$82=$D50)/2,0),IF(AND(EXACT($C$83,$C50),ISNUMBER($D$83)),($D$83&gt;$D50)+($D$83=$D50)/2,0),IF(AND(EXACT($C$84,$C50),ISNUMBER($D$84)),($D$84&gt;$D50)+($D$84=$D50)/2,0),IF(AND(EXACT($C$85,$C50),ISNUMBER($D$85)),($D$85&gt;$D50)+($D$85=$D50)/2,0),IF(AND(EXACT($C$86,$C50),ISNUMBER($D$86)),($D$86&gt;$D50)+($D$86=$D50)/2,0),IF(AND(EXACT($C$87,$C50),ISNUMBER($D$87)),($D$87&gt;$D50)+($D$87=$D50)/2,0),IF(AND(EXACT($C$88,$C50),ISNUMBER($D$88)),($D$88&gt;$D50)+($D$88=$D50)/2,0),IF(AND(EXACT($C$89,$C50),ISNUMBER($D$89)),($D$89&gt;$D50)+($D$89=$D50)/2,0),IF(AND(EXACT($C$90,$C50),ISNUMBER($D$90)),($D$90&gt;$D50)+($D$90=$D50)/2,0),IF(AND(EXACT($C$91,$C50),ISNUMBER($D$91)),($D$91&gt;$D50)+($D$91=$D50)/2,0),IF(AND(EXACT($C$92,$C50),ISNUMBER($D$92)),($D$92&gt;$D50)+($D$92=$D50)/2,0),IF(AND(EXACT($C$93,$C50),ISNUMBER($D$93)),($D$93&gt;$D50)+($D$93=$D50)/2,0),IF(AND(EXACT($C$94,$C50),ISNUMBER($D$94)),($D$94&gt;$D50)+($D$94=$D50)/2,0),IF(AND(EXACT($C$95,$C50),ISNUMBER($D$95)),($D$95&gt;$D50)+($D$95=$D50)/2,0),IF(AND(EXACT($C$96,$C50),ISNUMBER($D$96)),($D$96&gt;$D50)+($D$96=$D50)/2,0),IF(AND(EXACT($C$97,$C50),ISNUMBER($D$97)),($D$97&gt;$D50)+($D$97=$D50)/2,0),IF(AND(EXACT($C$98,$C50),ISNUMBER($D$98)),($D$98&gt;$D50)+($D$98=$D50)/2,0),IF(AND(EXACT($C$99,$C50),ISNUMBER($D$99)),($D$99&gt;$D50)+($D$99=$D50)/2,0),IF(AND(EXACT($C$100,$C50),ISNUMBER($D$100)),($D$100&gt;$D50)+($D$100=$D50)/2,0),IF(AND(EXACT($C$101,$C50),ISNUMBER($D$101)),($D$101&gt;$D50)+($D$101=$D50)/2,0),IF(AND(EXACT($C$102,$C50),ISNUMBER($D$102)),($D$102&gt;$D50)+($D$102=$D50)/2,0),IF(AND(EXACT($C$103,$C50),ISNUMBER($D$103)),($D$103&gt;$D50)+($D$103=$D50)/2,0),IF(AND(EXACT($C$104,$C50),ISNUMBER($D$104)),($D$104&gt;$D50)+($D$104=$D50)/2,0),IF(AND(EXACT($C$105,$C50),ISNUMBER($D$105)),($D$105&gt;$D50)+($D$105=$D50)/2,0),IF(AND(EXACT($C$106,$C50),ISNUMBER($D$106)),($D$106&gt;$D50)+($D$106=$D50)/2,0)))</x:f>
      </x:c>
    </x:row>
    <x:row r="51">
      <x:c r="A51" s="34" t="str">
        <x:f>IF('91_CALC_SCORES'!A51="","",'91_CALC_SCORES'!A51)</x:f>
      </x:c>
      <x:c r="B51" s="34" t="str">
        <x:f>IF($A51="","",'91_CALC_SCORES'!B51)</x:f>
      </x:c>
      <x:c r="C51" s="34" t="str">
        <x:f>IF($A51="","",'91_CALC_SCORES'!K51)</x:f>
      </x:c>
      <x:c r="D51" s="57" t="str">
        <x:f>IF(OR($A51="",NOT(OR(LEFT('91_CALC_SCORES'!AB51,4)="PASS",LEFT('91_CALC_SCORES'!AB51,5)="READY"))),"",'91_CALC_SCORES'!Y51)</x:f>
      </x:c>
      <x:c r="E51" s="34" t="str">
        <x:f>IF(COUNT(D51)=0,"",1+SUM(AN51:AO51)-1/2)</x:f>
      </x:c>
      <x:c r="F51" s="34" t="str">
        <x:f>IF($A51="","",'91_CALC_SCORES'!AB51)</x:f>
      </x:c>
      <x:c r="G51" s="34" t="str">
        <x:f>IF(A51="","","연구 베타 | 기업 백분위 아님")</x:f>
      </x:c>
      <x:c r="AN51" s="34" t="str">
        <x:f>IF(COUNT($D51)=0,"",SUM(IF(AND(EXACT($C$7,$C51),ISNUMBER($D$7)),($D$7&gt;$D51)+($D$7=$D51)/2,0),IF(AND(EXACT($C$8,$C51),ISNUMBER($D$8)),($D$8&gt;$D51)+($D$8=$D51)/2,0),IF(AND(EXACT($C$9,$C51),ISNUMBER($D$9)),($D$9&gt;$D51)+($D$9=$D51)/2,0),IF(AND(EXACT($C$10,$C51),ISNUMBER($D$10)),($D$10&gt;$D51)+($D$10=$D51)/2,0),IF(AND(EXACT($C$11,$C51),ISNUMBER($D$11)),($D$11&gt;$D51)+($D$11=$D51)/2,0),IF(AND(EXACT($C$12,$C51),ISNUMBER($D$12)),($D$12&gt;$D51)+($D$12=$D51)/2,0),IF(AND(EXACT($C$13,$C51),ISNUMBER($D$13)),($D$13&gt;$D51)+($D$13=$D51)/2,0),IF(AND(EXACT($C$14,$C51),ISNUMBER($D$14)),($D$14&gt;$D51)+($D$14=$D51)/2,0),IF(AND(EXACT($C$15,$C51),ISNUMBER($D$15)),($D$15&gt;$D51)+($D$15=$D51)/2,0),IF(AND(EXACT($C$16,$C51),ISNUMBER($D$16)),($D$16&gt;$D51)+($D$16=$D51)/2,0),IF(AND(EXACT($C$17,$C51),ISNUMBER($D$17)),($D$17&gt;$D51)+($D$17=$D51)/2,0),IF(AND(EXACT($C$18,$C51),ISNUMBER($D$18)),($D$18&gt;$D51)+($D$18=$D51)/2,0),IF(AND(EXACT($C$19,$C51),ISNUMBER($D$19)),($D$19&gt;$D51)+($D$19=$D51)/2,0),IF(AND(EXACT($C$20,$C51),ISNUMBER($D$20)),($D$20&gt;$D51)+($D$20=$D51)/2,0),IF(AND(EXACT($C$21,$C51),ISNUMBER($D$21)),($D$21&gt;$D51)+($D$21=$D51)/2,0),IF(AND(EXACT($C$22,$C51),ISNUMBER($D$22)),($D$22&gt;$D51)+($D$22=$D51)/2,0),IF(AND(EXACT($C$23,$C51),ISNUMBER($D$23)),($D$23&gt;$D51)+($D$23=$D51)/2,0),IF(AND(EXACT($C$24,$C51),ISNUMBER($D$24)),($D$24&gt;$D51)+($D$24=$D51)/2,0),IF(AND(EXACT($C$25,$C51),ISNUMBER($D$25)),($D$25&gt;$D51)+($D$25=$D51)/2,0),IF(AND(EXACT($C$26,$C51),ISNUMBER($D$26)),($D$26&gt;$D51)+($D$26=$D51)/2,0),IF(AND(EXACT($C$27,$C51),ISNUMBER($D$27)),($D$27&gt;$D51)+($D$27=$D51)/2,0),IF(AND(EXACT($C$28,$C51),ISNUMBER($D$28)),($D$28&gt;$D51)+($D$28=$D51)/2,0),IF(AND(EXACT($C$29,$C51),ISNUMBER($D$29)),($D$29&gt;$D51)+($D$29=$D51)/2,0),IF(AND(EXACT($C$30,$C51),ISNUMBER($D$30)),($D$30&gt;$D51)+($D$30=$D51)/2,0),IF(AND(EXACT($C$31,$C51),ISNUMBER($D$31)),($D$31&gt;$D51)+($D$31=$D51)/2,0),IF(AND(EXACT($C$32,$C51),ISNUMBER($D$32)),($D$32&gt;$D51)+($D$32=$D51)/2,0),IF(AND(EXACT($C$33,$C51),ISNUMBER($D$33)),($D$33&gt;$D51)+($D$33=$D51)/2,0),IF(AND(EXACT($C$34,$C51),ISNUMBER($D$34)),($D$34&gt;$D51)+($D$34=$D51)/2,0),IF(AND(EXACT($C$35,$C51),ISNUMBER($D$35)),($D$35&gt;$D51)+($D$35=$D51)/2,0),IF(AND(EXACT($C$36,$C51),ISNUMBER($D$36)),($D$36&gt;$D51)+($D$36=$D51)/2,0),IF(AND(EXACT($C$37,$C51),ISNUMBER($D$37)),($D$37&gt;$D51)+($D$37=$D51)/2,0),IF(AND(EXACT($C$38,$C51),ISNUMBER($D$38)),($D$38&gt;$D51)+($D$38=$D51)/2,0),IF(AND(EXACT($C$39,$C51),ISNUMBER($D$39)),($D$39&gt;$D51)+($D$39=$D51)/2,0),IF(AND(EXACT($C$40,$C51),ISNUMBER($D$40)),($D$40&gt;$D51)+($D$40=$D51)/2,0),IF(AND(EXACT($C$41,$C51),ISNUMBER($D$41)),($D$41&gt;$D51)+($D$41=$D51)/2,0),IF(AND(EXACT($C$42,$C51),ISNUMBER($D$42)),($D$42&gt;$D51)+($D$42=$D51)/2,0),IF(AND(EXACT($C$43,$C51),ISNUMBER($D$43)),($D$43&gt;$D51)+($D$43=$D51)/2,0),IF(AND(EXACT($C$44,$C51),ISNUMBER($D$44)),($D$44&gt;$D51)+($D$44=$D51)/2,0),IF(AND(EXACT($C$45,$C51),ISNUMBER($D$45)),($D$45&gt;$D51)+($D$45=$D51)/2,0),IF(AND(EXACT($C$46,$C51),ISNUMBER($D$46)),($D$46&gt;$D51)+($D$46=$D51)/2,0),IF(AND(EXACT($C$47,$C51),ISNUMBER($D$47)),($D$47&gt;$D51)+($D$47=$D51)/2,0),IF(AND(EXACT($C$48,$C51),ISNUMBER($D$48)),($D$48&gt;$D51)+($D$48=$D51)/2,0),IF(AND(EXACT($C$49,$C51),ISNUMBER($D$49)),($D$49&gt;$D51)+($D$49=$D51)/2,0),IF(AND(EXACT($C$50,$C51),ISNUMBER($D$50)),($D$50&gt;$D51)+($D$50=$D51)/2,0),IF(AND(EXACT($C$51,$C51),ISNUMBER($D$51)),($D$51&gt;$D51)+($D$51=$D51)/2,0),IF(AND(EXACT($C$52,$C51),ISNUMBER($D$52)),($D$52&gt;$D51)+($D$52=$D51)/2,0),IF(AND(EXACT($C$53,$C51),ISNUMBER($D$53)),($D$53&gt;$D51)+($D$53=$D51)/2,0),IF(AND(EXACT($C$54,$C51),ISNUMBER($D$54)),($D$54&gt;$D51)+($D$54=$D51)/2,0),IF(AND(EXACT($C$55,$C51),ISNUMBER($D$55)),($D$55&gt;$D51)+($D$55=$D51)/2,0),IF(AND(EXACT($C$56,$C51),ISNUMBER($D$56)),($D$56&gt;$D51)+($D$56=$D51)/2,0)))</x:f>
      </x:c>
      <x:c r="AO51" s="34" t="str">
        <x:f>IF(COUNT($D51)=0,"",SUM(IF(AND(EXACT($C$57,$C51),ISNUMBER($D$57)),($D$57&gt;$D51)+($D$57=$D51)/2,0),IF(AND(EXACT($C$58,$C51),ISNUMBER($D$58)),($D$58&gt;$D51)+($D$58=$D51)/2,0),IF(AND(EXACT($C$59,$C51),ISNUMBER($D$59)),($D$59&gt;$D51)+($D$59=$D51)/2,0),IF(AND(EXACT($C$60,$C51),ISNUMBER($D$60)),($D$60&gt;$D51)+($D$60=$D51)/2,0),IF(AND(EXACT($C$61,$C51),ISNUMBER($D$61)),($D$61&gt;$D51)+($D$61=$D51)/2,0),IF(AND(EXACT($C$62,$C51),ISNUMBER($D$62)),($D$62&gt;$D51)+($D$62=$D51)/2,0),IF(AND(EXACT($C$63,$C51),ISNUMBER($D$63)),($D$63&gt;$D51)+($D$63=$D51)/2,0),IF(AND(EXACT($C$64,$C51),ISNUMBER($D$64)),($D$64&gt;$D51)+($D$64=$D51)/2,0),IF(AND(EXACT($C$65,$C51),ISNUMBER($D$65)),($D$65&gt;$D51)+($D$65=$D51)/2,0),IF(AND(EXACT($C$66,$C51),ISNUMBER($D$66)),($D$66&gt;$D51)+($D$66=$D51)/2,0),IF(AND(EXACT($C$67,$C51),ISNUMBER($D$67)),($D$67&gt;$D51)+($D$67=$D51)/2,0),IF(AND(EXACT($C$68,$C51),ISNUMBER($D$68)),($D$68&gt;$D51)+($D$68=$D51)/2,0),IF(AND(EXACT($C$69,$C51),ISNUMBER($D$69)),($D$69&gt;$D51)+($D$69=$D51)/2,0),IF(AND(EXACT($C$70,$C51),ISNUMBER($D$70)),($D$70&gt;$D51)+($D$70=$D51)/2,0),IF(AND(EXACT($C$71,$C51),ISNUMBER($D$71)),($D$71&gt;$D51)+($D$71=$D51)/2,0),IF(AND(EXACT($C$72,$C51),ISNUMBER($D$72)),($D$72&gt;$D51)+($D$72=$D51)/2,0),IF(AND(EXACT($C$73,$C51),ISNUMBER($D$73)),($D$73&gt;$D51)+($D$73=$D51)/2,0),IF(AND(EXACT($C$74,$C51),ISNUMBER($D$74)),($D$74&gt;$D51)+($D$74=$D51)/2,0),IF(AND(EXACT($C$75,$C51),ISNUMBER($D$75)),($D$75&gt;$D51)+($D$75=$D51)/2,0),IF(AND(EXACT($C$76,$C51),ISNUMBER($D$76)),($D$76&gt;$D51)+($D$76=$D51)/2,0),IF(AND(EXACT($C$77,$C51),ISNUMBER($D$77)),($D$77&gt;$D51)+($D$77=$D51)/2,0),IF(AND(EXACT($C$78,$C51),ISNUMBER($D$78)),($D$78&gt;$D51)+($D$78=$D51)/2,0),IF(AND(EXACT($C$79,$C51),ISNUMBER($D$79)),($D$79&gt;$D51)+($D$79=$D51)/2,0),IF(AND(EXACT($C$80,$C51),ISNUMBER($D$80)),($D$80&gt;$D51)+($D$80=$D51)/2,0),IF(AND(EXACT($C$81,$C51),ISNUMBER($D$81)),($D$81&gt;$D51)+($D$81=$D51)/2,0),IF(AND(EXACT($C$82,$C51),ISNUMBER($D$82)),($D$82&gt;$D51)+($D$82=$D51)/2,0),IF(AND(EXACT($C$83,$C51),ISNUMBER($D$83)),($D$83&gt;$D51)+($D$83=$D51)/2,0),IF(AND(EXACT($C$84,$C51),ISNUMBER($D$84)),($D$84&gt;$D51)+($D$84=$D51)/2,0),IF(AND(EXACT($C$85,$C51),ISNUMBER($D$85)),($D$85&gt;$D51)+($D$85=$D51)/2,0),IF(AND(EXACT($C$86,$C51),ISNUMBER($D$86)),($D$86&gt;$D51)+($D$86=$D51)/2,0),IF(AND(EXACT($C$87,$C51),ISNUMBER($D$87)),($D$87&gt;$D51)+($D$87=$D51)/2,0),IF(AND(EXACT($C$88,$C51),ISNUMBER($D$88)),($D$88&gt;$D51)+($D$88=$D51)/2,0),IF(AND(EXACT($C$89,$C51),ISNUMBER($D$89)),($D$89&gt;$D51)+($D$89=$D51)/2,0),IF(AND(EXACT($C$90,$C51),ISNUMBER($D$90)),($D$90&gt;$D51)+($D$90=$D51)/2,0),IF(AND(EXACT($C$91,$C51),ISNUMBER($D$91)),($D$91&gt;$D51)+($D$91=$D51)/2,0),IF(AND(EXACT($C$92,$C51),ISNUMBER($D$92)),($D$92&gt;$D51)+($D$92=$D51)/2,0),IF(AND(EXACT($C$93,$C51),ISNUMBER($D$93)),($D$93&gt;$D51)+($D$93=$D51)/2,0),IF(AND(EXACT($C$94,$C51),ISNUMBER($D$94)),($D$94&gt;$D51)+($D$94=$D51)/2,0),IF(AND(EXACT($C$95,$C51),ISNUMBER($D$95)),($D$95&gt;$D51)+($D$95=$D51)/2,0),IF(AND(EXACT($C$96,$C51),ISNUMBER($D$96)),($D$96&gt;$D51)+($D$96=$D51)/2,0),IF(AND(EXACT($C$97,$C51),ISNUMBER($D$97)),($D$97&gt;$D51)+($D$97=$D51)/2,0),IF(AND(EXACT($C$98,$C51),ISNUMBER($D$98)),($D$98&gt;$D51)+($D$98=$D51)/2,0),IF(AND(EXACT($C$99,$C51),ISNUMBER($D$99)),($D$99&gt;$D51)+($D$99=$D51)/2,0),IF(AND(EXACT($C$100,$C51),ISNUMBER($D$100)),($D$100&gt;$D51)+($D$100=$D51)/2,0),IF(AND(EXACT($C$101,$C51),ISNUMBER($D$101)),($D$101&gt;$D51)+($D$101=$D51)/2,0),IF(AND(EXACT($C$102,$C51),ISNUMBER($D$102)),($D$102&gt;$D51)+($D$102=$D51)/2,0),IF(AND(EXACT($C$103,$C51),ISNUMBER($D$103)),($D$103&gt;$D51)+($D$103=$D51)/2,0),IF(AND(EXACT($C$104,$C51),ISNUMBER($D$104)),($D$104&gt;$D51)+($D$104=$D51)/2,0),IF(AND(EXACT($C$105,$C51),ISNUMBER($D$105)),($D$105&gt;$D51)+($D$105=$D51)/2,0),IF(AND(EXACT($C$106,$C51),ISNUMBER($D$106)),($D$106&gt;$D51)+($D$106=$D51)/2,0)))</x:f>
      </x:c>
    </x:row>
    <x:row r="52">
      <x:c r="A52" s="34" t="str">
        <x:f>IF('91_CALC_SCORES'!A52="","",'91_CALC_SCORES'!A52)</x:f>
      </x:c>
      <x:c r="B52" s="34" t="str">
        <x:f>IF($A52="","",'91_CALC_SCORES'!B52)</x:f>
      </x:c>
      <x:c r="C52" s="34" t="str">
        <x:f>IF($A52="","",'91_CALC_SCORES'!K52)</x:f>
      </x:c>
      <x:c r="D52" s="57" t="str">
        <x:f>IF(OR($A52="",NOT(OR(LEFT('91_CALC_SCORES'!AB52,4)="PASS",LEFT('91_CALC_SCORES'!AB52,5)="READY"))),"",'91_CALC_SCORES'!Y52)</x:f>
      </x:c>
      <x:c r="E52" s="34" t="str">
        <x:f>IF(COUNT(D52)=0,"",1+SUM(AN52:AO52)-1/2)</x:f>
      </x:c>
      <x:c r="F52" s="34" t="str">
        <x:f>IF($A52="","",'91_CALC_SCORES'!AB52)</x:f>
      </x:c>
      <x:c r="G52" s="34" t="str">
        <x:f>IF(A52="","","연구 베타 | 기업 백분위 아님")</x:f>
      </x:c>
      <x:c r="AN52" s="34" t="str">
        <x:f>IF(COUNT($D52)=0,"",SUM(IF(AND(EXACT($C$7,$C52),ISNUMBER($D$7)),($D$7&gt;$D52)+($D$7=$D52)/2,0),IF(AND(EXACT($C$8,$C52),ISNUMBER($D$8)),($D$8&gt;$D52)+($D$8=$D52)/2,0),IF(AND(EXACT($C$9,$C52),ISNUMBER($D$9)),($D$9&gt;$D52)+($D$9=$D52)/2,0),IF(AND(EXACT($C$10,$C52),ISNUMBER($D$10)),($D$10&gt;$D52)+($D$10=$D52)/2,0),IF(AND(EXACT($C$11,$C52),ISNUMBER($D$11)),($D$11&gt;$D52)+($D$11=$D52)/2,0),IF(AND(EXACT($C$12,$C52),ISNUMBER($D$12)),($D$12&gt;$D52)+($D$12=$D52)/2,0),IF(AND(EXACT($C$13,$C52),ISNUMBER($D$13)),($D$13&gt;$D52)+($D$13=$D52)/2,0),IF(AND(EXACT($C$14,$C52),ISNUMBER($D$14)),($D$14&gt;$D52)+($D$14=$D52)/2,0),IF(AND(EXACT($C$15,$C52),ISNUMBER($D$15)),($D$15&gt;$D52)+($D$15=$D52)/2,0),IF(AND(EXACT($C$16,$C52),ISNUMBER($D$16)),($D$16&gt;$D52)+($D$16=$D52)/2,0),IF(AND(EXACT($C$17,$C52),ISNUMBER($D$17)),($D$17&gt;$D52)+($D$17=$D52)/2,0),IF(AND(EXACT($C$18,$C52),ISNUMBER($D$18)),($D$18&gt;$D52)+($D$18=$D52)/2,0),IF(AND(EXACT($C$19,$C52),ISNUMBER($D$19)),($D$19&gt;$D52)+($D$19=$D52)/2,0),IF(AND(EXACT($C$20,$C52),ISNUMBER($D$20)),($D$20&gt;$D52)+($D$20=$D52)/2,0),IF(AND(EXACT($C$21,$C52),ISNUMBER($D$21)),($D$21&gt;$D52)+($D$21=$D52)/2,0),IF(AND(EXACT($C$22,$C52),ISNUMBER($D$22)),($D$22&gt;$D52)+($D$22=$D52)/2,0),IF(AND(EXACT($C$23,$C52),ISNUMBER($D$23)),($D$23&gt;$D52)+($D$23=$D52)/2,0),IF(AND(EXACT($C$24,$C52),ISNUMBER($D$24)),($D$24&gt;$D52)+($D$24=$D52)/2,0),IF(AND(EXACT($C$25,$C52),ISNUMBER($D$25)),($D$25&gt;$D52)+($D$25=$D52)/2,0),IF(AND(EXACT($C$26,$C52),ISNUMBER($D$26)),($D$26&gt;$D52)+($D$26=$D52)/2,0),IF(AND(EXACT($C$27,$C52),ISNUMBER($D$27)),($D$27&gt;$D52)+($D$27=$D52)/2,0),IF(AND(EXACT($C$28,$C52),ISNUMBER($D$28)),($D$28&gt;$D52)+($D$28=$D52)/2,0),IF(AND(EXACT($C$29,$C52),ISNUMBER($D$29)),($D$29&gt;$D52)+($D$29=$D52)/2,0),IF(AND(EXACT($C$30,$C52),ISNUMBER($D$30)),($D$30&gt;$D52)+($D$30=$D52)/2,0),IF(AND(EXACT($C$31,$C52),ISNUMBER($D$31)),($D$31&gt;$D52)+($D$31=$D52)/2,0),IF(AND(EXACT($C$32,$C52),ISNUMBER($D$32)),($D$32&gt;$D52)+($D$32=$D52)/2,0),IF(AND(EXACT($C$33,$C52),ISNUMBER($D$33)),($D$33&gt;$D52)+($D$33=$D52)/2,0),IF(AND(EXACT($C$34,$C52),ISNUMBER($D$34)),($D$34&gt;$D52)+($D$34=$D52)/2,0),IF(AND(EXACT($C$35,$C52),ISNUMBER($D$35)),($D$35&gt;$D52)+($D$35=$D52)/2,0),IF(AND(EXACT($C$36,$C52),ISNUMBER($D$36)),($D$36&gt;$D52)+($D$36=$D52)/2,0),IF(AND(EXACT($C$37,$C52),ISNUMBER($D$37)),($D$37&gt;$D52)+($D$37=$D52)/2,0),IF(AND(EXACT($C$38,$C52),ISNUMBER($D$38)),($D$38&gt;$D52)+($D$38=$D52)/2,0),IF(AND(EXACT($C$39,$C52),ISNUMBER($D$39)),($D$39&gt;$D52)+($D$39=$D52)/2,0),IF(AND(EXACT($C$40,$C52),ISNUMBER($D$40)),($D$40&gt;$D52)+($D$40=$D52)/2,0),IF(AND(EXACT($C$41,$C52),ISNUMBER($D$41)),($D$41&gt;$D52)+($D$41=$D52)/2,0),IF(AND(EXACT($C$42,$C52),ISNUMBER($D$42)),($D$42&gt;$D52)+($D$42=$D52)/2,0),IF(AND(EXACT($C$43,$C52),ISNUMBER($D$43)),($D$43&gt;$D52)+($D$43=$D52)/2,0),IF(AND(EXACT($C$44,$C52),ISNUMBER($D$44)),($D$44&gt;$D52)+($D$44=$D52)/2,0),IF(AND(EXACT($C$45,$C52),ISNUMBER($D$45)),($D$45&gt;$D52)+($D$45=$D52)/2,0),IF(AND(EXACT($C$46,$C52),ISNUMBER($D$46)),($D$46&gt;$D52)+($D$46=$D52)/2,0),IF(AND(EXACT($C$47,$C52),ISNUMBER($D$47)),($D$47&gt;$D52)+($D$47=$D52)/2,0),IF(AND(EXACT($C$48,$C52),ISNUMBER($D$48)),($D$48&gt;$D52)+($D$48=$D52)/2,0),IF(AND(EXACT($C$49,$C52),ISNUMBER($D$49)),($D$49&gt;$D52)+($D$49=$D52)/2,0),IF(AND(EXACT($C$50,$C52),ISNUMBER($D$50)),($D$50&gt;$D52)+($D$50=$D52)/2,0),IF(AND(EXACT($C$51,$C52),ISNUMBER($D$51)),($D$51&gt;$D52)+($D$51=$D52)/2,0),IF(AND(EXACT($C$52,$C52),ISNUMBER($D$52)),($D$52&gt;$D52)+($D$52=$D52)/2,0),IF(AND(EXACT($C$53,$C52),ISNUMBER($D$53)),($D$53&gt;$D52)+($D$53=$D52)/2,0),IF(AND(EXACT($C$54,$C52),ISNUMBER($D$54)),($D$54&gt;$D52)+($D$54=$D52)/2,0),IF(AND(EXACT($C$55,$C52),ISNUMBER($D$55)),($D$55&gt;$D52)+($D$55=$D52)/2,0),IF(AND(EXACT($C$56,$C52),ISNUMBER($D$56)),($D$56&gt;$D52)+($D$56=$D52)/2,0)))</x:f>
      </x:c>
      <x:c r="AO52" s="34" t="str">
        <x:f>IF(COUNT($D52)=0,"",SUM(IF(AND(EXACT($C$57,$C52),ISNUMBER($D$57)),($D$57&gt;$D52)+($D$57=$D52)/2,0),IF(AND(EXACT($C$58,$C52),ISNUMBER($D$58)),($D$58&gt;$D52)+($D$58=$D52)/2,0),IF(AND(EXACT($C$59,$C52),ISNUMBER($D$59)),($D$59&gt;$D52)+($D$59=$D52)/2,0),IF(AND(EXACT($C$60,$C52),ISNUMBER($D$60)),($D$60&gt;$D52)+($D$60=$D52)/2,0),IF(AND(EXACT($C$61,$C52),ISNUMBER($D$61)),($D$61&gt;$D52)+($D$61=$D52)/2,0),IF(AND(EXACT($C$62,$C52),ISNUMBER($D$62)),($D$62&gt;$D52)+($D$62=$D52)/2,0),IF(AND(EXACT($C$63,$C52),ISNUMBER($D$63)),($D$63&gt;$D52)+($D$63=$D52)/2,0),IF(AND(EXACT($C$64,$C52),ISNUMBER($D$64)),($D$64&gt;$D52)+($D$64=$D52)/2,0),IF(AND(EXACT($C$65,$C52),ISNUMBER($D$65)),($D$65&gt;$D52)+($D$65=$D52)/2,0),IF(AND(EXACT($C$66,$C52),ISNUMBER($D$66)),($D$66&gt;$D52)+($D$66=$D52)/2,0),IF(AND(EXACT($C$67,$C52),ISNUMBER($D$67)),($D$67&gt;$D52)+($D$67=$D52)/2,0),IF(AND(EXACT($C$68,$C52),ISNUMBER($D$68)),($D$68&gt;$D52)+($D$68=$D52)/2,0),IF(AND(EXACT($C$69,$C52),ISNUMBER($D$69)),($D$69&gt;$D52)+($D$69=$D52)/2,0),IF(AND(EXACT($C$70,$C52),ISNUMBER($D$70)),($D$70&gt;$D52)+($D$70=$D52)/2,0),IF(AND(EXACT($C$71,$C52),ISNUMBER($D$71)),($D$71&gt;$D52)+($D$71=$D52)/2,0),IF(AND(EXACT($C$72,$C52),ISNUMBER($D$72)),($D$72&gt;$D52)+($D$72=$D52)/2,0),IF(AND(EXACT($C$73,$C52),ISNUMBER($D$73)),($D$73&gt;$D52)+($D$73=$D52)/2,0),IF(AND(EXACT($C$74,$C52),ISNUMBER($D$74)),($D$74&gt;$D52)+($D$74=$D52)/2,0),IF(AND(EXACT($C$75,$C52),ISNUMBER($D$75)),($D$75&gt;$D52)+($D$75=$D52)/2,0),IF(AND(EXACT($C$76,$C52),ISNUMBER($D$76)),($D$76&gt;$D52)+($D$76=$D52)/2,0),IF(AND(EXACT($C$77,$C52),ISNUMBER($D$77)),($D$77&gt;$D52)+($D$77=$D52)/2,0),IF(AND(EXACT($C$78,$C52),ISNUMBER($D$78)),($D$78&gt;$D52)+($D$78=$D52)/2,0),IF(AND(EXACT($C$79,$C52),ISNUMBER($D$79)),($D$79&gt;$D52)+($D$79=$D52)/2,0),IF(AND(EXACT($C$80,$C52),ISNUMBER($D$80)),($D$80&gt;$D52)+($D$80=$D52)/2,0),IF(AND(EXACT($C$81,$C52),ISNUMBER($D$81)),($D$81&gt;$D52)+($D$81=$D52)/2,0),IF(AND(EXACT($C$82,$C52),ISNUMBER($D$82)),($D$82&gt;$D52)+($D$82=$D52)/2,0),IF(AND(EXACT($C$83,$C52),ISNUMBER($D$83)),($D$83&gt;$D52)+($D$83=$D52)/2,0),IF(AND(EXACT($C$84,$C52),ISNUMBER($D$84)),($D$84&gt;$D52)+($D$84=$D52)/2,0),IF(AND(EXACT($C$85,$C52),ISNUMBER($D$85)),($D$85&gt;$D52)+($D$85=$D52)/2,0),IF(AND(EXACT($C$86,$C52),ISNUMBER($D$86)),($D$86&gt;$D52)+($D$86=$D52)/2,0),IF(AND(EXACT($C$87,$C52),ISNUMBER($D$87)),($D$87&gt;$D52)+($D$87=$D52)/2,0),IF(AND(EXACT($C$88,$C52),ISNUMBER($D$88)),($D$88&gt;$D52)+($D$88=$D52)/2,0),IF(AND(EXACT($C$89,$C52),ISNUMBER($D$89)),($D$89&gt;$D52)+($D$89=$D52)/2,0),IF(AND(EXACT($C$90,$C52),ISNUMBER($D$90)),($D$90&gt;$D52)+($D$90=$D52)/2,0),IF(AND(EXACT($C$91,$C52),ISNUMBER($D$91)),($D$91&gt;$D52)+($D$91=$D52)/2,0),IF(AND(EXACT($C$92,$C52),ISNUMBER($D$92)),($D$92&gt;$D52)+($D$92=$D52)/2,0),IF(AND(EXACT($C$93,$C52),ISNUMBER($D$93)),($D$93&gt;$D52)+($D$93=$D52)/2,0),IF(AND(EXACT($C$94,$C52),ISNUMBER($D$94)),($D$94&gt;$D52)+($D$94=$D52)/2,0),IF(AND(EXACT($C$95,$C52),ISNUMBER($D$95)),($D$95&gt;$D52)+($D$95=$D52)/2,0),IF(AND(EXACT($C$96,$C52),ISNUMBER($D$96)),($D$96&gt;$D52)+($D$96=$D52)/2,0),IF(AND(EXACT($C$97,$C52),ISNUMBER($D$97)),($D$97&gt;$D52)+($D$97=$D52)/2,0),IF(AND(EXACT($C$98,$C52),ISNUMBER($D$98)),($D$98&gt;$D52)+($D$98=$D52)/2,0),IF(AND(EXACT($C$99,$C52),ISNUMBER($D$99)),($D$99&gt;$D52)+($D$99=$D52)/2,0),IF(AND(EXACT($C$100,$C52),ISNUMBER($D$100)),($D$100&gt;$D52)+($D$100=$D52)/2,0),IF(AND(EXACT($C$101,$C52),ISNUMBER($D$101)),($D$101&gt;$D52)+($D$101=$D52)/2,0),IF(AND(EXACT($C$102,$C52),ISNUMBER($D$102)),($D$102&gt;$D52)+($D$102=$D52)/2,0),IF(AND(EXACT($C$103,$C52),ISNUMBER($D$103)),($D$103&gt;$D52)+($D$103=$D52)/2,0),IF(AND(EXACT($C$104,$C52),ISNUMBER($D$104)),($D$104&gt;$D52)+($D$104=$D52)/2,0),IF(AND(EXACT($C$105,$C52),ISNUMBER($D$105)),($D$105&gt;$D52)+($D$105=$D52)/2,0),IF(AND(EXACT($C$106,$C52),ISNUMBER($D$106)),($D$106&gt;$D52)+($D$106=$D52)/2,0)))</x:f>
      </x:c>
    </x:row>
    <x:row r="53">
      <x:c r="A53" s="34" t="str">
        <x:f>IF('91_CALC_SCORES'!A53="","",'91_CALC_SCORES'!A53)</x:f>
      </x:c>
      <x:c r="B53" s="34" t="str">
        <x:f>IF($A53="","",'91_CALC_SCORES'!B53)</x:f>
      </x:c>
      <x:c r="C53" s="34" t="str">
        <x:f>IF($A53="","",'91_CALC_SCORES'!K53)</x:f>
      </x:c>
      <x:c r="D53" s="57" t="str">
        <x:f>IF(OR($A53="",NOT(OR(LEFT('91_CALC_SCORES'!AB53,4)="PASS",LEFT('91_CALC_SCORES'!AB53,5)="READY"))),"",'91_CALC_SCORES'!Y53)</x:f>
      </x:c>
      <x:c r="E53" s="34" t="str">
        <x:f>IF(COUNT(D53)=0,"",1+SUM(AN53:AO53)-1/2)</x:f>
      </x:c>
      <x:c r="F53" s="34" t="str">
        <x:f>IF($A53="","",'91_CALC_SCORES'!AB53)</x:f>
      </x:c>
      <x:c r="G53" s="34" t="str">
        <x:f>IF(A53="","","연구 베타 | 기업 백분위 아님")</x:f>
      </x:c>
      <x:c r="AN53" s="34" t="str">
        <x:f>IF(COUNT($D53)=0,"",SUM(IF(AND(EXACT($C$7,$C53),ISNUMBER($D$7)),($D$7&gt;$D53)+($D$7=$D53)/2,0),IF(AND(EXACT($C$8,$C53),ISNUMBER($D$8)),($D$8&gt;$D53)+($D$8=$D53)/2,0),IF(AND(EXACT($C$9,$C53),ISNUMBER($D$9)),($D$9&gt;$D53)+($D$9=$D53)/2,0),IF(AND(EXACT($C$10,$C53),ISNUMBER($D$10)),($D$10&gt;$D53)+($D$10=$D53)/2,0),IF(AND(EXACT($C$11,$C53),ISNUMBER($D$11)),($D$11&gt;$D53)+($D$11=$D53)/2,0),IF(AND(EXACT($C$12,$C53),ISNUMBER($D$12)),($D$12&gt;$D53)+($D$12=$D53)/2,0),IF(AND(EXACT($C$13,$C53),ISNUMBER($D$13)),($D$13&gt;$D53)+($D$13=$D53)/2,0),IF(AND(EXACT($C$14,$C53),ISNUMBER($D$14)),($D$14&gt;$D53)+($D$14=$D53)/2,0),IF(AND(EXACT($C$15,$C53),ISNUMBER($D$15)),($D$15&gt;$D53)+($D$15=$D53)/2,0),IF(AND(EXACT($C$16,$C53),ISNUMBER($D$16)),($D$16&gt;$D53)+($D$16=$D53)/2,0),IF(AND(EXACT($C$17,$C53),ISNUMBER($D$17)),($D$17&gt;$D53)+($D$17=$D53)/2,0),IF(AND(EXACT($C$18,$C53),ISNUMBER($D$18)),($D$18&gt;$D53)+($D$18=$D53)/2,0),IF(AND(EXACT($C$19,$C53),ISNUMBER($D$19)),($D$19&gt;$D53)+($D$19=$D53)/2,0),IF(AND(EXACT($C$20,$C53),ISNUMBER($D$20)),($D$20&gt;$D53)+($D$20=$D53)/2,0),IF(AND(EXACT($C$21,$C53),ISNUMBER($D$21)),($D$21&gt;$D53)+($D$21=$D53)/2,0),IF(AND(EXACT($C$22,$C53),ISNUMBER($D$22)),($D$22&gt;$D53)+($D$22=$D53)/2,0),IF(AND(EXACT($C$23,$C53),ISNUMBER($D$23)),($D$23&gt;$D53)+($D$23=$D53)/2,0),IF(AND(EXACT($C$24,$C53),ISNUMBER($D$24)),($D$24&gt;$D53)+($D$24=$D53)/2,0),IF(AND(EXACT($C$25,$C53),ISNUMBER($D$25)),($D$25&gt;$D53)+($D$25=$D53)/2,0),IF(AND(EXACT($C$26,$C53),ISNUMBER($D$26)),($D$26&gt;$D53)+($D$26=$D53)/2,0),IF(AND(EXACT($C$27,$C53),ISNUMBER($D$27)),($D$27&gt;$D53)+($D$27=$D53)/2,0),IF(AND(EXACT($C$28,$C53),ISNUMBER($D$28)),($D$28&gt;$D53)+($D$28=$D53)/2,0),IF(AND(EXACT($C$29,$C53),ISNUMBER($D$29)),($D$29&gt;$D53)+($D$29=$D53)/2,0),IF(AND(EXACT($C$30,$C53),ISNUMBER($D$30)),($D$30&gt;$D53)+($D$30=$D53)/2,0),IF(AND(EXACT($C$31,$C53),ISNUMBER($D$31)),($D$31&gt;$D53)+($D$31=$D53)/2,0),IF(AND(EXACT($C$32,$C53),ISNUMBER($D$32)),($D$32&gt;$D53)+($D$32=$D53)/2,0),IF(AND(EXACT($C$33,$C53),ISNUMBER($D$33)),($D$33&gt;$D53)+($D$33=$D53)/2,0),IF(AND(EXACT($C$34,$C53),ISNUMBER($D$34)),($D$34&gt;$D53)+($D$34=$D53)/2,0),IF(AND(EXACT($C$35,$C53),ISNUMBER($D$35)),($D$35&gt;$D53)+($D$35=$D53)/2,0),IF(AND(EXACT($C$36,$C53),ISNUMBER($D$36)),($D$36&gt;$D53)+($D$36=$D53)/2,0),IF(AND(EXACT($C$37,$C53),ISNUMBER($D$37)),($D$37&gt;$D53)+($D$37=$D53)/2,0),IF(AND(EXACT($C$38,$C53),ISNUMBER($D$38)),($D$38&gt;$D53)+($D$38=$D53)/2,0),IF(AND(EXACT($C$39,$C53),ISNUMBER($D$39)),($D$39&gt;$D53)+($D$39=$D53)/2,0),IF(AND(EXACT($C$40,$C53),ISNUMBER($D$40)),($D$40&gt;$D53)+($D$40=$D53)/2,0),IF(AND(EXACT($C$41,$C53),ISNUMBER($D$41)),($D$41&gt;$D53)+($D$41=$D53)/2,0),IF(AND(EXACT($C$42,$C53),ISNUMBER($D$42)),($D$42&gt;$D53)+($D$42=$D53)/2,0),IF(AND(EXACT($C$43,$C53),ISNUMBER($D$43)),($D$43&gt;$D53)+($D$43=$D53)/2,0),IF(AND(EXACT($C$44,$C53),ISNUMBER($D$44)),($D$44&gt;$D53)+($D$44=$D53)/2,0),IF(AND(EXACT($C$45,$C53),ISNUMBER($D$45)),($D$45&gt;$D53)+($D$45=$D53)/2,0),IF(AND(EXACT($C$46,$C53),ISNUMBER($D$46)),($D$46&gt;$D53)+($D$46=$D53)/2,0),IF(AND(EXACT($C$47,$C53),ISNUMBER($D$47)),($D$47&gt;$D53)+($D$47=$D53)/2,0),IF(AND(EXACT($C$48,$C53),ISNUMBER($D$48)),($D$48&gt;$D53)+($D$48=$D53)/2,0),IF(AND(EXACT($C$49,$C53),ISNUMBER($D$49)),($D$49&gt;$D53)+($D$49=$D53)/2,0),IF(AND(EXACT($C$50,$C53),ISNUMBER($D$50)),($D$50&gt;$D53)+($D$50=$D53)/2,0),IF(AND(EXACT($C$51,$C53),ISNUMBER($D$51)),($D$51&gt;$D53)+($D$51=$D53)/2,0),IF(AND(EXACT($C$52,$C53),ISNUMBER($D$52)),($D$52&gt;$D53)+($D$52=$D53)/2,0),IF(AND(EXACT($C$53,$C53),ISNUMBER($D$53)),($D$53&gt;$D53)+($D$53=$D53)/2,0),IF(AND(EXACT($C$54,$C53),ISNUMBER($D$54)),($D$54&gt;$D53)+($D$54=$D53)/2,0),IF(AND(EXACT($C$55,$C53),ISNUMBER($D$55)),($D$55&gt;$D53)+($D$55=$D53)/2,0),IF(AND(EXACT($C$56,$C53),ISNUMBER($D$56)),($D$56&gt;$D53)+($D$56=$D53)/2,0)))</x:f>
      </x:c>
      <x:c r="AO53" s="34" t="str">
        <x:f>IF(COUNT($D53)=0,"",SUM(IF(AND(EXACT($C$57,$C53),ISNUMBER($D$57)),($D$57&gt;$D53)+($D$57=$D53)/2,0),IF(AND(EXACT($C$58,$C53),ISNUMBER($D$58)),($D$58&gt;$D53)+($D$58=$D53)/2,0),IF(AND(EXACT($C$59,$C53),ISNUMBER($D$59)),($D$59&gt;$D53)+($D$59=$D53)/2,0),IF(AND(EXACT($C$60,$C53),ISNUMBER($D$60)),($D$60&gt;$D53)+($D$60=$D53)/2,0),IF(AND(EXACT($C$61,$C53),ISNUMBER($D$61)),($D$61&gt;$D53)+($D$61=$D53)/2,0),IF(AND(EXACT($C$62,$C53),ISNUMBER($D$62)),($D$62&gt;$D53)+($D$62=$D53)/2,0),IF(AND(EXACT($C$63,$C53),ISNUMBER($D$63)),($D$63&gt;$D53)+($D$63=$D53)/2,0),IF(AND(EXACT($C$64,$C53),ISNUMBER($D$64)),($D$64&gt;$D53)+($D$64=$D53)/2,0),IF(AND(EXACT($C$65,$C53),ISNUMBER($D$65)),($D$65&gt;$D53)+($D$65=$D53)/2,0),IF(AND(EXACT($C$66,$C53),ISNUMBER($D$66)),($D$66&gt;$D53)+($D$66=$D53)/2,0),IF(AND(EXACT($C$67,$C53),ISNUMBER($D$67)),($D$67&gt;$D53)+($D$67=$D53)/2,0),IF(AND(EXACT($C$68,$C53),ISNUMBER($D$68)),($D$68&gt;$D53)+($D$68=$D53)/2,0),IF(AND(EXACT($C$69,$C53),ISNUMBER($D$69)),($D$69&gt;$D53)+($D$69=$D53)/2,0),IF(AND(EXACT($C$70,$C53),ISNUMBER($D$70)),($D$70&gt;$D53)+($D$70=$D53)/2,0),IF(AND(EXACT($C$71,$C53),ISNUMBER($D$71)),($D$71&gt;$D53)+($D$71=$D53)/2,0),IF(AND(EXACT($C$72,$C53),ISNUMBER($D$72)),($D$72&gt;$D53)+($D$72=$D53)/2,0),IF(AND(EXACT($C$73,$C53),ISNUMBER($D$73)),($D$73&gt;$D53)+($D$73=$D53)/2,0),IF(AND(EXACT($C$74,$C53),ISNUMBER($D$74)),($D$74&gt;$D53)+($D$74=$D53)/2,0),IF(AND(EXACT($C$75,$C53),ISNUMBER($D$75)),($D$75&gt;$D53)+($D$75=$D53)/2,0),IF(AND(EXACT($C$76,$C53),ISNUMBER($D$76)),($D$76&gt;$D53)+($D$76=$D53)/2,0),IF(AND(EXACT($C$77,$C53),ISNUMBER($D$77)),($D$77&gt;$D53)+($D$77=$D53)/2,0),IF(AND(EXACT($C$78,$C53),ISNUMBER($D$78)),($D$78&gt;$D53)+($D$78=$D53)/2,0),IF(AND(EXACT($C$79,$C53),ISNUMBER($D$79)),($D$79&gt;$D53)+($D$79=$D53)/2,0),IF(AND(EXACT($C$80,$C53),ISNUMBER($D$80)),($D$80&gt;$D53)+($D$80=$D53)/2,0),IF(AND(EXACT($C$81,$C53),ISNUMBER($D$81)),($D$81&gt;$D53)+($D$81=$D53)/2,0),IF(AND(EXACT($C$82,$C53),ISNUMBER($D$82)),($D$82&gt;$D53)+($D$82=$D53)/2,0),IF(AND(EXACT($C$83,$C53),ISNUMBER($D$83)),($D$83&gt;$D53)+($D$83=$D53)/2,0),IF(AND(EXACT($C$84,$C53),ISNUMBER($D$84)),($D$84&gt;$D53)+($D$84=$D53)/2,0),IF(AND(EXACT($C$85,$C53),ISNUMBER($D$85)),($D$85&gt;$D53)+($D$85=$D53)/2,0),IF(AND(EXACT($C$86,$C53),ISNUMBER($D$86)),($D$86&gt;$D53)+($D$86=$D53)/2,0),IF(AND(EXACT($C$87,$C53),ISNUMBER($D$87)),($D$87&gt;$D53)+($D$87=$D53)/2,0),IF(AND(EXACT($C$88,$C53),ISNUMBER($D$88)),($D$88&gt;$D53)+($D$88=$D53)/2,0),IF(AND(EXACT($C$89,$C53),ISNUMBER($D$89)),($D$89&gt;$D53)+($D$89=$D53)/2,0),IF(AND(EXACT($C$90,$C53),ISNUMBER($D$90)),($D$90&gt;$D53)+($D$90=$D53)/2,0),IF(AND(EXACT($C$91,$C53),ISNUMBER($D$91)),($D$91&gt;$D53)+($D$91=$D53)/2,0),IF(AND(EXACT($C$92,$C53),ISNUMBER($D$92)),($D$92&gt;$D53)+($D$92=$D53)/2,0),IF(AND(EXACT($C$93,$C53),ISNUMBER($D$93)),($D$93&gt;$D53)+($D$93=$D53)/2,0),IF(AND(EXACT($C$94,$C53),ISNUMBER($D$94)),($D$94&gt;$D53)+($D$94=$D53)/2,0),IF(AND(EXACT($C$95,$C53),ISNUMBER($D$95)),($D$95&gt;$D53)+($D$95=$D53)/2,0),IF(AND(EXACT($C$96,$C53),ISNUMBER($D$96)),($D$96&gt;$D53)+($D$96=$D53)/2,0),IF(AND(EXACT($C$97,$C53),ISNUMBER($D$97)),($D$97&gt;$D53)+($D$97=$D53)/2,0),IF(AND(EXACT($C$98,$C53),ISNUMBER($D$98)),($D$98&gt;$D53)+($D$98=$D53)/2,0),IF(AND(EXACT($C$99,$C53),ISNUMBER($D$99)),($D$99&gt;$D53)+($D$99=$D53)/2,0),IF(AND(EXACT($C$100,$C53),ISNUMBER($D$100)),($D$100&gt;$D53)+($D$100=$D53)/2,0),IF(AND(EXACT($C$101,$C53),ISNUMBER($D$101)),($D$101&gt;$D53)+($D$101=$D53)/2,0),IF(AND(EXACT($C$102,$C53),ISNUMBER($D$102)),($D$102&gt;$D53)+($D$102=$D53)/2,0),IF(AND(EXACT($C$103,$C53),ISNUMBER($D$103)),($D$103&gt;$D53)+($D$103=$D53)/2,0),IF(AND(EXACT($C$104,$C53),ISNUMBER($D$104)),($D$104&gt;$D53)+($D$104=$D53)/2,0),IF(AND(EXACT($C$105,$C53),ISNUMBER($D$105)),($D$105&gt;$D53)+($D$105=$D53)/2,0),IF(AND(EXACT($C$106,$C53),ISNUMBER($D$106)),($D$106&gt;$D53)+($D$106=$D53)/2,0)))</x:f>
      </x:c>
    </x:row>
    <x:row r="54">
      <x:c r="A54" s="34" t="str">
        <x:f>IF('91_CALC_SCORES'!A54="","",'91_CALC_SCORES'!A54)</x:f>
      </x:c>
      <x:c r="B54" s="34" t="str">
        <x:f>IF($A54="","",'91_CALC_SCORES'!B54)</x:f>
      </x:c>
      <x:c r="C54" s="34" t="str">
        <x:f>IF($A54="","",'91_CALC_SCORES'!K54)</x:f>
      </x:c>
      <x:c r="D54" s="57" t="str">
        <x:f>IF(OR($A54="",NOT(OR(LEFT('91_CALC_SCORES'!AB54,4)="PASS",LEFT('91_CALC_SCORES'!AB54,5)="READY"))),"",'91_CALC_SCORES'!Y54)</x:f>
      </x:c>
      <x:c r="E54" s="34" t="str">
        <x:f>IF(COUNT(D54)=0,"",1+SUM(AN54:AO54)-1/2)</x:f>
      </x:c>
      <x:c r="F54" s="34" t="str">
        <x:f>IF($A54="","",'91_CALC_SCORES'!AB54)</x:f>
      </x:c>
      <x:c r="G54" s="34" t="str">
        <x:f>IF(A54="","","연구 베타 | 기업 백분위 아님")</x:f>
      </x:c>
      <x:c r="AN54" s="34" t="str">
        <x:f>IF(COUNT($D54)=0,"",SUM(IF(AND(EXACT($C$7,$C54),ISNUMBER($D$7)),($D$7&gt;$D54)+($D$7=$D54)/2,0),IF(AND(EXACT($C$8,$C54),ISNUMBER($D$8)),($D$8&gt;$D54)+($D$8=$D54)/2,0),IF(AND(EXACT($C$9,$C54),ISNUMBER($D$9)),($D$9&gt;$D54)+($D$9=$D54)/2,0),IF(AND(EXACT($C$10,$C54),ISNUMBER($D$10)),($D$10&gt;$D54)+($D$10=$D54)/2,0),IF(AND(EXACT($C$11,$C54),ISNUMBER($D$11)),($D$11&gt;$D54)+($D$11=$D54)/2,0),IF(AND(EXACT($C$12,$C54),ISNUMBER($D$12)),($D$12&gt;$D54)+($D$12=$D54)/2,0),IF(AND(EXACT($C$13,$C54),ISNUMBER($D$13)),($D$13&gt;$D54)+($D$13=$D54)/2,0),IF(AND(EXACT($C$14,$C54),ISNUMBER($D$14)),($D$14&gt;$D54)+($D$14=$D54)/2,0),IF(AND(EXACT($C$15,$C54),ISNUMBER($D$15)),($D$15&gt;$D54)+($D$15=$D54)/2,0),IF(AND(EXACT($C$16,$C54),ISNUMBER($D$16)),($D$16&gt;$D54)+($D$16=$D54)/2,0),IF(AND(EXACT($C$17,$C54),ISNUMBER($D$17)),($D$17&gt;$D54)+($D$17=$D54)/2,0),IF(AND(EXACT($C$18,$C54),ISNUMBER($D$18)),($D$18&gt;$D54)+($D$18=$D54)/2,0),IF(AND(EXACT($C$19,$C54),ISNUMBER($D$19)),($D$19&gt;$D54)+($D$19=$D54)/2,0),IF(AND(EXACT($C$20,$C54),ISNUMBER($D$20)),($D$20&gt;$D54)+($D$20=$D54)/2,0),IF(AND(EXACT($C$21,$C54),ISNUMBER($D$21)),($D$21&gt;$D54)+($D$21=$D54)/2,0),IF(AND(EXACT($C$22,$C54),ISNUMBER($D$22)),($D$22&gt;$D54)+($D$22=$D54)/2,0),IF(AND(EXACT($C$23,$C54),ISNUMBER($D$23)),($D$23&gt;$D54)+($D$23=$D54)/2,0),IF(AND(EXACT($C$24,$C54),ISNUMBER($D$24)),($D$24&gt;$D54)+($D$24=$D54)/2,0),IF(AND(EXACT($C$25,$C54),ISNUMBER($D$25)),($D$25&gt;$D54)+($D$25=$D54)/2,0),IF(AND(EXACT($C$26,$C54),ISNUMBER($D$26)),($D$26&gt;$D54)+($D$26=$D54)/2,0),IF(AND(EXACT($C$27,$C54),ISNUMBER($D$27)),($D$27&gt;$D54)+($D$27=$D54)/2,0),IF(AND(EXACT($C$28,$C54),ISNUMBER($D$28)),($D$28&gt;$D54)+($D$28=$D54)/2,0),IF(AND(EXACT($C$29,$C54),ISNUMBER($D$29)),($D$29&gt;$D54)+($D$29=$D54)/2,0),IF(AND(EXACT($C$30,$C54),ISNUMBER($D$30)),($D$30&gt;$D54)+($D$30=$D54)/2,0),IF(AND(EXACT($C$31,$C54),ISNUMBER($D$31)),($D$31&gt;$D54)+($D$31=$D54)/2,0),IF(AND(EXACT($C$32,$C54),ISNUMBER($D$32)),($D$32&gt;$D54)+($D$32=$D54)/2,0),IF(AND(EXACT($C$33,$C54),ISNUMBER($D$33)),($D$33&gt;$D54)+($D$33=$D54)/2,0),IF(AND(EXACT($C$34,$C54),ISNUMBER($D$34)),($D$34&gt;$D54)+($D$34=$D54)/2,0),IF(AND(EXACT($C$35,$C54),ISNUMBER($D$35)),($D$35&gt;$D54)+($D$35=$D54)/2,0),IF(AND(EXACT($C$36,$C54),ISNUMBER($D$36)),($D$36&gt;$D54)+($D$36=$D54)/2,0),IF(AND(EXACT($C$37,$C54),ISNUMBER($D$37)),($D$37&gt;$D54)+($D$37=$D54)/2,0),IF(AND(EXACT($C$38,$C54),ISNUMBER($D$38)),($D$38&gt;$D54)+($D$38=$D54)/2,0),IF(AND(EXACT($C$39,$C54),ISNUMBER($D$39)),($D$39&gt;$D54)+($D$39=$D54)/2,0),IF(AND(EXACT($C$40,$C54),ISNUMBER($D$40)),($D$40&gt;$D54)+($D$40=$D54)/2,0),IF(AND(EXACT($C$41,$C54),ISNUMBER($D$41)),($D$41&gt;$D54)+($D$41=$D54)/2,0),IF(AND(EXACT($C$42,$C54),ISNUMBER($D$42)),($D$42&gt;$D54)+($D$42=$D54)/2,0),IF(AND(EXACT($C$43,$C54),ISNUMBER($D$43)),($D$43&gt;$D54)+($D$43=$D54)/2,0),IF(AND(EXACT($C$44,$C54),ISNUMBER($D$44)),($D$44&gt;$D54)+($D$44=$D54)/2,0),IF(AND(EXACT($C$45,$C54),ISNUMBER($D$45)),($D$45&gt;$D54)+($D$45=$D54)/2,0),IF(AND(EXACT($C$46,$C54),ISNUMBER($D$46)),($D$46&gt;$D54)+($D$46=$D54)/2,0),IF(AND(EXACT($C$47,$C54),ISNUMBER($D$47)),($D$47&gt;$D54)+($D$47=$D54)/2,0),IF(AND(EXACT($C$48,$C54),ISNUMBER($D$48)),($D$48&gt;$D54)+($D$48=$D54)/2,0),IF(AND(EXACT($C$49,$C54),ISNUMBER($D$49)),($D$49&gt;$D54)+($D$49=$D54)/2,0),IF(AND(EXACT($C$50,$C54),ISNUMBER($D$50)),($D$50&gt;$D54)+($D$50=$D54)/2,0),IF(AND(EXACT($C$51,$C54),ISNUMBER($D$51)),($D$51&gt;$D54)+($D$51=$D54)/2,0),IF(AND(EXACT($C$52,$C54),ISNUMBER($D$52)),($D$52&gt;$D54)+($D$52=$D54)/2,0),IF(AND(EXACT($C$53,$C54),ISNUMBER($D$53)),($D$53&gt;$D54)+($D$53=$D54)/2,0),IF(AND(EXACT($C$54,$C54),ISNUMBER($D$54)),($D$54&gt;$D54)+($D$54=$D54)/2,0),IF(AND(EXACT($C$55,$C54),ISNUMBER($D$55)),($D$55&gt;$D54)+($D$55=$D54)/2,0),IF(AND(EXACT($C$56,$C54),ISNUMBER($D$56)),($D$56&gt;$D54)+($D$56=$D54)/2,0)))</x:f>
      </x:c>
      <x:c r="AO54" s="34" t="str">
        <x:f>IF(COUNT($D54)=0,"",SUM(IF(AND(EXACT($C$57,$C54),ISNUMBER($D$57)),($D$57&gt;$D54)+($D$57=$D54)/2,0),IF(AND(EXACT($C$58,$C54),ISNUMBER($D$58)),($D$58&gt;$D54)+($D$58=$D54)/2,0),IF(AND(EXACT($C$59,$C54),ISNUMBER($D$59)),($D$59&gt;$D54)+($D$59=$D54)/2,0),IF(AND(EXACT($C$60,$C54),ISNUMBER($D$60)),($D$60&gt;$D54)+($D$60=$D54)/2,0),IF(AND(EXACT($C$61,$C54),ISNUMBER($D$61)),($D$61&gt;$D54)+($D$61=$D54)/2,0),IF(AND(EXACT($C$62,$C54),ISNUMBER($D$62)),($D$62&gt;$D54)+($D$62=$D54)/2,0),IF(AND(EXACT($C$63,$C54),ISNUMBER($D$63)),($D$63&gt;$D54)+($D$63=$D54)/2,0),IF(AND(EXACT($C$64,$C54),ISNUMBER($D$64)),($D$64&gt;$D54)+($D$64=$D54)/2,0),IF(AND(EXACT($C$65,$C54),ISNUMBER($D$65)),($D$65&gt;$D54)+($D$65=$D54)/2,0),IF(AND(EXACT($C$66,$C54),ISNUMBER($D$66)),($D$66&gt;$D54)+($D$66=$D54)/2,0),IF(AND(EXACT($C$67,$C54),ISNUMBER($D$67)),($D$67&gt;$D54)+($D$67=$D54)/2,0),IF(AND(EXACT($C$68,$C54),ISNUMBER($D$68)),($D$68&gt;$D54)+($D$68=$D54)/2,0),IF(AND(EXACT($C$69,$C54),ISNUMBER($D$69)),($D$69&gt;$D54)+($D$69=$D54)/2,0),IF(AND(EXACT($C$70,$C54),ISNUMBER($D$70)),($D$70&gt;$D54)+($D$70=$D54)/2,0),IF(AND(EXACT($C$71,$C54),ISNUMBER($D$71)),($D$71&gt;$D54)+($D$71=$D54)/2,0),IF(AND(EXACT($C$72,$C54),ISNUMBER($D$72)),($D$72&gt;$D54)+($D$72=$D54)/2,0),IF(AND(EXACT($C$73,$C54),ISNUMBER($D$73)),($D$73&gt;$D54)+($D$73=$D54)/2,0),IF(AND(EXACT($C$74,$C54),ISNUMBER($D$74)),($D$74&gt;$D54)+($D$74=$D54)/2,0),IF(AND(EXACT($C$75,$C54),ISNUMBER($D$75)),($D$75&gt;$D54)+($D$75=$D54)/2,0),IF(AND(EXACT($C$76,$C54),ISNUMBER($D$76)),($D$76&gt;$D54)+($D$76=$D54)/2,0),IF(AND(EXACT($C$77,$C54),ISNUMBER($D$77)),($D$77&gt;$D54)+($D$77=$D54)/2,0),IF(AND(EXACT($C$78,$C54),ISNUMBER($D$78)),($D$78&gt;$D54)+($D$78=$D54)/2,0),IF(AND(EXACT($C$79,$C54),ISNUMBER($D$79)),($D$79&gt;$D54)+($D$79=$D54)/2,0),IF(AND(EXACT($C$80,$C54),ISNUMBER($D$80)),($D$80&gt;$D54)+($D$80=$D54)/2,0),IF(AND(EXACT($C$81,$C54),ISNUMBER($D$81)),($D$81&gt;$D54)+($D$81=$D54)/2,0),IF(AND(EXACT($C$82,$C54),ISNUMBER($D$82)),($D$82&gt;$D54)+($D$82=$D54)/2,0),IF(AND(EXACT($C$83,$C54),ISNUMBER($D$83)),($D$83&gt;$D54)+($D$83=$D54)/2,0),IF(AND(EXACT($C$84,$C54),ISNUMBER($D$84)),($D$84&gt;$D54)+($D$84=$D54)/2,0),IF(AND(EXACT($C$85,$C54),ISNUMBER($D$85)),($D$85&gt;$D54)+($D$85=$D54)/2,0),IF(AND(EXACT($C$86,$C54),ISNUMBER($D$86)),($D$86&gt;$D54)+($D$86=$D54)/2,0),IF(AND(EXACT($C$87,$C54),ISNUMBER($D$87)),($D$87&gt;$D54)+($D$87=$D54)/2,0),IF(AND(EXACT($C$88,$C54),ISNUMBER($D$88)),($D$88&gt;$D54)+($D$88=$D54)/2,0),IF(AND(EXACT($C$89,$C54),ISNUMBER($D$89)),($D$89&gt;$D54)+($D$89=$D54)/2,0),IF(AND(EXACT($C$90,$C54),ISNUMBER($D$90)),($D$90&gt;$D54)+($D$90=$D54)/2,0),IF(AND(EXACT($C$91,$C54),ISNUMBER($D$91)),($D$91&gt;$D54)+($D$91=$D54)/2,0),IF(AND(EXACT($C$92,$C54),ISNUMBER($D$92)),($D$92&gt;$D54)+($D$92=$D54)/2,0),IF(AND(EXACT($C$93,$C54),ISNUMBER($D$93)),($D$93&gt;$D54)+($D$93=$D54)/2,0),IF(AND(EXACT($C$94,$C54),ISNUMBER($D$94)),($D$94&gt;$D54)+($D$94=$D54)/2,0),IF(AND(EXACT($C$95,$C54),ISNUMBER($D$95)),($D$95&gt;$D54)+($D$95=$D54)/2,0),IF(AND(EXACT($C$96,$C54),ISNUMBER($D$96)),($D$96&gt;$D54)+($D$96=$D54)/2,0),IF(AND(EXACT($C$97,$C54),ISNUMBER($D$97)),($D$97&gt;$D54)+($D$97=$D54)/2,0),IF(AND(EXACT($C$98,$C54),ISNUMBER($D$98)),($D$98&gt;$D54)+($D$98=$D54)/2,0),IF(AND(EXACT($C$99,$C54),ISNUMBER($D$99)),($D$99&gt;$D54)+($D$99=$D54)/2,0),IF(AND(EXACT($C$100,$C54),ISNUMBER($D$100)),($D$100&gt;$D54)+($D$100=$D54)/2,0),IF(AND(EXACT($C$101,$C54),ISNUMBER($D$101)),($D$101&gt;$D54)+($D$101=$D54)/2,0),IF(AND(EXACT($C$102,$C54),ISNUMBER($D$102)),($D$102&gt;$D54)+($D$102=$D54)/2,0),IF(AND(EXACT($C$103,$C54),ISNUMBER($D$103)),($D$103&gt;$D54)+($D$103=$D54)/2,0),IF(AND(EXACT($C$104,$C54),ISNUMBER($D$104)),($D$104&gt;$D54)+($D$104=$D54)/2,0),IF(AND(EXACT($C$105,$C54),ISNUMBER($D$105)),($D$105&gt;$D54)+($D$105=$D54)/2,0),IF(AND(EXACT($C$106,$C54),ISNUMBER($D$106)),($D$106&gt;$D54)+($D$106=$D54)/2,0)))</x:f>
      </x:c>
    </x:row>
    <x:row r="55">
      <x:c r="A55" s="34" t="str">
        <x:f>IF('91_CALC_SCORES'!A55="","",'91_CALC_SCORES'!A55)</x:f>
      </x:c>
      <x:c r="B55" s="34" t="str">
        <x:f>IF($A55="","",'91_CALC_SCORES'!B55)</x:f>
      </x:c>
      <x:c r="C55" s="34" t="str">
        <x:f>IF($A55="","",'91_CALC_SCORES'!K55)</x:f>
      </x:c>
      <x:c r="D55" s="57" t="str">
        <x:f>IF(OR($A55="",NOT(OR(LEFT('91_CALC_SCORES'!AB55,4)="PASS",LEFT('91_CALC_SCORES'!AB55,5)="READY"))),"",'91_CALC_SCORES'!Y55)</x:f>
      </x:c>
      <x:c r="E55" s="34" t="str">
        <x:f>IF(COUNT(D55)=0,"",1+SUM(AN55:AO55)-1/2)</x:f>
      </x:c>
      <x:c r="F55" s="34" t="str">
        <x:f>IF($A55="","",'91_CALC_SCORES'!AB55)</x:f>
      </x:c>
      <x:c r="G55" s="34" t="str">
        <x:f>IF(A55="","","연구 베타 | 기업 백분위 아님")</x:f>
      </x:c>
      <x:c r="AN55" s="34" t="str">
        <x:f>IF(COUNT($D55)=0,"",SUM(IF(AND(EXACT($C$7,$C55),ISNUMBER($D$7)),($D$7&gt;$D55)+($D$7=$D55)/2,0),IF(AND(EXACT($C$8,$C55),ISNUMBER($D$8)),($D$8&gt;$D55)+($D$8=$D55)/2,0),IF(AND(EXACT($C$9,$C55),ISNUMBER($D$9)),($D$9&gt;$D55)+($D$9=$D55)/2,0),IF(AND(EXACT($C$10,$C55),ISNUMBER($D$10)),($D$10&gt;$D55)+($D$10=$D55)/2,0),IF(AND(EXACT($C$11,$C55),ISNUMBER($D$11)),($D$11&gt;$D55)+($D$11=$D55)/2,0),IF(AND(EXACT($C$12,$C55),ISNUMBER($D$12)),($D$12&gt;$D55)+($D$12=$D55)/2,0),IF(AND(EXACT($C$13,$C55),ISNUMBER($D$13)),($D$13&gt;$D55)+($D$13=$D55)/2,0),IF(AND(EXACT($C$14,$C55),ISNUMBER($D$14)),($D$14&gt;$D55)+($D$14=$D55)/2,0),IF(AND(EXACT($C$15,$C55),ISNUMBER($D$15)),($D$15&gt;$D55)+($D$15=$D55)/2,0),IF(AND(EXACT($C$16,$C55),ISNUMBER($D$16)),($D$16&gt;$D55)+($D$16=$D55)/2,0),IF(AND(EXACT($C$17,$C55),ISNUMBER($D$17)),($D$17&gt;$D55)+($D$17=$D55)/2,0),IF(AND(EXACT($C$18,$C55),ISNUMBER($D$18)),($D$18&gt;$D55)+($D$18=$D55)/2,0),IF(AND(EXACT($C$19,$C55),ISNUMBER($D$19)),($D$19&gt;$D55)+($D$19=$D55)/2,0),IF(AND(EXACT($C$20,$C55),ISNUMBER($D$20)),($D$20&gt;$D55)+($D$20=$D55)/2,0),IF(AND(EXACT($C$21,$C55),ISNUMBER($D$21)),($D$21&gt;$D55)+($D$21=$D55)/2,0),IF(AND(EXACT($C$22,$C55),ISNUMBER($D$22)),($D$22&gt;$D55)+($D$22=$D55)/2,0),IF(AND(EXACT($C$23,$C55),ISNUMBER($D$23)),($D$23&gt;$D55)+($D$23=$D55)/2,0),IF(AND(EXACT($C$24,$C55),ISNUMBER($D$24)),($D$24&gt;$D55)+($D$24=$D55)/2,0),IF(AND(EXACT($C$25,$C55),ISNUMBER($D$25)),($D$25&gt;$D55)+($D$25=$D55)/2,0),IF(AND(EXACT($C$26,$C55),ISNUMBER($D$26)),($D$26&gt;$D55)+($D$26=$D55)/2,0),IF(AND(EXACT($C$27,$C55),ISNUMBER($D$27)),($D$27&gt;$D55)+($D$27=$D55)/2,0),IF(AND(EXACT($C$28,$C55),ISNUMBER($D$28)),($D$28&gt;$D55)+($D$28=$D55)/2,0),IF(AND(EXACT($C$29,$C55),ISNUMBER($D$29)),($D$29&gt;$D55)+($D$29=$D55)/2,0),IF(AND(EXACT($C$30,$C55),ISNUMBER($D$30)),($D$30&gt;$D55)+($D$30=$D55)/2,0),IF(AND(EXACT($C$31,$C55),ISNUMBER($D$31)),($D$31&gt;$D55)+($D$31=$D55)/2,0),IF(AND(EXACT($C$32,$C55),ISNUMBER($D$32)),($D$32&gt;$D55)+($D$32=$D55)/2,0),IF(AND(EXACT($C$33,$C55),ISNUMBER($D$33)),($D$33&gt;$D55)+($D$33=$D55)/2,0),IF(AND(EXACT($C$34,$C55),ISNUMBER($D$34)),($D$34&gt;$D55)+($D$34=$D55)/2,0),IF(AND(EXACT($C$35,$C55),ISNUMBER($D$35)),($D$35&gt;$D55)+($D$35=$D55)/2,0),IF(AND(EXACT($C$36,$C55),ISNUMBER($D$36)),($D$36&gt;$D55)+($D$36=$D55)/2,0),IF(AND(EXACT($C$37,$C55),ISNUMBER($D$37)),($D$37&gt;$D55)+($D$37=$D55)/2,0),IF(AND(EXACT($C$38,$C55),ISNUMBER($D$38)),($D$38&gt;$D55)+($D$38=$D55)/2,0),IF(AND(EXACT($C$39,$C55),ISNUMBER($D$39)),($D$39&gt;$D55)+($D$39=$D55)/2,0),IF(AND(EXACT($C$40,$C55),ISNUMBER($D$40)),($D$40&gt;$D55)+($D$40=$D55)/2,0),IF(AND(EXACT($C$41,$C55),ISNUMBER($D$41)),($D$41&gt;$D55)+($D$41=$D55)/2,0),IF(AND(EXACT($C$42,$C55),ISNUMBER($D$42)),($D$42&gt;$D55)+($D$42=$D55)/2,0),IF(AND(EXACT($C$43,$C55),ISNUMBER($D$43)),($D$43&gt;$D55)+($D$43=$D55)/2,0),IF(AND(EXACT($C$44,$C55),ISNUMBER($D$44)),($D$44&gt;$D55)+($D$44=$D55)/2,0),IF(AND(EXACT($C$45,$C55),ISNUMBER($D$45)),($D$45&gt;$D55)+($D$45=$D55)/2,0),IF(AND(EXACT($C$46,$C55),ISNUMBER($D$46)),($D$46&gt;$D55)+($D$46=$D55)/2,0),IF(AND(EXACT($C$47,$C55),ISNUMBER($D$47)),($D$47&gt;$D55)+($D$47=$D55)/2,0),IF(AND(EXACT($C$48,$C55),ISNUMBER($D$48)),($D$48&gt;$D55)+($D$48=$D55)/2,0),IF(AND(EXACT($C$49,$C55),ISNUMBER($D$49)),($D$49&gt;$D55)+($D$49=$D55)/2,0),IF(AND(EXACT($C$50,$C55),ISNUMBER($D$50)),($D$50&gt;$D55)+($D$50=$D55)/2,0),IF(AND(EXACT($C$51,$C55),ISNUMBER($D$51)),($D$51&gt;$D55)+($D$51=$D55)/2,0),IF(AND(EXACT($C$52,$C55),ISNUMBER($D$52)),($D$52&gt;$D55)+($D$52=$D55)/2,0),IF(AND(EXACT($C$53,$C55),ISNUMBER($D$53)),($D$53&gt;$D55)+($D$53=$D55)/2,0),IF(AND(EXACT($C$54,$C55),ISNUMBER($D$54)),($D$54&gt;$D55)+($D$54=$D55)/2,0),IF(AND(EXACT($C$55,$C55),ISNUMBER($D$55)),($D$55&gt;$D55)+($D$55=$D55)/2,0),IF(AND(EXACT($C$56,$C55),ISNUMBER($D$56)),($D$56&gt;$D55)+($D$56=$D55)/2,0)))</x:f>
      </x:c>
      <x:c r="AO55" s="34" t="str">
        <x:f>IF(COUNT($D55)=0,"",SUM(IF(AND(EXACT($C$57,$C55),ISNUMBER($D$57)),($D$57&gt;$D55)+($D$57=$D55)/2,0),IF(AND(EXACT($C$58,$C55),ISNUMBER($D$58)),($D$58&gt;$D55)+($D$58=$D55)/2,0),IF(AND(EXACT($C$59,$C55),ISNUMBER($D$59)),($D$59&gt;$D55)+($D$59=$D55)/2,0),IF(AND(EXACT($C$60,$C55),ISNUMBER($D$60)),($D$60&gt;$D55)+($D$60=$D55)/2,0),IF(AND(EXACT($C$61,$C55),ISNUMBER($D$61)),($D$61&gt;$D55)+($D$61=$D55)/2,0),IF(AND(EXACT($C$62,$C55),ISNUMBER($D$62)),($D$62&gt;$D55)+($D$62=$D55)/2,0),IF(AND(EXACT($C$63,$C55),ISNUMBER($D$63)),($D$63&gt;$D55)+($D$63=$D55)/2,0),IF(AND(EXACT($C$64,$C55),ISNUMBER($D$64)),($D$64&gt;$D55)+($D$64=$D55)/2,0),IF(AND(EXACT($C$65,$C55),ISNUMBER($D$65)),($D$65&gt;$D55)+($D$65=$D55)/2,0),IF(AND(EXACT($C$66,$C55),ISNUMBER($D$66)),($D$66&gt;$D55)+($D$66=$D55)/2,0),IF(AND(EXACT($C$67,$C55),ISNUMBER($D$67)),($D$67&gt;$D55)+($D$67=$D55)/2,0),IF(AND(EXACT($C$68,$C55),ISNUMBER($D$68)),($D$68&gt;$D55)+($D$68=$D55)/2,0),IF(AND(EXACT($C$69,$C55),ISNUMBER($D$69)),($D$69&gt;$D55)+($D$69=$D55)/2,0),IF(AND(EXACT($C$70,$C55),ISNUMBER($D$70)),($D$70&gt;$D55)+($D$70=$D55)/2,0),IF(AND(EXACT($C$71,$C55),ISNUMBER($D$71)),($D$71&gt;$D55)+($D$71=$D55)/2,0),IF(AND(EXACT($C$72,$C55),ISNUMBER($D$72)),($D$72&gt;$D55)+($D$72=$D55)/2,0),IF(AND(EXACT($C$73,$C55),ISNUMBER($D$73)),($D$73&gt;$D55)+($D$73=$D55)/2,0),IF(AND(EXACT($C$74,$C55),ISNUMBER($D$74)),($D$74&gt;$D55)+($D$74=$D55)/2,0),IF(AND(EXACT($C$75,$C55),ISNUMBER($D$75)),($D$75&gt;$D55)+($D$75=$D55)/2,0),IF(AND(EXACT($C$76,$C55),ISNUMBER($D$76)),($D$76&gt;$D55)+($D$76=$D55)/2,0),IF(AND(EXACT($C$77,$C55),ISNUMBER($D$77)),($D$77&gt;$D55)+($D$77=$D55)/2,0),IF(AND(EXACT($C$78,$C55),ISNUMBER($D$78)),($D$78&gt;$D55)+($D$78=$D55)/2,0),IF(AND(EXACT($C$79,$C55),ISNUMBER($D$79)),($D$79&gt;$D55)+($D$79=$D55)/2,0),IF(AND(EXACT($C$80,$C55),ISNUMBER($D$80)),($D$80&gt;$D55)+($D$80=$D55)/2,0),IF(AND(EXACT($C$81,$C55),ISNUMBER($D$81)),($D$81&gt;$D55)+($D$81=$D55)/2,0),IF(AND(EXACT($C$82,$C55),ISNUMBER($D$82)),($D$82&gt;$D55)+($D$82=$D55)/2,0),IF(AND(EXACT($C$83,$C55),ISNUMBER($D$83)),($D$83&gt;$D55)+($D$83=$D55)/2,0),IF(AND(EXACT($C$84,$C55),ISNUMBER($D$84)),($D$84&gt;$D55)+($D$84=$D55)/2,0),IF(AND(EXACT($C$85,$C55),ISNUMBER($D$85)),($D$85&gt;$D55)+($D$85=$D55)/2,0),IF(AND(EXACT($C$86,$C55),ISNUMBER($D$86)),($D$86&gt;$D55)+($D$86=$D55)/2,0),IF(AND(EXACT($C$87,$C55),ISNUMBER($D$87)),($D$87&gt;$D55)+($D$87=$D55)/2,0),IF(AND(EXACT($C$88,$C55),ISNUMBER($D$88)),($D$88&gt;$D55)+($D$88=$D55)/2,0),IF(AND(EXACT($C$89,$C55),ISNUMBER($D$89)),($D$89&gt;$D55)+($D$89=$D55)/2,0),IF(AND(EXACT($C$90,$C55),ISNUMBER($D$90)),($D$90&gt;$D55)+($D$90=$D55)/2,0),IF(AND(EXACT($C$91,$C55),ISNUMBER($D$91)),($D$91&gt;$D55)+($D$91=$D55)/2,0),IF(AND(EXACT($C$92,$C55),ISNUMBER($D$92)),($D$92&gt;$D55)+($D$92=$D55)/2,0),IF(AND(EXACT($C$93,$C55),ISNUMBER($D$93)),($D$93&gt;$D55)+($D$93=$D55)/2,0),IF(AND(EXACT($C$94,$C55),ISNUMBER($D$94)),($D$94&gt;$D55)+($D$94=$D55)/2,0),IF(AND(EXACT($C$95,$C55),ISNUMBER($D$95)),($D$95&gt;$D55)+($D$95=$D55)/2,0),IF(AND(EXACT($C$96,$C55),ISNUMBER($D$96)),($D$96&gt;$D55)+($D$96=$D55)/2,0),IF(AND(EXACT($C$97,$C55),ISNUMBER($D$97)),($D$97&gt;$D55)+($D$97=$D55)/2,0),IF(AND(EXACT($C$98,$C55),ISNUMBER($D$98)),($D$98&gt;$D55)+($D$98=$D55)/2,0),IF(AND(EXACT($C$99,$C55),ISNUMBER($D$99)),($D$99&gt;$D55)+($D$99=$D55)/2,0),IF(AND(EXACT($C$100,$C55),ISNUMBER($D$100)),($D$100&gt;$D55)+($D$100=$D55)/2,0),IF(AND(EXACT($C$101,$C55),ISNUMBER($D$101)),($D$101&gt;$D55)+($D$101=$D55)/2,0),IF(AND(EXACT($C$102,$C55),ISNUMBER($D$102)),($D$102&gt;$D55)+($D$102=$D55)/2,0),IF(AND(EXACT($C$103,$C55),ISNUMBER($D$103)),($D$103&gt;$D55)+($D$103=$D55)/2,0),IF(AND(EXACT($C$104,$C55),ISNUMBER($D$104)),($D$104&gt;$D55)+($D$104=$D55)/2,0),IF(AND(EXACT($C$105,$C55),ISNUMBER($D$105)),($D$105&gt;$D55)+($D$105=$D55)/2,0),IF(AND(EXACT($C$106,$C55),ISNUMBER($D$106)),($D$106&gt;$D55)+($D$106=$D55)/2,0)))</x:f>
      </x:c>
    </x:row>
    <x:row r="56">
      <x:c r="A56" s="34" t="str">
        <x:f>IF('91_CALC_SCORES'!A56="","",'91_CALC_SCORES'!A56)</x:f>
      </x:c>
      <x:c r="B56" s="34" t="str">
        <x:f>IF($A56="","",'91_CALC_SCORES'!B56)</x:f>
      </x:c>
      <x:c r="C56" s="34" t="str">
        <x:f>IF($A56="","",'91_CALC_SCORES'!K56)</x:f>
      </x:c>
      <x:c r="D56" s="57" t="str">
        <x:f>IF(OR($A56="",NOT(OR(LEFT('91_CALC_SCORES'!AB56,4)="PASS",LEFT('91_CALC_SCORES'!AB56,5)="READY"))),"",'91_CALC_SCORES'!Y56)</x:f>
      </x:c>
      <x:c r="E56" s="34" t="str">
        <x:f>IF(COUNT(D56)=0,"",1+SUM(AN56:AO56)-1/2)</x:f>
      </x:c>
      <x:c r="F56" s="34" t="str">
        <x:f>IF($A56="","",'91_CALC_SCORES'!AB56)</x:f>
      </x:c>
      <x:c r="G56" s="34" t="str">
        <x:f>IF(A56="","","연구 베타 | 기업 백분위 아님")</x:f>
      </x:c>
      <x:c r="AN56" s="34" t="str">
        <x:f>IF(COUNT($D56)=0,"",SUM(IF(AND(EXACT($C$7,$C56),ISNUMBER($D$7)),($D$7&gt;$D56)+($D$7=$D56)/2,0),IF(AND(EXACT($C$8,$C56),ISNUMBER($D$8)),($D$8&gt;$D56)+($D$8=$D56)/2,0),IF(AND(EXACT($C$9,$C56),ISNUMBER($D$9)),($D$9&gt;$D56)+($D$9=$D56)/2,0),IF(AND(EXACT($C$10,$C56),ISNUMBER($D$10)),($D$10&gt;$D56)+($D$10=$D56)/2,0),IF(AND(EXACT($C$11,$C56),ISNUMBER($D$11)),($D$11&gt;$D56)+($D$11=$D56)/2,0),IF(AND(EXACT($C$12,$C56),ISNUMBER($D$12)),($D$12&gt;$D56)+($D$12=$D56)/2,0),IF(AND(EXACT($C$13,$C56),ISNUMBER($D$13)),($D$13&gt;$D56)+($D$13=$D56)/2,0),IF(AND(EXACT($C$14,$C56),ISNUMBER($D$14)),($D$14&gt;$D56)+($D$14=$D56)/2,0),IF(AND(EXACT($C$15,$C56),ISNUMBER($D$15)),($D$15&gt;$D56)+($D$15=$D56)/2,0),IF(AND(EXACT($C$16,$C56),ISNUMBER($D$16)),($D$16&gt;$D56)+($D$16=$D56)/2,0),IF(AND(EXACT($C$17,$C56),ISNUMBER($D$17)),($D$17&gt;$D56)+($D$17=$D56)/2,0),IF(AND(EXACT($C$18,$C56),ISNUMBER($D$18)),($D$18&gt;$D56)+($D$18=$D56)/2,0),IF(AND(EXACT($C$19,$C56),ISNUMBER($D$19)),($D$19&gt;$D56)+($D$19=$D56)/2,0),IF(AND(EXACT($C$20,$C56),ISNUMBER($D$20)),($D$20&gt;$D56)+($D$20=$D56)/2,0),IF(AND(EXACT($C$21,$C56),ISNUMBER($D$21)),($D$21&gt;$D56)+($D$21=$D56)/2,0),IF(AND(EXACT($C$22,$C56),ISNUMBER($D$22)),($D$22&gt;$D56)+($D$22=$D56)/2,0),IF(AND(EXACT($C$23,$C56),ISNUMBER($D$23)),($D$23&gt;$D56)+($D$23=$D56)/2,0),IF(AND(EXACT($C$24,$C56),ISNUMBER($D$24)),($D$24&gt;$D56)+($D$24=$D56)/2,0),IF(AND(EXACT($C$25,$C56),ISNUMBER($D$25)),($D$25&gt;$D56)+($D$25=$D56)/2,0),IF(AND(EXACT($C$26,$C56),ISNUMBER($D$26)),($D$26&gt;$D56)+($D$26=$D56)/2,0),IF(AND(EXACT($C$27,$C56),ISNUMBER($D$27)),($D$27&gt;$D56)+($D$27=$D56)/2,0),IF(AND(EXACT($C$28,$C56),ISNUMBER($D$28)),($D$28&gt;$D56)+($D$28=$D56)/2,0),IF(AND(EXACT($C$29,$C56),ISNUMBER($D$29)),($D$29&gt;$D56)+($D$29=$D56)/2,0),IF(AND(EXACT($C$30,$C56),ISNUMBER($D$30)),($D$30&gt;$D56)+($D$30=$D56)/2,0),IF(AND(EXACT($C$31,$C56),ISNUMBER($D$31)),($D$31&gt;$D56)+($D$31=$D56)/2,0),IF(AND(EXACT($C$32,$C56),ISNUMBER($D$32)),($D$32&gt;$D56)+($D$32=$D56)/2,0),IF(AND(EXACT($C$33,$C56),ISNUMBER($D$33)),($D$33&gt;$D56)+($D$33=$D56)/2,0),IF(AND(EXACT($C$34,$C56),ISNUMBER($D$34)),($D$34&gt;$D56)+($D$34=$D56)/2,0),IF(AND(EXACT($C$35,$C56),ISNUMBER($D$35)),($D$35&gt;$D56)+($D$35=$D56)/2,0),IF(AND(EXACT($C$36,$C56),ISNUMBER($D$36)),($D$36&gt;$D56)+($D$36=$D56)/2,0),IF(AND(EXACT($C$37,$C56),ISNUMBER($D$37)),($D$37&gt;$D56)+($D$37=$D56)/2,0),IF(AND(EXACT($C$38,$C56),ISNUMBER($D$38)),($D$38&gt;$D56)+($D$38=$D56)/2,0),IF(AND(EXACT($C$39,$C56),ISNUMBER($D$39)),($D$39&gt;$D56)+($D$39=$D56)/2,0),IF(AND(EXACT($C$40,$C56),ISNUMBER($D$40)),($D$40&gt;$D56)+($D$40=$D56)/2,0),IF(AND(EXACT($C$41,$C56),ISNUMBER($D$41)),($D$41&gt;$D56)+($D$41=$D56)/2,0),IF(AND(EXACT($C$42,$C56),ISNUMBER($D$42)),($D$42&gt;$D56)+($D$42=$D56)/2,0),IF(AND(EXACT($C$43,$C56),ISNUMBER($D$43)),($D$43&gt;$D56)+($D$43=$D56)/2,0),IF(AND(EXACT($C$44,$C56),ISNUMBER($D$44)),($D$44&gt;$D56)+($D$44=$D56)/2,0),IF(AND(EXACT($C$45,$C56),ISNUMBER($D$45)),($D$45&gt;$D56)+($D$45=$D56)/2,0),IF(AND(EXACT($C$46,$C56),ISNUMBER($D$46)),($D$46&gt;$D56)+($D$46=$D56)/2,0),IF(AND(EXACT($C$47,$C56),ISNUMBER($D$47)),($D$47&gt;$D56)+($D$47=$D56)/2,0),IF(AND(EXACT($C$48,$C56),ISNUMBER($D$48)),($D$48&gt;$D56)+($D$48=$D56)/2,0),IF(AND(EXACT($C$49,$C56),ISNUMBER($D$49)),($D$49&gt;$D56)+($D$49=$D56)/2,0),IF(AND(EXACT($C$50,$C56),ISNUMBER($D$50)),($D$50&gt;$D56)+($D$50=$D56)/2,0),IF(AND(EXACT($C$51,$C56),ISNUMBER($D$51)),($D$51&gt;$D56)+($D$51=$D56)/2,0),IF(AND(EXACT($C$52,$C56),ISNUMBER($D$52)),($D$52&gt;$D56)+($D$52=$D56)/2,0),IF(AND(EXACT($C$53,$C56),ISNUMBER($D$53)),($D$53&gt;$D56)+($D$53=$D56)/2,0),IF(AND(EXACT($C$54,$C56),ISNUMBER($D$54)),($D$54&gt;$D56)+($D$54=$D56)/2,0),IF(AND(EXACT($C$55,$C56),ISNUMBER($D$55)),($D$55&gt;$D56)+($D$55=$D56)/2,0),IF(AND(EXACT($C$56,$C56),ISNUMBER($D$56)),($D$56&gt;$D56)+($D$56=$D56)/2,0)))</x:f>
      </x:c>
      <x:c r="AO56" s="34" t="str">
        <x:f>IF(COUNT($D56)=0,"",SUM(IF(AND(EXACT($C$57,$C56),ISNUMBER($D$57)),($D$57&gt;$D56)+($D$57=$D56)/2,0),IF(AND(EXACT($C$58,$C56),ISNUMBER($D$58)),($D$58&gt;$D56)+($D$58=$D56)/2,0),IF(AND(EXACT($C$59,$C56),ISNUMBER($D$59)),($D$59&gt;$D56)+($D$59=$D56)/2,0),IF(AND(EXACT($C$60,$C56),ISNUMBER($D$60)),($D$60&gt;$D56)+($D$60=$D56)/2,0),IF(AND(EXACT($C$61,$C56),ISNUMBER($D$61)),($D$61&gt;$D56)+($D$61=$D56)/2,0),IF(AND(EXACT($C$62,$C56),ISNUMBER($D$62)),($D$62&gt;$D56)+($D$62=$D56)/2,0),IF(AND(EXACT($C$63,$C56),ISNUMBER($D$63)),($D$63&gt;$D56)+($D$63=$D56)/2,0),IF(AND(EXACT($C$64,$C56),ISNUMBER($D$64)),($D$64&gt;$D56)+($D$64=$D56)/2,0),IF(AND(EXACT($C$65,$C56),ISNUMBER($D$65)),($D$65&gt;$D56)+($D$65=$D56)/2,0),IF(AND(EXACT($C$66,$C56),ISNUMBER($D$66)),($D$66&gt;$D56)+($D$66=$D56)/2,0),IF(AND(EXACT($C$67,$C56),ISNUMBER($D$67)),($D$67&gt;$D56)+($D$67=$D56)/2,0),IF(AND(EXACT($C$68,$C56),ISNUMBER($D$68)),($D$68&gt;$D56)+($D$68=$D56)/2,0),IF(AND(EXACT($C$69,$C56),ISNUMBER($D$69)),($D$69&gt;$D56)+($D$69=$D56)/2,0),IF(AND(EXACT($C$70,$C56),ISNUMBER($D$70)),($D$70&gt;$D56)+($D$70=$D56)/2,0),IF(AND(EXACT($C$71,$C56),ISNUMBER($D$71)),($D$71&gt;$D56)+($D$71=$D56)/2,0),IF(AND(EXACT($C$72,$C56),ISNUMBER($D$72)),($D$72&gt;$D56)+($D$72=$D56)/2,0),IF(AND(EXACT($C$73,$C56),ISNUMBER($D$73)),($D$73&gt;$D56)+($D$73=$D56)/2,0),IF(AND(EXACT($C$74,$C56),ISNUMBER($D$74)),($D$74&gt;$D56)+($D$74=$D56)/2,0),IF(AND(EXACT($C$75,$C56),ISNUMBER($D$75)),($D$75&gt;$D56)+($D$75=$D56)/2,0),IF(AND(EXACT($C$76,$C56),ISNUMBER($D$76)),($D$76&gt;$D56)+($D$76=$D56)/2,0),IF(AND(EXACT($C$77,$C56),ISNUMBER($D$77)),($D$77&gt;$D56)+($D$77=$D56)/2,0),IF(AND(EXACT($C$78,$C56),ISNUMBER($D$78)),($D$78&gt;$D56)+($D$78=$D56)/2,0),IF(AND(EXACT($C$79,$C56),ISNUMBER($D$79)),($D$79&gt;$D56)+($D$79=$D56)/2,0),IF(AND(EXACT($C$80,$C56),ISNUMBER($D$80)),($D$80&gt;$D56)+($D$80=$D56)/2,0),IF(AND(EXACT($C$81,$C56),ISNUMBER($D$81)),($D$81&gt;$D56)+($D$81=$D56)/2,0),IF(AND(EXACT($C$82,$C56),ISNUMBER($D$82)),($D$82&gt;$D56)+($D$82=$D56)/2,0),IF(AND(EXACT($C$83,$C56),ISNUMBER($D$83)),($D$83&gt;$D56)+($D$83=$D56)/2,0),IF(AND(EXACT($C$84,$C56),ISNUMBER($D$84)),($D$84&gt;$D56)+($D$84=$D56)/2,0),IF(AND(EXACT($C$85,$C56),ISNUMBER($D$85)),($D$85&gt;$D56)+($D$85=$D56)/2,0),IF(AND(EXACT($C$86,$C56),ISNUMBER($D$86)),($D$86&gt;$D56)+($D$86=$D56)/2,0),IF(AND(EXACT($C$87,$C56),ISNUMBER($D$87)),($D$87&gt;$D56)+($D$87=$D56)/2,0),IF(AND(EXACT($C$88,$C56),ISNUMBER($D$88)),($D$88&gt;$D56)+($D$88=$D56)/2,0),IF(AND(EXACT($C$89,$C56),ISNUMBER($D$89)),($D$89&gt;$D56)+($D$89=$D56)/2,0),IF(AND(EXACT($C$90,$C56),ISNUMBER($D$90)),($D$90&gt;$D56)+($D$90=$D56)/2,0),IF(AND(EXACT($C$91,$C56),ISNUMBER($D$91)),($D$91&gt;$D56)+($D$91=$D56)/2,0),IF(AND(EXACT($C$92,$C56),ISNUMBER($D$92)),($D$92&gt;$D56)+($D$92=$D56)/2,0),IF(AND(EXACT($C$93,$C56),ISNUMBER($D$93)),($D$93&gt;$D56)+($D$93=$D56)/2,0),IF(AND(EXACT($C$94,$C56),ISNUMBER($D$94)),($D$94&gt;$D56)+($D$94=$D56)/2,0),IF(AND(EXACT($C$95,$C56),ISNUMBER($D$95)),($D$95&gt;$D56)+($D$95=$D56)/2,0),IF(AND(EXACT($C$96,$C56),ISNUMBER($D$96)),($D$96&gt;$D56)+($D$96=$D56)/2,0),IF(AND(EXACT($C$97,$C56),ISNUMBER($D$97)),($D$97&gt;$D56)+($D$97=$D56)/2,0),IF(AND(EXACT($C$98,$C56),ISNUMBER($D$98)),($D$98&gt;$D56)+($D$98=$D56)/2,0),IF(AND(EXACT($C$99,$C56),ISNUMBER($D$99)),($D$99&gt;$D56)+($D$99=$D56)/2,0),IF(AND(EXACT($C$100,$C56),ISNUMBER($D$100)),($D$100&gt;$D56)+($D$100=$D56)/2,0),IF(AND(EXACT($C$101,$C56),ISNUMBER($D$101)),($D$101&gt;$D56)+($D$101=$D56)/2,0),IF(AND(EXACT($C$102,$C56),ISNUMBER($D$102)),($D$102&gt;$D56)+($D$102=$D56)/2,0),IF(AND(EXACT($C$103,$C56),ISNUMBER($D$103)),($D$103&gt;$D56)+($D$103=$D56)/2,0),IF(AND(EXACT($C$104,$C56),ISNUMBER($D$104)),($D$104&gt;$D56)+($D$104=$D56)/2,0),IF(AND(EXACT($C$105,$C56),ISNUMBER($D$105)),($D$105&gt;$D56)+($D$105=$D56)/2,0),IF(AND(EXACT($C$106,$C56),ISNUMBER($D$106)),($D$106&gt;$D56)+($D$106=$D56)/2,0)))</x:f>
      </x:c>
    </x:row>
    <x:row r="57">
      <x:c r="A57" s="34" t="str">
        <x:f>IF('91_CALC_SCORES'!A57="","",'91_CALC_SCORES'!A57)</x:f>
      </x:c>
      <x:c r="B57" s="34" t="str">
        <x:f>IF($A57="","",'91_CALC_SCORES'!B57)</x:f>
      </x:c>
      <x:c r="C57" s="34" t="str">
        <x:f>IF($A57="","",'91_CALC_SCORES'!K57)</x:f>
      </x:c>
      <x:c r="D57" s="57" t="str">
        <x:f>IF(OR($A57="",NOT(OR(LEFT('91_CALC_SCORES'!AB57,4)="PASS",LEFT('91_CALC_SCORES'!AB57,5)="READY"))),"",'91_CALC_SCORES'!Y57)</x:f>
      </x:c>
      <x:c r="E57" s="34" t="str">
        <x:f>IF(COUNT(D57)=0,"",1+SUM(AN57:AO57)-1/2)</x:f>
      </x:c>
      <x:c r="F57" s="34" t="str">
        <x:f>IF($A57="","",'91_CALC_SCORES'!AB57)</x:f>
      </x:c>
      <x:c r="G57" s="34" t="str">
        <x:f>IF(A57="","","연구 베타 | 기업 백분위 아님")</x:f>
      </x:c>
      <x:c r="AN57" s="34" t="str">
        <x:f>IF(COUNT($D57)=0,"",SUM(IF(AND(EXACT($C$7,$C57),ISNUMBER($D$7)),($D$7&gt;$D57)+($D$7=$D57)/2,0),IF(AND(EXACT($C$8,$C57),ISNUMBER($D$8)),($D$8&gt;$D57)+($D$8=$D57)/2,0),IF(AND(EXACT($C$9,$C57),ISNUMBER($D$9)),($D$9&gt;$D57)+($D$9=$D57)/2,0),IF(AND(EXACT($C$10,$C57),ISNUMBER($D$10)),($D$10&gt;$D57)+($D$10=$D57)/2,0),IF(AND(EXACT($C$11,$C57),ISNUMBER($D$11)),($D$11&gt;$D57)+($D$11=$D57)/2,0),IF(AND(EXACT($C$12,$C57),ISNUMBER($D$12)),($D$12&gt;$D57)+($D$12=$D57)/2,0),IF(AND(EXACT($C$13,$C57),ISNUMBER($D$13)),($D$13&gt;$D57)+($D$13=$D57)/2,0),IF(AND(EXACT($C$14,$C57),ISNUMBER($D$14)),($D$14&gt;$D57)+($D$14=$D57)/2,0),IF(AND(EXACT($C$15,$C57),ISNUMBER($D$15)),($D$15&gt;$D57)+($D$15=$D57)/2,0),IF(AND(EXACT($C$16,$C57),ISNUMBER($D$16)),($D$16&gt;$D57)+($D$16=$D57)/2,0),IF(AND(EXACT($C$17,$C57),ISNUMBER($D$17)),($D$17&gt;$D57)+($D$17=$D57)/2,0),IF(AND(EXACT($C$18,$C57),ISNUMBER($D$18)),($D$18&gt;$D57)+($D$18=$D57)/2,0),IF(AND(EXACT($C$19,$C57),ISNUMBER($D$19)),($D$19&gt;$D57)+($D$19=$D57)/2,0),IF(AND(EXACT($C$20,$C57),ISNUMBER($D$20)),($D$20&gt;$D57)+($D$20=$D57)/2,0),IF(AND(EXACT($C$21,$C57),ISNUMBER($D$21)),($D$21&gt;$D57)+($D$21=$D57)/2,0),IF(AND(EXACT($C$22,$C57),ISNUMBER($D$22)),($D$22&gt;$D57)+($D$22=$D57)/2,0),IF(AND(EXACT($C$23,$C57),ISNUMBER($D$23)),($D$23&gt;$D57)+($D$23=$D57)/2,0),IF(AND(EXACT($C$24,$C57),ISNUMBER($D$24)),($D$24&gt;$D57)+($D$24=$D57)/2,0),IF(AND(EXACT($C$25,$C57),ISNUMBER($D$25)),($D$25&gt;$D57)+($D$25=$D57)/2,0),IF(AND(EXACT($C$26,$C57),ISNUMBER($D$26)),($D$26&gt;$D57)+($D$26=$D57)/2,0),IF(AND(EXACT($C$27,$C57),ISNUMBER($D$27)),($D$27&gt;$D57)+($D$27=$D57)/2,0),IF(AND(EXACT($C$28,$C57),ISNUMBER($D$28)),($D$28&gt;$D57)+($D$28=$D57)/2,0),IF(AND(EXACT($C$29,$C57),ISNUMBER($D$29)),($D$29&gt;$D57)+($D$29=$D57)/2,0),IF(AND(EXACT($C$30,$C57),ISNUMBER($D$30)),($D$30&gt;$D57)+($D$30=$D57)/2,0),IF(AND(EXACT($C$31,$C57),ISNUMBER($D$31)),($D$31&gt;$D57)+($D$31=$D57)/2,0),IF(AND(EXACT($C$32,$C57),ISNUMBER($D$32)),($D$32&gt;$D57)+($D$32=$D57)/2,0),IF(AND(EXACT($C$33,$C57),ISNUMBER($D$33)),($D$33&gt;$D57)+($D$33=$D57)/2,0),IF(AND(EXACT($C$34,$C57),ISNUMBER($D$34)),($D$34&gt;$D57)+($D$34=$D57)/2,0),IF(AND(EXACT($C$35,$C57),ISNUMBER($D$35)),($D$35&gt;$D57)+($D$35=$D57)/2,0),IF(AND(EXACT($C$36,$C57),ISNUMBER($D$36)),($D$36&gt;$D57)+($D$36=$D57)/2,0),IF(AND(EXACT($C$37,$C57),ISNUMBER($D$37)),($D$37&gt;$D57)+($D$37=$D57)/2,0),IF(AND(EXACT($C$38,$C57),ISNUMBER($D$38)),($D$38&gt;$D57)+($D$38=$D57)/2,0),IF(AND(EXACT($C$39,$C57),ISNUMBER($D$39)),($D$39&gt;$D57)+($D$39=$D57)/2,0),IF(AND(EXACT($C$40,$C57),ISNUMBER($D$40)),($D$40&gt;$D57)+($D$40=$D57)/2,0),IF(AND(EXACT($C$41,$C57),ISNUMBER($D$41)),($D$41&gt;$D57)+($D$41=$D57)/2,0),IF(AND(EXACT($C$42,$C57),ISNUMBER($D$42)),($D$42&gt;$D57)+($D$42=$D57)/2,0),IF(AND(EXACT($C$43,$C57),ISNUMBER($D$43)),($D$43&gt;$D57)+($D$43=$D57)/2,0),IF(AND(EXACT($C$44,$C57),ISNUMBER($D$44)),($D$44&gt;$D57)+($D$44=$D57)/2,0),IF(AND(EXACT($C$45,$C57),ISNUMBER($D$45)),($D$45&gt;$D57)+($D$45=$D57)/2,0),IF(AND(EXACT($C$46,$C57),ISNUMBER($D$46)),($D$46&gt;$D57)+($D$46=$D57)/2,0),IF(AND(EXACT($C$47,$C57),ISNUMBER($D$47)),($D$47&gt;$D57)+($D$47=$D57)/2,0),IF(AND(EXACT($C$48,$C57),ISNUMBER($D$48)),($D$48&gt;$D57)+($D$48=$D57)/2,0),IF(AND(EXACT($C$49,$C57),ISNUMBER($D$49)),($D$49&gt;$D57)+($D$49=$D57)/2,0),IF(AND(EXACT($C$50,$C57),ISNUMBER($D$50)),($D$50&gt;$D57)+($D$50=$D57)/2,0),IF(AND(EXACT($C$51,$C57),ISNUMBER($D$51)),($D$51&gt;$D57)+($D$51=$D57)/2,0),IF(AND(EXACT($C$52,$C57),ISNUMBER($D$52)),($D$52&gt;$D57)+($D$52=$D57)/2,0),IF(AND(EXACT($C$53,$C57),ISNUMBER($D$53)),($D$53&gt;$D57)+($D$53=$D57)/2,0),IF(AND(EXACT($C$54,$C57),ISNUMBER($D$54)),($D$54&gt;$D57)+($D$54=$D57)/2,0),IF(AND(EXACT($C$55,$C57),ISNUMBER($D$55)),($D$55&gt;$D57)+($D$55=$D57)/2,0),IF(AND(EXACT($C$56,$C57),ISNUMBER($D$56)),($D$56&gt;$D57)+($D$56=$D57)/2,0)))</x:f>
      </x:c>
      <x:c r="AO57" s="34" t="str">
        <x:f>IF(COUNT($D57)=0,"",SUM(IF(AND(EXACT($C$57,$C57),ISNUMBER($D$57)),($D$57&gt;$D57)+($D$57=$D57)/2,0),IF(AND(EXACT($C$58,$C57),ISNUMBER($D$58)),($D$58&gt;$D57)+($D$58=$D57)/2,0),IF(AND(EXACT($C$59,$C57),ISNUMBER($D$59)),($D$59&gt;$D57)+($D$59=$D57)/2,0),IF(AND(EXACT($C$60,$C57),ISNUMBER($D$60)),($D$60&gt;$D57)+($D$60=$D57)/2,0),IF(AND(EXACT($C$61,$C57),ISNUMBER($D$61)),($D$61&gt;$D57)+($D$61=$D57)/2,0),IF(AND(EXACT($C$62,$C57),ISNUMBER($D$62)),($D$62&gt;$D57)+($D$62=$D57)/2,0),IF(AND(EXACT($C$63,$C57),ISNUMBER($D$63)),($D$63&gt;$D57)+($D$63=$D57)/2,0),IF(AND(EXACT($C$64,$C57),ISNUMBER($D$64)),($D$64&gt;$D57)+($D$64=$D57)/2,0),IF(AND(EXACT($C$65,$C57),ISNUMBER($D$65)),($D$65&gt;$D57)+($D$65=$D57)/2,0),IF(AND(EXACT($C$66,$C57),ISNUMBER($D$66)),($D$66&gt;$D57)+($D$66=$D57)/2,0),IF(AND(EXACT($C$67,$C57),ISNUMBER($D$67)),($D$67&gt;$D57)+($D$67=$D57)/2,0),IF(AND(EXACT($C$68,$C57),ISNUMBER($D$68)),($D$68&gt;$D57)+($D$68=$D57)/2,0),IF(AND(EXACT($C$69,$C57),ISNUMBER($D$69)),($D$69&gt;$D57)+($D$69=$D57)/2,0),IF(AND(EXACT($C$70,$C57),ISNUMBER($D$70)),($D$70&gt;$D57)+($D$70=$D57)/2,0),IF(AND(EXACT($C$71,$C57),ISNUMBER($D$71)),($D$71&gt;$D57)+($D$71=$D57)/2,0),IF(AND(EXACT($C$72,$C57),ISNUMBER($D$72)),($D$72&gt;$D57)+($D$72=$D57)/2,0),IF(AND(EXACT($C$73,$C57),ISNUMBER($D$73)),($D$73&gt;$D57)+($D$73=$D57)/2,0),IF(AND(EXACT($C$74,$C57),ISNUMBER($D$74)),($D$74&gt;$D57)+($D$74=$D57)/2,0),IF(AND(EXACT($C$75,$C57),ISNUMBER($D$75)),($D$75&gt;$D57)+($D$75=$D57)/2,0),IF(AND(EXACT($C$76,$C57),ISNUMBER($D$76)),($D$76&gt;$D57)+($D$76=$D57)/2,0),IF(AND(EXACT($C$77,$C57),ISNUMBER($D$77)),($D$77&gt;$D57)+($D$77=$D57)/2,0),IF(AND(EXACT($C$78,$C57),ISNUMBER($D$78)),($D$78&gt;$D57)+($D$78=$D57)/2,0),IF(AND(EXACT($C$79,$C57),ISNUMBER($D$79)),($D$79&gt;$D57)+($D$79=$D57)/2,0),IF(AND(EXACT($C$80,$C57),ISNUMBER($D$80)),($D$80&gt;$D57)+($D$80=$D57)/2,0),IF(AND(EXACT($C$81,$C57),ISNUMBER($D$81)),($D$81&gt;$D57)+($D$81=$D57)/2,0),IF(AND(EXACT($C$82,$C57),ISNUMBER($D$82)),($D$82&gt;$D57)+($D$82=$D57)/2,0),IF(AND(EXACT($C$83,$C57),ISNUMBER($D$83)),($D$83&gt;$D57)+($D$83=$D57)/2,0),IF(AND(EXACT($C$84,$C57),ISNUMBER($D$84)),($D$84&gt;$D57)+($D$84=$D57)/2,0),IF(AND(EXACT($C$85,$C57),ISNUMBER($D$85)),($D$85&gt;$D57)+($D$85=$D57)/2,0),IF(AND(EXACT($C$86,$C57),ISNUMBER($D$86)),($D$86&gt;$D57)+($D$86=$D57)/2,0),IF(AND(EXACT($C$87,$C57),ISNUMBER($D$87)),($D$87&gt;$D57)+($D$87=$D57)/2,0),IF(AND(EXACT($C$88,$C57),ISNUMBER($D$88)),($D$88&gt;$D57)+($D$88=$D57)/2,0),IF(AND(EXACT($C$89,$C57),ISNUMBER($D$89)),($D$89&gt;$D57)+($D$89=$D57)/2,0),IF(AND(EXACT($C$90,$C57),ISNUMBER($D$90)),($D$90&gt;$D57)+($D$90=$D57)/2,0),IF(AND(EXACT($C$91,$C57),ISNUMBER($D$91)),($D$91&gt;$D57)+($D$91=$D57)/2,0),IF(AND(EXACT($C$92,$C57),ISNUMBER($D$92)),($D$92&gt;$D57)+($D$92=$D57)/2,0),IF(AND(EXACT($C$93,$C57),ISNUMBER($D$93)),($D$93&gt;$D57)+($D$93=$D57)/2,0),IF(AND(EXACT($C$94,$C57),ISNUMBER($D$94)),($D$94&gt;$D57)+($D$94=$D57)/2,0),IF(AND(EXACT($C$95,$C57),ISNUMBER($D$95)),($D$95&gt;$D57)+($D$95=$D57)/2,0),IF(AND(EXACT($C$96,$C57),ISNUMBER($D$96)),($D$96&gt;$D57)+($D$96=$D57)/2,0),IF(AND(EXACT($C$97,$C57),ISNUMBER($D$97)),($D$97&gt;$D57)+($D$97=$D57)/2,0),IF(AND(EXACT($C$98,$C57),ISNUMBER($D$98)),($D$98&gt;$D57)+($D$98=$D57)/2,0),IF(AND(EXACT($C$99,$C57),ISNUMBER($D$99)),($D$99&gt;$D57)+($D$99=$D57)/2,0),IF(AND(EXACT($C$100,$C57),ISNUMBER($D$100)),($D$100&gt;$D57)+($D$100=$D57)/2,0),IF(AND(EXACT($C$101,$C57),ISNUMBER($D$101)),($D$101&gt;$D57)+($D$101=$D57)/2,0),IF(AND(EXACT($C$102,$C57),ISNUMBER($D$102)),($D$102&gt;$D57)+($D$102=$D57)/2,0),IF(AND(EXACT($C$103,$C57),ISNUMBER($D$103)),($D$103&gt;$D57)+($D$103=$D57)/2,0),IF(AND(EXACT($C$104,$C57),ISNUMBER($D$104)),($D$104&gt;$D57)+($D$104=$D57)/2,0),IF(AND(EXACT($C$105,$C57),ISNUMBER($D$105)),($D$105&gt;$D57)+($D$105=$D57)/2,0),IF(AND(EXACT($C$106,$C57),ISNUMBER($D$106)),($D$106&gt;$D57)+($D$106=$D57)/2,0)))</x:f>
      </x:c>
    </x:row>
    <x:row r="58">
      <x:c r="A58" s="34" t="str">
        <x:f>IF('91_CALC_SCORES'!A58="","",'91_CALC_SCORES'!A58)</x:f>
      </x:c>
      <x:c r="B58" s="34" t="str">
        <x:f>IF($A58="","",'91_CALC_SCORES'!B58)</x:f>
      </x:c>
      <x:c r="C58" s="34" t="str">
        <x:f>IF($A58="","",'91_CALC_SCORES'!K58)</x:f>
      </x:c>
      <x:c r="D58" s="57" t="str">
        <x:f>IF(OR($A58="",NOT(OR(LEFT('91_CALC_SCORES'!AB58,4)="PASS",LEFT('91_CALC_SCORES'!AB58,5)="READY"))),"",'91_CALC_SCORES'!Y58)</x:f>
      </x:c>
      <x:c r="E58" s="34" t="str">
        <x:f>IF(COUNT(D58)=0,"",1+SUM(AN58:AO58)-1/2)</x:f>
      </x:c>
      <x:c r="F58" s="34" t="str">
        <x:f>IF($A58="","",'91_CALC_SCORES'!AB58)</x:f>
      </x:c>
      <x:c r="G58" s="34" t="str">
        <x:f>IF(A58="","","연구 베타 | 기업 백분위 아님")</x:f>
      </x:c>
      <x:c r="AN58" s="34" t="str">
        <x:f>IF(COUNT($D58)=0,"",SUM(IF(AND(EXACT($C$7,$C58),ISNUMBER($D$7)),($D$7&gt;$D58)+($D$7=$D58)/2,0),IF(AND(EXACT($C$8,$C58),ISNUMBER($D$8)),($D$8&gt;$D58)+($D$8=$D58)/2,0),IF(AND(EXACT($C$9,$C58),ISNUMBER($D$9)),($D$9&gt;$D58)+($D$9=$D58)/2,0),IF(AND(EXACT($C$10,$C58),ISNUMBER($D$10)),($D$10&gt;$D58)+($D$10=$D58)/2,0),IF(AND(EXACT($C$11,$C58),ISNUMBER($D$11)),($D$11&gt;$D58)+($D$11=$D58)/2,0),IF(AND(EXACT($C$12,$C58),ISNUMBER($D$12)),($D$12&gt;$D58)+($D$12=$D58)/2,0),IF(AND(EXACT($C$13,$C58),ISNUMBER($D$13)),($D$13&gt;$D58)+($D$13=$D58)/2,0),IF(AND(EXACT($C$14,$C58),ISNUMBER($D$14)),($D$14&gt;$D58)+($D$14=$D58)/2,0),IF(AND(EXACT($C$15,$C58),ISNUMBER($D$15)),($D$15&gt;$D58)+($D$15=$D58)/2,0),IF(AND(EXACT($C$16,$C58),ISNUMBER($D$16)),($D$16&gt;$D58)+($D$16=$D58)/2,0),IF(AND(EXACT($C$17,$C58),ISNUMBER($D$17)),($D$17&gt;$D58)+($D$17=$D58)/2,0),IF(AND(EXACT($C$18,$C58),ISNUMBER($D$18)),($D$18&gt;$D58)+($D$18=$D58)/2,0),IF(AND(EXACT($C$19,$C58),ISNUMBER($D$19)),($D$19&gt;$D58)+($D$19=$D58)/2,0),IF(AND(EXACT($C$20,$C58),ISNUMBER($D$20)),($D$20&gt;$D58)+($D$20=$D58)/2,0),IF(AND(EXACT($C$21,$C58),ISNUMBER($D$21)),($D$21&gt;$D58)+($D$21=$D58)/2,0),IF(AND(EXACT($C$22,$C58),ISNUMBER($D$22)),($D$22&gt;$D58)+($D$22=$D58)/2,0),IF(AND(EXACT($C$23,$C58),ISNUMBER($D$23)),($D$23&gt;$D58)+($D$23=$D58)/2,0),IF(AND(EXACT($C$24,$C58),ISNUMBER($D$24)),($D$24&gt;$D58)+($D$24=$D58)/2,0),IF(AND(EXACT($C$25,$C58),ISNUMBER($D$25)),($D$25&gt;$D58)+($D$25=$D58)/2,0),IF(AND(EXACT($C$26,$C58),ISNUMBER($D$26)),($D$26&gt;$D58)+($D$26=$D58)/2,0),IF(AND(EXACT($C$27,$C58),ISNUMBER($D$27)),($D$27&gt;$D58)+($D$27=$D58)/2,0),IF(AND(EXACT($C$28,$C58),ISNUMBER($D$28)),($D$28&gt;$D58)+($D$28=$D58)/2,0),IF(AND(EXACT($C$29,$C58),ISNUMBER($D$29)),($D$29&gt;$D58)+($D$29=$D58)/2,0),IF(AND(EXACT($C$30,$C58),ISNUMBER($D$30)),($D$30&gt;$D58)+($D$30=$D58)/2,0),IF(AND(EXACT($C$31,$C58),ISNUMBER($D$31)),($D$31&gt;$D58)+($D$31=$D58)/2,0),IF(AND(EXACT($C$32,$C58),ISNUMBER($D$32)),($D$32&gt;$D58)+($D$32=$D58)/2,0),IF(AND(EXACT($C$33,$C58),ISNUMBER($D$33)),($D$33&gt;$D58)+($D$33=$D58)/2,0),IF(AND(EXACT($C$34,$C58),ISNUMBER($D$34)),($D$34&gt;$D58)+($D$34=$D58)/2,0),IF(AND(EXACT($C$35,$C58),ISNUMBER($D$35)),($D$35&gt;$D58)+($D$35=$D58)/2,0),IF(AND(EXACT($C$36,$C58),ISNUMBER($D$36)),($D$36&gt;$D58)+($D$36=$D58)/2,0),IF(AND(EXACT($C$37,$C58),ISNUMBER($D$37)),($D$37&gt;$D58)+($D$37=$D58)/2,0),IF(AND(EXACT($C$38,$C58),ISNUMBER($D$38)),($D$38&gt;$D58)+($D$38=$D58)/2,0),IF(AND(EXACT($C$39,$C58),ISNUMBER($D$39)),($D$39&gt;$D58)+($D$39=$D58)/2,0),IF(AND(EXACT($C$40,$C58),ISNUMBER($D$40)),($D$40&gt;$D58)+($D$40=$D58)/2,0),IF(AND(EXACT($C$41,$C58),ISNUMBER($D$41)),($D$41&gt;$D58)+($D$41=$D58)/2,0),IF(AND(EXACT($C$42,$C58),ISNUMBER($D$42)),($D$42&gt;$D58)+($D$42=$D58)/2,0),IF(AND(EXACT($C$43,$C58),ISNUMBER($D$43)),($D$43&gt;$D58)+($D$43=$D58)/2,0),IF(AND(EXACT($C$44,$C58),ISNUMBER($D$44)),($D$44&gt;$D58)+($D$44=$D58)/2,0),IF(AND(EXACT($C$45,$C58),ISNUMBER($D$45)),($D$45&gt;$D58)+($D$45=$D58)/2,0),IF(AND(EXACT($C$46,$C58),ISNUMBER($D$46)),($D$46&gt;$D58)+($D$46=$D58)/2,0),IF(AND(EXACT($C$47,$C58),ISNUMBER($D$47)),($D$47&gt;$D58)+($D$47=$D58)/2,0),IF(AND(EXACT($C$48,$C58),ISNUMBER($D$48)),($D$48&gt;$D58)+($D$48=$D58)/2,0),IF(AND(EXACT($C$49,$C58),ISNUMBER($D$49)),($D$49&gt;$D58)+($D$49=$D58)/2,0),IF(AND(EXACT($C$50,$C58),ISNUMBER($D$50)),($D$50&gt;$D58)+($D$50=$D58)/2,0),IF(AND(EXACT($C$51,$C58),ISNUMBER($D$51)),($D$51&gt;$D58)+($D$51=$D58)/2,0),IF(AND(EXACT($C$52,$C58),ISNUMBER($D$52)),($D$52&gt;$D58)+($D$52=$D58)/2,0),IF(AND(EXACT($C$53,$C58),ISNUMBER($D$53)),($D$53&gt;$D58)+($D$53=$D58)/2,0),IF(AND(EXACT($C$54,$C58),ISNUMBER($D$54)),($D$54&gt;$D58)+($D$54=$D58)/2,0),IF(AND(EXACT($C$55,$C58),ISNUMBER($D$55)),($D$55&gt;$D58)+($D$55=$D58)/2,0),IF(AND(EXACT($C$56,$C58),ISNUMBER($D$56)),($D$56&gt;$D58)+($D$56=$D58)/2,0)))</x:f>
      </x:c>
      <x:c r="AO58" s="34" t="str">
        <x:f>IF(COUNT($D58)=0,"",SUM(IF(AND(EXACT($C$57,$C58),ISNUMBER($D$57)),($D$57&gt;$D58)+($D$57=$D58)/2,0),IF(AND(EXACT($C$58,$C58),ISNUMBER($D$58)),($D$58&gt;$D58)+($D$58=$D58)/2,0),IF(AND(EXACT($C$59,$C58),ISNUMBER($D$59)),($D$59&gt;$D58)+($D$59=$D58)/2,0),IF(AND(EXACT($C$60,$C58),ISNUMBER($D$60)),($D$60&gt;$D58)+($D$60=$D58)/2,0),IF(AND(EXACT($C$61,$C58),ISNUMBER($D$61)),($D$61&gt;$D58)+($D$61=$D58)/2,0),IF(AND(EXACT($C$62,$C58),ISNUMBER($D$62)),($D$62&gt;$D58)+($D$62=$D58)/2,0),IF(AND(EXACT($C$63,$C58),ISNUMBER($D$63)),($D$63&gt;$D58)+($D$63=$D58)/2,0),IF(AND(EXACT($C$64,$C58),ISNUMBER($D$64)),($D$64&gt;$D58)+($D$64=$D58)/2,0),IF(AND(EXACT($C$65,$C58),ISNUMBER($D$65)),($D$65&gt;$D58)+($D$65=$D58)/2,0),IF(AND(EXACT($C$66,$C58),ISNUMBER($D$66)),($D$66&gt;$D58)+($D$66=$D58)/2,0),IF(AND(EXACT($C$67,$C58),ISNUMBER($D$67)),($D$67&gt;$D58)+($D$67=$D58)/2,0),IF(AND(EXACT($C$68,$C58),ISNUMBER($D$68)),($D$68&gt;$D58)+($D$68=$D58)/2,0),IF(AND(EXACT($C$69,$C58),ISNUMBER($D$69)),($D$69&gt;$D58)+($D$69=$D58)/2,0),IF(AND(EXACT($C$70,$C58),ISNUMBER($D$70)),($D$70&gt;$D58)+($D$70=$D58)/2,0),IF(AND(EXACT($C$71,$C58),ISNUMBER($D$71)),($D$71&gt;$D58)+($D$71=$D58)/2,0),IF(AND(EXACT($C$72,$C58),ISNUMBER($D$72)),($D$72&gt;$D58)+($D$72=$D58)/2,0),IF(AND(EXACT($C$73,$C58),ISNUMBER($D$73)),($D$73&gt;$D58)+($D$73=$D58)/2,0),IF(AND(EXACT($C$74,$C58),ISNUMBER($D$74)),($D$74&gt;$D58)+($D$74=$D58)/2,0),IF(AND(EXACT($C$75,$C58),ISNUMBER($D$75)),($D$75&gt;$D58)+($D$75=$D58)/2,0),IF(AND(EXACT($C$76,$C58),ISNUMBER($D$76)),($D$76&gt;$D58)+($D$76=$D58)/2,0),IF(AND(EXACT($C$77,$C58),ISNUMBER($D$77)),($D$77&gt;$D58)+($D$77=$D58)/2,0),IF(AND(EXACT($C$78,$C58),ISNUMBER($D$78)),($D$78&gt;$D58)+($D$78=$D58)/2,0),IF(AND(EXACT($C$79,$C58),ISNUMBER($D$79)),($D$79&gt;$D58)+($D$79=$D58)/2,0),IF(AND(EXACT($C$80,$C58),ISNUMBER($D$80)),($D$80&gt;$D58)+($D$80=$D58)/2,0),IF(AND(EXACT($C$81,$C58),ISNUMBER($D$81)),($D$81&gt;$D58)+($D$81=$D58)/2,0),IF(AND(EXACT($C$82,$C58),ISNUMBER($D$82)),($D$82&gt;$D58)+($D$82=$D58)/2,0),IF(AND(EXACT($C$83,$C58),ISNUMBER($D$83)),($D$83&gt;$D58)+($D$83=$D58)/2,0),IF(AND(EXACT($C$84,$C58),ISNUMBER($D$84)),($D$84&gt;$D58)+($D$84=$D58)/2,0),IF(AND(EXACT($C$85,$C58),ISNUMBER($D$85)),($D$85&gt;$D58)+($D$85=$D58)/2,0),IF(AND(EXACT($C$86,$C58),ISNUMBER($D$86)),($D$86&gt;$D58)+($D$86=$D58)/2,0),IF(AND(EXACT($C$87,$C58),ISNUMBER($D$87)),($D$87&gt;$D58)+($D$87=$D58)/2,0),IF(AND(EXACT($C$88,$C58),ISNUMBER($D$88)),($D$88&gt;$D58)+($D$88=$D58)/2,0),IF(AND(EXACT($C$89,$C58),ISNUMBER($D$89)),($D$89&gt;$D58)+($D$89=$D58)/2,0),IF(AND(EXACT($C$90,$C58),ISNUMBER($D$90)),($D$90&gt;$D58)+($D$90=$D58)/2,0),IF(AND(EXACT($C$91,$C58),ISNUMBER($D$91)),($D$91&gt;$D58)+($D$91=$D58)/2,0),IF(AND(EXACT($C$92,$C58),ISNUMBER($D$92)),($D$92&gt;$D58)+($D$92=$D58)/2,0),IF(AND(EXACT($C$93,$C58),ISNUMBER($D$93)),($D$93&gt;$D58)+($D$93=$D58)/2,0),IF(AND(EXACT($C$94,$C58),ISNUMBER($D$94)),($D$94&gt;$D58)+($D$94=$D58)/2,0),IF(AND(EXACT($C$95,$C58),ISNUMBER($D$95)),($D$95&gt;$D58)+($D$95=$D58)/2,0),IF(AND(EXACT($C$96,$C58),ISNUMBER($D$96)),($D$96&gt;$D58)+($D$96=$D58)/2,0),IF(AND(EXACT($C$97,$C58),ISNUMBER($D$97)),($D$97&gt;$D58)+($D$97=$D58)/2,0),IF(AND(EXACT($C$98,$C58),ISNUMBER($D$98)),($D$98&gt;$D58)+($D$98=$D58)/2,0),IF(AND(EXACT($C$99,$C58),ISNUMBER($D$99)),($D$99&gt;$D58)+($D$99=$D58)/2,0),IF(AND(EXACT($C$100,$C58),ISNUMBER($D$100)),($D$100&gt;$D58)+($D$100=$D58)/2,0),IF(AND(EXACT($C$101,$C58),ISNUMBER($D$101)),($D$101&gt;$D58)+($D$101=$D58)/2,0),IF(AND(EXACT($C$102,$C58),ISNUMBER($D$102)),($D$102&gt;$D58)+($D$102=$D58)/2,0),IF(AND(EXACT($C$103,$C58),ISNUMBER($D$103)),($D$103&gt;$D58)+($D$103=$D58)/2,0),IF(AND(EXACT($C$104,$C58),ISNUMBER($D$104)),($D$104&gt;$D58)+($D$104=$D58)/2,0),IF(AND(EXACT($C$105,$C58),ISNUMBER($D$105)),($D$105&gt;$D58)+($D$105=$D58)/2,0),IF(AND(EXACT($C$106,$C58),ISNUMBER($D$106)),($D$106&gt;$D58)+($D$106=$D58)/2,0)))</x:f>
      </x:c>
    </x:row>
    <x:row r="59">
      <x:c r="A59" s="34" t="str">
        <x:f>IF('91_CALC_SCORES'!A59="","",'91_CALC_SCORES'!A59)</x:f>
      </x:c>
      <x:c r="B59" s="34" t="str">
        <x:f>IF($A59="","",'91_CALC_SCORES'!B59)</x:f>
      </x:c>
      <x:c r="C59" s="34" t="str">
        <x:f>IF($A59="","",'91_CALC_SCORES'!K59)</x:f>
      </x:c>
      <x:c r="D59" s="57" t="str">
        <x:f>IF(OR($A59="",NOT(OR(LEFT('91_CALC_SCORES'!AB59,4)="PASS",LEFT('91_CALC_SCORES'!AB59,5)="READY"))),"",'91_CALC_SCORES'!Y59)</x:f>
      </x:c>
      <x:c r="E59" s="34" t="str">
        <x:f>IF(COUNT(D59)=0,"",1+SUM(AN59:AO59)-1/2)</x:f>
      </x:c>
      <x:c r="F59" s="34" t="str">
        <x:f>IF($A59="","",'91_CALC_SCORES'!AB59)</x:f>
      </x:c>
      <x:c r="G59" s="34" t="str">
        <x:f>IF(A59="","","연구 베타 | 기업 백분위 아님")</x:f>
      </x:c>
      <x:c r="AN59" s="34" t="str">
        <x:f>IF(COUNT($D59)=0,"",SUM(IF(AND(EXACT($C$7,$C59),ISNUMBER($D$7)),($D$7&gt;$D59)+($D$7=$D59)/2,0),IF(AND(EXACT($C$8,$C59),ISNUMBER($D$8)),($D$8&gt;$D59)+($D$8=$D59)/2,0),IF(AND(EXACT($C$9,$C59),ISNUMBER($D$9)),($D$9&gt;$D59)+($D$9=$D59)/2,0),IF(AND(EXACT($C$10,$C59),ISNUMBER($D$10)),($D$10&gt;$D59)+($D$10=$D59)/2,0),IF(AND(EXACT($C$11,$C59),ISNUMBER($D$11)),($D$11&gt;$D59)+($D$11=$D59)/2,0),IF(AND(EXACT($C$12,$C59),ISNUMBER($D$12)),($D$12&gt;$D59)+($D$12=$D59)/2,0),IF(AND(EXACT($C$13,$C59),ISNUMBER($D$13)),($D$13&gt;$D59)+($D$13=$D59)/2,0),IF(AND(EXACT($C$14,$C59),ISNUMBER($D$14)),($D$14&gt;$D59)+($D$14=$D59)/2,0),IF(AND(EXACT($C$15,$C59),ISNUMBER($D$15)),($D$15&gt;$D59)+($D$15=$D59)/2,0),IF(AND(EXACT($C$16,$C59),ISNUMBER($D$16)),($D$16&gt;$D59)+($D$16=$D59)/2,0),IF(AND(EXACT($C$17,$C59),ISNUMBER($D$17)),($D$17&gt;$D59)+($D$17=$D59)/2,0),IF(AND(EXACT($C$18,$C59),ISNUMBER($D$18)),($D$18&gt;$D59)+($D$18=$D59)/2,0),IF(AND(EXACT($C$19,$C59),ISNUMBER($D$19)),($D$19&gt;$D59)+($D$19=$D59)/2,0),IF(AND(EXACT($C$20,$C59),ISNUMBER($D$20)),($D$20&gt;$D59)+($D$20=$D59)/2,0),IF(AND(EXACT($C$21,$C59),ISNUMBER($D$21)),($D$21&gt;$D59)+($D$21=$D59)/2,0),IF(AND(EXACT($C$22,$C59),ISNUMBER($D$22)),($D$22&gt;$D59)+($D$22=$D59)/2,0),IF(AND(EXACT($C$23,$C59),ISNUMBER($D$23)),($D$23&gt;$D59)+($D$23=$D59)/2,0),IF(AND(EXACT($C$24,$C59),ISNUMBER($D$24)),($D$24&gt;$D59)+($D$24=$D59)/2,0),IF(AND(EXACT($C$25,$C59),ISNUMBER($D$25)),($D$25&gt;$D59)+($D$25=$D59)/2,0),IF(AND(EXACT($C$26,$C59),ISNUMBER($D$26)),($D$26&gt;$D59)+($D$26=$D59)/2,0),IF(AND(EXACT($C$27,$C59),ISNUMBER($D$27)),($D$27&gt;$D59)+($D$27=$D59)/2,0),IF(AND(EXACT($C$28,$C59),ISNUMBER($D$28)),($D$28&gt;$D59)+($D$28=$D59)/2,0),IF(AND(EXACT($C$29,$C59),ISNUMBER($D$29)),($D$29&gt;$D59)+($D$29=$D59)/2,0),IF(AND(EXACT($C$30,$C59),ISNUMBER($D$30)),($D$30&gt;$D59)+($D$30=$D59)/2,0),IF(AND(EXACT($C$31,$C59),ISNUMBER($D$31)),($D$31&gt;$D59)+($D$31=$D59)/2,0),IF(AND(EXACT($C$32,$C59),ISNUMBER($D$32)),($D$32&gt;$D59)+($D$32=$D59)/2,0),IF(AND(EXACT($C$33,$C59),ISNUMBER($D$33)),($D$33&gt;$D59)+($D$33=$D59)/2,0),IF(AND(EXACT($C$34,$C59),ISNUMBER($D$34)),($D$34&gt;$D59)+($D$34=$D59)/2,0),IF(AND(EXACT($C$35,$C59),ISNUMBER($D$35)),($D$35&gt;$D59)+($D$35=$D59)/2,0),IF(AND(EXACT($C$36,$C59),ISNUMBER($D$36)),($D$36&gt;$D59)+($D$36=$D59)/2,0),IF(AND(EXACT($C$37,$C59),ISNUMBER($D$37)),($D$37&gt;$D59)+($D$37=$D59)/2,0),IF(AND(EXACT($C$38,$C59),ISNUMBER($D$38)),($D$38&gt;$D59)+($D$38=$D59)/2,0),IF(AND(EXACT($C$39,$C59),ISNUMBER($D$39)),($D$39&gt;$D59)+($D$39=$D59)/2,0),IF(AND(EXACT($C$40,$C59),ISNUMBER($D$40)),($D$40&gt;$D59)+($D$40=$D59)/2,0),IF(AND(EXACT($C$41,$C59),ISNUMBER($D$41)),($D$41&gt;$D59)+($D$41=$D59)/2,0),IF(AND(EXACT($C$42,$C59),ISNUMBER($D$42)),($D$42&gt;$D59)+($D$42=$D59)/2,0),IF(AND(EXACT($C$43,$C59),ISNUMBER($D$43)),($D$43&gt;$D59)+($D$43=$D59)/2,0),IF(AND(EXACT($C$44,$C59),ISNUMBER($D$44)),($D$44&gt;$D59)+($D$44=$D59)/2,0),IF(AND(EXACT($C$45,$C59),ISNUMBER($D$45)),($D$45&gt;$D59)+($D$45=$D59)/2,0),IF(AND(EXACT($C$46,$C59),ISNUMBER($D$46)),($D$46&gt;$D59)+($D$46=$D59)/2,0),IF(AND(EXACT($C$47,$C59),ISNUMBER($D$47)),($D$47&gt;$D59)+($D$47=$D59)/2,0),IF(AND(EXACT($C$48,$C59),ISNUMBER($D$48)),($D$48&gt;$D59)+($D$48=$D59)/2,0),IF(AND(EXACT($C$49,$C59),ISNUMBER($D$49)),($D$49&gt;$D59)+($D$49=$D59)/2,0),IF(AND(EXACT($C$50,$C59),ISNUMBER($D$50)),($D$50&gt;$D59)+($D$50=$D59)/2,0),IF(AND(EXACT($C$51,$C59),ISNUMBER($D$51)),($D$51&gt;$D59)+($D$51=$D59)/2,0),IF(AND(EXACT($C$52,$C59),ISNUMBER($D$52)),($D$52&gt;$D59)+($D$52=$D59)/2,0),IF(AND(EXACT($C$53,$C59),ISNUMBER($D$53)),($D$53&gt;$D59)+($D$53=$D59)/2,0),IF(AND(EXACT($C$54,$C59),ISNUMBER($D$54)),($D$54&gt;$D59)+($D$54=$D59)/2,0),IF(AND(EXACT($C$55,$C59),ISNUMBER($D$55)),($D$55&gt;$D59)+($D$55=$D59)/2,0),IF(AND(EXACT($C$56,$C59),ISNUMBER($D$56)),($D$56&gt;$D59)+($D$56=$D59)/2,0)))</x:f>
      </x:c>
      <x:c r="AO59" s="34" t="str">
        <x:f>IF(COUNT($D59)=0,"",SUM(IF(AND(EXACT($C$57,$C59),ISNUMBER($D$57)),($D$57&gt;$D59)+($D$57=$D59)/2,0),IF(AND(EXACT($C$58,$C59),ISNUMBER($D$58)),($D$58&gt;$D59)+($D$58=$D59)/2,0),IF(AND(EXACT($C$59,$C59),ISNUMBER($D$59)),($D$59&gt;$D59)+($D$59=$D59)/2,0),IF(AND(EXACT($C$60,$C59),ISNUMBER($D$60)),($D$60&gt;$D59)+($D$60=$D59)/2,0),IF(AND(EXACT($C$61,$C59),ISNUMBER($D$61)),($D$61&gt;$D59)+($D$61=$D59)/2,0),IF(AND(EXACT($C$62,$C59),ISNUMBER($D$62)),($D$62&gt;$D59)+($D$62=$D59)/2,0),IF(AND(EXACT($C$63,$C59),ISNUMBER($D$63)),($D$63&gt;$D59)+($D$63=$D59)/2,0),IF(AND(EXACT($C$64,$C59),ISNUMBER($D$64)),($D$64&gt;$D59)+($D$64=$D59)/2,0),IF(AND(EXACT($C$65,$C59),ISNUMBER($D$65)),($D$65&gt;$D59)+($D$65=$D59)/2,0),IF(AND(EXACT($C$66,$C59),ISNUMBER($D$66)),($D$66&gt;$D59)+($D$66=$D59)/2,0),IF(AND(EXACT($C$67,$C59),ISNUMBER($D$67)),($D$67&gt;$D59)+($D$67=$D59)/2,0),IF(AND(EXACT($C$68,$C59),ISNUMBER($D$68)),($D$68&gt;$D59)+($D$68=$D59)/2,0),IF(AND(EXACT($C$69,$C59),ISNUMBER($D$69)),($D$69&gt;$D59)+($D$69=$D59)/2,0),IF(AND(EXACT($C$70,$C59),ISNUMBER($D$70)),($D$70&gt;$D59)+($D$70=$D59)/2,0),IF(AND(EXACT($C$71,$C59),ISNUMBER($D$71)),($D$71&gt;$D59)+($D$71=$D59)/2,0),IF(AND(EXACT($C$72,$C59),ISNUMBER($D$72)),($D$72&gt;$D59)+($D$72=$D59)/2,0),IF(AND(EXACT($C$73,$C59),ISNUMBER($D$73)),($D$73&gt;$D59)+($D$73=$D59)/2,0),IF(AND(EXACT($C$74,$C59),ISNUMBER($D$74)),($D$74&gt;$D59)+($D$74=$D59)/2,0),IF(AND(EXACT($C$75,$C59),ISNUMBER($D$75)),($D$75&gt;$D59)+($D$75=$D59)/2,0),IF(AND(EXACT($C$76,$C59),ISNUMBER($D$76)),($D$76&gt;$D59)+($D$76=$D59)/2,0),IF(AND(EXACT($C$77,$C59),ISNUMBER($D$77)),($D$77&gt;$D59)+($D$77=$D59)/2,0),IF(AND(EXACT($C$78,$C59),ISNUMBER($D$78)),($D$78&gt;$D59)+($D$78=$D59)/2,0),IF(AND(EXACT($C$79,$C59),ISNUMBER($D$79)),($D$79&gt;$D59)+($D$79=$D59)/2,0),IF(AND(EXACT($C$80,$C59),ISNUMBER($D$80)),($D$80&gt;$D59)+($D$80=$D59)/2,0),IF(AND(EXACT($C$81,$C59),ISNUMBER($D$81)),($D$81&gt;$D59)+($D$81=$D59)/2,0),IF(AND(EXACT($C$82,$C59),ISNUMBER($D$82)),($D$82&gt;$D59)+($D$82=$D59)/2,0),IF(AND(EXACT($C$83,$C59),ISNUMBER($D$83)),($D$83&gt;$D59)+($D$83=$D59)/2,0),IF(AND(EXACT($C$84,$C59),ISNUMBER($D$84)),($D$84&gt;$D59)+($D$84=$D59)/2,0),IF(AND(EXACT($C$85,$C59),ISNUMBER($D$85)),($D$85&gt;$D59)+($D$85=$D59)/2,0),IF(AND(EXACT($C$86,$C59),ISNUMBER($D$86)),($D$86&gt;$D59)+($D$86=$D59)/2,0),IF(AND(EXACT($C$87,$C59),ISNUMBER($D$87)),($D$87&gt;$D59)+($D$87=$D59)/2,0),IF(AND(EXACT($C$88,$C59),ISNUMBER($D$88)),($D$88&gt;$D59)+($D$88=$D59)/2,0),IF(AND(EXACT($C$89,$C59),ISNUMBER($D$89)),($D$89&gt;$D59)+($D$89=$D59)/2,0),IF(AND(EXACT($C$90,$C59),ISNUMBER($D$90)),($D$90&gt;$D59)+($D$90=$D59)/2,0),IF(AND(EXACT($C$91,$C59),ISNUMBER($D$91)),($D$91&gt;$D59)+($D$91=$D59)/2,0),IF(AND(EXACT($C$92,$C59),ISNUMBER($D$92)),($D$92&gt;$D59)+($D$92=$D59)/2,0),IF(AND(EXACT($C$93,$C59),ISNUMBER($D$93)),($D$93&gt;$D59)+($D$93=$D59)/2,0),IF(AND(EXACT($C$94,$C59),ISNUMBER($D$94)),($D$94&gt;$D59)+($D$94=$D59)/2,0),IF(AND(EXACT($C$95,$C59),ISNUMBER($D$95)),($D$95&gt;$D59)+($D$95=$D59)/2,0),IF(AND(EXACT($C$96,$C59),ISNUMBER($D$96)),($D$96&gt;$D59)+($D$96=$D59)/2,0),IF(AND(EXACT($C$97,$C59),ISNUMBER($D$97)),($D$97&gt;$D59)+($D$97=$D59)/2,0),IF(AND(EXACT($C$98,$C59),ISNUMBER($D$98)),($D$98&gt;$D59)+($D$98=$D59)/2,0),IF(AND(EXACT($C$99,$C59),ISNUMBER($D$99)),($D$99&gt;$D59)+($D$99=$D59)/2,0),IF(AND(EXACT($C$100,$C59),ISNUMBER($D$100)),($D$100&gt;$D59)+($D$100=$D59)/2,0),IF(AND(EXACT($C$101,$C59),ISNUMBER($D$101)),($D$101&gt;$D59)+($D$101=$D59)/2,0),IF(AND(EXACT($C$102,$C59),ISNUMBER($D$102)),($D$102&gt;$D59)+($D$102=$D59)/2,0),IF(AND(EXACT($C$103,$C59),ISNUMBER($D$103)),($D$103&gt;$D59)+($D$103=$D59)/2,0),IF(AND(EXACT($C$104,$C59),ISNUMBER($D$104)),($D$104&gt;$D59)+($D$104=$D59)/2,0),IF(AND(EXACT($C$105,$C59),ISNUMBER($D$105)),($D$105&gt;$D59)+($D$105=$D59)/2,0),IF(AND(EXACT($C$106,$C59),ISNUMBER($D$106)),($D$106&gt;$D59)+($D$106=$D59)/2,0)))</x:f>
      </x:c>
    </x:row>
    <x:row r="60">
      <x:c r="A60" s="34" t="str">
        <x:f>IF('91_CALC_SCORES'!A60="","",'91_CALC_SCORES'!A60)</x:f>
      </x:c>
      <x:c r="B60" s="34" t="str">
        <x:f>IF($A60="","",'91_CALC_SCORES'!B60)</x:f>
      </x:c>
      <x:c r="C60" s="34" t="str">
        <x:f>IF($A60="","",'91_CALC_SCORES'!K60)</x:f>
      </x:c>
      <x:c r="D60" s="57" t="str">
        <x:f>IF(OR($A60="",NOT(OR(LEFT('91_CALC_SCORES'!AB60,4)="PASS",LEFT('91_CALC_SCORES'!AB60,5)="READY"))),"",'91_CALC_SCORES'!Y60)</x:f>
      </x:c>
      <x:c r="E60" s="34" t="str">
        <x:f>IF(COUNT(D60)=0,"",1+SUM(AN60:AO60)-1/2)</x:f>
      </x:c>
      <x:c r="F60" s="34" t="str">
        <x:f>IF($A60="","",'91_CALC_SCORES'!AB60)</x:f>
      </x:c>
      <x:c r="G60" s="34" t="str">
        <x:f>IF(A60="","","연구 베타 | 기업 백분위 아님")</x:f>
      </x:c>
      <x:c r="AN60" s="34" t="str">
        <x:f>IF(COUNT($D60)=0,"",SUM(IF(AND(EXACT($C$7,$C60),ISNUMBER($D$7)),($D$7&gt;$D60)+($D$7=$D60)/2,0),IF(AND(EXACT($C$8,$C60),ISNUMBER($D$8)),($D$8&gt;$D60)+($D$8=$D60)/2,0),IF(AND(EXACT($C$9,$C60),ISNUMBER($D$9)),($D$9&gt;$D60)+($D$9=$D60)/2,0),IF(AND(EXACT($C$10,$C60),ISNUMBER($D$10)),($D$10&gt;$D60)+($D$10=$D60)/2,0),IF(AND(EXACT($C$11,$C60),ISNUMBER($D$11)),($D$11&gt;$D60)+($D$11=$D60)/2,0),IF(AND(EXACT($C$12,$C60),ISNUMBER($D$12)),($D$12&gt;$D60)+($D$12=$D60)/2,0),IF(AND(EXACT($C$13,$C60),ISNUMBER($D$13)),($D$13&gt;$D60)+($D$13=$D60)/2,0),IF(AND(EXACT($C$14,$C60),ISNUMBER($D$14)),($D$14&gt;$D60)+($D$14=$D60)/2,0),IF(AND(EXACT($C$15,$C60),ISNUMBER($D$15)),($D$15&gt;$D60)+($D$15=$D60)/2,0),IF(AND(EXACT($C$16,$C60),ISNUMBER($D$16)),($D$16&gt;$D60)+($D$16=$D60)/2,0),IF(AND(EXACT($C$17,$C60),ISNUMBER($D$17)),($D$17&gt;$D60)+($D$17=$D60)/2,0),IF(AND(EXACT($C$18,$C60),ISNUMBER($D$18)),($D$18&gt;$D60)+($D$18=$D60)/2,0),IF(AND(EXACT($C$19,$C60),ISNUMBER($D$19)),($D$19&gt;$D60)+($D$19=$D60)/2,0),IF(AND(EXACT($C$20,$C60),ISNUMBER($D$20)),($D$20&gt;$D60)+($D$20=$D60)/2,0),IF(AND(EXACT($C$21,$C60),ISNUMBER($D$21)),($D$21&gt;$D60)+($D$21=$D60)/2,0),IF(AND(EXACT($C$22,$C60),ISNUMBER($D$22)),($D$22&gt;$D60)+($D$22=$D60)/2,0),IF(AND(EXACT($C$23,$C60),ISNUMBER($D$23)),($D$23&gt;$D60)+($D$23=$D60)/2,0),IF(AND(EXACT($C$24,$C60),ISNUMBER($D$24)),($D$24&gt;$D60)+($D$24=$D60)/2,0),IF(AND(EXACT($C$25,$C60),ISNUMBER($D$25)),($D$25&gt;$D60)+($D$25=$D60)/2,0),IF(AND(EXACT($C$26,$C60),ISNUMBER($D$26)),($D$26&gt;$D60)+($D$26=$D60)/2,0),IF(AND(EXACT($C$27,$C60),ISNUMBER($D$27)),($D$27&gt;$D60)+($D$27=$D60)/2,0),IF(AND(EXACT($C$28,$C60),ISNUMBER($D$28)),($D$28&gt;$D60)+($D$28=$D60)/2,0),IF(AND(EXACT($C$29,$C60),ISNUMBER($D$29)),($D$29&gt;$D60)+($D$29=$D60)/2,0),IF(AND(EXACT($C$30,$C60),ISNUMBER($D$30)),($D$30&gt;$D60)+($D$30=$D60)/2,0),IF(AND(EXACT($C$31,$C60),ISNUMBER($D$31)),($D$31&gt;$D60)+($D$31=$D60)/2,0),IF(AND(EXACT($C$32,$C60),ISNUMBER($D$32)),($D$32&gt;$D60)+($D$32=$D60)/2,0),IF(AND(EXACT($C$33,$C60),ISNUMBER($D$33)),($D$33&gt;$D60)+($D$33=$D60)/2,0),IF(AND(EXACT($C$34,$C60),ISNUMBER($D$34)),($D$34&gt;$D60)+($D$34=$D60)/2,0),IF(AND(EXACT($C$35,$C60),ISNUMBER($D$35)),($D$35&gt;$D60)+($D$35=$D60)/2,0),IF(AND(EXACT($C$36,$C60),ISNUMBER($D$36)),($D$36&gt;$D60)+($D$36=$D60)/2,0),IF(AND(EXACT($C$37,$C60),ISNUMBER($D$37)),($D$37&gt;$D60)+($D$37=$D60)/2,0),IF(AND(EXACT($C$38,$C60),ISNUMBER($D$38)),($D$38&gt;$D60)+($D$38=$D60)/2,0),IF(AND(EXACT($C$39,$C60),ISNUMBER($D$39)),($D$39&gt;$D60)+($D$39=$D60)/2,0),IF(AND(EXACT($C$40,$C60),ISNUMBER($D$40)),($D$40&gt;$D60)+($D$40=$D60)/2,0),IF(AND(EXACT($C$41,$C60),ISNUMBER($D$41)),($D$41&gt;$D60)+($D$41=$D60)/2,0),IF(AND(EXACT($C$42,$C60),ISNUMBER($D$42)),($D$42&gt;$D60)+($D$42=$D60)/2,0),IF(AND(EXACT($C$43,$C60),ISNUMBER($D$43)),($D$43&gt;$D60)+($D$43=$D60)/2,0),IF(AND(EXACT($C$44,$C60),ISNUMBER($D$44)),($D$44&gt;$D60)+($D$44=$D60)/2,0),IF(AND(EXACT($C$45,$C60),ISNUMBER($D$45)),($D$45&gt;$D60)+($D$45=$D60)/2,0),IF(AND(EXACT($C$46,$C60),ISNUMBER($D$46)),($D$46&gt;$D60)+($D$46=$D60)/2,0),IF(AND(EXACT($C$47,$C60),ISNUMBER($D$47)),($D$47&gt;$D60)+($D$47=$D60)/2,0),IF(AND(EXACT($C$48,$C60),ISNUMBER($D$48)),($D$48&gt;$D60)+($D$48=$D60)/2,0),IF(AND(EXACT($C$49,$C60),ISNUMBER($D$49)),($D$49&gt;$D60)+($D$49=$D60)/2,0),IF(AND(EXACT($C$50,$C60),ISNUMBER($D$50)),($D$50&gt;$D60)+($D$50=$D60)/2,0),IF(AND(EXACT($C$51,$C60),ISNUMBER($D$51)),($D$51&gt;$D60)+($D$51=$D60)/2,0),IF(AND(EXACT($C$52,$C60),ISNUMBER($D$52)),($D$52&gt;$D60)+($D$52=$D60)/2,0),IF(AND(EXACT($C$53,$C60),ISNUMBER($D$53)),($D$53&gt;$D60)+($D$53=$D60)/2,0),IF(AND(EXACT($C$54,$C60),ISNUMBER($D$54)),($D$54&gt;$D60)+($D$54=$D60)/2,0),IF(AND(EXACT($C$55,$C60),ISNUMBER($D$55)),($D$55&gt;$D60)+($D$55=$D60)/2,0),IF(AND(EXACT($C$56,$C60),ISNUMBER($D$56)),($D$56&gt;$D60)+($D$56=$D60)/2,0)))</x:f>
      </x:c>
      <x:c r="AO60" s="34" t="str">
        <x:f>IF(COUNT($D60)=0,"",SUM(IF(AND(EXACT($C$57,$C60),ISNUMBER($D$57)),($D$57&gt;$D60)+($D$57=$D60)/2,0),IF(AND(EXACT($C$58,$C60),ISNUMBER($D$58)),($D$58&gt;$D60)+($D$58=$D60)/2,0),IF(AND(EXACT($C$59,$C60),ISNUMBER($D$59)),($D$59&gt;$D60)+($D$59=$D60)/2,0),IF(AND(EXACT($C$60,$C60),ISNUMBER($D$60)),($D$60&gt;$D60)+($D$60=$D60)/2,0),IF(AND(EXACT($C$61,$C60),ISNUMBER($D$61)),($D$61&gt;$D60)+($D$61=$D60)/2,0),IF(AND(EXACT($C$62,$C60),ISNUMBER($D$62)),($D$62&gt;$D60)+($D$62=$D60)/2,0),IF(AND(EXACT($C$63,$C60),ISNUMBER($D$63)),($D$63&gt;$D60)+($D$63=$D60)/2,0),IF(AND(EXACT($C$64,$C60),ISNUMBER($D$64)),($D$64&gt;$D60)+($D$64=$D60)/2,0),IF(AND(EXACT($C$65,$C60),ISNUMBER($D$65)),($D$65&gt;$D60)+($D$65=$D60)/2,0),IF(AND(EXACT($C$66,$C60),ISNUMBER($D$66)),($D$66&gt;$D60)+($D$66=$D60)/2,0),IF(AND(EXACT($C$67,$C60),ISNUMBER($D$67)),($D$67&gt;$D60)+($D$67=$D60)/2,0),IF(AND(EXACT($C$68,$C60),ISNUMBER($D$68)),($D$68&gt;$D60)+($D$68=$D60)/2,0),IF(AND(EXACT($C$69,$C60),ISNUMBER($D$69)),($D$69&gt;$D60)+($D$69=$D60)/2,0),IF(AND(EXACT($C$70,$C60),ISNUMBER($D$70)),($D$70&gt;$D60)+($D$70=$D60)/2,0),IF(AND(EXACT($C$71,$C60),ISNUMBER($D$71)),($D$71&gt;$D60)+($D$71=$D60)/2,0),IF(AND(EXACT($C$72,$C60),ISNUMBER($D$72)),($D$72&gt;$D60)+($D$72=$D60)/2,0),IF(AND(EXACT($C$73,$C60),ISNUMBER($D$73)),($D$73&gt;$D60)+($D$73=$D60)/2,0),IF(AND(EXACT($C$74,$C60),ISNUMBER($D$74)),($D$74&gt;$D60)+($D$74=$D60)/2,0),IF(AND(EXACT($C$75,$C60),ISNUMBER($D$75)),($D$75&gt;$D60)+($D$75=$D60)/2,0),IF(AND(EXACT($C$76,$C60),ISNUMBER($D$76)),($D$76&gt;$D60)+($D$76=$D60)/2,0),IF(AND(EXACT($C$77,$C60),ISNUMBER($D$77)),($D$77&gt;$D60)+($D$77=$D60)/2,0),IF(AND(EXACT($C$78,$C60),ISNUMBER($D$78)),($D$78&gt;$D60)+($D$78=$D60)/2,0),IF(AND(EXACT($C$79,$C60),ISNUMBER($D$79)),($D$79&gt;$D60)+($D$79=$D60)/2,0),IF(AND(EXACT($C$80,$C60),ISNUMBER($D$80)),($D$80&gt;$D60)+($D$80=$D60)/2,0),IF(AND(EXACT($C$81,$C60),ISNUMBER($D$81)),($D$81&gt;$D60)+($D$81=$D60)/2,0),IF(AND(EXACT($C$82,$C60),ISNUMBER($D$82)),($D$82&gt;$D60)+($D$82=$D60)/2,0),IF(AND(EXACT($C$83,$C60),ISNUMBER($D$83)),($D$83&gt;$D60)+($D$83=$D60)/2,0),IF(AND(EXACT($C$84,$C60),ISNUMBER($D$84)),($D$84&gt;$D60)+($D$84=$D60)/2,0),IF(AND(EXACT($C$85,$C60),ISNUMBER($D$85)),($D$85&gt;$D60)+($D$85=$D60)/2,0),IF(AND(EXACT($C$86,$C60),ISNUMBER($D$86)),($D$86&gt;$D60)+($D$86=$D60)/2,0),IF(AND(EXACT($C$87,$C60),ISNUMBER($D$87)),($D$87&gt;$D60)+($D$87=$D60)/2,0),IF(AND(EXACT($C$88,$C60),ISNUMBER($D$88)),($D$88&gt;$D60)+($D$88=$D60)/2,0),IF(AND(EXACT($C$89,$C60),ISNUMBER($D$89)),($D$89&gt;$D60)+($D$89=$D60)/2,0),IF(AND(EXACT($C$90,$C60),ISNUMBER($D$90)),($D$90&gt;$D60)+($D$90=$D60)/2,0),IF(AND(EXACT($C$91,$C60),ISNUMBER($D$91)),($D$91&gt;$D60)+($D$91=$D60)/2,0),IF(AND(EXACT($C$92,$C60),ISNUMBER($D$92)),($D$92&gt;$D60)+($D$92=$D60)/2,0),IF(AND(EXACT($C$93,$C60),ISNUMBER($D$93)),($D$93&gt;$D60)+($D$93=$D60)/2,0),IF(AND(EXACT($C$94,$C60),ISNUMBER($D$94)),($D$94&gt;$D60)+($D$94=$D60)/2,0),IF(AND(EXACT($C$95,$C60),ISNUMBER($D$95)),($D$95&gt;$D60)+($D$95=$D60)/2,0),IF(AND(EXACT($C$96,$C60),ISNUMBER($D$96)),($D$96&gt;$D60)+($D$96=$D60)/2,0),IF(AND(EXACT($C$97,$C60),ISNUMBER($D$97)),($D$97&gt;$D60)+($D$97=$D60)/2,0),IF(AND(EXACT($C$98,$C60),ISNUMBER($D$98)),($D$98&gt;$D60)+($D$98=$D60)/2,0),IF(AND(EXACT($C$99,$C60),ISNUMBER($D$99)),($D$99&gt;$D60)+($D$99=$D60)/2,0),IF(AND(EXACT($C$100,$C60),ISNUMBER($D$100)),($D$100&gt;$D60)+($D$100=$D60)/2,0),IF(AND(EXACT($C$101,$C60),ISNUMBER($D$101)),($D$101&gt;$D60)+($D$101=$D60)/2,0),IF(AND(EXACT($C$102,$C60),ISNUMBER($D$102)),($D$102&gt;$D60)+($D$102=$D60)/2,0),IF(AND(EXACT($C$103,$C60),ISNUMBER($D$103)),($D$103&gt;$D60)+($D$103=$D60)/2,0),IF(AND(EXACT($C$104,$C60),ISNUMBER($D$104)),($D$104&gt;$D60)+($D$104=$D60)/2,0),IF(AND(EXACT($C$105,$C60),ISNUMBER($D$105)),($D$105&gt;$D60)+($D$105=$D60)/2,0),IF(AND(EXACT($C$106,$C60),ISNUMBER($D$106)),($D$106&gt;$D60)+($D$106=$D60)/2,0)))</x:f>
      </x:c>
    </x:row>
    <x:row r="61">
      <x:c r="A61" s="34" t="str">
        <x:f>IF('91_CALC_SCORES'!A61="","",'91_CALC_SCORES'!A61)</x:f>
      </x:c>
      <x:c r="B61" s="34" t="str">
        <x:f>IF($A61="","",'91_CALC_SCORES'!B61)</x:f>
      </x:c>
      <x:c r="C61" s="34" t="str">
        <x:f>IF($A61="","",'91_CALC_SCORES'!K61)</x:f>
      </x:c>
      <x:c r="D61" s="57" t="str">
        <x:f>IF(OR($A61="",NOT(OR(LEFT('91_CALC_SCORES'!AB61,4)="PASS",LEFT('91_CALC_SCORES'!AB61,5)="READY"))),"",'91_CALC_SCORES'!Y61)</x:f>
      </x:c>
      <x:c r="E61" s="34" t="str">
        <x:f>IF(COUNT(D61)=0,"",1+SUM(AN61:AO61)-1/2)</x:f>
      </x:c>
      <x:c r="F61" s="34" t="str">
        <x:f>IF($A61="","",'91_CALC_SCORES'!AB61)</x:f>
      </x:c>
      <x:c r="G61" s="34" t="str">
        <x:f>IF(A61="","","연구 베타 | 기업 백분위 아님")</x:f>
      </x:c>
      <x:c r="AN61" s="34" t="str">
        <x:f>IF(COUNT($D61)=0,"",SUM(IF(AND(EXACT($C$7,$C61),ISNUMBER($D$7)),($D$7&gt;$D61)+($D$7=$D61)/2,0),IF(AND(EXACT($C$8,$C61),ISNUMBER($D$8)),($D$8&gt;$D61)+($D$8=$D61)/2,0),IF(AND(EXACT($C$9,$C61),ISNUMBER($D$9)),($D$9&gt;$D61)+($D$9=$D61)/2,0),IF(AND(EXACT($C$10,$C61),ISNUMBER($D$10)),($D$10&gt;$D61)+($D$10=$D61)/2,0),IF(AND(EXACT($C$11,$C61),ISNUMBER($D$11)),($D$11&gt;$D61)+($D$11=$D61)/2,0),IF(AND(EXACT($C$12,$C61),ISNUMBER($D$12)),($D$12&gt;$D61)+($D$12=$D61)/2,0),IF(AND(EXACT($C$13,$C61),ISNUMBER($D$13)),($D$13&gt;$D61)+($D$13=$D61)/2,0),IF(AND(EXACT($C$14,$C61),ISNUMBER($D$14)),($D$14&gt;$D61)+($D$14=$D61)/2,0),IF(AND(EXACT($C$15,$C61),ISNUMBER($D$15)),($D$15&gt;$D61)+($D$15=$D61)/2,0),IF(AND(EXACT($C$16,$C61),ISNUMBER($D$16)),($D$16&gt;$D61)+($D$16=$D61)/2,0),IF(AND(EXACT($C$17,$C61),ISNUMBER($D$17)),($D$17&gt;$D61)+($D$17=$D61)/2,0),IF(AND(EXACT($C$18,$C61),ISNUMBER($D$18)),($D$18&gt;$D61)+($D$18=$D61)/2,0),IF(AND(EXACT($C$19,$C61),ISNUMBER($D$19)),($D$19&gt;$D61)+($D$19=$D61)/2,0),IF(AND(EXACT($C$20,$C61),ISNUMBER($D$20)),($D$20&gt;$D61)+($D$20=$D61)/2,0),IF(AND(EXACT($C$21,$C61),ISNUMBER($D$21)),($D$21&gt;$D61)+($D$21=$D61)/2,0),IF(AND(EXACT($C$22,$C61),ISNUMBER($D$22)),($D$22&gt;$D61)+($D$22=$D61)/2,0),IF(AND(EXACT($C$23,$C61),ISNUMBER($D$23)),($D$23&gt;$D61)+($D$23=$D61)/2,0),IF(AND(EXACT($C$24,$C61),ISNUMBER($D$24)),($D$24&gt;$D61)+($D$24=$D61)/2,0),IF(AND(EXACT($C$25,$C61),ISNUMBER($D$25)),($D$25&gt;$D61)+($D$25=$D61)/2,0),IF(AND(EXACT($C$26,$C61),ISNUMBER($D$26)),($D$26&gt;$D61)+($D$26=$D61)/2,0),IF(AND(EXACT($C$27,$C61),ISNUMBER($D$27)),($D$27&gt;$D61)+($D$27=$D61)/2,0),IF(AND(EXACT($C$28,$C61),ISNUMBER($D$28)),($D$28&gt;$D61)+($D$28=$D61)/2,0),IF(AND(EXACT($C$29,$C61),ISNUMBER($D$29)),($D$29&gt;$D61)+($D$29=$D61)/2,0),IF(AND(EXACT($C$30,$C61),ISNUMBER($D$30)),($D$30&gt;$D61)+($D$30=$D61)/2,0),IF(AND(EXACT($C$31,$C61),ISNUMBER($D$31)),($D$31&gt;$D61)+($D$31=$D61)/2,0),IF(AND(EXACT($C$32,$C61),ISNUMBER($D$32)),($D$32&gt;$D61)+($D$32=$D61)/2,0),IF(AND(EXACT($C$33,$C61),ISNUMBER($D$33)),($D$33&gt;$D61)+($D$33=$D61)/2,0),IF(AND(EXACT($C$34,$C61),ISNUMBER($D$34)),($D$34&gt;$D61)+($D$34=$D61)/2,0),IF(AND(EXACT($C$35,$C61),ISNUMBER($D$35)),($D$35&gt;$D61)+($D$35=$D61)/2,0),IF(AND(EXACT($C$36,$C61),ISNUMBER($D$36)),($D$36&gt;$D61)+($D$36=$D61)/2,0),IF(AND(EXACT($C$37,$C61),ISNUMBER($D$37)),($D$37&gt;$D61)+($D$37=$D61)/2,0),IF(AND(EXACT($C$38,$C61),ISNUMBER($D$38)),($D$38&gt;$D61)+($D$38=$D61)/2,0),IF(AND(EXACT($C$39,$C61),ISNUMBER($D$39)),($D$39&gt;$D61)+($D$39=$D61)/2,0),IF(AND(EXACT($C$40,$C61),ISNUMBER($D$40)),($D$40&gt;$D61)+($D$40=$D61)/2,0),IF(AND(EXACT($C$41,$C61),ISNUMBER($D$41)),($D$41&gt;$D61)+($D$41=$D61)/2,0),IF(AND(EXACT($C$42,$C61),ISNUMBER($D$42)),($D$42&gt;$D61)+($D$42=$D61)/2,0),IF(AND(EXACT($C$43,$C61),ISNUMBER($D$43)),($D$43&gt;$D61)+($D$43=$D61)/2,0),IF(AND(EXACT($C$44,$C61),ISNUMBER($D$44)),($D$44&gt;$D61)+($D$44=$D61)/2,0),IF(AND(EXACT($C$45,$C61),ISNUMBER($D$45)),($D$45&gt;$D61)+($D$45=$D61)/2,0),IF(AND(EXACT($C$46,$C61),ISNUMBER($D$46)),($D$46&gt;$D61)+($D$46=$D61)/2,0),IF(AND(EXACT($C$47,$C61),ISNUMBER($D$47)),($D$47&gt;$D61)+($D$47=$D61)/2,0),IF(AND(EXACT($C$48,$C61),ISNUMBER($D$48)),($D$48&gt;$D61)+($D$48=$D61)/2,0),IF(AND(EXACT($C$49,$C61),ISNUMBER($D$49)),($D$49&gt;$D61)+($D$49=$D61)/2,0),IF(AND(EXACT($C$50,$C61),ISNUMBER($D$50)),($D$50&gt;$D61)+($D$50=$D61)/2,0),IF(AND(EXACT($C$51,$C61),ISNUMBER($D$51)),($D$51&gt;$D61)+($D$51=$D61)/2,0),IF(AND(EXACT($C$52,$C61),ISNUMBER($D$52)),($D$52&gt;$D61)+($D$52=$D61)/2,0),IF(AND(EXACT($C$53,$C61),ISNUMBER($D$53)),($D$53&gt;$D61)+($D$53=$D61)/2,0),IF(AND(EXACT($C$54,$C61),ISNUMBER($D$54)),($D$54&gt;$D61)+($D$54=$D61)/2,0),IF(AND(EXACT($C$55,$C61),ISNUMBER($D$55)),($D$55&gt;$D61)+($D$55=$D61)/2,0),IF(AND(EXACT($C$56,$C61),ISNUMBER($D$56)),($D$56&gt;$D61)+($D$56=$D61)/2,0)))</x:f>
      </x:c>
      <x:c r="AO61" s="34" t="str">
        <x:f>IF(COUNT($D61)=0,"",SUM(IF(AND(EXACT($C$57,$C61),ISNUMBER($D$57)),($D$57&gt;$D61)+($D$57=$D61)/2,0),IF(AND(EXACT($C$58,$C61),ISNUMBER($D$58)),($D$58&gt;$D61)+($D$58=$D61)/2,0),IF(AND(EXACT($C$59,$C61),ISNUMBER($D$59)),($D$59&gt;$D61)+($D$59=$D61)/2,0),IF(AND(EXACT($C$60,$C61),ISNUMBER($D$60)),($D$60&gt;$D61)+($D$60=$D61)/2,0),IF(AND(EXACT($C$61,$C61),ISNUMBER($D$61)),($D$61&gt;$D61)+($D$61=$D61)/2,0),IF(AND(EXACT($C$62,$C61),ISNUMBER($D$62)),($D$62&gt;$D61)+($D$62=$D61)/2,0),IF(AND(EXACT($C$63,$C61),ISNUMBER($D$63)),($D$63&gt;$D61)+($D$63=$D61)/2,0),IF(AND(EXACT($C$64,$C61),ISNUMBER($D$64)),($D$64&gt;$D61)+($D$64=$D61)/2,0),IF(AND(EXACT($C$65,$C61),ISNUMBER($D$65)),($D$65&gt;$D61)+($D$65=$D61)/2,0),IF(AND(EXACT($C$66,$C61),ISNUMBER($D$66)),($D$66&gt;$D61)+($D$66=$D61)/2,0),IF(AND(EXACT($C$67,$C61),ISNUMBER($D$67)),($D$67&gt;$D61)+($D$67=$D61)/2,0),IF(AND(EXACT($C$68,$C61),ISNUMBER($D$68)),($D$68&gt;$D61)+($D$68=$D61)/2,0),IF(AND(EXACT($C$69,$C61),ISNUMBER($D$69)),($D$69&gt;$D61)+($D$69=$D61)/2,0),IF(AND(EXACT($C$70,$C61),ISNUMBER($D$70)),($D$70&gt;$D61)+($D$70=$D61)/2,0),IF(AND(EXACT($C$71,$C61),ISNUMBER($D$71)),($D$71&gt;$D61)+($D$71=$D61)/2,0),IF(AND(EXACT($C$72,$C61),ISNUMBER($D$72)),($D$72&gt;$D61)+($D$72=$D61)/2,0),IF(AND(EXACT($C$73,$C61),ISNUMBER($D$73)),($D$73&gt;$D61)+($D$73=$D61)/2,0),IF(AND(EXACT($C$74,$C61),ISNUMBER($D$74)),($D$74&gt;$D61)+($D$74=$D61)/2,0),IF(AND(EXACT($C$75,$C61),ISNUMBER($D$75)),($D$75&gt;$D61)+($D$75=$D61)/2,0),IF(AND(EXACT($C$76,$C61),ISNUMBER($D$76)),($D$76&gt;$D61)+($D$76=$D61)/2,0),IF(AND(EXACT($C$77,$C61),ISNUMBER($D$77)),($D$77&gt;$D61)+($D$77=$D61)/2,0),IF(AND(EXACT($C$78,$C61),ISNUMBER($D$78)),($D$78&gt;$D61)+($D$78=$D61)/2,0),IF(AND(EXACT($C$79,$C61),ISNUMBER($D$79)),($D$79&gt;$D61)+($D$79=$D61)/2,0),IF(AND(EXACT($C$80,$C61),ISNUMBER($D$80)),($D$80&gt;$D61)+($D$80=$D61)/2,0),IF(AND(EXACT($C$81,$C61),ISNUMBER($D$81)),($D$81&gt;$D61)+($D$81=$D61)/2,0),IF(AND(EXACT($C$82,$C61),ISNUMBER($D$82)),($D$82&gt;$D61)+($D$82=$D61)/2,0),IF(AND(EXACT($C$83,$C61),ISNUMBER($D$83)),($D$83&gt;$D61)+($D$83=$D61)/2,0),IF(AND(EXACT($C$84,$C61),ISNUMBER($D$84)),($D$84&gt;$D61)+($D$84=$D61)/2,0),IF(AND(EXACT($C$85,$C61),ISNUMBER($D$85)),($D$85&gt;$D61)+($D$85=$D61)/2,0),IF(AND(EXACT($C$86,$C61),ISNUMBER($D$86)),($D$86&gt;$D61)+($D$86=$D61)/2,0),IF(AND(EXACT($C$87,$C61),ISNUMBER($D$87)),($D$87&gt;$D61)+($D$87=$D61)/2,0),IF(AND(EXACT($C$88,$C61),ISNUMBER($D$88)),($D$88&gt;$D61)+($D$88=$D61)/2,0),IF(AND(EXACT($C$89,$C61),ISNUMBER($D$89)),($D$89&gt;$D61)+($D$89=$D61)/2,0),IF(AND(EXACT($C$90,$C61),ISNUMBER($D$90)),($D$90&gt;$D61)+($D$90=$D61)/2,0),IF(AND(EXACT($C$91,$C61),ISNUMBER($D$91)),($D$91&gt;$D61)+($D$91=$D61)/2,0),IF(AND(EXACT($C$92,$C61),ISNUMBER($D$92)),($D$92&gt;$D61)+($D$92=$D61)/2,0),IF(AND(EXACT($C$93,$C61),ISNUMBER($D$93)),($D$93&gt;$D61)+($D$93=$D61)/2,0),IF(AND(EXACT($C$94,$C61),ISNUMBER($D$94)),($D$94&gt;$D61)+($D$94=$D61)/2,0),IF(AND(EXACT($C$95,$C61),ISNUMBER($D$95)),($D$95&gt;$D61)+($D$95=$D61)/2,0),IF(AND(EXACT($C$96,$C61),ISNUMBER($D$96)),($D$96&gt;$D61)+($D$96=$D61)/2,0),IF(AND(EXACT($C$97,$C61),ISNUMBER($D$97)),($D$97&gt;$D61)+($D$97=$D61)/2,0),IF(AND(EXACT($C$98,$C61),ISNUMBER($D$98)),($D$98&gt;$D61)+($D$98=$D61)/2,0),IF(AND(EXACT($C$99,$C61),ISNUMBER($D$99)),($D$99&gt;$D61)+($D$99=$D61)/2,0),IF(AND(EXACT($C$100,$C61),ISNUMBER($D$100)),($D$100&gt;$D61)+($D$100=$D61)/2,0),IF(AND(EXACT($C$101,$C61),ISNUMBER($D$101)),($D$101&gt;$D61)+($D$101=$D61)/2,0),IF(AND(EXACT($C$102,$C61),ISNUMBER($D$102)),($D$102&gt;$D61)+($D$102=$D61)/2,0),IF(AND(EXACT($C$103,$C61),ISNUMBER($D$103)),($D$103&gt;$D61)+($D$103=$D61)/2,0),IF(AND(EXACT($C$104,$C61),ISNUMBER($D$104)),($D$104&gt;$D61)+($D$104=$D61)/2,0),IF(AND(EXACT($C$105,$C61),ISNUMBER($D$105)),($D$105&gt;$D61)+($D$105=$D61)/2,0),IF(AND(EXACT($C$106,$C61),ISNUMBER($D$106)),($D$106&gt;$D61)+($D$106=$D61)/2,0)))</x:f>
      </x:c>
    </x:row>
    <x:row r="62">
      <x:c r="A62" s="34" t="str">
        <x:f>IF('91_CALC_SCORES'!A62="","",'91_CALC_SCORES'!A62)</x:f>
      </x:c>
      <x:c r="B62" s="34" t="str">
        <x:f>IF($A62="","",'91_CALC_SCORES'!B62)</x:f>
      </x:c>
      <x:c r="C62" s="34" t="str">
        <x:f>IF($A62="","",'91_CALC_SCORES'!K62)</x:f>
      </x:c>
      <x:c r="D62" s="57" t="str">
        <x:f>IF(OR($A62="",NOT(OR(LEFT('91_CALC_SCORES'!AB62,4)="PASS",LEFT('91_CALC_SCORES'!AB62,5)="READY"))),"",'91_CALC_SCORES'!Y62)</x:f>
      </x:c>
      <x:c r="E62" s="34" t="str">
        <x:f>IF(COUNT(D62)=0,"",1+SUM(AN62:AO62)-1/2)</x:f>
      </x:c>
      <x:c r="F62" s="34" t="str">
        <x:f>IF($A62="","",'91_CALC_SCORES'!AB62)</x:f>
      </x:c>
      <x:c r="G62" s="34" t="str">
        <x:f>IF(A62="","","연구 베타 | 기업 백분위 아님")</x:f>
      </x:c>
      <x:c r="AN62" s="34" t="str">
        <x:f>IF(COUNT($D62)=0,"",SUM(IF(AND(EXACT($C$7,$C62),ISNUMBER($D$7)),($D$7&gt;$D62)+($D$7=$D62)/2,0),IF(AND(EXACT($C$8,$C62),ISNUMBER($D$8)),($D$8&gt;$D62)+($D$8=$D62)/2,0),IF(AND(EXACT($C$9,$C62),ISNUMBER($D$9)),($D$9&gt;$D62)+($D$9=$D62)/2,0),IF(AND(EXACT($C$10,$C62),ISNUMBER($D$10)),($D$10&gt;$D62)+($D$10=$D62)/2,0),IF(AND(EXACT($C$11,$C62),ISNUMBER($D$11)),($D$11&gt;$D62)+($D$11=$D62)/2,0),IF(AND(EXACT($C$12,$C62),ISNUMBER($D$12)),($D$12&gt;$D62)+($D$12=$D62)/2,0),IF(AND(EXACT($C$13,$C62),ISNUMBER($D$13)),($D$13&gt;$D62)+($D$13=$D62)/2,0),IF(AND(EXACT($C$14,$C62),ISNUMBER($D$14)),($D$14&gt;$D62)+($D$14=$D62)/2,0),IF(AND(EXACT($C$15,$C62),ISNUMBER($D$15)),($D$15&gt;$D62)+($D$15=$D62)/2,0),IF(AND(EXACT($C$16,$C62),ISNUMBER($D$16)),($D$16&gt;$D62)+($D$16=$D62)/2,0),IF(AND(EXACT($C$17,$C62),ISNUMBER($D$17)),($D$17&gt;$D62)+($D$17=$D62)/2,0),IF(AND(EXACT($C$18,$C62),ISNUMBER($D$18)),($D$18&gt;$D62)+($D$18=$D62)/2,0),IF(AND(EXACT($C$19,$C62),ISNUMBER($D$19)),($D$19&gt;$D62)+($D$19=$D62)/2,0),IF(AND(EXACT($C$20,$C62),ISNUMBER($D$20)),($D$20&gt;$D62)+($D$20=$D62)/2,0),IF(AND(EXACT($C$21,$C62),ISNUMBER($D$21)),($D$21&gt;$D62)+($D$21=$D62)/2,0),IF(AND(EXACT($C$22,$C62),ISNUMBER($D$22)),($D$22&gt;$D62)+($D$22=$D62)/2,0),IF(AND(EXACT($C$23,$C62),ISNUMBER($D$23)),($D$23&gt;$D62)+($D$23=$D62)/2,0),IF(AND(EXACT($C$24,$C62),ISNUMBER($D$24)),($D$24&gt;$D62)+($D$24=$D62)/2,0),IF(AND(EXACT($C$25,$C62),ISNUMBER($D$25)),($D$25&gt;$D62)+($D$25=$D62)/2,0),IF(AND(EXACT($C$26,$C62),ISNUMBER($D$26)),($D$26&gt;$D62)+($D$26=$D62)/2,0),IF(AND(EXACT($C$27,$C62),ISNUMBER($D$27)),($D$27&gt;$D62)+($D$27=$D62)/2,0),IF(AND(EXACT($C$28,$C62),ISNUMBER($D$28)),($D$28&gt;$D62)+($D$28=$D62)/2,0),IF(AND(EXACT($C$29,$C62),ISNUMBER($D$29)),($D$29&gt;$D62)+($D$29=$D62)/2,0),IF(AND(EXACT($C$30,$C62),ISNUMBER($D$30)),($D$30&gt;$D62)+($D$30=$D62)/2,0),IF(AND(EXACT($C$31,$C62),ISNUMBER($D$31)),($D$31&gt;$D62)+($D$31=$D62)/2,0),IF(AND(EXACT($C$32,$C62),ISNUMBER($D$32)),($D$32&gt;$D62)+($D$32=$D62)/2,0),IF(AND(EXACT($C$33,$C62),ISNUMBER($D$33)),($D$33&gt;$D62)+($D$33=$D62)/2,0),IF(AND(EXACT($C$34,$C62),ISNUMBER($D$34)),($D$34&gt;$D62)+($D$34=$D62)/2,0),IF(AND(EXACT($C$35,$C62),ISNUMBER($D$35)),($D$35&gt;$D62)+($D$35=$D62)/2,0),IF(AND(EXACT($C$36,$C62),ISNUMBER($D$36)),($D$36&gt;$D62)+($D$36=$D62)/2,0),IF(AND(EXACT($C$37,$C62),ISNUMBER($D$37)),($D$37&gt;$D62)+($D$37=$D62)/2,0),IF(AND(EXACT($C$38,$C62),ISNUMBER($D$38)),($D$38&gt;$D62)+($D$38=$D62)/2,0),IF(AND(EXACT($C$39,$C62),ISNUMBER($D$39)),($D$39&gt;$D62)+($D$39=$D62)/2,0),IF(AND(EXACT($C$40,$C62),ISNUMBER($D$40)),($D$40&gt;$D62)+($D$40=$D62)/2,0),IF(AND(EXACT($C$41,$C62),ISNUMBER($D$41)),($D$41&gt;$D62)+($D$41=$D62)/2,0),IF(AND(EXACT($C$42,$C62),ISNUMBER($D$42)),($D$42&gt;$D62)+($D$42=$D62)/2,0),IF(AND(EXACT($C$43,$C62),ISNUMBER($D$43)),($D$43&gt;$D62)+($D$43=$D62)/2,0),IF(AND(EXACT($C$44,$C62),ISNUMBER($D$44)),($D$44&gt;$D62)+($D$44=$D62)/2,0),IF(AND(EXACT($C$45,$C62),ISNUMBER($D$45)),($D$45&gt;$D62)+($D$45=$D62)/2,0),IF(AND(EXACT($C$46,$C62),ISNUMBER($D$46)),($D$46&gt;$D62)+($D$46=$D62)/2,0),IF(AND(EXACT($C$47,$C62),ISNUMBER($D$47)),($D$47&gt;$D62)+($D$47=$D62)/2,0),IF(AND(EXACT($C$48,$C62),ISNUMBER($D$48)),($D$48&gt;$D62)+($D$48=$D62)/2,0),IF(AND(EXACT($C$49,$C62),ISNUMBER($D$49)),($D$49&gt;$D62)+($D$49=$D62)/2,0),IF(AND(EXACT($C$50,$C62),ISNUMBER($D$50)),($D$50&gt;$D62)+($D$50=$D62)/2,0),IF(AND(EXACT($C$51,$C62),ISNUMBER($D$51)),($D$51&gt;$D62)+($D$51=$D62)/2,0),IF(AND(EXACT($C$52,$C62),ISNUMBER($D$52)),($D$52&gt;$D62)+($D$52=$D62)/2,0),IF(AND(EXACT($C$53,$C62),ISNUMBER($D$53)),($D$53&gt;$D62)+($D$53=$D62)/2,0),IF(AND(EXACT($C$54,$C62),ISNUMBER($D$54)),($D$54&gt;$D62)+($D$54=$D62)/2,0),IF(AND(EXACT($C$55,$C62),ISNUMBER($D$55)),($D$55&gt;$D62)+($D$55=$D62)/2,0),IF(AND(EXACT($C$56,$C62),ISNUMBER($D$56)),($D$56&gt;$D62)+($D$56=$D62)/2,0)))</x:f>
      </x:c>
      <x:c r="AO62" s="34" t="str">
        <x:f>IF(COUNT($D62)=0,"",SUM(IF(AND(EXACT($C$57,$C62),ISNUMBER($D$57)),($D$57&gt;$D62)+($D$57=$D62)/2,0),IF(AND(EXACT($C$58,$C62),ISNUMBER($D$58)),($D$58&gt;$D62)+($D$58=$D62)/2,0),IF(AND(EXACT($C$59,$C62),ISNUMBER($D$59)),($D$59&gt;$D62)+($D$59=$D62)/2,0),IF(AND(EXACT($C$60,$C62),ISNUMBER($D$60)),($D$60&gt;$D62)+($D$60=$D62)/2,0),IF(AND(EXACT($C$61,$C62),ISNUMBER($D$61)),($D$61&gt;$D62)+($D$61=$D62)/2,0),IF(AND(EXACT($C$62,$C62),ISNUMBER($D$62)),($D$62&gt;$D62)+($D$62=$D62)/2,0),IF(AND(EXACT($C$63,$C62),ISNUMBER($D$63)),($D$63&gt;$D62)+($D$63=$D62)/2,0),IF(AND(EXACT($C$64,$C62),ISNUMBER($D$64)),($D$64&gt;$D62)+($D$64=$D62)/2,0),IF(AND(EXACT($C$65,$C62),ISNUMBER($D$65)),($D$65&gt;$D62)+($D$65=$D62)/2,0),IF(AND(EXACT($C$66,$C62),ISNUMBER($D$66)),($D$66&gt;$D62)+($D$66=$D62)/2,0),IF(AND(EXACT($C$67,$C62),ISNUMBER($D$67)),($D$67&gt;$D62)+($D$67=$D62)/2,0),IF(AND(EXACT($C$68,$C62),ISNUMBER($D$68)),($D$68&gt;$D62)+($D$68=$D62)/2,0),IF(AND(EXACT($C$69,$C62),ISNUMBER($D$69)),($D$69&gt;$D62)+($D$69=$D62)/2,0),IF(AND(EXACT($C$70,$C62),ISNUMBER($D$70)),($D$70&gt;$D62)+($D$70=$D62)/2,0),IF(AND(EXACT($C$71,$C62),ISNUMBER($D$71)),($D$71&gt;$D62)+($D$71=$D62)/2,0),IF(AND(EXACT($C$72,$C62),ISNUMBER($D$72)),($D$72&gt;$D62)+($D$72=$D62)/2,0),IF(AND(EXACT($C$73,$C62),ISNUMBER($D$73)),($D$73&gt;$D62)+($D$73=$D62)/2,0),IF(AND(EXACT($C$74,$C62),ISNUMBER($D$74)),($D$74&gt;$D62)+($D$74=$D62)/2,0),IF(AND(EXACT($C$75,$C62),ISNUMBER($D$75)),($D$75&gt;$D62)+($D$75=$D62)/2,0),IF(AND(EXACT($C$76,$C62),ISNUMBER($D$76)),($D$76&gt;$D62)+($D$76=$D62)/2,0),IF(AND(EXACT($C$77,$C62),ISNUMBER($D$77)),($D$77&gt;$D62)+($D$77=$D62)/2,0),IF(AND(EXACT($C$78,$C62),ISNUMBER($D$78)),($D$78&gt;$D62)+($D$78=$D62)/2,0),IF(AND(EXACT($C$79,$C62),ISNUMBER($D$79)),($D$79&gt;$D62)+($D$79=$D62)/2,0),IF(AND(EXACT($C$80,$C62),ISNUMBER($D$80)),($D$80&gt;$D62)+($D$80=$D62)/2,0),IF(AND(EXACT($C$81,$C62),ISNUMBER($D$81)),($D$81&gt;$D62)+($D$81=$D62)/2,0),IF(AND(EXACT($C$82,$C62),ISNUMBER($D$82)),($D$82&gt;$D62)+($D$82=$D62)/2,0),IF(AND(EXACT($C$83,$C62),ISNUMBER($D$83)),($D$83&gt;$D62)+($D$83=$D62)/2,0),IF(AND(EXACT($C$84,$C62),ISNUMBER($D$84)),($D$84&gt;$D62)+($D$84=$D62)/2,0),IF(AND(EXACT($C$85,$C62),ISNUMBER($D$85)),($D$85&gt;$D62)+($D$85=$D62)/2,0),IF(AND(EXACT($C$86,$C62),ISNUMBER($D$86)),($D$86&gt;$D62)+($D$86=$D62)/2,0),IF(AND(EXACT($C$87,$C62),ISNUMBER($D$87)),($D$87&gt;$D62)+($D$87=$D62)/2,0),IF(AND(EXACT($C$88,$C62),ISNUMBER($D$88)),($D$88&gt;$D62)+($D$88=$D62)/2,0),IF(AND(EXACT($C$89,$C62),ISNUMBER($D$89)),($D$89&gt;$D62)+($D$89=$D62)/2,0),IF(AND(EXACT($C$90,$C62),ISNUMBER($D$90)),($D$90&gt;$D62)+($D$90=$D62)/2,0),IF(AND(EXACT($C$91,$C62),ISNUMBER($D$91)),($D$91&gt;$D62)+($D$91=$D62)/2,0),IF(AND(EXACT($C$92,$C62),ISNUMBER($D$92)),($D$92&gt;$D62)+($D$92=$D62)/2,0),IF(AND(EXACT($C$93,$C62),ISNUMBER($D$93)),($D$93&gt;$D62)+($D$93=$D62)/2,0),IF(AND(EXACT($C$94,$C62),ISNUMBER($D$94)),($D$94&gt;$D62)+($D$94=$D62)/2,0),IF(AND(EXACT($C$95,$C62),ISNUMBER($D$95)),($D$95&gt;$D62)+($D$95=$D62)/2,0),IF(AND(EXACT($C$96,$C62),ISNUMBER($D$96)),($D$96&gt;$D62)+($D$96=$D62)/2,0),IF(AND(EXACT($C$97,$C62),ISNUMBER($D$97)),($D$97&gt;$D62)+($D$97=$D62)/2,0),IF(AND(EXACT($C$98,$C62),ISNUMBER($D$98)),($D$98&gt;$D62)+($D$98=$D62)/2,0),IF(AND(EXACT($C$99,$C62),ISNUMBER($D$99)),($D$99&gt;$D62)+($D$99=$D62)/2,0),IF(AND(EXACT($C$100,$C62),ISNUMBER($D$100)),($D$100&gt;$D62)+($D$100=$D62)/2,0),IF(AND(EXACT($C$101,$C62),ISNUMBER($D$101)),($D$101&gt;$D62)+($D$101=$D62)/2,0),IF(AND(EXACT($C$102,$C62),ISNUMBER($D$102)),($D$102&gt;$D62)+($D$102=$D62)/2,0),IF(AND(EXACT($C$103,$C62),ISNUMBER($D$103)),($D$103&gt;$D62)+($D$103=$D62)/2,0),IF(AND(EXACT($C$104,$C62),ISNUMBER($D$104)),($D$104&gt;$D62)+($D$104=$D62)/2,0),IF(AND(EXACT($C$105,$C62),ISNUMBER($D$105)),($D$105&gt;$D62)+($D$105=$D62)/2,0),IF(AND(EXACT($C$106,$C62),ISNUMBER($D$106)),($D$106&gt;$D62)+($D$106=$D62)/2,0)))</x:f>
      </x:c>
    </x:row>
    <x:row r="63">
      <x:c r="A63" s="34" t="str">
        <x:f>IF('91_CALC_SCORES'!A63="","",'91_CALC_SCORES'!A63)</x:f>
      </x:c>
      <x:c r="B63" s="34" t="str">
        <x:f>IF($A63="","",'91_CALC_SCORES'!B63)</x:f>
      </x:c>
      <x:c r="C63" s="34" t="str">
        <x:f>IF($A63="","",'91_CALC_SCORES'!K63)</x:f>
      </x:c>
      <x:c r="D63" s="57" t="str">
        <x:f>IF(OR($A63="",NOT(OR(LEFT('91_CALC_SCORES'!AB63,4)="PASS",LEFT('91_CALC_SCORES'!AB63,5)="READY"))),"",'91_CALC_SCORES'!Y63)</x:f>
      </x:c>
      <x:c r="E63" s="34" t="str">
        <x:f>IF(COUNT(D63)=0,"",1+SUM(AN63:AO63)-1/2)</x:f>
      </x:c>
      <x:c r="F63" s="34" t="str">
        <x:f>IF($A63="","",'91_CALC_SCORES'!AB63)</x:f>
      </x:c>
      <x:c r="G63" s="34" t="str">
        <x:f>IF(A63="","","연구 베타 | 기업 백분위 아님")</x:f>
      </x:c>
      <x:c r="AN63" s="34" t="str">
        <x:f>IF(COUNT($D63)=0,"",SUM(IF(AND(EXACT($C$7,$C63),ISNUMBER($D$7)),($D$7&gt;$D63)+($D$7=$D63)/2,0),IF(AND(EXACT($C$8,$C63),ISNUMBER($D$8)),($D$8&gt;$D63)+($D$8=$D63)/2,0),IF(AND(EXACT($C$9,$C63),ISNUMBER($D$9)),($D$9&gt;$D63)+($D$9=$D63)/2,0),IF(AND(EXACT($C$10,$C63),ISNUMBER($D$10)),($D$10&gt;$D63)+($D$10=$D63)/2,0),IF(AND(EXACT($C$11,$C63),ISNUMBER($D$11)),($D$11&gt;$D63)+($D$11=$D63)/2,0),IF(AND(EXACT($C$12,$C63),ISNUMBER($D$12)),($D$12&gt;$D63)+($D$12=$D63)/2,0),IF(AND(EXACT($C$13,$C63),ISNUMBER($D$13)),($D$13&gt;$D63)+($D$13=$D63)/2,0),IF(AND(EXACT($C$14,$C63),ISNUMBER($D$14)),($D$14&gt;$D63)+($D$14=$D63)/2,0),IF(AND(EXACT($C$15,$C63),ISNUMBER($D$15)),($D$15&gt;$D63)+($D$15=$D63)/2,0),IF(AND(EXACT($C$16,$C63),ISNUMBER($D$16)),($D$16&gt;$D63)+($D$16=$D63)/2,0),IF(AND(EXACT($C$17,$C63),ISNUMBER($D$17)),($D$17&gt;$D63)+($D$17=$D63)/2,0),IF(AND(EXACT($C$18,$C63),ISNUMBER($D$18)),($D$18&gt;$D63)+($D$18=$D63)/2,0),IF(AND(EXACT($C$19,$C63),ISNUMBER($D$19)),($D$19&gt;$D63)+($D$19=$D63)/2,0),IF(AND(EXACT($C$20,$C63),ISNUMBER($D$20)),($D$20&gt;$D63)+($D$20=$D63)/2,0),IF(AND(EXACT($C$21,$C63),ISNUMBER($D$21)),($D$21&gt;$D63)+($D$21=$D63)/2,0),IF(AND(EXACT($C$22,$C63),ISNUMBER($D$22)),($D$22&gt;$D63)+($D$22=$D63)/2,0),IF(AND(EXACT($C$23,$C63),ISNUMBER($D$23)),($D$23&gt;$D63)+($D$23=$D63)/2,0),IF(AND(EXACT($C$24,$C63),ISNUMBER($D$24)),($D$24&gt;$D63)+($D$24=$D63)/2,0),IF(AND(EXACT($C$25,$C63),ISNUMBER($D$25)),($D$25&gt;$D63)+($D$25=$D63)/2,0),IF(AND(EXACT($C$26,$C63),ISNUMBER($D$26)),($D$26&gt;$D63)+($D$26=$D63)/2,0),IF(AND(EXACT($C$27,$C63),ISNUMBER($D$27)),($D$27&gt;$D63)+($D$27=$D63)/2,0),IF(AND(EXACT($C$28,$C63),ISNUMBER($D$28)),($D$28&gt;$D63)+($D$28=$D63)/2,0),IF(AND(EXACT($C$29,$C63),ISNUMBER($D$29)),($D$29&gt;$D63)+($D$29=$D63)/2,0),IF(AND(EXACT($C$30,$C63),ISNUMBER($D$30)),($D$30&gt;$D63)+($D$30=$D63)/2,0),IF(AND(EXACT($C$31,$C63),ISNUMBER($D$31)),($D$31&gt;$D63)+($D$31=$D63)/2,0),IF(AND(EXACT($C$32,$C63),ISNUMBER($D$32)),($D$32&gt;$D63)+($D$32=$D63)/2,0),IF(AND(EXACT($C$33,$C63),ISNUMBER($D$33)),($D$33&gt;$D63)+($D$33=$D63)/2,0),IF(AND(EXACT($C$34,$C63),ISNUMBER($D$34)),($D$34&gt;$D63)+($D$34=$D63)/2,0),IF(AND(EXACT($C$35,$C63),ISNUMBER($D$35)),($D$35&gt;$D63)+($D$35=$D63)/2,0),IF(AND(EXACT($C$36,$C63),ISNUMBER($D$36)),($D$36&gt;$D63)+($D$36=$D63)/2,0),IF(AND(EXACT($C$37,$C63),ISNUMBER($D$37)),($D$37&gt;$D63)+($D$37=$D63)/2,0),IF(AND(EXACT($C$38,$C63),ISNUMBER($D$38)),($D$38&gt;$D63)+($D$38=$D63)/2,0),IF(AND(EXACT($C$39,$C63),ISNUMBER($D$39)),($D$39&gt;$D63)+($D$39=$D63)/2,0),IF(AND(EXACT($C$40,$C63),ISNUMBER($D$40)),($D$40&gt;$D63)+($D$40=$D63)/2,0),IF(AND(EXACT($C$41,$C63),ISNUMBER($D$41)),($D$41&gt;$D63)+($D$41=$D63)/2,0),IF(AND(EXACT($C$42,$C63),ISNUMBER($D$42)),($D$42&gt;$D63)+($D$42=$D63)/2,0),IF(AND(EXACT($C$43,$C63),ISNUMBER($D$43)),($D$43&gt;$D63)+($D$43=$D63)/2,0),IF(AND(EXACT($C$44,$C63),ISNUMBER($D$44)),($D$44&gt;$D63)+($D$44=$D63)/2,0),IF(AND(EXACT($C$45,$C63),ISNUMBER($D$45)),($D$45&gt;$D63)+($D$45=$D63)/2,0),IF(AND(EXACT($C$46,$C63),ISNUMBER($D$46)),($D$46&gt;$D63)+($D$46=$D63)/2,0),IF(AND(EXACT($C$47,$C63),ISNUMBER($D$47)),($D$47&gt;$D63)+($D$47=$D63)/2,0),IF(AND(EXACT($C$48,$C63),ISNUMBER($D$48)),($D$48&gt;$D63)+($D$48=$D63)/2,0),IF(AND(EXACT($C$49,$C63),ISNUMBER($D$49)),($D$49&gt;$D63)+($D$49=$D63)/2,0),IF(AND(EXACT($C$50,$C63),ISNUMBER($D$50)),($D$50&gt;$D63)+($D$50=$D63)/2,0),IF(AND(EXACT($C$51,$C63),ISNUMBER($D$51)),($D$51&gt;$D63)+($D$51=$D63)/2,0),IF(AND(EXACT($C$52,$C63),ISNUMBER($D$52)),($D$52&gt;$D63)+($D$52=$D63)/2,0),IF(AND(EXACT($C$53,$C63),ISNUMBER($D$53)),($D$53&gt;$D63)+($D$53=$D63)/2,0),IF(AND(EXACT($C$54,$C63),ISNUMBER($D$54)),($D$54&gt;$D63)+($D$54=$D63)/2,0),IF(AND(EXACT($C$55,$C63),ISNUMBER($D$55)),($D$55&gt;$D63)+($D$55=$D63)/2,0),IF(AND(EXACT($C$56,$C63),ISNUMBER($D$56)),($D$56&gt;$D63)+($D$56=$D63)/2,0)))</x:f>
      </x:c>
      <x:c r="AO63" s="34" t="str">
        <x:f>IF(COUNT($D63)=0,"",SUM(IF(AND(EXACT($C$57,$C63),ISNUMBER($D$57)),($D$57&gt;$D63)+($D$57=$D63)/2,0),IF(AND(EXACT($C$58,$C63),ISNUMBER($D$58)),($D$58&gt;$D63)+($D$58=$D63)/2,0),IF(AND(EXACT($C$59,$C63),ISNUMBER($D$59)),($D$59&gt;$D63)+($D$59=$D63)/2,0),IF(AND(EXACT($C$60,$C63),ISNUMBER($D$60)),($D$60&gt;$D63)+($D$60=$D63)/2,0),IF(AND(EXACT($C$61,$C63),ISNUMBER($D$61)),($D$61&gt;$D63)+($D$61=$D63)/2,0),IF(AND(EXACT($C$62,$C63),ISNUMBER($D$62)),($D$62&gt;$D63)+($D$62=$D63)/2,0),IF(AND(EXACT($C$63,$C63),ISNUMBER($D$63)),($D$63&gt;$D63)+($D$63=$D63)/2,0),IF(AND(EXACT($C$64,$C63),ISNUMBER($D$64)),($D$64&gt;$D63)+($D$64=$D63)/2,0),IF(AND(EXACT($C$65,$C63),ISNUMBER($D$65)),($D$65&gt;$D63)+($D$65=$D63)/2,0),IF(AND(EXACT($C$66,$C63),ISNUMBER($D$66)),($D$66&gt;$D63)+($D$66=$D63)/2,0),IF(AND(EXACT($C$67,$C63),ISNUMBER($D$67)),($D$67&gt;$D63)+($D$67=$D63)/2,0),IF(AND(EXACT($C$68,$C63),ISNUMBER($D$68)),($D$68&gt;$D63)+($D$68=$D63)/2,0),IF(AND(EXACT($C$69,$C63),ISNUMBER($D$69)),($D$69&gt;$D63)+($D$69=$D63)/2,0),IF(AND(EXACT($C$70,$C63),ISNUMBER($D$70)),($D$70&gt;$D63)+($D$70=$D63)/2,0),IF(AND(EXACT($C$71,$C63),ISNUMBER($D$71)),($D$71&gt;$D63)+($D$71=$D63)/2,0),IF(AND(EXACT($C$72,$C63),ISNUMBER($D$72)),($D$72&gt;$D63)+($D$72=$D63)/2,0),IF(AND(EXACT($C$73,$C63),ISNUMBER($D$73)),($D$73&gt;$D63)+($D$73=$D63)/2,0),IF(AND(EXACT($C$74,$C63),ISNUMBER($D$74)),($D$74&gt;$D63)+($D$74=$D63)/2,0),IF(AND(EXACT($C$75,$C63),ISNUMBER($D$75)),($D$75&gt;$D63)+($D$75=$D63)/2,0),IF(AND(EXACT($C$76,$C63),ISNUMBER($D$76)),($D$76&gt;$D63)+($D$76=$D63)/2,0),IF(AND(EXACT($C$77,$C63),ISNUMBER($D$77)),($D$77&gt;$D63)+($D$77=$D63)/2,0),IF(AND(EXACT($C$78,$C63),ISNUMBER($D$78)),($D$78&gt;$D63)+($D$78=$D63)/2,0),IF(AND(EXACT($C$79,$C63),ISNUMBER($D$79)),($D$79&gt;$D63)+($D$79=$D63)/2,0),IF(AND(EXACT($C$80,$C63),ISNUMBER($D$80)),($D$80&gt;$D63)+($D$80=$D63)/2,0),IF(AND(EXACT($C$81,$C63),ISNUMBER($D$81)),($D$81&gt;$D63)+($D$81=$D63)/2,0),IF(AND(EXACT($C$82,$C63),ISNUMBER($D$82)),($D$82&gt;$D63)+($D$82=$D63)/2,0),IF(AND(EXACT($C$83,$C63),ISNUMBER($D$83)),($D$83&gt;$D63)+($D$83=$D63)/2,0),IF(AND(EXACT($C$84,$C63),ISNUMBER($D$84)),($D$84&gt;$D63)+($D$84=$D63)/2,0),IF(AND(EXACT($C$85,$C63),ISNUMBER($D$85)),($D$85&gt;$D63)+($D$85=$D63)/2,0),IF(AND(EXACT($C$86,$C63),ISNUMBER($D$86)),($D$86&gt;$D63)+($D$86=$D63)/2,0),IF(AND(EXACT($C$87,$C63),ISNUMBER($D$87)),($D$87&gt;$D63)+($D$87=$D63)/2,0),IF(AND(EXACT($C$88,$C63),ISNUMBER($D$88)),($D$88&gt;$D63)+($D$88=$D63)/2,0),IF(AND(EXACT($C$89,$C63),ISNUMBER($D$89)),($D$89&gt;$D63)+($D$89=$D63)/2,0),IF(AND(EXACT($C$90,$C63),ISNUMBER($D$90)),($D$90&gt;$D63)+($D$90=$D63)/2,0),IF(AND(EXACT($C$91,$C63),ISNUMBER($D$91)),($D$91&gt;$D63)+($D$91=$D63)/2,0),IF(AND(EXACT($C$92,$C63),ISNUMBER($D$92)),($D$92&gt;$D63)+($D$92=$D63)/2,0),IF(AND(EXACT($C$93,$C63),ISNUMBER($D$93)),($D$93&gt;$D63)+($D$93=$D63)/2,0),IF(AND(EXACT($C$94,$C63),ISNUMBER($D$94)),($D$94&gt;$D63)+($D$94=$D63)/2,0),IF(AND(EXACT($C$95,$C63),ISNUMBER($D$95)),($D$95&gt;$D63)+($D$95=$D63)/2,0),IF(AND(EXACT($C$96,$C63),ISNUMBER($D$96)),($D$96&gt;$D63)+($D$96=$D63)/2,0),IF(AND(EXACT($C$97,$C63),ISNUMBER($D$97)),($D$97&gt;$D63)+($D$97=$D63)/2,0),IF(AND(EXACT($C$98,$C63),ISNUMBER($D$98)),($D$98&gt;$D63)+($D$98=$D63)/2,0),IF(AND(EXACT($C$99,$C63),ISNUMBER($D$99)),($D$99&gt;$D63)+($D$99=$D63)/2,0),IF(AND(EXACT($C$100,$C63),ISNUMBER($D$100)),($D$100&gt;$D63)+($D$100=$D63)/2,0),IF(AND(EXACT($C$101,$C63),ISNUMBER($D$101)),($D$101&gt;$D63)+($D$101=$D63)/2,0),IF(AND(EXACT($C$102,$C63),ISNUMBER($D$102)),($D$102&gt;$D63)+($D$102=$D63)/2,0),IF(AND(EXACT($C$103,$C63),ISNUMBER($D$103)),($D$103&gt;$D63)+($D$103=$D63)/2,0),IF(AND(EXACT($C$104,$C63),ISNUMBER($D$104)),($D$104&gt;$D63)+($D$104=$D63)/2,0),IF(AND(EXACT($C$105,$C63),ISNUMBER($D$105)),($D$105&gt;$D63)+($D$105=$D63)/2,0),IF(AND(EXACT($C$106,$C63),ISNUMBER($D$106)),($D$106&gt;$D63)+($D$106=$D63)/2,0)))</x:f>
      </x:c>
    </x:row>
    <x:row r="64">
      <x:c r="A64" s="34" t="str">
        <x:f>IF('91_CALC_SCORES'!A64="","",'91_CALC_SCORES'!A64)</x:f>
      </x:c>
      <x:c r="B64" s="34" t="str">
        <x:f>IF($A64="","",'91_CALC_SCORES'!B64)</x:f>
      </x:c>
      <x:c r="C64" s="34" t="str">
        <x:f>IF($A64="","",'91_CALC_SCORES'!K64)</x:f>
      </x:c>
      <x:c r="D64" s="57" t="str">
        <x:f>IF(OR($A64="",NOT(OR(LEFT('91_CALC_SCORES'!AB64,4)="PASS",LEFT('91_CALC_SCORES'!AB64,5)="READY"))),"",'91_CALC_SCORES'!Y64)</x:f>
      </x:c>
      <x:c r="E64" s="34" t="str">
        <x:f>IF(COUNT(D64)=0,"",1+SUM(AN64:AO64)-1/2)</x:f>
      </x:c>
      <x:c r="F64" s="34" t="str">
        <x:f>IF($A64="","",'91_CALC_SCORES'!AB64)</x:f>
      </x:c>
      <x:c r="G64" s="34" t="str">
        <x:f>IF(A64="","","연구 베타 | 기업 백분위 아님")</x:f>
      </x:c>
      <x:c r="AN64" s="34" t="str">
        <x:f>IF(COUNT($D64)=0,"",SUM(IF(AND(EXACT($C$7,$C64),ISNUMBER($D$7)),($D$7&gt;$D64)+($D$7=$D64)/2,0),IF(AND(EXACT($C$8,$C64),ISNUMBER($D$8)),($D$8&gt;$D64)+($D$8=$D64)/2,0),IF(AND(EXACT($C$9,$C64),ISNUMBER($D$9)),($D$9&gt;$D64)+($D$9=$D64)/2,0),IF(AND(EXACT($C$10,$C64),ISNUMBER($D$10)),($D$10&gt;$D64)+($D$10=$D64)/2,0),IF(AND(EXACT($C$11,$C64),ISNUMBER($D$11)),($D$11&gt;$D64)+($D$11=$D64)/2,0),IF(AND(EXACT($C$12,$C64),ISNUMBER($D$12)),($D$12&gt;$D64)+($D$12=$D64)/2,0),IF(AND(EXACT($C$13,$C64),ISNUMBER($D$13)),($D$13&gt;$D64)+($D$13=$D64)/2,0),IF(AND(EXACT($C$14,$C64),ISNUMBER($D$14)),($D$14&gt;$D64)+($D$14=$D64)/2,0),IF(AND(EXACT($C$15,$C64),ISNUMBER($D$15)),($D$15&gt;$D64)+($D$15=$D64)/2,0),IF(AND(EXACT($C$16,$C64),ISNUMBER($D$16)),($D$16&gt;$D64)+($D$16=$D64)/2,0),IF(AND(EXACT($C$17,$C64),ISNUMBER($D$17)),($D$17&gt;$D64)+($D$17=$D64)/2,0),IF(AND(EXACT($C$18,$C64),ISNUMBER($D$18)),($D$18&gt;$D64)+($D$18=$D64)/2,0),IF(AND(EXACT($C$19,$C64),ISNUMBER($D$19)),($D$19&gt;$D64)+($D$19=$D64)/2,0),IF(AND(EXACT($C$20,$C64),ISNUMBER($D$20)),($D$20&gt;$D64)+($D$20=$D64)/2,0),IF(AND(EXACT($C$21,$C64),ISNUMBER($D$21)),($D$21&gt;$D64)+($D$21=$D64)/2,0),IF(AND(EXACT($C$22,$C64),ISNUMBER($D$22)),($D$22&gt;$D64)+($D$22=$D64)/2,0),IF(AND(EXACT($C$23,$C64),ISNUMBER($D$23)),($D$23&gt;$D64)+($D$23=$D64)/2,0),IF(AND(EXACT($C$24,$C64),ISNUMBER($D$24)),($D$24&gt;$D64)+($D$24=$D64)/2,0),IF(AND(EXACT($C$25,$C64),ISNUMBER($D$25)),($D$25&gt;$D64)+($D$25=$D64)/2,0),IF(AND(EXACT($C$26,$C64),ISNUMBER($D$26)),($D$26&gt;$D64)+($D$26=$D64)/2,0),IF(AND(EXACT($C$27,$C64),ISNUMBER($D$27)),($D$27&gt;$D64)+($D$27=$D64)/2,0),IF(AND(EXACT($C$28,$C64),ISNUMBER($D$28)),($D$28&gt;$D64)+($D$28=$D64)/2,0),IF(AND(EXACT($C$29,$C64),ISNUMBER($D$29)),($D$29&gt;$D64)+($D$29=$D64)/2,0),IF(AND(EXACT($C$30,$C64),ISNUMBER($D$30)),($D$30&gt;$D64)+($D$30=$D64)/2,0),IF(AND(EXACT($C$31,$C64),ISNUMBER($D$31)),($D$31&gt;$D64)+($D$31=$D64)/2,0),IF(AND(EXACT($C$32,$C64),ISNUMBER($D$32)),($D$32&gt;$D64)+($D$32=$D64)/2,0),IF(AND(EXACT($C$33,$C64),ISNUMBER($D$33)),($D$33&gt;$D64)+($D$33=$D64)/2,0),IF(AND(EXACT($C$34,$C64),ISNUMBER($D$34)),($D$34&gt;$D64)+($D$34=$D64)/2,0),IF(AND(EXACT($C$35,$C64),ISNUMBER($D$35)),($D$35&gt;$D64)+($D$35=$D64)/2,0),IF(AND(EXACT($C$36,$C64),ISNUMBER($D$36)),($D$36&gt;$D64)+($D$36=$D64)/2,0),IF(AND(EXACT($C$37,$C64),ISNUMBER($D$37)),($D$37&gt;$D64)+($D$37=$D64)/2,0),IF(AND(EXACT($C$38,$C64),ISNUMBER($D$38)),($D$38&gt;$D64)+($D$38=$D64)/2,0),IF(AND(EXACT($C$39,$C64),ISNUMBER($D$39)),($D$39&gt;$D64)+($D$39=$D64)/2,0),IF(AND(EXACT($C$40,$C64),ISNUMBER($D$40)),($D$40&gt;$D64)+($D$40=$D64)/2,0),IF(AND(EXACT($C$41,$C64),ISNUMBER($D$41)),($D$41&gt;$D64)+($D$41=$D64)/2,0),IF(AND(EXACT($C$42,$C64),ISNUMBER($D$42)),($D$42&gt;$D64)+($D$42=$D64)/2,0),IF(AND(EXACT($C$43,$C64),ISNUMBER($D$43)),($D$43&gt;$D64)+($D$43=$D64)/2,0),IF(AND(EXACT($C$44,$C64),ISNUMBER($D$44)),($D$44&gt;$D64)+($D$44=$D64)/2,0),IF(AND(EXACT($C$45,$C64),ISNUMBER($D$45)),($D$45&gt;$D64)+($D$45=$D64)/2,0),IF(AND(EXACT($C$46,$C64),ISNUMBER($D$46)),($D$46&gt;$D64)+($D$46=$D64)/2,0),IF(AND(EXACT($C$47,$C64),ISNUMBER($D$47)),($D$47&gt;$D64)+($D$47=$D64)/2,0),IF(AND(EXACT($C$48,$C64),ISNUMBER($D$48)),($D$48&gt;$D64)+($D$48=$D64)/2,0),IF(AND(EXACT($C$49,$C64),ISNUMBER($D$49)),($D$49&gt;$D64)+($D$49=$D64)/2,0),IF(AND(EXACT($C$50,$C64),ISNUMBER($D$50)),($D$50&gt;$D64)+($D$50=$D64)/2,0),IF(AND(EXACT($C$51,$C64),ISNUMBER($D$51)),($D$51&gt;$D64)+($D$51=$D64)/2,0),IF(AND(EXACT($C$52,$C64),ISNUMBER($D$52)),($D$52&gt;$D64)+($D$52=$D64)/2,0),IF(AND(EXACT($C$53,$C64),ISNUMBER($D$53)),($D$53&gt;$D64)+($D$53=$D64)/2,0),IF(AND(EXACT($C$54,$C64),ISNUMBER($D$54)),($D$54&gt;$D64)+($D$54=$D64)/2,0),IF(AND(EXACT($C$55,$C64),ISNUMBER($D$55)),($D$55&gt;$D64)+($D$55=$D64)/2,0),IF(AND(EXACT($C$56,$C64),ISNUMBER($D$56)),($D$56&gt;$D64)+($D$56=$D64)/2,0)))</x:f>
      </x:c>
      <x:c r="AO64" s="34" t="str">
        <x:f>IF(COUNT($D64)=0,"",SUM(IF(AND(EXACT($C$57,$C64),ISNUMBER($D$57)),($D$57&gt;$D64)+($D$57=$D64)/2,0),IF(AND(EXACT($C$58,$C64),ISNUMBER($D$58)),($D$58&gt;$D64)+($D$58=$D64)/2,0),IF(AND(EXACT($C$59,$C64),ISNUMBER($D$59)),($D$59&gt;$D64)+($D$59=$D64)/2,0),IF(AND(EXACT($C$60,$C64),ISNUMBER($D$60)),($D$60&gt;$D64)+($D$60=$D64)/2,0),IF(AND(EXACT($C$61,$C64),ISNUMBER($D$61)),($D$61&gt;$D64)+($D$61=$D64)/2,0),IF(AND(EXACT($C$62,$C64),ISNUMBER($D$62)),($D$62&gt;$D64)+($D$62=$D64)/2,0),IF(AND(EXACT($C$63,$C64),ISNUMBER($D$63)),($D$63&gt;$D64)+($D$63=$D64)/2,0),IF(AND(EXACT($C$64,$C64),ISNUMBER($D$64)),($D$64&gt;$D64)+($D$64=$D64)/2,0),IF(AND(EXACT($C$65,$C64),ISNUMBER($D$65)),($D$65&gt;$D64)+($D$65=$D64)/2,0),IF(AND(EXACT($C$66,$C64),ISNUMBER($D$66)),($D$66&gt;$D64)+($D$66=$D64)/2,0),IF(AND(EXACT($C$67,$C64),ISNUMBER($D$67)),($D$67&gt;$D64)+($D$67=$D64)/2,0),IF(AND(EXACT($C$68,$C64),ISNUMBER($D$68)),($D$68&gt;$D64)+($D$68=$D64)/2,0),IF(AND(EXACT($C$69,$C64),ISNUMBER($D$69)),($D$69&gt;$D64)+($D$69=$D64)/2,0),IF(AND(EXACT($C$70,$C64),ISNUMBER($D$70)),($D$70&gt;$D64)+($D$70=$D64)/2,0),IF(AND(EXACT($C$71,$C64),ISNUMBER($D$71)),($D$71&gt;$D64)+($D$71=$D64)/2,0),IF(AND(EXACT($C$72,$C64),ISNUMBER($D$72)),($D$72&gt;$D64)+($D$72=$D64)/2,0),IF(AND(EXACT($C$73,$C64),ISNUMBER($D$73)),($D$73&gt;$D64)+($D$73=$D64)/2,0),IF(AND(EXACT($C$74,$C64),ISNUMBER($D$74)),($D$74&gt;$D64)+($D$74=$D64)/2,0),IF(AND(EXACT($C$75,$C64),ISNUMBER($D$75)),($D$75&gt;$D64)+($D$75=$D64)/2,0),IF(AND(EXACT($C$76,$C64),ISNUMBER($D$76)),($D$76&gt;$D64)+($D$76=$D64)/2,0),IF(AND(EXACT($C$77,$C64),ISNUMBER($D$77)),($D$77&gt;$D64)+($D$77=$D64)/2,0),IF(AND(EXACT($C$78,$C64),ISNUMBER($D$78)),($D$78&gt;$D64)+($D$78=$D64)/2,0),IF(AND(EXACT($C$79,$C64),ISNUMBER($D$79)),($D$79&gt;$D64)+($D$79=$D64)/2,0),IF(AND(EXACT($C$80,$C64),ISNUMBER($D$80)),($D$80&gt;$D64)+($D$80=$D64)/2,0),IF(AND(EXACT($C$81,$C64),ISNUMBER($D$81)),($D$81&gt;$D64)+($D$81=$D64)/2,0),IF(AND(EXACT($C$82,$C64),ISNUMBER($D$82)),($D$82&gt;$D64)+($D$82=$D64)/2,0),IF(AND(EXACT($C$83,$C64),ISNUMBER($D$83)),($D$83&gt;$D64)+($D$83=$D64)/2,0),IF(AND(EXACT($C$84,$C64),ISNUMBER($D$84)),($D$84&gt;$D64)+($D$84=$D64)/2,0),IF(AND(EXACT($C$85,$C64),ISNUMBER($D$85)),($D$85&gt;$D64)+($D$85=$D64)/2,0),IF(AND(EXACT($C$86,$C64),ISNUMBER($D$86)),($D$86&gt;$D64)+($D$86=$D64)/2,0),IF(AND(EXACT($C$87,$C64),ISNUMBER($D$87)),($D$87&gt;$D64)+($D$87=$D64)/2,0),IF(AND(EXACT($C$88,$C64),ISNUMBER($D$88)),($D$88&gt;$D64)+($D$88=$D64)/2,0),IF(AND(EXACT($C$89,$C64),ISNUMBER($D$89)),($D$89&gt;$D64)+($D$89=$D64)/2,0),IF(AND(EXACT($C$90,$C64),ISNUMBER($D$90)),($D$90&gt;$D64)+($D$90=$D64)/2,0),IF(AND(EXACT($C$91,$C64),ISNUMBER($D$91)),($D$91&gt;$D64)+($D$91=$D64)/2,0),IF(AND(EXACT($C$92,$C64),ISNUMBER($D$92)),($D$92&gt;$D64)+($D$92=$D64)/2,0),IF(AND(EXACT($C$93,$C64),ISNUMBER($D$93)),($D$93&gt;$D64)+($D$93=$D64)/2,0),IF(AND(EXACT($C$94,$C64),ISNUMBER($D$94)),($D$94&gt;$D64)+($D$94=$D64)/2,0),IF(AND(EXACT($C$95,$C64),ISNUMBER($D$95)),($D$95&gt;$D64)+($D$95=$D64)/2,0),IF(AND(EXACT($C$96,$C64),ISNUMBER($D$96)),($D$96&gt;$D64)+($D$96=$D64)/2,0),IF(AND(EXACT($C$97,$C64),ISNUMBER($D$97)),($D$97&gt;$D64)+($D$97=$D64)/2,0),IF(AND(EXACT($C$98,$C64),ISNUMBER($D$98)),($D$98&gt;$D64)+($D$98=$D64)/2,0),IF(AND(EXACT($C$99,$C64),ISNUMBER($D$99)),($D$99&gt;$D64)+($D$99=$D64)/2,0),IF(AND(EXACT($C$100,$C64),ISNUMBER($D$100)),($D$100&gt;$D64)+($D$100=$D64)/2,0),IF(AND(EXACT($C$101,$C64),ISNUMBER($D$101)),($D$101&gt;$D64)+($D$101=$D64)/2,0),IF(AND(EXACT($C$102,$C64),ISNUMBER($D$102)),($D$102&gt;$D64)+($D$102=$D64)/2,0),IF(AND(EXACT($C$103,$C64),ISNUMBER($D$103)),($D$103&gt;$D64)+($D$103=$D64)/2,0),IF(AND(EXACT($C$104,$C64),ISNUMBER($D$104)),($D$104&gt;$D64)+($D$104=$D64)/2,0),IF(AND(EXACT($C$105,$C64),ISNUMBER($D$105)),($D$105&gt;$D64)+($D$105=$D64)/2,0),IF(AND(EXACT($C$106,$C64),ISNUMBER($D$106)),($D$106&gt;$D64)+($D$106=$D64)/2,0)))</x:f>
      </x:c>
    </x:row>
    <x:row r="65">
      <x:c r="A65" s="34" t="str">
        <x:f>IF('91_CALC_SCORES'!A65="","",'91_CALC_SCORES'!A65)</x:f>
      </x:c>
      <x:c r="B65" s="34" t="str">
        <x:f>IF($A65="","",'91_CALC_SCORES'!B65)</x:f>
      </x:c>
      <x:c r="C65" s="34" t="str">
        <x:f>IF($A65="","",'91_CALC_SCORES'!K65)</x:f>
      </x:c>
      <x:c r="D65" s="57" t="str">
        <x:f>IF(OR($A65="",NOT(OR(LEFT('91_CALC_SCORES'!AB65,4)="PASS",LEFT('91_CALC_SCORES'!AB65,5)="READY"))),"",'91_CALC_SCORES'!Y65)</x:f>
      </x:c>
      <x:c r="E65" s="34" t="str">
        <x:f>IF(COUNT(D65)=0,"",1+SUM(AN65:AO65)-1/2)</x:f>
      </x:c>
      <x:c r="F65" s="34" t="str">
        <x:f>IF($A65="","",'91_CALC_SCORES'!AB65)</x:f>
      </x:c>
      <x:c r="G65" s="34" t="str">
        <x:f>IF(A65="","","연구 베타 | 기업 백분위 아님")</x:f>
      </x:c>
      <x:c r="AN65" s="34" t="str">
        <x:f>IF(COUNT($D65)=0,"",SUM(IF(AND(EXACT($C$7,$C65),ISNUMBER($D$7)),($D$7&gt;$D65)+($D$7=$D65)/2,0),IF(AND(EXACT($C$8,$C65),ISNUMBER($D$8)),($D$8&gt;$D65)+($D$8=$D65)/2,0),IF(AND(EXACT($C$9,$C65),ISNUMBER($D$9)),($D$9&gt;$D65)+($D$9=$D65)/2,0),IF(AND(EXACT($C$10,$C65),ISNUMBER($D$10)),($D$10&gt;$D65)+($D$10=$D65)/2,0),IF(AND(EXACT($C$11,$C65),ISNUMBER($D$11)),($D$11&gt;$D65)+($D$11=$D65)/2,0),IF(AND(EXACT($C$12,$C65),ISNUMBER($D$12)),($D$12&gt;$D65)+($D$12=$D65)/2,0),IF(AND(EXACT($C$13,$C65),ISNUMBER($D$13)),($D$13&gt;$D65)+($D$13=$D65)/2,0),IF(AND(EXACT($C$14,$C65),ISNUMBER($D$14)),($D$14&gt;$D65)+($D$14=$D65)/2,0),IF(AND(EXACT($C$15,$C65),ISNUMBER($D$15)),($D$15&gt;$D65)+($D$15=$D65)/2,0),IF(AND(EXACT($C$16,$C65),ISNUMBER($D$16)),($D$16&gt;$D65)+($D$16=$D65)/2,0),IF(AND(EXACT($C$17,$C65),ISNUMBER($D$17)),($D$17&gt;$D65)+($D$17=$D65)/2,0),IF(AND(EXACT($C$18,$C65),ISNUMBER($D$18)),($D$18&gt;$D65)+($D$18=$D65)/2,0),IF(AND(EXACT($C$19,$C65),ISNUMBER($D$19)),($D$19&gt;$D65)+($D$19=$D65)/2,0),IF(AND(EXACT($C$20,$C65),ISNUMBER($D$20)),($D$20&gt;$D65)+($D$20=$D65)/2,0),IF(AND(EXACT($C$21,$C65),ISNUMBER($D$21)),($D$21&gt;$D65)+($D$21=$D65)/2,0),IF(AND(EXACT($C$22,$C65),ISNUMBER($D$22)),($D$22&gt;$D65)+($D$22=$D65)/2,0),IF(AND(EXACT($C$23,$C65),ISNUMBER($D$23)),($D$23&gt;$D65)+($D$23=$D65)/2,0),IF(AND(EXACT($C$24,$C65),ISNUMBER($D$24)),($D$24&gt;$D65)+($D$24=$D65)/2,0),IF(AND(EXACT($C$25,$C65),ISNUMBER($D$25)),($D$25&gt;$D65)+($D$25=$D65)/2,0),IF(AND(EXACT($C$26,$C65),ISNUMBER($D$26)),($D$26&gt;$D65)+($D$26=$D65)/2,0),IF(AND(EXACT($C$27,$C65),ISNUMBER($D$27)),($D$27&gt;$D65)+($D$27=$D65)/2,0),IF(AND(EXACT($C$28,$C65),ISNUMBER($D$28)),($D$28&gt;$D65)+($D$28=$D65)/2,0),IF(AND(EXACT($C$29,$C65),ISNUMBER($D$29)),($D$29&gt;$D65)+($D$29=$D65)/2,0),IF(AND(EXACT($C$30,$C65),ISNUMBER($D$30)),($D$30&gt;$D65)+($D$30=$D65)/2,0),IF(AND(EXACT($C$31,$C65),ISNUMBER($D$31)),($D$31&gt;$D65)+($D$31=$D65)/2,0),IF(AND(EXACT($C$32,$C65),ISNUMBER($D$32)),($D$32&gt;$D65)+($D$32=$D65)/2,0),IF(AND(EXACT($C$33,$C65),ISNUMBER($D$33)),($D$33&gt;$D65)+($D$33=$D65)/2,0),IF(AND(EXACT($C$34,$C65),ISNUMBER($D$34)),($D$34&gt;$D65)+($D$34=$D65)/2,0),IF(AND(EXACT($C$35,$C65),ISNUMBER($D$35)),($D$35&gt;$D65)+($D$35=$D65)/2,0),IF(AND(EXACT($C$36,$C65),ISNUMBER($D$36)),($D$36&gt;$D65)+($D$36=$D65)/2,0),IF(AND(EXACT($C$37,$C65),ISNUMBER($D$37)),($D$37&gt;$D65)+($D$37=$D65)/2,0),IF(AND(EXACT($C$38,$C65),ISNUMBER($D$38)),($D$38&gt;$D65)+($D$38=$D65)/2,0),IF(AND(EXACT($C$39,$C65),ISNUMBER($D$39)),($D$39&gt;$D65)+($D$39=$D65)/2,0),IF(AND(EXACT($C$40,$C65),ISNUMBER($D$40)),($D$40&gt;$D65)+($D$40=$D65)/2,0),IF(AND(EXACT($C$41,$C65),ISNUMBER($D$41)),($D$41&gt;$D65)+($D$41=$D65)/2,0),IF(AND(EXACT($C$42,$C65),ISNUMBER($D$42)),($D$42&gt;$D65)+($D$42=$D65)/2,0),IF(AND(EXACT($C$43,$C65),ISNUMBER($D$43)),($D$43&gt;$D65)+($D$43=$D65)/2,0),IF(AND(EXACT($C$44,$C65),ISNUMBER($D$44)),($D$44&gt;$D65)+($D$44=$D65)/2,0),IF(AND(EXACT($C$45,$C65),ISNUMBER($D$45)),($D$45&gt;$D65)+($D$45=$D65)/2,0),IF(AND(EXACT($C$46,$C65),ISNUMBER($D$46)),($D$46&gt;$D65)+($D$46=$D65)/2,0),IF(AND(EXACT($C$47,$C65),ISNUMBER($D$47)),($D$47&gt;$D65)+($D$47=$D65)/2,0),IF(AND(EXACT($C$48,$C65),ISNUMBER($D$48)),($D$48&gt;$D65)+($D$48=$D65)/2,0),IF(AND(EXACT($C$49,$C65),ISNUMBER($D$49)),($D$49&gt;$D65)+($D$49=$D65)/2,0),IF(AND(EXACT($C$50,$C65),ISNUMBER($D$50)),($D$50&gt;$D65)+($D$50=$D65)/2,0),IF(AND(EXACT($C$51,$C65),ISNUMBER($D$51)),($D$51&gt;$D65)+($D$51=$D65)/2,0),IF(AND(EXACT($C$52,$C65),ISNUMBER($D$52)),($D$52&gt;$D65)+($D$52=$D65)/2,0),IF(AND(EXACT($C$53,$C65),ISNUMBER($D$53)),($D$53&gt;$D65)+($D$53=$D65)/2,0),IF(AND(EXACT($C$54,$C65),ISNUMBER($D$54)),($D$54&gt;$D65)+($D$54=$D65)/2,0),IF(AND(EXACT($C$55,$C65),ISNUMBER($D$55)),($D$55&gt;$D65)+($D$55=$D65)/2,0),IF(AND(EXACT($C$56,$C65),ISNUMBER($D$56)),($D$56&gt;$D65)+($D$56=$D65)/2,0)))</x:f>
      </x:c>
      <x:c r="AO65" s="34" t="str">
        <x:f>IF(COUNT($D65)=0,"",SUM(IF(AND(EXACT($C$57,$C65),ISNUMBER($D$57)),($D$57&gt;$D65)+($D$57=$D65)/2,0),IF(AND(EXACT($C$58,$C65),ISNUMBER($D$58)),($D$58&gt;$D65)+($D$58=$D65)/2,0),IF(AND(EXACT($C$59,$C65),ISNUMBER($D$59)),($D$59&gt;$D65)+($D$59=$D65)/2,0),IF(AND(EXACT($C$60,$C65),ISNUMBER($D$60)),($D$60&gt;$D65)+($D$60=$D65)/2,0),IF(AND(EXACT($C$61,$C65),ISNUMBER($D$61)),($D$61&gt;$D65)+($D$61=$D65)/2,0),IF(AND(EXACT($C$62,$C65),ISNUMBER($D$62)),($D$62&gt;$D65)+($D$62=$D65)/2,0),IF(AND(EXACT($C$63,$C65),ISNUMBER($D$63)),($D$63&gt;$D65)+($D$63=$D65)/2,0),IF(AND(EXACT($C$64,$C65),ISNUMBER($D$64)),($D$64&gt;$D65)+($D$64=$D65)/2,0),IF(AND(EXACT($C$65,$C65),ISNUMBER($D$65)),($D$65&gt;$D65)+($D$65=$D65)/2,0),IF(AND(EXACT($C$66,$C65),ISNUMBER($D$66)),($D$66&gt;$D65)+($D$66=$D65)/2,0),IF(AND(EXACT($C$67,$C65),ISNUMBER($D$67)),($D$67&gt;$D65)+($D$67=$D65)/2,0),IF(AND(EXACT($C$68,$C65),ISNUMBER($D$68)),($D$68&gt;$D65)+($D$68=$D65)/2,0),IF(AND(EXACT($C$69,$C65),ISNUMBER($D$69)),($D$69&gt;$D65)+($D$69=$D65)/2,0),IF(AND(EXACT($C$70,$C65),ISNUMBER($D$70)),($D$70&gt;$D65)+($D$70=$D65)/2,0),IF(AND(EXACT($C$71,$C65),ISNUMBER($D$71)),($D$71&gt;$D65)+($D$71=$D65)/2,0),IF(AND(EXACT($C$72,$C65),ISNUMBER($D$72)),($D$72&gt;$D65)+($D$72=$D65)/2,0),IF(AND(EXACT($C$73,$C65),ISNUMBER($D$73)),($D$73&gt;$D65)+($D$73=$D65)/2,0),IF(AND(EXACT($C$74,$C65),ISNUMBER($D$74)),($D$74&gt;$D65)+($D$74=$D65)/2,0),IF(AND(EXACT($C$75,$C65),ISNUMBER($D$75)),($D$75&gt;$D65)+($D$75=$D65)/2,0),IF(AND(EXACT($C$76,$C65),ISNUMBER($D$76)),($D$76&gt;$D65)+($D$76=$D65)/2,0),IF(AND(EXACT($C$77,$C65),ISNUMBER($D$77)),($D$77&gt;$D65)+($D$77=$D65)/2,0),IF(AND(EXACT($C$78,$C65),ISNUMBER($D$78)),($D$78&gt;$D65)+($D$78=$D65)/2,0),IF(AND(EXACT($C$79,$C65),ISNUMBER($D$79)),($D$79&gt;$D65)+($D$79=$D65)/2,0),IF(AND(EXACT($C$80,$C65),ISNUMBER($D$80)),($D$80&gt;$D65)+($D$80=$D65)/2,0),IF(AND(EXACT($C$81,$C65),ISNUMBER($D$81)),($D$81&gt;$D65)+($D$81=$D65)/2,0),IF(AND(EXACT($C$82,$C65),ISNUMBER($D$82)),($D$82&gt;$D65)+($D$82=$D65)/2,0),IF(AND(EXACT($C$83,$C65),ISNUMBER($D$83)),($D$83&gt;$D65)+($D$83=$D65)/2,0),IF(AND(EXACT($C$84,$C65),ISNUMBER($D$84)),($D$84&gt;$D65)+($D$84=$D65)/2,0),IF(AND(EXACT($C$85,$C65),ISNUMBER($D$85)),($D$85&gt;$D65)+($D$85=$D65)/2,0),IF(AND(EXACT($C$86,$C65),ISNUMBER($D$86)),($D$86&gt;$D65)+($D$86=$D65)/2,0),IF(AND(EXACT($C$87,$C65),ISNUMBER($D$87)),($D$87&gt;$D65)+($D$87=$D65)/2,0),IF(AND(EXACT($C$88,$C65),ISNUMBER($D$88)),($D$88&gt;$D65)+($D$88=$D65)/2,0),IF(AND(EXACT($C$89,$C65),ISNUMBER($D$89)),($D$89&gt;$D65)+($D$89=$D65)/2,0),IF(AND(EXACT($C$90,$C65),ISNUMBER($D$90)),($D$90&gt;$D65)+($D$90=$D65)/2,0),IF(AND(EXACT($C$91,$C65),ISNUMBER($D$91)),($D$91&gt;$D65)+($D$91=$D65)/2,0),IF(AND(EXACT($C$92,$C65),ISNUMBER($D$92)),($D$92&gt;$D65)+($D$92=$D65)/2,0),IF(AND(EXACT($C$93,$C65),ISNUMBER($D$93)),($D$93&gt;$D65)+($D$93=$D65)/2,0),IF(AND(EXACT($C$94,$C65),ISNUMBER($D$94)),($D$94&gt;$D65)+($D$94=$D65)/2,0),IF(AND(EXACT($C$95,$C65),ISNUMBER($D$95)),($D$95&gt;$D65)+($D$95=$D65)/2,0),IF(AND(EXACT($C$96,$C65),ISNUMBER($D$96)),($D$96&gt;$D65)+($D$96=$D65)/2,0),IF(AND(EXACT($C$97,$C65),ISNUMBER($D$97)),($D$97&gt;$D65)+($D$97=$D65)/2,0),IF(AND(EXACT($C$98,$C65),ISNUMBER($D$98)),($D$98&gt;$D65)+($D$98=$D65)/2,0),IF(AND(EXACT($C$99,$C65),ISNUMBER($D$99)),($D$99&gt;$D65)+($D$99=$D65)/2,0),IF(AND(EXACT($C$100,$C65),ISNUMBER($D$100)),($D$100&gt;$D65)+($D$100=$D65)/2,0),IF(AND(EXACT($C$101,$C65),ISNUMBER($D$101)),($D$101&gt;$D65)+($D$101=$D65)/2,0),IF(AND(EXACT($C$102,$C65),ISNUMBER($D$102)),($D$102&gt;$D65)+($D$102=$D65)/2,0),IF(AND(EXACT($C$103,$C65),ISNUMBER($D$103)),($D$103&gt;$D65)+($D$103=$D65)/2,0),IF(AND(EXACT($C$104,$C65),ISNUMBER($D$104)),($D$104&gt;$D65)+($D$104=$D65)/2,0),IF(AND(EXACT($C$105,$C65),ISNUMBER($D$105)),($D$105&gt;$D65)+($D$105=$D65)/2,0),IF(AND(EXACT($C$106,$C65),ISNUMBER($D$106)),($D$106&gt;$D65)+($D$106=$D65)/2,0)))</x:f>
      </x:c>
    </x:row>
    <x:row r="66">
      <x:c r="A66" s="34" t="str">
        <x:f>IF('91_CALC_SCORES'!A66="","",'91_CALC_SCORES'!A66)</x:f>
      </x:c>
      <x:c r="B66" s="34" t="str">
        <x:f>IF($A66="","",'91_CALC_SCORES'!B66)</x:f>
      </x:c>
      <x:c r="C66" s="34" t="str">
        <x:f>IF($A66="","",'91_CALC_SCORES'!K66)</x:f>
      </x:c>
      <x:c r="D66" s="57" t="str">
        <x:f>IF(OR($A66="",NOT(OR(LEFT('91_CALC_SCORES'!AB66,4)="PASS",LEFT('91_CALC_SCORES'!AB66,5)="READY"))),"",'91_CALC_SCORES'!Y66)</x:f>
      </x:c>
      <x:c r="E66" s="34" t="str">
        <x:f>IF(COUNT(D66)=0,"",1+SUM(AN66:AO66)-1/2)</x:f>
      </x:c>
      <x:c r="F66" s="34" t="str">
        <x:f>IF($A66="","",'91_CALC_SCORES'!AB66)</x:f>
      </x:c>
      <x:c r="G66" s="34" t="str">
        <x:f>IF(A66="","","연구 베타 | 기업 백분위 아님")</x:f>
      </x:c>
      <x:c r="AN66" s="34" t="str">
        <x:f>IF(COUNT($D66)=0,"",SUM(IF(AND(EXACT($C$7,$C66),ISNUMBER($D$7)),($D$7&gt;$D66)+($D$7=$D66)/2,0),IF(AND(EXACT($C$8,$C66),ISNUMBER($D$8)),($D$8&gt;$D66)+($D$8=$D66)/2,0),IF(AND(EXACT($C$9,$C66),ISNUMBER($D$9)),($D$9&gt;$D66)+($D$9=$D66)/2,0),IF(AND(EXACT($C$10,$C66),ISNUMBER($D$10)),($D$10&gt;$D66)+($D$10=$D66)/2,0),IF(AND(EXACT($C$11,$C66),ISNUMBER($D$11)),($D$11&gt;$D66)+($D$11=$D66)/2,0),IF(AND(EXACT($C$12,$C66),ISNUMBER($D$12)),($D$12&gt;$D66)+($D$12=$D66)/2,0),IF(AND(EXACT($C$13,$C66),ISNUMBER($D$13)),($D$13&gt;$D66)+($D$13=$D66)/2,0),IF(AND(EXACT($C$14,$C66),ISNUMBER($D$14)),($D$14&gt;$D66)+($D$14=$D66)/2,0),IF(AND(EXACT($C$15,$C66),ISNUMBER($D$15)),($D$15&gt;$D66)+($D$15=$D66)/2,0),IF(AND(EXACT($C$16,$C66),ISNUMBER($D$16)),($D$16&gt;$D66)+($D$16=$D66)/2,0),IF(AND(EXACT($C$17,$C66),ISNUMBER($D$17)),($D$17&gt;$D66)+($D$17=$D66)/2,0),IF(AND(EXACT($C$18,$C66),ISNUMBER($D$18)),($D$18&gt;$D66)+($D$18=$D66)/2,0),IF(AND(EXACT($C$19,$C66),ISNUMBER($D$19)),($D$19&gt;$D66)+($D$19=$D66)/2,0),IF(AND(EXACT($C$20,$C66),ISNUMBER($D$20)),($D$20&gt;$D66)+($D$20=$D66)/2,0),IF(AND(EXACT($C$21,$C66),ISNUMBER($D$21)),($D$21&gt;$D66)+($D$21=$D66)/2,0),IF(AND(EXACT($C$22,$C66),ISNUMBER($D$22)),($D$22&gt;$D66)+($D$22=$D66)/2,0),IF(AND(EXACT($C$23,$C66),ISNUMBER($D$23)),($D$23&gt;$D66)+($D$23=$D66)/2,0),IF(AND(EXACT($C$24,$C66),ISNUMBER($D$24)),($D$24&gt;$D66)+($D$24=$D66)/2,0),IF(AND(EXACT($C$25,$C66),ISNUMBER($D$25)),($D$25&gt;$D66)+($D$25=$D66)/2,0),IF(AND(EXACT($C$26,$C66),ISNUMBER($D$26)),($D$26&gt;$D66)+($D$26=$D66)/2,0),IF(AND(EXACT($C$27,$C66),ISNUMBER($D$27)),($D$27&gt;$D66)+($D$27=$D66)/2,0),IF(AND(EXACT($C$28,$C66),ISNUMBER($D$28)),($D$28&gt;$D66)+($D$28=$D66)/2,0),IF(AND(EXACT($C$29,$C66),ISNUMBER($D$29)),($D$29&gt;$D66)+($D$29=$D66)/2,0),IF(AND(EXACT($C$30,$C66),ISNUMBER($D$30)),($D$30&gt;$D66)+($D$30=$D66)/2,0),IF(AND(EXACT($C$31,$C66),ISNUMBER($D$31)),($D$31&gt;$D66)+($D$31=$D66)/2,0),IF(AND(EXACT($C$32,$C66),ISNUMBER($D$32)),($D$32&gt;$D66)+($D$32=$D66)/2,0),IF(AND(EXACT($C$33,$C66),ISNUMBER($D$33)),($D$33&gt;$D66)+($D$33=$D66)/2,0),IF(AND(EXACT($C$34,$C66),ISNUMBER($D$34)),($D$34&gt;$D66)+($D$34=$D66)/2,0),IF(AND(EXACT($C$35,$C66),ISNUMBER($D$35)),($D$35&gt;$D66)+($D$35=$D66)/2,0),IF(AND(EXACT($C$36,$C66),ISNUMBER($D$36)),($D$36&gt;$D66)+($D$36=$D66)/2,0),IF(AND(EXACT($C$37,$C66),ISNUMBER($D$37)),($D$37&gt;$D66)+($D$37=$D66)/2,0),IF(AND(EXACT($C$38,$C66),ISNUMBER($D$38)),($D$38&gt;$D66)+($D$38=$D66)/2,0),IF(AND(EXACT($C$39,$C66),ISNUMBER($D$39)),($D$39&gt;$D66)+($D$39=$D66)/2,0),IF(AND(EXACT($C$40,$C66),ISNUMBER($D$40)),($D$40&gt;$D66)+($D$40=$D66)/2,0),IF(AND(EXACT($C$41,$C66),ISNUMBER($D$41)),($D$41&gt;$D66)+($D$41=$D66)/2,0),IF(AND(EXACT($C$42,$C66),ISNUMBER($D$42)),($D$42&gt;$D66)+($D$42=$D66)/2,0),IF(AND(EXACT($C$43,$C66),ISNUMBER($D$43)),($D$43&gt;$D66)+($D$43=$D66)/2,0),IF(AND(EXACT($C$44,$C66),ISNUMBER($D$44)),($D$44&gt;$D66)+($D$44=$D66)/2,0),IF(AND(EXACT($C$45,$C66),ISNUMBER($D$45)),($D$45&gt;$D66)+($D$45=$D66)/2,0),IF(AND(EXACT($C$46,$C66),ISNUMBER($D$46)),($D$46&gt;$D66)+($D$46=$D66)/2,0),IF(AND(EXACT($C$47,$C66),ISNUMBER($D$47)),($D$47&gt;$D66)+($D$47=$D66)/2,0),IF(AND(EXACT($C$48,$C66),ISNUMBER($D$48)),($D$48&gt;$D66)+($D$48=$D66)/2,0),IF(AND(EXACT($C$49,$C66),ISNUMBER($D$49)),($D$49&gt;$D66)+($D$49=$D66)/2,0),IF(AND(EXACT($C$50,$C66),ISNUMBER($D$50)),($D$50&gt;$D66)+($D$50=$D66)/2,0),IF(AND(EXACT($C$51,$C66),ISNUMBER($D$51)),($D$51&gt;$D66)+($D$51=$D66)/2,0),IF(AND(EXACT($C$52,$C66),ISNUMBER($D$52)),($D$52&gt;$D66)+($D$52=$D66)/2,0),IF(AND(EXACT($C$53,$C66),ISNUMBER($D$53)),($D$53&gt;$D66)+($D$53=$D66)/2,0),IF(AND(EXACT($C$54,$C66),ISNUMBER($D$54)),($D$54&gt;$D66)+($D$54=$D66)/2,0),IF(AND(EXACT($C$55,$C66),ISNUMBER($D$55)),($D$55&gt;$D66)+($D$55=$D66)/2,0),IF(AND(EXACT($C$56,$C66),ISNUMBER($D$56)),($D$56&gt;$D66)+($D$56=$D66)/2,0)))</x:f>
      </x:c>
      <x:c r="AO66" s="34" t="str">
        <x:f>IF(COUNT($D66)=0,"",SUM(IF(AND(EXACT($C$57,$C66),ISNUMBER($D$57)),($D$57&gt;$D66)+($D$57=$D66)/2,0),IF(AND(EXACT($C$58,$C66),ISNUMBER($D$58)),($D$58&gt;$D66)+($D$58=$D66)/2,0),IF(AND(EXACT($C$59,$C66),ISNUMBER($D$59)),($D$59&gt;$D66)+($D$59=$D66)/2,0),IF(AND(EXACT($C$60,$C66),ISNUMBER($D$60)),($D$60&gt;$D66)+($D$60=$D66)/2,0),IF(AND(EXACT($C$61,$C66),ISNUMBER($D$61)),($D$61&gt;$D66)+($D$61=$D66)/2,0),IF(AND(EXACT($C$62,$C66),ISNUMBER($D$62)),($D$62&gt;$D66)+($D$62=$D66)/2,0),IF(AND(EXACT($C$63,$C66),ISNUMBER($D$63)),($D$63&gt;$D66)+($D$63=$D66)/2,0),IF(AND(EXACT($C$64,$C66),ISNUMBER($D$64)),($D$64&gt;$D66)+($D$64=$D66)/2,0),IF(AND(EXACT($C$65,$C66),ISNUMBER($D$65)),($D$65&gt;$D66)+($D$65=$D66)/2,0),IF(AND(EXACT($C$66,$C66),ISNUMBER($D$66)),($D$66&gt;$D66)+($D$66=$D66)/2,0),IF(AND(EXACT($C$67,$C66),ISNUMBER($D$67)),($D$67&gt;$D66)+($D$67=$D66)/2,0),IF(AND(EXACT($C$68,$C66),ISNUMBER($D$68)),($D$68&gt;$D66)+($D$68=$D66)/2,0),IF(AND(EXACT($C$69,$C66),ISNUMBER($D$69)),($D$69&gt;$D66)+($D$69=$D66)/2,0),IF(AND(EXACT($C$70,$C66),ISNUMBER($D$70)),($D$70&gt;$D66)+($D$70=$D66)/2,0),IF(AND(EXACT($C$71,$C66),ISNUMBER($D$71)),($D$71&gt;$D66)+($D$71=$D66)/2,0),IF(AND(EXACT($C$72,$C66),ISNUMBER($D$72)),($D$72&gt;$D66)+($D$72=$D66)/2,0),IF(AND(EXACT($C$73,$C66),ISNUMBER($D$73)),($D$73&gt;$D66)+($D$73=$D66)/2,0),IF(AND(EXACT($C$74,$C66),ISNUMBER($D$74)),($D$74&gt;$D66)+($D$74=$D66)/2,0),IF(AND(EXACT($C$75,$C66),ISNUMBER($D$75)),($D$75&gt;$D66)+($D$75=$D66)/2,0),IF(AND(EXACT($C$76,$C66),ISNUMBER($D$76)),($D$76&gt;$D66)+($D$76=$D66)/2,0),IF(AND(EXACT($C$77,$C66),ISNUMBER($D$77)),($D$77&gt;$D66)+($D$77=$D66)/2,0),IF(AND(EXACT($C$78,$C66),ISNUMBER($D$78)),($D$78&gt;$D66)+($D$78=$D66)/2,0),IF(AND(EXACT($C$79,$C66),ISNUMBER($D$79)),($D$79&gt;$D66)+($D$79=$D66)/2,0),IF(AND(EXACT($C$80,$C66),ISNUMBER($D$80)),($D$80&gt;$D66)+($D$80=$D66)/2,0),IF(AND(EXACT($C$81,$C66),ISNUMBER($D$81)),($D$81&gt;$D66)+($D$81=$D66)/2,0),IF(AND(EXACT($C$82,$C66),ISNUMBER($D$82)),($D$82&gt;$D66)+($D$82=$D66)/2,0),IF(AND(EXACT($C$83,$C66),ISNUMBER($D$83)),($D$83&gt;$D66)+($D$83=$D66)/2,0),IF(AND(EXACT($C$84,$C66),ISNUMBER($D$84)),($D$84&gt;$D66)+($D$84=$D66)/2,0),IF(AND(EXACT($C$85,$C66),ISNUMBER($D$85)),($D$85&gt;$D66)+($D$85=$D66)/2,0),IF(AND(EXACT($C$86,$C66),ISNUMBER($D$86)),($D$86&gt;$D66)+($D$86=$D66)/2,0),IF(AND(EXACT($C$87,$C66),ISNUMBER($D$87)),($D$87&gt;$D66)+($D$87=$D66)/2,0),IF(AND(EXACT($C$88,$C66),ISNUMBER($D$88)),($D$88&gt;$D66)+($D$88=$D66)/2,0),IF(AND(EXACT($C$89,$C66),ISNUMBER($D$89)),($D$89&gt;$D66)+($D$89=$D66)/2,0),IF(AND(EXACT($C$90,$C66),ISNUMBER($D$90)),($D$90&gt;$D66)+($D$90=$D66)/2,0),IF(AND(EXACT($C$91,$C66),ISNUMBER($D$91)),($D$91&gt;$D66)+($D$91=$D66)/2,0),IF(AND(EXACT($C$92,$C66),ISNUMBER($D$92)),($D$92&gt;$D66)+($D$92=$D66)/2,0),IF(AND(EXACT($C$93,$C66),ISNUMBER($D$93)),($D$93&gt;$D66)+($D$93=$D66)/2,0),IF(AND(EXACT($C$94,$C66),ISNUMBER($D$94)),($D$94&gt;$D66)+($D$94=$D66)/2,0),IF(AND(EXACT($C$95,$C66),ISNUMBER($D$95)),($D$95&gt;$D66)+($D$95=$D66)/2,0),IF(AND(EXACT($C$96,$C66),ISNUMBER($D$96)),($D$96&gt;$D66)+($D$96=$D66)/2,0),IF(AND(EXACT($C$97,$C66),ISNUMBER($D$97)),($D$97&gt;$D66)+($D$97=$D66)/2,0),IF(AND(EXACT($C$98,$C66),ISNUMBER($D$98)),($D$98&gt;$D66)+($D$98=$D66)/2,0),IF(AND(EXACT($C$99,$C66),ISNUMBER($D$99)),($D$99&gt;$D66)+($D$99=$D66)/2,0),IF(AND(EXACT($C$100,$C66),ISNUMBER($D$100)),($D$100&gt;$D66)+($D$100=$D66)/2,0),IF(AND(EXACT($C$101,$C66),ISNUMBER($D$101)),($D$101&gt;$D66)+($D$101=$D66)/2,0),IF(AND(EXACT($C$102,$C66),ISNUMBER($D$102)),($D$102&gt;$D66)+($D$102=$D66)/2,0),IF(AND(EXACT($C$103,$C66),ISNUMBER($D$103)),($D$103&gt;$D66)+($D$103=$D66)/2,0),IF(AND(EXACT($C$104,$C66),ISNUMBER($D$104)),($D$104&gt;$D66)+($D$104=$D66)/2,0),IF(AND(EXACT($C$105,$C66),ISNUMBER($D$105)),($D$105&gt;$D66)+($D$105=$D66)/2,0),IF(AND(EXACT($C$106,$C66),ISNUMBER($D$106)),($D$106&gt;$D66)+($D$106=$D66)/2,0)))</x:f>
      </x:c>
    </x:row>
    <x:row r="67">
      <x:c r="A67" s="34" t="str">
        <x:f>IF('91_CALC_SCORES'!A67="","",'91_CALC_SCORES'!A67)</x:f>
      </x:c>
      <x:c r="B67" s="34" t="str">
        <x:f>IF($A67="","",'91_CALC_SCORES'!B67)</x:f>
      </x:c>
      <x:c r="C67" s="34" t="str">
        <x:f>IF($A67="","",'91_CALC_SCORES'!K67)</x:f>
      </x:c>
      <x:c r="D67" s="57" t="str">
        <x:f>IF(OR($A67="",NOT(OR(LEFT('91_CALC_SCORES'!AB67,4)="PASS",LEFT('91_CALC_SCORES'!AB67,5)="READY"))),"",'91_CALC_SCORES'!Y67)</x:f>
      </x:c>
      <x:c r="E67" s="34" t="str">
        <x:f>IF(COUNT(D67)=0,"",1+SUM(AN67:AO67)-1/2)</x:f>
      </x:c>
      <x:c r="F67" s="34" t="str">
        <x:f>IF($A67="","",'91_CALC_SCORES'!AB67)</x:f>
      </x:c>
      <x:c r="G67" s="34" t="str">
        <x:f>IF(A67="","","연구 베타 | 기업 백분위 아님")</x:f>
      </x:c>
      <x:c r="AN67" s="34" t="str">
        <x:f>IF(COUNT($D67)=0,"",SUM(IF(AND(EXACT($C$7,$C67),ISNUMBER($D$7)),($D$7&gt;$D67)+($D$7=$D67)/2,0),IF(AND(EXACT($C$8,$C67),ISNUMBER($D$8)),($D$8&gt;$D67)+($D$8=$D67)/2,0),IF(AND(EXACT($C$9,$C67),ISNUMBER($D$9)),($D$9&gt;$D67)+($D$9=$D67)/2,0),IF(AND(EXACT($C$10,$C67),ISNUMBER($D$10)),($D$10&gt;$D67)+($D$10=$D67)/2,0),IF(AND(EXACT($C$11,$C67),ISNUMBER($D$11)),($D$11&gt;$D67)+($D$11=$D67)/2,0),IF(AND(EXACT($C$12,$C67),ISNUMBER($D$12)),($D$12&gt;$D67)+($D$12=$D67)/2,0),IF(AND(EXACT($C$13,$C67),ISNUMBER($D$13)),($D$13&gt;$D67)+($D$13=$D67)/2,0),IF(AND(EXACT($C$14,$C67),ISNUMBER($D$14)),($D$14&gt;$D67)+($D$14=$D67)/2,0),IF(AND(EXACT($C$15,$C67),ISNUMBER($D$15)),($D$15&gt;$D67)+($D$15=$D67)/2,0),IF(AND(EXACT($C$16,$C67),ISNUMBER($D$16)),($D$16&gt;$D67)+($D$16=$D67)/2,0),IF(AND(EXACT($C$17,$C67),ISNUMBER($D$17)),($D$17&gt;$D67)+($D$17=$D67)/2,0),IF(AND(EXACT($C$18,$C67),ISNUMBER($D$18)),($D$18&gt;$D67)+($D$18=$D67)/2,0),IF(AND(EXACT($C$19,$C67),ISNUMBER($D$19)),($D$19&gt;$D67)+($D$19=$D67)/2,0),IF(AND(EXACT($C$20,$C67),ISNUMBER($D$20)),($D$20&gt;$D67)+($D$20=$D67)/2,0),IF(AND(EXACT($C$21,$C67),ISNUMBER($D$21)),($D$21&gt;$D67)+($D$21=$D67)/2,0),IF(AND(EXACT($C$22,$C67),ISNUMBER($D$22)),($D$22&gt;$D67)+($D$22=$D67)/2,0),IF(AND(EXACT($C$23,$C67),ISNUMBER($D$23)),($D$23&gt;$D67)+($D$23=$D67)/2,0),IF(AND(EXACT($C$24,$C67),ISNUMBER($D$24)),($D$24&gt;$D67)+($D$24=$D67)/2,0),IF(AND(EXACT($C$25,$C67),ISNUMBER($D$25)),($D$25&gt;$D67)+($D$25=$D67)/2,0),IF(AND(EXACT($C$26,$C67),ISNUMBER($D$26)),($D$26&gt;$D67)+($D$26=$D67)/2,0),IF(AND(EXACT($C$27,$C67),ISNUMBER($D$27)),($D$27&gt;$D67)+($D$27=$D67)/2,0),IF(AND(EXACT($C$28,$C67),ISNUMBER($D$28)),($D$28&gt;$D67)+($D$28=$D67)/2,0),IF(AND(EXACT($C$29,$C67),ISNUMBER($D$29)),($D$29&gt;$D67)+($D$29=$D67)/2,0),IF(AND(EXACT($C$30,$C67),ISNUMBER($D$30)),($D$30&gt;$D67)+($D$30=$D67)/2,0),IF(AND(EXACT($C$31,$C67),ISNUMBER($D$31)),($D$31&gt;$D67)+($D$31=$D67)/2,0),IF(AND(EXACT($C$32,$C67),ISNUMBER($D$32)),($D$32&gt;$D67)+($D$32=$D67)/2,0),IF(AND(EXACT($C$33,$C67),ISNUMBER($D$33)),($D$33&gt;$D67)+($D$33=$D67)/2,0),IF(AND(EXACT($C$34,$C67),ISNUMBER($D$34)),($D$34&gt;$D67)+($D$34=$D67)/2,0),IF(AND(EXACT($C$35,$C67),ISNUMBER($D$35)),($D$35&gt;$D67)+($D$35=$D67)/2,0),IF(AND(EXACT($C$36,$C67),ISNUMBER($D$36)),($D$36&gt;$D67)+($D$36=$D67)/2,0),IF(AND(EXACT($C$37,$C67),ISNUMBER($D$37)),($D$37&gt;$D67)+($D$37=$D67)/2,0),IF(AND(EXACT($C$38,$C67),ISNUMBER($D$38)),($D$38&gt;$D67)+($D$38=$D67)/2,0),IF(AND(EXACT($C$39,$C67),ISNUMBER($D$39)),($D$39&gt;$D67)+($D$39=$D67)/2,0),IF(AND(EXACT($C$40,$C67),ISNUMBER($D$40)),($D$40&gt;$D67)+($D$40=$D67)/2,0),IF(AND(EXACT($C$41,$C67),ISNUMBER($D$41)),($D$41&gt;$D67)+($D$41=$D67)/2,0),IF(AND(EXACT($C$42,$C67),ISNUMBER($D$42)),($D$42&gt;$D67)+($D$42=$D67)/2,0),IF(AND(EXACT($C$43,$C67),ISNUMBER($D$43)),($D$43&gt;$D67)+($D$43=$D67)/2,0),IF(AND(EXACT($C$44,$C67),ISNUMBER($D$44)),($D$44&gt;$D67)+($D$44=$D67)/2,0),IF(AND(EXACT($C$45,$C67),ISNUMBER($D$45)),($D$45&gt;$D67)+($D$45=$D67)/2,0),IF(AND(EXACT($C$46,$C67),ISNUMBER($D$46)),($D$46&gt;$D67)+($D$46=$D67)/2,0),IF(AND(EXACT($C$47,$C67),ISNUMBER($D$47)),($D$47&gt;$D67)+($D$47=$D67)/2,0),IF(AND(EXACT($C$48,$C67),ISNUMBER($D$48)),($D$48&gt;$D67)+($D$48=$D67)/2,0),IF(AND(EXACT($C$49,$C67),ISNUMBER($D$49)),($D$49&gt;$D67)+($D$49=$D67)/2,0),IF(AND(EXACT($C$50,$C67),ISNUMBER($D$50)),($D$50&gt;$D67)+($D$50=$D67)/2,0),IF(AND(EXACT($C$51,$C67),ISNUMBER($D$51)),($D$51&gt;$D67)+($D$51=$D67)/2,0),IF(AND(EXACT($C$52,$C67),ISNUMBER($D$52)),($D$52&gt;$D67)+($D$52=$D67)/2,0),IF(AND(EXACT($C$53,$C67),ISNUMBER($D$53)),($D$53&gt;$D67)+($D$53=$D67)/2,0),IF(AND(EXACT($C$54,$C67),ISNUMBER($D$54)),($D$54&gt;$D67)+($D$54=$D67)/2,0),IF(AND(EXACT($C$55,$C67),ISNUMBER($D$55)),($D$55&gt;$D67)+($D$55=$D67)/2,0),IF(AND(EXACT($C$56,$C67),ISNUMBER($D$56)),($D$56&gt;$D67)+($D$56=$D67)/2,0)))</x:f>
      </x:c>
      <x:c r="AO67" s="34" t="str">
        <x:f>IF(COUNT($D67)=0,"",SUM(IF(AND(EXACT($C$57,$C67),ISNUMBER($D$57)),($D$57&gt;$D67)+($D$57=$D67)/2,0),IF(AND(EXACT($C$58,$C67),ISNUMBER($D$58)),($D$58&gt;$D67)+($D$58=$D67)/2,0),IF(AND(EXACT($C$59,$C67),ISNUMBER($D$59)),($D$59&gt;$D67)+($D$59=$D67)/2,0),IF(AND(EXACT($C$60,$C67),ISNUMBER($D$60)),($D$60&gt;$D67)+($D$60=$D67)/2,0),IF(AND(EXACT($C$61,$C67),ISNUMBER($D$61)),($D$61&gt;$D67)+($D$61=$D67)/2,0),IF(AND(EXACT($C$62,$C67),ISNUMBER($D$62)),($D$62&gt;$D67)+($D$62=$D67)/2,0),IF(AND(EXACT($C$63,$C67),ISNUMBER($D$63)),($D$63&gt;$D67)+($D$63=$D67)/2,0),IF(AND(EXACT($C$64,$C67),ISNUMBER($D$64)),($D$64&gt;$D67)+($D$64=$D67)/2,0),IF(AND(EXACT($C$65,$C67),ISNUMBER($D$65)),($D$65&gt;$D67)+($D$65=$D67)/2,0),IF(AND(EXACT($C$66,$C67),ISNUMBER($D$66)),($D$66&gt;$D67)+($D$66=$D67)/2,0),IF(AND(EXACT($C$67,$C67),ISNUMBER($D$67)),($D$67&gt;$D67)+($D$67=$D67)/2,0),IF(AND(EXACT($C$68,$C67),ISNUMBER($D$68)),($D$68&gt;$D67)+($D$68=$D67)/2,0),IF(AND(EXACT($C$69,$C67),ISNUMBER($D$69)),($D$69&gt;$D67)+($D$69=$D67)/2,0),IF(AND(EXACT($C$70,$C67),ISNUMBER($D$70)),($D$70&gt;$D67)+($D$70=$D67)/2,0),IF(AND(EXACT($C$71,$C67),ISNUMBER($D$71)),($D$71&gt;$D67)+($D$71=$D67)/2,0),IF(AND(EXACT($C$72,$C67),ISNUMBER($D$72)),($D$72&gt;$D67)+($D$72=$D67)/2,0),IF(AND(EXACT($C$73,$C67),ISNUMBER($D$73)),($D$73&gt;$D67)+($D$73=$D67)/2,0),IF(AND(EXACT($C$74,$C67),ISNUMBER($D$74)),($D$74&gt;$D67)+($D$74=$D67)/2,0),IF(AND(EXACT($C$75,$C67),ISNUMBER($D$75)),($D$75&gt;$D67)+($D$75=$D67)/2,0),IF(AND(EXACT($C$76,$C67),ISNUMBER($D$76)),($D$76&gt;$D67)+($D$76=$D67)/2,0),IF(AND(EXACT($C$77,$C67),ISNUMBER($D$77)),($D$77&gt;$D67)+($D$77=$D67)/2,0),IF(AND(EXACT($C$78,$C67),ISNUMBER($D$78)),($D$78&gt;$D67)+($D$78=$D67)/2,0),IF(AND(EXACT($C$79,$C67),ISNUMBER($D$79)),($D$79&gt;$D67)+($D$79=$D67)/2,0),IF(AND(EXACT($C$80,$C67),ISNUMBER($D$80)),($D$80&gt;$D67)+($D$80=$D67)/2,0),IF(AND(EXACT($C$81,$C67),ISNUMBER($D$81)),($D$81&gt;$D67)+($D$81=$D67)/2,0),IF(AND(EXACT($C$82,$C67),ISNUMBER($D$82)),($D$82&gt;$D67)+($D$82=$D67)/2,0),IF(AND(EXACT($C$83,$C67),ISNUMBER($D$83)),($D$83&gt;$D67)+($D$83=$D67)/2,0),IF(AND(EXACT($C$84,$C67),ISNUMBER($D$84)),($D$84&gt;$D67)+($D$84=$D67)/2,0),IF(AND(EXACT($C$85,$C67),ISNUMBER($D$85)),($D$85&gt;$D67)+($D$85=$D67)/2,0),IF(AND(EXACT($C$86,$C67),ISNUMBER($D$86)),($D$86&gt;$D67)+($D$86=$D67)/2,0),IF(AND(EXACT($C$87,$C67),ISNUMBER($D$87)),($D$87&gt;$D67)+($D$87=$D67)/2,0),IF(AND(EXACT($C$88,$C67),ISNUMBER($D$88)),($D$88&gt;$D67)+($D$88=$D67)/2,0),IF(AND(EXACT($C$89,$C67),ISNUMBER($D$89)),($D$89&gt;$D67)+($D$89=$D67)/2,0),IF(AND(EXACT($C$90,$C67),ISNUMBER($D$90)),($D$90&gt;$D67)+($D$90=$D67)/2,0),IF(AND(EXACT($C$91,$C67),ISNUMBER($D$91)),($D$91&gt;$D67)+($D$91=$D67)/2,0),IF(AND(EXACT($C$92,$C67),ISNUMBER($D$92)),($D$92&gt;$D67)+($D$92=$D67)/2,0),IF(AND(EXACT($C$93,$C67),ISNUMBER($D$93)),($D$93&gt;$D67)+($D$93=$D67)/2,0),IF(AND(EXACT($C$94,$C67),ISNUMBER($D$94)),($D$94&gt;$D67)+($D$94=$D67)/2,0),IF(AND(EXACT($C$95,$C67),ISNUMBER($D$95)),($D$95&gt;$D67)+($D$95=$D67)/2,0),IF(AND(EXACT($C$96,$C67),ISNUMBER($D$96)),($D$96&gt;$D67)+($D$96=$D67)/2,0),IF(AND(EXACT($C$97,$C67),ISNUMBER($D$97)),($D$97&gt;$D67)+($D$97=$D67)/2,0),IF(AND(EXACT($C$98,$C67),ISNUMBER($D$98)),($D$98&gt;$D67)+($D$98=$D67)/2,0),IF(AND(EXACT($C$99,$C67),ISNUMBER($D$99)),($D$99&gt;$D67)+($D$99=$D67)/2,0),IF(AND(EXACT($C$100,$C67),ISNUMBER($D$100)),($D$100&gt;$D67)+($D$100=$D67)/2,0),IF(AND(EXACT($C$101,$C67),ISNUMBER($D$101)),($D$101&gt;$D67)+($D$101=$D67)/2,0),IF(AND(EXACT($C$102,$C67),ISNUMBER($D$102)),($D$102&gt;$D67)+($D$102=$D67)/2,0),IF(AND(EXACT($C$103,$C67),ISNUMBER($D$103)),($D$103&gt;$D67)+($D$103=$D67)/2,0),IF(AND(EXACT($C$104,$C67),ISNUMBER($D$104)),($D$104&gt;$D67)+($D$104=$D67)/2,0),IF(AND(EXACT($C$105,$C67),ISNUMBER($D$105)),($D$105&gt;$D67)+($D$105=$D67)/2,0),IF(AND(EXACT($C$106,$C67),ISNUMBER($D$106)),($D$106&gt;$D67)+($D$106=$D67)/2,0)))</x:f>
      </x:c>
    </x:row>
    <x:row r="68">
      <x:c r="A68" s="34" t="str">
        <x:f>IF('91_CALC_SCORES'!A68="","",'91_CALC_SCORES'!A68)</x:f>
      </x:c>
      <x:c r="B68" s="34" t="str">
        <x:f>IF($A68="","",'91_CALC_SCORES'!B68)</x:f>
      </x:c>
      <x:c r="C68" s="34" t="str">
        <x:f>IF($A68="","",'91_CALC_SCORES'!K68)</x:f>
      </x:c>
      <x:c r="D68" s="57" t="str">
        <x:f>IF(OR($A68="",NOT(OR(LEFT('91_CALC_SCORES'!AB68,4)="PASS",LEFT('91_CALC_SCORES'!AB68,5)="READY"))),"",'91_CALC_SCORES'!Y68)</x:f>
      </x:c>
      <x:c r="E68" s="34" t="str">
        <x:f>IF(COUNT(D68)=0,"",1+SUM(AN68:AO68)-1/2)</x:f>
      </x:c>
      <x:c r="F68" s="34" t="str">
        <x:f>IF($A68="","",'91_CALC_SCORES'!AB68)</x:f>
      </x:c>
      <x:c r="G68" s="34" t="str">
        <x:f>IF(A68="","","연구 베타 | 기업 백분위 아님")</x:f>
      </x:c>
      <x:c r="AN68" s="34" t="str">
        <x:f>IF(COUNT($D68)=0,"",SUM(IF(AND(EXACT($C$7,$C68),ISNUMBER($D$7)),($D$7&gt;$D68)+($D$7=$D68)/2,0),IF(AND(EXACT($C$8,$C68),ISNUMBER($D$8)),($D$8&gt;$D68)+($D$8=$D68)/2,0),IF(AND(EXACT($C$9,$C68),ISNUMBER($D$9)),($D$9&gt;$D68)+($D$9=$D68)/2,0),IF(AND(EXACT($C$10,$C68),ISNUMBER($D$10)),($D$10&gt;$D68)+($D$10=$D68)/2,0),IF(AND(EXACT($C$11,$C68),ISNUMBER($D$11)),($D$11&gt;$D68)+($D$11=$D68)/2,0),IF(AND(EXACT($C$12,$C68),ISNUMBER($D$12)),($D$12&gt;$D68)+($D$12=$D68)/2,0),IF(AND(EXACT($C$13,$C68),ISNUMBER($D$13)),($D$13&gt;$D68)+($D$13=$D68)/2,0),IF(AND(EXACT($C$14,$C68),ISNUMBER($D$14)),($D$14&gt;$D68)+($D$14=$D68)/2,0),IF(AND(EXACT($C$15,$C68),ISNUMBER($D$15)),($D$15&gt;$D68)+($D$15=$D68)/2,0),IF(AND(EXACT($C$16,$C68),ISNUMBER($D$16)),($D$16&gt;$D68)+($D$16=$D68)/2,0),IF(AND(EXACT($C$17,$C68),ISNUMBER($D$17)),($D$17&gt;$D68)+($D$17=$D68)/2,0),IF(AND(EXACT($C$18,$C68),ISNUMBER($D$18)),($D$18&gt;$D68)+($D$18=$D68)/2,0),IF(AND(EXACT($C$19,$C68),ISNUMBER($D$19)),($D$19&gt;$D68)+($D$19=$D68)/2,0),IF(AND(EXACT($C$20,$C68),ISNUMBER($D$20)),($D$20&gt;$D68)+($D$20=$D68)/2,0),IF(AND(EXACT($C$21,$C68),ISNUMBER($D$21)),($D$21&gt;$D68)+($D$21=$D68)/2,0),IF(AND(EXACT($C$22,$C68),ISNUMBER($D$22)),($D$22&gt;$D68)+($D$22=$D68)/2,0),IF(AND(EXACT($C$23,$C68),ISNUMBER($D$23)),($D$23&gt;$D68)+($D$23=$D68)/2,0),IF(AND(EXACT($C$24,$C68),ISNUMBER($D$24)),($D$24&gt;$D68)+($D$24=$D68)/2,0),IF(AND(EXACT($C$25,$C68),ISNUMBER($D$25)),($D$25&gt;$D68)+($D$25=$D68)/2,0),IF(AND(EXACT($C$26,$C68),ISNUMBER($D$26)),($D$26&gt;$D68)+($D$26=$D68)/2,0),IF(AND(EXACT($C$27,$C68),ISNUMBER($D$27)),($D$27&gt;$D68)+($D$27=$D68)/2,0),IF(AND(EXACT($C$28,$C68),ISNUMBER($D$28)),($D$28&gt;$D68)+($D$28=$D68)/2,0),IF(AND(EXACT($C$29,$C68),ISNUMBER($D$29)),($D$29&gt;$D68)+($D$29=$D68)/2,0),IF(AND(EXACT($C$30,$C68),ISNUMBER($D$30)),($D$30&gt;$D68)+($D$30=$D68)/2,0),IF(AND(EXACT($C$31,$C68),ISNUMBER($D$31)),($D$31&gt;$D68)+($D$31=$D68)/2,0),IF(AND(EXACT($C$32,$C68),ISNUMBER($D$32)),($D$32&gt;$D68)+($D$32=$D68)/2,0),IF(AND(EXACT($C$33,$C68),ISNUMBER($D$33)),($D$33&gt;$D68)+($D$33=$D68)/2,0),IF(AND(EXACT($C$34,$C68),ISNUMBER($D$34)),($D$34&gt;$D68)+($D$34=$D68)/2,0),IF(AND(EXACT($C$35,$C68),ISNUMBER($D$35)),($D$35&gt;$D68)+($D$35=$D68)/2,0),IF(AND(EXACT($C$36,$C68),ISNUMBER($D$36)),($D$36&gt;$D68)+($D$36=$D68)/2,0),IF(AND(EXACT($C$37,$C68),ISNUMBER($D$37)),($D$37&gt;$D68)+($D$37=$D68)/2,0),IF(AND(EXACT($C$38,$C68),ISNUMBER($D$38)),($D$38&gt;$D68)+($D$38=$D68)/2,0),IF(AND(EXACT($C$39,$C68),ISNUMBER($D$39)),($D$39&gt;$D68)+($D$39=$D68)/2,0),IF(AND(EXACT($C$40,$C68),ISNUMBER($D$40)),($D$40&gt;$D68)+($D$40=$D68)/2,0),IF(AND(EXACT($C$41,$C68),ISNUMBER($D$41)),($D$41&gt;$D68)+($D$41=$D68)/2,0),IF(AND(EXACT($C$42,$C68),ISNUMBER($D$42)),($D$42&gt;$D68)+($D$42=$D68)/2,0),IF(AND(EXACT($C$43,$C68),ISNUMBER($D$43)),($D$43&gt;$D68)+($D$43=$D68)/2,0),IF(AND(EXACT($C$44,$C68),ISNUMBER($D$44)),($D$44&gt;$D68)+($D$44=$D68)/2,0),IF(AND(EXACT($C$45,$C68),ISNUMBER($D$45)),($D$45&gt;$D68)+($D$45=$D68)/2,0),IF(AND(EXACT($C$46,$C68),ISNUMBER($D$46)),($D$46&gt;$D68)+($D$46=$D68)/2,0),IF(AND(EXACT($C$47,$C68),ISNUMBER($D$47)),($D$47&gt;$D68)+($D$47=$D68)/2,0),IF(AND(EXACT($C$48,$C68),ISNUMBER($D$48)),($D$48&gt;$D68)+($D$48=$D68)/2,0),IF(AND(EXACT($C$49,$C68),ISNUMBER($D$49)),($D$49&gt;$D68)+($D$49=$D68)/2,0),IF(AND(EXACT($C$50,$C68),ISNUMBER($D$50)),($D$50&gt;$D68)+($D$50=$D68)/2,0),IF(AND(EXACT($C$51,$C68),ISNUMBER($D$51)),($D$51&gt;$D68)+($D$51=$D68)/2,0),IF(AND(EXACT($C$52,$C68),ISNUMBER($D$52)),($D$52&gt;$D68)+($D$52=$D68)/2,0),IF(AND(EXACT($C$53,$C68),ISNUMBER($D$53)),($D$53&gt;$D68)+($D$53=$D68)/2,0),IF(AND(EXACT($C$54,$C68),ISNUMBER($D$54)),($D$54&gt;$D68)+($D$54=$D68)/2,0),IF(AND(EXACT($C$55,$C68),ISNUMBER($D$55)),($D$55&gt;$D68)+($D$55=$D68)/2,0),IF(AND(EXACT($C$56,$C68),ISNUMBER($D$56)),($D$56&gt;$D68)+($D$56=$D68)/2,0)))</x:f>
      </x:c>
      <x:c r="AO68" s="34" t="str">
        <x:f>IF(COUNT($D68)=0,"",SUM(IF(AND(EXACT($C$57,$C68),ISNUMBER($D$57)),($D$57&gt;$D68)+($D$57=$D68)/2,0),IF(AND(EXACT($C$58,$C68),ISNUMBER($D$58)),($D$58&gt;$D68)+($D$58=$D68)/2,0),IF(AND(EXACT($C$59,$C68),ISNUMBER($D$59)),($D$59&gt;$D68)+($D$59=$D68)/2,0),IF(AND(EXACT($C$60,$C68),ISNUMBER($D$60)),($D$60&gt;$D68)+($D$60=$D68)/2,0),IF(AND(EXACT($C$61,$C68),ISNUMBER($D$61)),($D$61&gt;$D68)+($D$61=$D68)/2,0),IF(AND(EXACT($C$62,$C68),ISNUMBER($D$62)),($D$62&gt;$D68)+($D$62=$D68)/2,0),IF(AND(EXACT($C$63,$C68),ISNUMBER($D$63)),($D$63&gt;$D68)+($D$63=$D68)/2,0),IF(AND(EXACT($C$64,$C68),ISNUMBER($D$64)),($D$64&gt;$D68)+($D$64=$D68)/2,0),IF(AND(EXACT($C$65,$C68),ISNUMBER($D$65)),($D$65&gt;$D68)+($D$65=$D68)/2,0),IF(AND(EXACT($C$66,$C68),ISNUMBER($D$66)),($D$66&gt;$D68)+($D$66=$D68)/2,0),IF(AND(EXACT($C$67,$C68),ISNUMBER($D$67)),($D$67&gt;$D68)+($D$67=$D68)/2,0),IF(AND(EXACT($C$68,$C68),ISNUMBER($D$68)),($D$68&gt;$D68)+($D$68=$D68)/2,0),IF(AND(EXACT($C$69,$C68),ISNUMBER($D$69)),($D$69&gt;$D68)+($D$69=$D68)/2,0),IF(AND(EXACT($C$70,$C68),ISNUMBER($D$70)),($D$70&gt;$D68)+($D$70=$D68)/2,0),IF(AND(EXACT($C$71,$C68),ISNUMBER($D$71)),($D$71&gt;$D68)+($D$71=$D68)/2,0),IF(AND(EXACT($C$72,$C68),ISNUMBER($D$72)),($D$72&gt;$D68)+($D$72=$D68)/2,0),IF(AND(EXACT($C$73,$C68),ISNUMBER($D$73)),($D$73&gt;$D68)+($D$73=$D68)/2,0),IF(AND(EXACT($C$74,$C68),ISNUMBER($D$74)),($D$74&gt;$D68)+($D$74=$D68)/2,0),IF(AND(EXACT($C$75,$C68),ISNUMBER($D$75)),($D$75&gt;$D68)+($D$75=$D68)/2,0),IF(AND(EXACT($C$76,$C68),ISNUMBER($D$76)),($D$76&gt;$D68)+($D$76=$D68)/2,0),IF(AND(EXACT($C$77,$C68),ISNUMBER($D$77)),($D$77&gt;$D68)+($D$77=$D68)/2,0),IF(AND(EXACT($C$78,$C68),ISNUMBER($D$78)),($D$78&gt;$D68)+($D$78=$D68)/2,0),IF(AND(EXACT($C$79,$C68),ISNUMBER($D$79)),($D$79&gt;$D68)+($D$79=$D68)/2,0),IF(AND(EXACT($C$80,$C68),ISNUMBER($D$80)),($D$80&gt;$D68)+($D$80=$D68)/2,0),IF(AND(EXACT($C$81,$C68),ISNUMBER($D$81)),($D$81&gt;$D68)+($D$81=$D68)/2,0),IF(AND(EXACT($C$82,$C68),ISNUMBER($D$82)),($D$82&gt;$D68)+($D$82=$D68)/2,0),IF(AND(EXACT($C$83,$C68),ISNUMBER($D$83)),($D$83&gt;$D68)+($D$83=$D68)/2,0),IF(AND(EXACT($C$84,$C68),ISNUMBER($D$84)),($D$84&gt;$D68)+($D$84=$D68)/2,0),IF(AND(EXACT($C$85,$C68),ISNUMBER($D$85)),($D$85&gt;$D68)+($D$85=$D68)/2,0),IF(AND(EXACT($C$86,$C68),ISNUMBER($D$86)),($D$86&gt;$D68)+($D$86=$D68)/2,0),IF(AND(EXACT($C$87,$C68),ISNUMBER($D$87)),($D$87&gt;$D68)+($D$87=$D68)/2,0),IF(AND(EXACT($C$88,$C68),ISNUMBER($D$88)),($D$88&gt;$D68)+($D$88=$D68)/2,0),IF(AND(EXACT($C$89,$C68),ISNUMBER($D$89)),($D$89&gt;$D68)+($D$89=$D68)/2,0),IF(AND(EXACT($C$90,$C68),ISNUMBER($D$90)),($D$90&gt;$D68)+($D$90=$D68)/2,0),IF(AND(EXACT($C$91,$C68),ISNUMBER($D$91)),($D$91&gt;$D68)+($D$91=$D68)/2,0),IF(AND(EXACT($C$92,$C68),ISNUMBER($D$92)),($D$92&gt;$D68)+($D$92=$D68)/2,0),IF(AND(EXACT($C$93,$C68),ISNUMBER($D$93)),($D$93&gt;$D68)+($D$93=$D68)/2,0),IF(AND(EXACT($C$94,$C68),ISNUMBER($D$94)),($D$94&gt;$D68)+($D$94=$D68)/2,0),IF(AND(EXACT($C$95,$C68),ISNUMBER($D$95)),($D$95&gt;$D68)+($D$95=$D68)/2,0),IF(AND(EXACT($C$96,$C68),ISNUMBER($D$96)),($D$96&gt;$D68)+($D$96=$D68)/2,0),IF(AND(EXACT($C$97,$C68),ISNUMBER($D$97)),($D$97&gt;$D68)+($D$97=$D68)/2,0),IF(AND(EXACT($C$98,$C68),ISNUMBER($D$98)),($D$98&gt;$D68)+($D$98=$D68)/2,0),IF(AND(EXACT($C$99,$C68),ISNUMBER($D$99)),($D$99&gt;$D68)+($D$99=$D68)/2,0),IF(AND(EXACT($C$100,$C68),ISNUMBER($D$100)),($D$100&gt;$D68)+($D$100=$D68)/2,0),IF(AND(EXACT($C$101,$C68),ISNUMBER($D$101)),($D$101&gt;$D68)+($D$101=$D68)/2,0),IF(AND(EXACT($C$102,$C68),ISNUMBER($D$102)),($D$102&gt;$D68)+($D$102=$D68)/2,0),IF(AND(EXACT($C$103,$C68),ISNUMBER($D$103)),($D$103&gt;$D68)+($D$103=$D68)/2,0),IF(AND(EXACT($C$104,$C68),ISNUMBER($D$104)),($D$104&gt;$D68)+($D$104=$D68)/2,0),IF(AND(EXACT($C$105,$C68),ISNUMBER($D$105)),($D$105&gt;$D68)+($D$105=$D68)/2,0),IF(AND(EXACT($C$106,$C68),ISNUMBER($D$106)),($D$106&gt;$D68)+($D$106=$D68)/2,0)))</x:f>
      </x:c>
    </x:row>
    <x:row r="69">
      <x:c r="A69" s="34" t="str">
        <x:f>IF('91_CALC_SCORES'!A69="","",'91_CALC_SCORES'!A69)</x:f>
      </x:c>
      <x:c r="B69" s="34" t="str">
        <x:f>IF($A69="","",'91_CALC_SCORES'!B69)</x:f>
      </x:c>
      <x:c r="C69" s="34" t="str">
        <x:f>IF($A69="","",'91_CALC_SCORES'!K69)</x:f>
      </x:c>
      <x:c r="D69" s="57" t="str">
        <x:f>IF(OR($A69="",NOT(OR(LEFT('91_CALC_SCORES'!AB69,4)="PASS",LEFT('91_CALC_SCORES'!AB69,5)="READY"))),"",'91_CALC_SCORES'!Y69)</x:f>
      </x:c>
      <x:c r="E69" s="34" t="str">
        <x:f>IF(COUNT(D69)=0,"",1+SUM(AN69:AO69)-1/2)</x:f>
      </x:c>
      <x:c r="F69" s="34" t="str">
        <x:f>IF($A69="","",'91_CALC_SCORES'!AB69)</x:f>
      </x:c>
      <x:c r="G69" s="34" t="str">
        <x:f>IF(A69="","","연구 베타 | 기업 백분위 아님")</x:f>
      </x:c>
      <x:c r="AN69" s="34" t="str">
        <x:f>IF(COUNT($D69)=0,"",SUM(IF(AND(EXACT($C$7,$C69),ISNUMBER($D$7)),($D$7&gt;$D69)+($D$7=$D69)/2,0),IF(AND(EXACT($C$8,$C69),ISNUMBER($D$8)),($D$8&gt;$D69)+($D$8=$D69)/2,0),IF(AND(EXACT($C$9,$C69),ISNUMBER($D$9)),($D$9&gt;$D69)+($D$9=$D69)/2,0),IF(AND(EXACT($C$10,$C69),ISNUMBER($D$10)),($D$10&gt;$D69)+($D$10=$D69)/2,0),IF(AND(EXACT($C$11,$C69),ISNUMBER($D$11)),($D$11&gt;$D69)+($D$11=$D69)/2,0),IF(AND(EXACT($C$12,$C69),ISNUMBER($D$12)),($D$12&gt;$D69)+($D$12=$D69)/2,0),IF(AND(EXACT($C$13,$C69),ISNUMBER($D$13)),($D$13&gt;$D69)+($D$13=$D69)/2,0),IF(AND(EXACT($C$14,$C69),ISNUMBER($D$14)),($D$14&gt;$D69)+($D$14=$D69)/2,0),IF(AND(EXACT($C$15,$C69),ISNUMBER($D$15)),($D$15&gt;$D69)+($D$15=$D69)/2,0),IF(AND(EXACT($C$16,$C69),ISNUMBER($D$16)),($D$16&gt;$D69)+($D$16=$D69)/2,0),IF(AND(EXACT($C$17,$C69),ISNUMBER($D$17)),($D$17&gt;$D69)+($D$17=$D69)/2,0),IF(AND(EXACT($C$18,$C69),ISNUMBER($D$18)),($D$18&gt;$D69)+($D$18=$D69)/2,0),IF(AND(EXACT($C$19,$C69),ISNUMBER($D$19)),($D$19&gt;$D69)+($D$19=$D69)/2,0),IF(AND(EXACT($C$20,$C69),ISNUMBER($D$20)),($D$20&gt;$D69)+($D$20=$D69)/2,0),IF(AND(EXACT($C$21,$C69),ISNUMBER($D$21)),($D$21&gt;$D69)+($D$21=$D69)/2,0),IF(AND(EXACT($C$22,$C69),ISNUMBER($D$22)),($D$22&gt;$D69)+($D$22=$D69)/2,0),IF(AND(EXACT($C$23,$C69),ISNUMBER($D$23)),($D$23&gt;$D69)+($D$23=$D69)/2,0),IF(AND(EXACT($C$24,$C69),ISNUMBER($D$24)),($D$24&gt;$D69)+($D$24=$D69)/2,0),IF(AND(EXACT($C$25,$C69),ISNUMBER($D$25)),($D$25&gt;$D69)+($D$25=$D69)/2,0),IF(AND(EXACT($C$26,$C69),ISNUMBER($D$26)),($D$26&gt;$D69)+($D$26=$D69)/2,0),IF(AND(EXACT($C$27,$C69),ISNUMBER($D$27)),($D$27&gt;$D69)+($D$27=$D69)/2,0),IF(AND(EXACT($C$28,$C69),ISNUMBER($D$28)),($D$28&gt;$D69)+($D$28=$D69)/2,0),IF(AND(EXACT($C$29,$C69),ISNUMBER($D$29)),($D$29&gt;$D69)+($D$29=$D69)/2,0),IF(AND(EXACT($C$30,$C69),ISNUMBER($D$30)),($D$30&gt;$D69)+($D$30=$D69)/2,0),IF(AND(EXACT($C$31,$C69),ISNUMBER($D$31)),($D$31&gt;$D69)+($D$31=$D69)/2,0),IF(AND(EXACT($C$32,$C69),ISNUMBER($D$32)),($D$32&gt;$D69)+($D$32=$D69)/2,0),IF(AND(EXACT($C$33,$C69),ISNUMBER($D$33)),($D$33&gt;$D69)+($D$33=$D69)/2,0),IF(AND(EXACT($C$34,$C69),ISNUMBER($D$34)),($D$34&gt;$D69)+($D$34=$D69)/2,0),IF(AND(EXACT($C$35,$C69),ISNUMBER($D$35)),($D$35&gt;$D69)+($D$35=$D69)/2,0),IF(AND(EXACT($C$36,$C69),ISNUMBER($D$36)),($D$36&gt;$D69)+($D$36=$D69)/2,0),IF(AND(EXACT($C$37,$C69),ISNUMBER($D$37)),($D$37&gt;$D69)+($D$37=$D69)/2,0),IF(AND(EXACT($C$38,$C69),ISNUMBER($D$38)),($D$38&gt;$D69)+($D$38=$D69)/2,0),IF(AND(EXACT($C$39,$C69),ISNUMBER($D$39)),($D$39&gt;$D69)+($D$39=$D69)/2,0),IF(AND(EXACT($C$40,$C69),ISNUMBER($D$40)),($D$40&gt;$D69)+($D$40=$D69)/2,0),IF(AND(EXACT($C$41,$C69),ISNUMBER($D$41)),($D$41&gt;$D69)+($D$41=$D69)/2,0),IF(AND(EXACT($C$42,$C69),ISNUMBER($D$42)),($D$42&gt;$D69)+($D$42=$D69)/2,0),IF(AND(EXACT($C$43,$C69),ISNUMBER($D$43)),($D$43&gt;$D69)+($D$43=$D69)/2,0),IF(AND(EXACT($C$44,$C69),ISNUMBER($D$44)),($D$44&gt;$D69)+($D$44=$D69)/2,0),IF(AND(EXACT($C$45,$C69),ISNUMBER($D$45)),($D$45&gt;$D69)+($D$45=$D69)/2,0),IF(AND(EXACT($C$46,$C69),ISNUMBER($D$46)),($D$46&gt;$D69)+($D$46=$D69)/2,0),IF(AND(EXACT($C$47,$C69),ISNUMBER($D$47)),($D$47&gt;$D69)+($D$47=$D69)/2,0),IF(AND(EXACT($C$48,$C69),ISNUMBER($D$48)),($D$48&gt;$D69)+($D$48=$D69)/2,0),IF(AND(EXACT($C$49,$C69),ISNUMBER($D$49)),($D$49&gt;$D69)+($D$49=$D69)/2,0),IF(AND(EXACT($C$50,$C69),ISNUMBER($D$50)),($D$50&gt;$D69)+($D$50=$D69)/2,0),IF(AND(EXACT($C$51,$C69),ISNUMBER($D$51)),($D$51&gt;$D69)+($D$51=$D69)/2,0),IF(AND(EXACT($C$52,$C69),ISNUMBER($D$52)),($D$52&gt;$D69)+($D$52=$D69)/2,0),IF(AND(EXACT($C$53,$C69),ISNUMBER($D$53)),($D$53&gt;$D69)+($D$53=$D69)/2,0),IF(AND(EXACT($C$54,$C69),ISNUMBER($D$54)),($D$54&gt;$D69)+($D$54=$D69)/2,0),IF(AND(EXACT($C$55,$C69),ISNUMBER($D$55)),($D$55&gt;$D69)+($D$55=$D69)/2,0),IF(AND(EXACT($C$56,$C69),ISNUMBER($D$56)),($D$56&gt;$D69)+($D$56=$D69)/2,0)))</x:f>
      </x:c>
      <x:c r="AO69" s="34" t="str">
        <x:f>IF(COUNT($D69)=0,"",SUM(IF(AND(EXACT($C$57,$C69),ISNUMBER($D$57)),($D$57&gt;$D69)+($D$57=$D69)/2,0),IF(AND(EXACT($C$58,$C69),ISNUMBER($D$58)),($D$58&gt;$D69)+($D$58=$D69)/2,0),IF(AND(EXACT($C$59,$C69),ISNUMBER($D$59)),($D$59&gt;$D69)+($D$59=$D69)/2,0),IF(AND(EXACT($C$60,$C69),ISNUMBER($D$60)),($D$60&gt;$D69)+($D$60=$D69)/2,0),IF(AND(EXACT($C$61,$C69),ISNUMBER($D$61)),($D$61&gt;$D69)+($D$61=$D69)/2,0),IF(AND(EXACT($C$62,$C69),ISNUMBER($D$62)),($D$62&gt;$D69)+($D$62=$D69)/2,0),IF(AND(EXACT($C$63,$C69),ISNUMBER($D$63)),($D$63&gt;$D69)+($D$63=$D69)/2,0),IF(AND(EXACT($C$64,$C69),ISNUMBER($D$64)),($D$64&gt;$D69)+($D$64=$D69)/2,0),IF(AND(EXACT($C$65,$C69),ISNUMBER($D$65)),($D$65&gt;$D69)+($D$65=$D69)/2,0),IF(AND(EXACT($C$66,$C69),ISNUMBER($D$66)),($D$66&gt;$D69)+($D$66=$D69)/2,0),IF(AND(EXACT($C$67,$C69),ISNUMBER($D$67)),($D$67&gt;$D69)+($D$67=$D69)/2,0),IF(AND(EXACT($C$68,$C69),ISNUMBER($D$68)),($D$68&gt;$D69)+($D$68=$D69)/2,0),IF(AND(EXACT($C$69,$C69),ISNUMBER($D$69)),($D$69&gt;$D69)+($D$69=$D69)/2,0),IF(AND(EXACT($C$70,$C69),ISNUMBER($D$70)),($D$70&gt;$D69)+($D$70=$D69)/2,0),IF(AND(EXACT($C$71,$C69),ISNUMBER($D$71)),($D$71&gt;$D69)+($D$71=$D69)/2,0),IF(AND(EXACT($C$72,$C69),ISNUMBER($D$72)),($D$72&gt;$D69)+($D$72=$D69)/2,0),IF(AND(EXACT($C$73,$C69),ISNUMBER($D$73)),($D$73&gt;$D69)+($D$73=$D69)/2,0),IF(AND(EXACT($C$74,$C69),ISNUMBER($D$74)),($D$74&gt;$D69)+($D$74=$D69)/2,0),IF(AND(EXACT($C$75,$C69),ISNUMBER($D$75)),($D$75&gt;$D69)+($D$75=$D69)/2,0),IF(AND(EXACT($C$76,$C69),ISNUMBER($D$76)),($D$76&gt;$D69)+($D$76=$D69)/2,0),IF(AND(EXACT($C$77,$C69),ISNUMBER($D$77)),($D$77&gt;$D69)+($D$77=$D69)/2,0),IF(AND(EXACT($C$78,$C69),ISNUMBER($D$78)),($D$78&gt;$D69)+($D$78=$D69)/2,0),IF(AND(EXACT($C$79,$C69),ISNUMBER($D$79)),($D$79&gt;$D69)+($D$79=$D69)/2,0),IF(AND(EXACT($C$80,$C69),ISNUMBER($D$80)),($D$80&gt;$D69)+($D$80=$D69)/2,0),IF(AND(EXACT($C$81,$C69),ISNUMBER($D$81)),($D$81&gt;$D69)+($D$81=$D69)/2,0),IF(AND(EXACT($C$82,$C69),ISNUMBER($D$82)),($D$82&gt;$D69)+($D$82=$D69)/2,0),IF(AND(EXACT($C$83,$C69),ISNUMBER($D$83)),($D$83&gt;$D69)+($D$83=$D69)/2,0),IF(AND(EXACT($C$84,$C69),ISNUMBER($D$84)),($D$84&gt;$D69)+($D$84=$D69)/2,0),IF(AND(EXACT($C$85,$C69),ISNUMBER($D$85)),($D$85&gt;$D69)+($D$85=$D69)/2,0),IF(AND(EXACT($C$86,$C69),ISNUMBER($D$86)),($D$86&gt;$D69)+($D$86=$D69)/2,0),IF(AND(EXACT($C$87,$C69),ISNUMBER($D$87)),($D$87&gt;$D69)+($D$87=$D69)/2,0),IF(AND(EXACT($C$88,$C69),ISNUMBER($D$88)),($D$88&gt;$D69)+($D$88=$D69)/2,0),IF(AND(EXACT($C$89,$C69),ISNUMBER($D$89)),($D$89&gt;$D69)+($D$89=$D69)/2,0),IF(AND(EXACT($C$90,$C69),ISNUMBER($D$90)),($D$90&gt;$D69)+($D$90=$D69)/2,0),IF(AND(EXACT($C$91,$C69),ISNUMBER($D$91)),($D$91&gt;$D69)+($D$91=$D69)/2,0),IF(AND(EXACT($C$92,$C69),ISNUMBER($D$92)),($D$92&gt;$D69)+($D$92=$D69)/2,0),IF(AND(EXACT($C$93,$C69),ISNUMBER($D$93)),($D$93&gt;$D69)+($D$93=$D69)/2,0),IF(AND(EXACT($C$94,$C69),ISNUMBER($D$94)),($D$94&gt;$D69)+($D$94=$D69)/2,0),IF(AND(EXACT($C$95,$C69),ISNUMBER($D$95)),($D$95&gt;$D69)+($D$95=$D69)/2,0),IF(AND(EXACT($C$96,$C69),ISNUMBER($D$96)),($D$96&gt;$D69)+($D$96=$D69)/2,0),IF(AND(EXACT($C$97,$C69),ISNUMBER($D$97)),($D$97&gt;$D69)+($D$97=$D69)/2,0),IF(AND(EXACT($C$98,$C69),ISNUMBER($D$98)),($D$98&gt;$D69)+($D$98=$D69)/2,0),IF(AND(EXACT($C$99,$C69),ISNUMBER($D$99)),($D$99&gt;$D69)+($D$99=$D69)/2,0),IF(AND(EXACT($C$100,$C69),ISNUMBER($D$100)),($D$100&gt;$D69)+($D$100=$D69)/2,0),IF(AND(EXACT($C$101,$C69),ISNUMBER($D$101)),($D$101&gt;$D69)+($D$101=$D69)/2,0),IF(AND(EXACT($C$102,$C69),ISNUMBER($D$102)),($D$102&gt;$D69)+($D$102=$D69)/2,0),IF(AND(EXACT($C$103,$C69),ISNUMBER($D$103)),($D$103&gt;$D69)+($D$103=$D69)/2,0),IF(AND(EXACT($C$104,$C69),ISNUMBER($D$104)),($D$104&gt;$D69)+($D$104=$D69)/2,0),IF(AND(EXACT($C$105,$C69),ISNUMBER($D$105)),($D$105&gt;$D69)+($D$105=$D69)/2,0),IF(AND(EXACT($C$106,$C69),ISNUMBER($D$106)),($D$106&gt;$D69)+($D$106=$D69)/2,0)))</x:f>
      </x:c>
    </x:row>
    <x:row r="70">
      <x:c r="A70" s="34" t="str">
        <x:f>IF('91_CALC_SCORES'!A70="","",'91_CALC_SCORES'!A70)</x:f>
      </x:c>
      <x:c r="B70" s="34" t="str">
        <x:f>IF($A70="","",'91_CALC_SCORES'!B70)</x:f>
      </x:c>
      <x:c r="C70" s="34" t="str">
        <x:f>IF($A70="","",'91_CALC_SCORES'!K70)</x:f>
      </x:c>
      <x:c r="D70" s="57" t="str">
        <x:f>IF(OR($A70="",NOT(OR(LEFT('91_CALC_SCORES'!AB70,4)="PASS",LEFT('91_CALC_SCORES'!AB70,5)="READY"))),"",'91_CALC_SCORES'!Y70)</x:f>
      </x:c>
      <x:c r="E70" s="34" t="str">
        <x:f>IF(COUNT(D70)=0,"",1+SUM(AN70:AO70)-1/2)</x:f>
      </x:c>
      <x:c r="F70" s="34" t="str">
        <x:f>IF($A70="","",'91_CALC_SCORES'!AB70)</x:f>
      </x:c>
      <x:c r="G70" s="34" t="str">
        <x:f>IF(A70="","","연구 베타 | 기업 백분위 아님")</x:f>
      </x:c>
      <x:c r="AN70" s="34" t="str">
        <x:f>IF(COUNT($D70)=0,"",SUM(IF(AND(EXACT($C$7,$C70),ISNUMBER($D$7)),($D$7&gt;$D70)+($D$7=$D70)/2,0),IF(AND(EXACT($C$8,$C70),ISNUMBER($D$8)),($D$8&gt;$D70)+($D$8=$D70)/2,0),IF(AND(EXACT($C$9,$C70),ISNUMBER($D$9)),($D$9&gt;$D70)+($D$9=$D70)/2,0),IF(AND(EXACT($C$10,$C70),ISNUMBER($D$10)),($D$10&gt;$D70)+($D$10=$D70)/2,0),IF(AND(EXACT($C$11,$C70),ISNUMBER($D$11)),($D$11&gt;$D70)+($D$11=$D70)/2,0),IF(AND(EXACT($C$12,$C70),ISNUMBER($D$12)),($D$12&gt;$D70)+($D$12=$D70)/2,0),IF(AND(EXACT($C$13,$C70),ISNUMBER($D$13)),($D$13&gt;$D70)+($D$13=$D70)/2,0),IF(AND(EXACT($C$14,$C70),ISNUMBER($D$14)),($D$14&gt;$D70)+($D$14=$D70)/2,0),IF(AND(EXACT($C$15,$C70),ISNUMBER($D$15)),($D$15&gt;$D70)+($D$15=$D70)/2,0),IF(AND(EXACT($C$16,$C70),ISNUMBER($D$16)),($D$16&gt;$D70)+($D$16=$D70)/2,0),IF(AND(EXACT($C$17,$C70),ISNUMBER($D$17)),($D$17&gt;$D70)+($D$17=$D70)/2,0),IF(AND(EXACT($C$18,$C70),ISNUMBER($D$18)),($D$18&gt;$D70)+($D$18=$D70)/2,0),IF(AND(EXACT($C$19,$C70),ISNUMBER($D$19)),($D$19&gt;$D70)+($D$19=$D70)/2,0),IF(AND(EXACT($C$20,$C70),ISNUMBER($D$20)),($D$20&gt;$D70)+($D$20=$D70)/2,0),IF(AND(EXACT($C$21,$C70),ISNUMBER($D$21)),($D$21&gt;$D70)+($D$21=$D70)/2,0),IF(AND(EXACT($C$22,$C70),ISNUMBER($D$22)),($D$22&gt;$D70)+($D$22=$D70)/2,0),IF(AND(EXACT($C$23,$C70),ISNUMBER($D$23)),($D$23&gt;$D70)+($D$23=$D70)/2,0),IF(AND(EXACT($C$24,$C70),ISNUMBER($D$24)),($D$24&gt;$D70)+($D$24=$D70)/2,0),IF(AND(EXACT($C$25,$C70),ISNUMBER($D$25)),($D$25&gt;$D70)+($D$25=$D70)/2,0),IF(AND(EXACT($C$26,$C70),ISNUMBER($D$26)),($D$26&gt;$D70)+($D$26=$D70)/2,0),IF(AND(EXACT($C$27,$C70),ISNUMBER($D$27)),($D$27&gt;$D70)+($D$27=$D70)/2,0),IF(AND(EXACT($C$28,$C70),ISNUMBER($D$28)),($D$28&gt;$D70)+($D$28=$D70)/2,0),IF(AND(EXACT($C$29,$C70),ISNUMBER($D$29)),($D$29&gt;$D70)+($D$29=$D70)/2,0),IF(AND(EXACT($C$30,$C70),ISNUMBER($D$30)),($D$30&gt;$D70)+($D$30=$D70)/2,0),IF(AND(EXACT($C$31,$C70),ISNUMBER($D$31)),($D$31&gt;$D70)+($D$31=$D70)/2,0),IF(AND(EXACT($C$32,$C70),ISNUMBER($D$32)),($D$32&gt;$D70)+($D$32=$D70)/2,0),IF(AND(EXACT($C$33,$C70),ISNUMBER($D$33)),($D$33&gt;$D70)+($D$33=$D70)/2,0),IF(AND(EXACT($C$34,$C70),ISNUMBER($D$34)),($D$34&gt;$D70)+($D$34=$D70)/2,0),IF(AND(EXACT($C$35,$C70),ISNUMBER($D$35)),($D$35&gt;$D70)+($D$35=$D70)/2,0),IF(AND(EXACT($C$36,$C70),ISNUMBER($D$36)),($D$36&gt;$D70)+($D$36=$D70)/2,0),IF(AND(EXACT($C$37,$C70),ISNUMBER($D$37)),($D$37&gt;$D70)+($D$37=$D70)/2,0),IF(AND(EXACT($C$38,$C70),ISNUMBER($D$38)),($D$38&gt;$D70)+($D$38=$D70)/2,0),IF(AND(EXACT($C$39,$C70),ISNUMBER($D$39)),($D$39&gt;$D70)+($D$39=$D70)/2,0),IF(AND(EXACT($C$40,$C70),ISNUMBER($D$40)),($D$40&gt;$D70)+($D$40=$D70)/2,0),IF(AND(EXACT($C$41,$C70),ISNUMBER($D$41)),($D$41&gt;$D70)+($D$41=$D70)/2,0),IF(AND(EXACT($C$42,$C70),ISNUMBER($D$42)),($D$42&gt;$D70)+($D$42=$D70)/2,0),IF(AND(EXACT($C$43,$C70),ISNUMBER($D$43)),($D$43&gt;$D70)+($D$43=$D70)/2,0),IF(AND(EXACT($C$44,$C70),ISNUMBER($D$44)),($D$44&gt;$D70)+($D$44=$D70)/2,0),IF(AND(EXACT($C$45,$C70),ISNUMBER($D$45)),($D$45&gt;$D70)+($D$45=$D70)/2,0),IF(AND(EXACT($C$46,$C70),ISNUMBER($D$46)),($D$46&gt;$D70)+($D$46=$D70)/2,0),IF(AND(EXACT($C$47,$C70),ISNUMBER($D$47)),($D$47&gt;$D70)+($D$47=$D70)/2,0),IF(AND(EXACT($C$48,$C70),ISNUMBER($D$48)),($D$48&gt;$D70)+($D$48=$D70)/2,0),IF(AND(EXACT($C$49,$C70),ISNUMBER($D$49)),($D$49&gt;$D70)+($D$49=$D70)/2,0),IF(AND(EXACT($C$50,$C70),ISNUMBER($D$50)),($D$50&gt;$D70)+($D$50=$D70)/2,0),IF(AND(EXACT($C$51,$C70),ISNUMBER($D$51)),($D$51&gt;$D70)+($D$51=$D70)/2,0),IF(AND(EXACT($C$52,$C70),ISNUMBER($D$52)),($D$52&gt;$D70)+($D$52=$D70)/2,0),IF(AND(EXACT($C$53,$C70),ISNUMBER($D$53)),($D$53&gt;$D70)+($D$53=$D70)/2,0),IF(AND(EXACT($C$54,$C70),ISNUMBER($D$54)),($D$54&gt;$D70)+($D$54=$D70)/2,0),IF(AND(EXACT($C$55,$C70),ISNUMBER($D$55)),($D$55&gt;$D70)+($D$55=$D70)/2,0),IF(AND(EXACT($C$56,$C70),ISNUMBER($D$56)),($D$56&gt;$D70)+($D$56=$D70)/2,0)))</x:f>
      </x:c>
      <x:c r="AO70" s="34" t="str">
        <x:f>IF(COUNT($D70)=0,"",SUM(IF(AND(EXACT($C$57,$C70),ISNUMBER($D$57)),($D$57&gt;$D70)+($D$57=$D70)/2,0),IF(AND(EXACT($C$58,$C70),ISNUMBER($D$58)),($D$58&gt;$D70)+($D$58=$D70)/2,0),IF(AND(EXACT($C$59,$C70),ISNUMBER($D$59)),($D$59&gt;$D70)+($D$59=$D70)/2,0),IF(AND(EXACT($C$60,$C70),ISNUMBER($D$60)),($D$60&gt;$D70)+($D$60=$D70)/2,0),IF(AND(EXACT($C$61,$C70),ISNUMBER($D$61)),($D$61&gt;$D70)+($D$61=$D70)/2,0),IF(AND(EXACT($C$62,$C70),ISNUMBER($D$62)),($D$62&gt;$D70)+($D$62=$D70)/2,0),IF(AND(EXACT($C$63,$C70),ISNUMBER($D$63)),($D$63&gt;$D70)+($D$63=$D70)/2,0),IF(AND(EXACT($C$64,$C70),ISNUMBER($D$64)),($D$64&gt;$D70)+($D$64=$D70)/2,0),IF(AND(EXACT($C$65,$C70),ISNUMBER($D$65)),($D$65&gt;$D70)+($D$65=$D70)/2,0),IF(AND(EXACT($C$66,$C70),ISNUMBER($D$66)),($D$66&gt;$D70)+($D$66=$D70)/2,0),IF(AND(EXACT($C$67,$C70),ISNUMBER($D$67)),($D$67&gt;$D70)+($D$67=$D70)/2,0),IF(AND(EXACT($C$68,$C70),ISNUMBER($D$68)),($D$68&gt;$D70)+($D$68=$D70)/2,0),IF(AND(EXACT($C$69,$C70),ISNUMBER($D$69)),($D$69&gt;$D70)+($D$69=$D70)/2,0),IF(AND(EXACT($C$70,$C70),ISNUMBER($D$70)),($D$70&gt;$D70)+($D$70=$D70)/2,0),IF(AND(EXACT($C$71,$C70),ISNUMBER($D$71)),($D$71&gt;$D70)+($D$71=$D70)/2,0),IF(AND(EXACT($C$72,$C70),ISNUMBER($D$72)),($D$72&gt;$D70)+($D$72=$D70)/2,0),IF(AND(EXACT($C$73,$C70),ISNUMBER($D$73)),($D$73&gt;$D70)+($D$73=$D70)/2,0),IF(AND(EXACT($C$74,$C70),ISNUMBER($D$74)),($D$74&gt;$D70)+($D$74=$D70)/2,0),IF(AND(EXACT($C$75,$C70),ISNUMBER($D$75)),($D$75&gt;$D70)+($D$75=$D70)/2,0),IF(AND(EXACT($C$76,$C70),ISNUMBER($D$76)),($D$76&gt;$D70)+($D$76=$D70)/2,0),IF(AND(EXACT($C$77,$C70),ISNUMBER($D$77)),($D$77&gt;$D70)+($D$77=$D70)/2,0),IF(AND(EXACT($C$78,$C70),ISNUMBER($D$78)),($D$78&gt;$D70)+($D$78=$D70)/2,0),IF(AND(EXACT($C$79,$C70),ISNUMBER($D$79)),($D$79&gt;$D70)+($D$79=$D70)/2,0),IF(AND(EXACT($C$80,$C70),ISNUMBER($D$80)),($D$80&gt;$D70)+($D$80=$D70)/2,0),IF(AND(EXACT($C$81,$C70),ISNUMBER($D$81)),($D$81&gt;$D70)+($D$81=$D70)/2,0),IF(AND(EXACT($C$82,$C70),ISNUMBER($D$82)),($D$82&gt;$D70)+($D$82=$D70)/2,0),IF(AND(EXACT($C$83,$C70),ISNUMBER($D$83)),($D$83&gt;$D70)+($D$83=$D70)/2,0),IF(AND(EXACT($C$84,$C70),ISNUMBER($D$84)),($D$84&gt;$D70)+($D$84=$D70)/2,0),IF(AND(EXACT($C$85,$C70),ISNUMBER($D$85)),($D$85&gt;$D70)+($D$85=$D70)/2,0),IF(AND(EXACT($C$86,$C70),ISNUMBER($D$86)),($D$86&gt;$D70)+($D$86=$D70)/2,0),IF(AND(EXACT($C$87,$C70),ISNUMBER($D$87)),($D$87&gt;$D70)+($D$87=$D70)/2,0),IF(AND(EXACT($C$88,$C70),ISNUMBER($D$88)),($D$88&gt;$D70)+($D$88=$D70)/2,0),IF(AND(EXACT($C$89,$C70),ISNUMBER($D$89)),($D$89&gt;$D70)+($D$89=$D70)/2,0),IF(AND(EXACT($C$90,$C70),ISNUMBER($D$90)),($D$90&gt;$D70)+($D$90=$D70)/2,0),IF(AND(EXACT($C$91,$C70),ISNUMBER($D$91)),($D$91&gt;$D70)+($D$91=$D70)/2,0),IF(AND(EXACT($C$92,$C70),ISNUMBER($D$92)),($D$92&gt;$D70)+($D$92=$D70)/2,0),IF(AND(EXACT($C$93,$C70),ISNUMBER($D$93)),($D$93&gt;$D70)+($D$93=$D70)/2,0),IF(AND(EXACT($C$94,$C70),ISNUMBER($D$94)),($D$94&gt;$D70)+($D$94=$D70)/2,0),IF(AND(EXACT($C$95,$C70),ISNUMBER($D$95)),($D$95&gt;$D70)+($D$95=$D70)/2,0),IF(AND(EXACT($C$96,$C70),ISNUMBER($D$96)),($D$96&gt;$D70)+($D$96=$D70)/2,0),IF(AND(EXACT($C$97,$C70),ISNUMBER($D$97)),($D$97&gt;$D70)+($D$97=$D70)/2,0),IF(AND(EXACT($C$98,$C70),ISNUMBER($D$98)),($D$98&gt;$D70)+($D$98=$D70)/2,0),IF(AND(EXACT($C$99,$C70),ISNUMBER($D$99)),($D$99&gt;$D70)+($D$99=$D70)/2,0),IF(AND(EXACT($C$100,$C70),ISNUMBER($D$100)),($D$100&gt;$D70)+($D$100=$D70)/2,0),IF(AND(EXACT($C$101,$C70),ISNUMBER($D$101)),($D$101&gt;$D70)+($D$101=$D70)/2,0),IF(AND(EXACT($C$102,$C70),ISNUMBER($D$102)),($D$102&gt;$D70)+($D$102=$D70)/2,0),IF(AND(EXACT($C$103,$C70),ISNUMBER($D$103)),($D$103&gt;$D70)+($D$103=$D70)/2,0),IF(AND(EXACT($C$104,$C70),ISNUMBER($D$104)),($D$104&gt;$D70)+($D$104=$D70)/2,0),IF(AND(EXACT($C$105,$C70),ISNUMBER($D$105)),($D$105&gt;$D70)+($D$105=$D70)/2,0),IF(AND(EXACT($C$106,$C70),ISNUMBER($D$106)),($D$106&gt;$D70)+($D$106=$D70)/2,0)))</x:f>
      </x:c>
    </x:row>
    <x:row r="71">
      <x:c r="A71" s="34" t="str">
        <x:f>IF('91_CALC_SCORES'!A71="","",'91_CALC_SCORES'!A71)</x:f>
      </x:c>
      <x:c r="B71" s="34" t="str">
        <x:f>IF($A71="","",'91_CALC_SCORES'!B71)</x:f>
      </x:c>
      <x:c r="C71" s="34" t="str">
        <x:f>IF($A71="","",'91_CALC_SCORES'!K71)</x:f>
      </x:c>
      <x:c r="D71" s="57" t="str">
        <x:f>IF(OR($A71="",NOT(OR(LEFT('91_CALC_SCORES'!AB71,4)="PASS",LEFT('91_CALC_SCORES'!AB71,5)="READY"))),"",'91_CALC_SCORES'!Y71)</x:f>
      </x:c>
      <x:c r="E71" s="34" t="str">
        <x:f>IF(COUNT(D71)=0,"",1+SUM(AN71:AO71)-1/2)</x:f>
      </x:c>
      <x:c r="F71" s="34" t="str">
        <x:f>IF($A71="","",'91_CALC_SCORES'!AB71)</x:f>
      </x:c>
      <x:c r="G71" s="34" t="str">
        <x:f>IF(A71="","","연구 베타 | 기업 백분위 아님")</x:f>
      </x:c>
      <x:c r="AN71" s="34" t="str">
        <x:f>IF(COUNT($D71)=0,"",SUM(IF(AND(EXACT($C$7,$C71),ISNUMBER($D$7)),($D$7&gt;$D71)+($D$7=$D71)/2,0),IF(AND(EXACT($C$8,$C71),ISNUMBER($D$8)),($D$8&gt;$D71)+($D$8=$D71)/2,0),IF(AND(EXACT($C$9,$C71),ISNUMBER($D$9)),($D$9&gt;$D71)+($D$9=$D71)/2,0),IF(AND(EXACT($C$10,$C71),ISNUMBER($D$10)),($D$10&gt;$D71)+($D$10=$D71)/2,0),IF(AND(EXACT($C$11,$C71),ISNUMBER($D$11)),($D$11&gt;$D71)+($D$11=$D71)/2,0),IF(AND(EXACT($C$12,$C71),ISNUMBER($D$12)),($D$12&gt;$D71)+($D$12=$D71)/2,0),IF(AND(EXACT($C$13,$C71),ISNUMBER($D$13)),($D$13&gt;$D71)+($D$13=$D71)/2,0),IF(AND(EXACT($C$14,$C71),ISNUMBER($D$14)),($D$14&gt;$D71)+($D$14=$D71)/2,0),IF(AND(EXACT($C$15,$C71),ISNUMBER($D$15)),($D$15&gt;$D71)+($D$15=$D71)/2,0),IF(AND(EXACT($C$16,$C71),ISNUMBER($D$16)),($D$16&gt;$D71)+($D$16=$D71)/2,0),IF(AND(EXACT($C$17,$C71),ISNUMBER($D$17)),($D$17&gt;$D71)+($D$17=$D71)/2,0),IF(AND(EXACT($C$18,$C71),ISNUMBER($D$18)),($D$18&gt;$D71)+($D$18=$D71)/2,0),IF(AND(EXACT($C$19,$C71),ISNUMBER($D$19)),($D$19&gt;$D71)+($D$19=$D71)/2,0),IF(AND(EXACT($C$20,$C71),ISNUMBER($D$20)),($D$20&gt;$D71)+($D$20=$D71)/2,0),IF(AND(EXACT($C$21,$C71),ISNUMBER($D$21)),($D$21&gt;$D71)+($D$21=$D71)/2,0),IF(AND(EXACT($C$22,$C71),ISNUMBER($D$22)),($D$22&gt;$D71)+($D$22=$D71)/2,0),IF(AND(EXACT($C$23,$C71),ISNUMBER($D$23)),($D$23&gt;$D71)+($D$23=$D71)/2,0),IF(AND(EXACT($C$24,$C71),ISNUMBER($D$24)),($D$24&gt;$D71)+($D$24=$D71)/2,0),IF(AND(EXACT($C$25,$C71),ISNUMBER($D$25)),($D$25&gt;$D71)+($D$25=$D71)/2,0),IF(AND(EXACT($C$26,$C71),ISNUMBER($D$26)),($D$26&gt;$D71)+($D$26=$D71)/2,0),IF(AND(EXACT($C$27,$C71),ISNUMBER($D$27)),($D$27&gt;$D71)+($D$27=$D71)/2,0),IF(AND(EXACT($C$28,$C71),ISNUMBER($D$28)),($D$28&gt;$D71)+($D$28=$D71)/2,0),IF(AND(EXACT($C$29,$C71),ISNUMBER($D$29)),($D$29&gt;$D71)+($D$29=$D71)/2,0),IF(AND(EXACT($C$30,$C71),ISNUMBER($D$30)),($D$30&gt;$D71)+($D$30=$D71)/2,0),IF(AND(EXACT($C$31,$C71),ISNUMBER($D$31)),($D$31&gt;$D71)+($D$31=$D71)/2,0),IF(AND(EXACT($C$32,$C71),ISNUMBER($D$32)),($D$32&gt;$D71)+($D$32=$D71)/2,0),IF(AND(EXACT($C$33,$C71),ISNUMBER($D$33)),($D$33&gt;$D71)+($D$33=$D71)/2,0),IF(AND(EXACT($C$34,$C71),ISNUMBER($D$34)),($D$34&gt;$D71)+($D$34=$D71)/2,0),IF(AND(EXACT($C$35,$C71),ISNUMBER($D$35)),($D$35&gt;$D71)+($D$35=$D71)/2,0),IF(AND(EXACT($C$36,$C71),ISNUMBER($D$36)),($D$36&gt;$D71)+($D$36=$D71)/2,0),IF(AND(EXACT($C$37,$C71),ISNUMBER($D$37)),($D$37&gt;$D71)+($D$37=$D71)/2,0),IF(AND(EXACT($C$38,$C71),ISNUMBER($D$38)),($D$38&gt;$D71)+($D$38=$D71)/2,0),IF(AND(EXACT($C$39,$C71),ISNUMBER($D$39)),($D$39&gt;$D71)+($D$39=$D71)/2,0),IF(AND(EXACT($C$40,$C71),ISNUMBER($D$40)),($D$40&gt;$D71)+($D$40=$D71)/2,0),IF(AND(EXACT($C$41,$C71),ISNUMBER($D$41)),($D$41&gt;$D71)+($D$41=$D71)/2,0),IF(AND(EXACT($C$42,$C71),ISNUMBER($D$42)),($D$42&gt;$D71)+($D$42=$D71)/2,0),IF(AND(EXACT($C$43,$C71),ISNUMBER($D$43)),($D$43&gt;$D71)+($D$43=$D71)/2,0),IF(AND(EXACT($C$44,$C71),ISNUMBER($D$44)),($D$44&gt;$D71)+($D$44=$D71)/2,0),IF(AND(EXACT($C$45,$C71),ISNUMBER($D$45)),($D$45&gt;$D71)+($D$45=$D71)/2,0),IF(AND(EXACT($C$46,$C71),ISNUMBER($D$46)),($D$46&gt;$D71)+($D$46=$D71)/2,0),IF(AND(EXACT($C$47,$C71),ISNUMBER($D$47)),($D$47&gt;$D71)+($D$47=$D71)/2,0),IF(AND(EXACT($C$48,$C71),ISNUMBER($D$48)),($D$48&gt;$D71)+($D$48=$D71)/2,0),IF(AND(EXACT($C$49,$C71),ISNUMBER($D$49)),($D$49&gt;$D71)+($D$49=$D71)/2,0),IF(AND(EXACT($C$50,$C71),ISNUMBER($D$50)),($D$50&gt;$D71)+($D$50=$D71)/2,0),IF(AND(EXACT($C$51,$C71),ISNUMBER($D$51)),($D$51&gt;$D71)+($D$51=$D71)/2,0),IF(AND(EXACT($C$52,$C71),ISNUMBER($D$52)),($D$52&gt;$D71)+($D$52=$D71)/2,0),IF(AND(EXACT($C$53,$C71),ISNUMBER($D$53)),($D$53&gt;$D71)+($D$53=$D71)/2,0),IF(AND(EXACT($C$54,$C71),ISNUMBER($D$54)),($D$54&gt;$D71)+($D$54=$D71)/2,0),IF(AND(EXACT($C$55,$C71),ISNUMBER($D$55)),($D$55&gt;$D71)+($D$55=$D71)/2,0),IF(AND(EXACT($C$56,$C71),ISNUMBER($D$56)),($D$56&gt;$D71)+($D$56=$D71)/2,0)))</x:f>
      </x:c>
      <x:c r="AO71" s="34" t="str">
        <x:f>IF(COUNT($D71)=0,"",SUM(IF(AND(EXACT($C$57,$C71),ISNUMBER($D$57)),($D$57&gt;$D71)+($D$57=$D71)/2,0),IF(AND(EXACT($C$58,$C71),ISNUMBER($D$58)),($D$58&gt;$D71)+($D$58=$D71)/2,0),IF(AND(EXACT($C$59,$C71),ISNUMBER($D$59)),($D$59&gt;$D71)+($D$59=$D71)/2,0),IF(AND(EXACT($C$60,$C71),ISNUMBER($D$60)),($D$60&gt;$D71)+($D$60=$D71)/2,0),IF(AND(EXACT($C$61,$C71),ISNUMBER($D$61)),($D$61&gt;$D71)+($D$61=$D71)/2,0),IF(AND(EXACT($C$62,$C71),ISNUMBER($D$62)),($D$62&gt;$D71)+($D$62=$D71)/2,0),IF(AND(EXACT($C$63,$C71),ISNUMBER($D$63)),($D$63&gt;$D71)+($D$63=$D71)/2,0),IF(AND(EXACT($C$64,$C71),ISNUMBER($D$64)),($D$64&gt;$D71)+($D$64=$D71)/2,0),IF(AND(EXACT($C$65,$C71),ISNUMBER($D$65)),($D$65&gt;$D71)+($D$65=$D71)/2,0),IF(AND(EXACT($C$66,$C71),ISNUMBER($D$66)),($D$66&gt;$D71)+($D$66=$D71)/2,0),IF(AND(EXACT($C$67,$C71),ISNUMBER($D$67)),($D$67&gt;$D71)+($D$67=$D71)/2,0),IF(AND(EXACT($C$68,$C71),ISNUMBER($D$68)),($D$68&gt;$D71)+($D$68=$D71)/2,0),IF(AND(EXACT($C$69,$C71),ISNUMBER($D$69)),($D$69&gt;$D71)+($D$69=$D71)/2,0),IF(AND(EXACT($C$70,$C71),ISNUMBER($D$70)),($D$70&gt;$D71)+($D$70=$D71)/2,0),IF(AND(EXACT($C$71,$C71),ISNUMBER($D$71)),($D$71&gt;$D71)+($D$71=$D71)/2,0),IF(AND(EXACT($C$72,$C71),ISNUMBER($D$72)),($D$72&gt;$D71)+($D$72=$D71)/2,0),IF(AND(EXACT($C$73,$C71),ISNUMBER($D$73)),($D$73&gt;$D71)+($D$73=$D71)/2,0),IF(AND(EXACT($C$74,$C71),ISNUMBER($D$74)),($D$74&gt;$D71)+($D$74=$D71)/2,0),IF(AND(EXACT($C$75,$C71),ISNUMBER($D$75)),($D$75&gt;$D71)+($D$75=$D71)/2,0),IF(AND(EXACT($C$76,$C71),ISNUMBER($D$76)),($D$76&gt;$D71)+($D$76=$D71)/2,0),IF(AND(EXACT($C$77,$C71),ISNUMBER($D$77)),($D$77&gt;$D71)+($D$77=$D71)/2,0),IF(AND(EXACT($C$78,$C71),ISNUMBER($D$78)),($D$78&gt;$D71)+($D$78=$D71)/2,0),IF(AND(EXACT($C$79,$C71),ISNUMBER($D$79)),($D$79&gt;$D71)+($D$79=$D71)/2,0),IF(AND(EXACT($C$80,$C71),ISNUMBER($D$80)),($D$80&gt;$D71)+($D$80=$D71)/2,0),IF(AND(EXACT($C$81,$C71),ISNUMBER($D$81)),($D$81&gt;$D71)+($D$81=$D71)/2,0),IF(AND(EXACT($C$82,$C71),ISNUMBER($D$82)),($D$82&gt;$D71)+($D$82=$D71)/2,0),IF(AND(EXACT($C$83,$C71),ISNUMBER($D$83)),($D$83&gt;$D71)+($D$83=$D71)/2,0),IF(AND(EXACT($C$84,$C71),ISNUMBER($D$84)),($D$84&gt;$D71)+($D$84=$D71)/2,0),IF(AND(EXACT($C$85,$C71),ISNUMBER($D$85)),($D$85&gt;$D71)+($D$85=$D71)/2,0),IF(AND(EXACT($C$86,$C71),ISNUMBER($D$86)),($D$86&gt;$D71)+($D$86=$D71)/2,0),IF(AND(EXACT($C$87,$C71),ISNUMBER($D$87)),($D$87&gt;$D71)+($D$87=$D71)/2,0),IF(AND(EXACT($C$88,$C71),ISNUMBER($D$88)),($D$88&gt;$D71)+($D$88=$D71)/2,0),IF(AND(EXACT($C$89,$C71),ISNUMBER($D$89)),($D$89&gt;$D71)+($D$89=$D71)/2,0),IF(AND(EXACT($C$90,$C71),ISNUMBER($D$90)),($D$90&gt;$D71)+($D$90=$D71)/2,0),IF(AND(EXACT($C$91,$C71),ISNUMBER($D$91)),($D$91&gt;$D71)+($D$91=$D71)/2,0),IF(AND(EXACT($C$92,$C71),ISNUMBER($D$92)),($D$92&gt;$D71)+($D$92=$D71)/2,0),IF(AND(EXACT($C$93,$C71),ISNUMBER($D$93)),($D$93&gt;$D71)+($D$93=$D71)/2,0),IF(AND(EXACT($C$94,$C71),ISNUMBER($D$94)),($D$94&gt;$D71)+($D$94=$D71)/2,0),IF(AND(EXACT($C$95,$C71),ISNUMBER($D$95)),($D$95&gt;$D71)+($D$95=$D71)/2,0),IF(AND(EXACT($C$96,$C71),ISNUMBER($D$96)),($D$96&gt;$D71)+($D$96=$D71)/2,0),IF(AND(EXACT($C$97,$C71),ISNUMBER($D$97)),($D$97&gt;$D71)+($D$97=$D71)/2,0),IF(AND(EXACT($C$98,$C71),ISNUMBER($D$98)),($D$98&gt;$D71)+($D$98=$D71)/2,0),IF(AND(EXACT($C$99,$C71),ISNUMBER($D$99)),($D$99&gt;$D71)+($D$99=$D71)/2,0),IF(AND(EXACT($C$100,$C71),ISNUMBER($D$100)),($D$100&gt;$D71)+($D$100=$D71)/2,0),IF(AND(EXACT($C$101,$C71),ISNUMBER($D$101)),($D$101&gt;$D71)+($D$101=$D71)/2,0),IF(AND(EXACT($C$102,$C71),ISNUMBER($D$102)),($D$102&gt;$D71)+($D$102=$D71)/2,0),IF(AND(EXACT($C$103,$C71),ISNUMBER($D$103)),($D$103&gt;$D71)+($D$103=$D71)/2,0),IF(AND(EXACT($C$104,$C71),ISNUMBER($D$104)),($D$104&gt;$D71)+($D$104=$D71)/2,0),IF(AND(EXACT($C$105,$C71),ISNUMBER($D$105)),($D$105&gt;$D71)+($D$105=$D71)/2,0),IF(AND(EXACT($C$106,$C71),ISNUMBER($D$106)),($D$106&gt;$D71)+($D$106=$D71)/2,0)))</x:f>
      </x:c>
    </x:row>
    <x:row r="72">
      <x:c r="A72" s="34" t="str">
        <x:f>IF('91_CALC_SCORES'!A72="","",'91_CALC_SCORES'!A72)</x:f>
      </x:c>
      <x:c r="B72" s="34" t="str">
        <x:f>IF($A72="","",'91_CALC_SCORES'!B72)</x:f>
      </x:c>
      <x:c r="C72" s="34" t="str">
        <x:f>IF($A72="","",'91_CALC_SCORES'!K72)</x:f>
      </x:c>
      <x:c r="D72" s="57" t="str">
        <x:f>IF(OR($A72="",NOT(OR(LEFT('91_CALC_SCORES'!AB72,4)="PASS",LEFT('91_CALC_SCORES'!AB72,5)="READY"))),"",'91_CALC_SCORES'!Y72)</x:f>
      </x:c>
      <x:c r="E72" s="34" t="str">
        <x:f>IF(COUNT(D72)=0,"",1+SUM(AN72:AO72)-1/2)</x:f>
      </x:c>
      <x:c r="F72" s="34" t="str">
        <x:f>IF($A72="","",'91_CALC_SCORES'!AB72)</x:f>
      </x:c>
      <x:c r="G72" s="34" t="str">
        <x:f>IF(A72="","","연구 베타 | 기업 백분위 아님")</x:f>
      </x:c>
      <x:c r="AN72" s="34" t="str">
        <x:f>IF(COUNT($D72)=0,"",SUM(IF(AND(EXACT($C$7,$C72),ISNUMBER($D$7)),($D$7&gt;$D72)+($D$7=$D72)/2,0),IF(AND(EXACT($C$8,$C72),ISNUMBER($D$8)),($D$8&gt;$D72)+($D$8=$D72)/2,0),IF(AND(EXACT($C$9,$C72),ISNUMBER($D$9)),($D$9&gt;$D72)+($D$9=$D72)/2,0),IF(AND(EXACT($C$10,$C72),ISNUMBER($D$10)),($D$10&gt;$D72)+($D$10=$D72)/2,0),IF(AND(EXACT($C$11,$C72),ISNUMBER($D$11)),($D$11&gt;$D72)+($D$11=$D72)/2,0),IF(AND(EXACT($C$12,$C72),ISNUMBER($D$12)),($D$12&gt;$D72)+($D$12=$D72)/2,0),IF(AND(EXACT($C$13,$C72),ISNUMBER($D$13)),($D$13&gt;$D72)+($D$13=$D72)/2,0),IF(AND(EXACT($C$14,$C72),ISNUMBER($D$14)),($D$14&gt;$D72)+($D$14=$D72)/2,0),IF(AND(EXACT($C$15,$C72),ISNUMBER($D$15)),($D$15&gt;$D72)+($D$15=$D72)/2,0),IF(AND(EXACT($C$16,$C72),ISNUMBER($D$16)),($D$16&gt;$D72)+($D$16=$D72)/2,0),IF(AND(EXACT($C$17,$C72),ISNUMBER($D$17)),($D$17&gt;$D72)+($D$17=$D72)/2,0),IF(AND(EXACT($C$18,$C72),ISNUMBER($D$18)),($D$18&gt;$D72)+($D$18=$D72)/2,0),IF(AND(EXACT($C$19,$C72),ISNUMBER($D$19)),($D$19&gt;$D72)+($D$19=$D72)/2,0),IF(AND(EXACT($C$20,$C72),ISNUMBER($D$20)),($D$20&gt;$D72)+($D$20=$D72)/2,0),IF(AND(EXACT($C$21,$C72),ISNUMBER($D$21)),($D$21&gt;$D72)+($D$21=$D72)/2,0),IF(AND(EXACT($C$22,$C72),ISNUMBER($D$22)),($D$22&gt;$D72)+($D$22=$D72)/2,0),IF(AND(EXACT($C$23,$C72),ISNUMBER($D$23)),($D$23&gt;$D72)+($D$23=$D72)/2,0),IF(AND(EXACT($C$24,$C72),ISNUMBER($D$24)),($D$24&gt;$D72)+($D$24=$D72)/2,0),IF(AND(EXACT($C$25,$C72),ISNUMBER($D$25)),($D$25&gt;$D72)+($D$25=$D72)/2,0),IF(AND(EXACT($C$26,$C72),ISNUMBER($D$26)),($D$26&gt;$D72)+($D$26=$D72)/2,0),IF(AND(EXACT($C$27,$C72),ISNUMBER($D$27)),($D$27&gt;$D72)+($D$27=$D72)/2,0),IF(AND(EXACT($C$28,$C72),ISNUMBER($D$28)),($D$28&gt;$D72)+($D$28=$D72)/2,0),IF(AND(EXACT($C$29,$C72),ISNUMBER($D$29)),($D$29&gt;$D72)+($D$29=$D72)/2,0),IF(AND(EXACT($C$30,$C72),ISNUMBER($D$30)),($D$30&gt;$D72)+($D$30=$D72)/2,0),IF(AND(EXACT($C$31,$C72),ISNUMBER($D$31)),($D$31&gt;$D72)+($D$31=$D72)/2,0),IF(AND(EXACT($C$32,$C72),ISNUMBER($D$32)),($D$32&gt;$D72)+($D$32=$D72)/2,0),IF(AND(EXACT($C$33,$C72),ISNUMBER($D$33)),($D$33&gt;$D72)+($D$33=$D72)/2,0),IF(AND(EXACT($C$34,$C72),ISNUMBER($D$34)),($D$34&gt;$D72)+($D$34=$D72)/2,0),IF(AND(EXACT($C$35,$C72),ISNUMBER($D$35)),($D$35&gt;$D72)+($D$35=$D72)/2,0),IF(AND(EXACT($C$36,$C72),ISNUMBER($D$36)),($D$36&gt;$D72)+($D$36=$D72)/2,0),IF(AND(EXACT($C$37,$C72),ISNUMBER($D$37)),($D$37&gt;$D72)+($D$37=$D72)/2,0),IF(AND(EXACT($C$38,$C72),ISNUMBER($D$38)),($D$38&gt;$D72)+($D$38=$D72)/2,0),IF(AND(EXACT($C$39,$C72),ISNUMBER($D$39)),($D$39&gt;$D72)+($D$39=$D72)/2,0),IF(AND(EXACT($C$40,$C72),ISNUMBER($D$40)),($D$40&gt;$D72)+($D$40=$D72)/2,0),IF(AND(EXACT($C$41,$C72),ISNUMBER($D$41)),($D$41&gt;$D72)+($D$41=$D72)/2,0),IF(AND(EXACT($C$42,$C72),ISNUMBER($D$42)),($D$42&gt;$D72)+($D$42=$D72)/2,0),IF(AND(EXACT($C$43,$C72),ISNUMBER($D$43)),($D$43&gt;$D72)+($D$43=$D72)/2,0),IF(AND(EXACT($C$44,$C72),ISNUMBER($D$44)),($D$44&gt;$D72)+($D$44=$D72)/2,0),IF(AND(EXACT($C$45,$C72),ISNUMBER($D$45)),($D$45&gt;$D72)+($D$45=$D72)/2,0),IF(AND(EXACT($C$46,$C72),ISNUMBER($D$46)),($D$46&gt;$D72)+($D$46=$D72)/2,0),IF(AND(EXACT($C$47,$C72),ISNUMBER($D$47)),($D$47&gt;$D72)+($D$47=$D72)/2,0),IF(AND(EXACT($C$48,$C72),ISNUMBER($D$48)),($D$48&gt;$D72)+($D$48=$D72)/2,0),IF(AND(EXACT($C$49,$C72),ISNUMBER($D$49)),($D$49&gt;$D72)+($D$49=$D72)/2,0),IF(AND(EXACT($C$50,$C72),ISNUMBER($D$50)),($D$50&gt;$D72)+($D$50=$D72)/2,0),IF(AND(EXACT($C$51,$C72),ISNUMBER($D$51)),($D$51&gt;$D72)+($D$51=$D72)/2,0),IF(AND(EXACT($C$52,$C72),ISNUMBER($D$52)),($D$52&gt;$D72)+($D$52=$D72)/2,0),IF(AND(EXACT($C$53,$C72),ISNUMBER($D$53)),($D$53&gt;$D72)+($D$53=$D72)/2,0),IF(AND(EXACT($C$54,$C72),ISNUMBER($D$54)),($D$54&gt;$D72)+($D$54=$D72)/2,0),IF(AND(EXACT($C$55,$C72),ISNUMBER($D$55)),($D$55&gt;$D72)+($D$55=$D72)/2,0),IF(AND(EXACT($C$56,$C72),ISNUMBER($D$56)),($D$56&gt;$D72)+($D$56=$D72)/2,0)))</x:f>
      </x:c>
      <x:c r="AO72" s="34" t="str">
        <x:f>IF(COUNT($D72)=0,"",SUM(IF(AND(EXACT($C$57,$C72),ISNUMBER($D$57)),($D$57&gt;$D72)+($D$57=$D72)/2,0),IF(AND(EXACT($C$58,$C72),ISNUMBER($D$58)),($D$58&gt;$D72)+($D$58=$D72)/2,0),IF(AND(EXACT($C$59,$C72),ISNUMBER($D$59)),($D$59&gt;$D72)+($D$59=$D72)/2,0),IF(AND(EXACT($C$60,$C72),ISNUMBER($D$60)),($D$60&gt;$D72)+($D$60=$D72)/2,0),IF(AND(EXACT($C$61,$C72),ISNUMBER($D$61)),($D$61&gt;$D72)+($D$61=$D72)/2,0),IF(AND(EXACT($C$62,$C72),ISNUMBER($D$62)),($D$62&gt;$D72)+($D$62=$D72)/2,0),IF(AND(EXACT($C$63,$C72),ISNUMBER($D$63)),($D$63&gt;$D72)+($D$63=$D72)/2,0),IF(AND(EXACT($C$64,$C72),ISNUMBER($D$64)),($D$64&gt;$D72)+($D$64=$D72)/2,0),IF(AND(EXACT($C$65,$C72),ISNUMBER($D$65)),($D$65&gt;$D72)+($D$65=$D72)/2,0),IF(AND(EXACT($C$66,$C72),ISNUMBER($D$66)),($D$66&gt;$D72)+($D$66=$D72)/2,0),IF(AND(EXACT($C$67,$C72),ISNUMBER($D$67)),($D$67&gt;$D72)+($D$67=$D72)/2,0),IF(AND(EXACT($C$68,$C72),ISNUMBER($D$68)),($D$68&gt;$D72)+($D$68=$D72)/2,0),IF(AND(EXACT($C$69,$C72),ISNUMBER($D$69)),($D$69&gt;$D72)+($D$69=$D72)/2,0),IF(AND(EXACT($C$70,$C72),ISNUMBER($D$70)),($D$70&gt;$D72)+($D$70=$D72)/2,0),IF(AND(EXACT($C$71,$C72),ISNUMBER($D$71)),($D$71&gt;$D72)+($D$71=$D72)/2,0),IF(AND(EXACT($C$72,$C72),ISNUMBER($D$72)),($D$72&gt;$D72)+($D$72=$D72)/2,0),IF(AND(EXACT($C$73,$C72),ISNUMBER($D$73)),($D$73&gt;$D72)+($D$73=$D72)/2,0),IF(AND(EXACT($C$74,$C72),ISNUMBER($D$74)),($D$74&gt;$D72)+($D$74=$D72)/2,0),IF(AND(EXACT($C$75,$C72),ISNUMBER($D$75)),($D$75&gt;$D72)+($D$75=$D72)/2,0),IF(AND(EXACT($C$76,$C72),ISNUMBER($D$76)),($D$76&gt;$D72)+($D$76=$D72)/2,0),IF(AND(EXACT($C$77,$C72),ISNUMBER($D$77)),($D$77&gt;$D72)+($D$77=$D72)/2,0),IF(AND(EXACT($C$78,$C72),ISNUMBER($D$78)),($D$78&gt;$D72)+($D$78=$D72)/2,0),IF(AND(EXACT($C$79,$C72),ISNUMBER($D$79)),($D$79&gt;$D72)+($D$79=$D72)/2,0),IF(AND(EXACT($C$80,$C72),ISNUMBER($D$80)),($D$80&gt;$D72)+($D$80=$D72)/2,0),IF(AND(EXACT($C$81,$C72),ISNUMBER($D$81)),($D$81&gt;$D72)+($D$81=$D72)/2,0),IF(AND(EXACT($C$82,$C72),ISNUMBER($D$82)),($D$82&gt;$D72)+($D$82=$D72)/2,0),IF(AND(EXACT($C$83,$C72),ISNUMBER($D$83)),($D$83&gt;$D72)+($D$83=$D72)/2,0),IF(AND(EXACT($C$84,$C72),ISNUMBER($D$84)),($D$84&gt;$D72)+($D$84=$D72)/2,0),IF(AND(EXACT($C$85,$C72),ISNUMBER($D$85)),($D$85&gt;$D72)+($D$85=$D72)/2,0),IF(AND(EXACT($C$86,$C72),ISNUMBER($D$86)),($D$86&gt;$D72)+($D$86=$D72)/2,0),IF(AND(EXACT($C$87,$C72),ISNUMBER($D$87)),($D$87&gt;$D72)+($D$87=$D72)/2,0),IF(AND(EXACT($C$88,$C72),ISNUMBER($D$88)),($D$88&gt;$D72)+($D$88=$D72)/2,0),IF(AND(EXACT($C$89,$C72),ISNUMBER($D$89)),($D$89&gt;$D72)+($D$89=$D72)/2,0),IF(AND(EXACT($C$90,$C72),ISNUMBER($D$90)),($D$90&gt;$D72)+($D$90=$D72)/2,0),IF(AND(EXACT($C$91,$C72),ISNUMBER($D$91)),($D$91&gt;$D72)+($D$91=$D72)/2,0),IF(AND(EXACT($C$92,$C72),ISNUMBER($D$92)),($D$92&gt;$D72)+($D$92=$D72)/2,0),IF(AND(EXACT($C$93,$C72),ISNUMBER($D$93)),($D$93&gt;$D72)+($D$93=$D72)/2,0),IF(AND(EXACT($C$94,$C72),ISNUMBER($D$94)),($D$94&gt;$D72)+($D$94=$D72)/2,0),IF(AND(EXACT($C$95,$C72),ISNUMBER($D$95)),($D$95&gt;$D72)+($D$95=$D72)/2,0),IF(AND(EXACT($C$96,$C72),ISNUMBER($D$96)),($D$96&gt;$D72)+($D$96=$D72)/2,0),IF(AND(EXACT($C$97,$C72),ISNUMBER($D$97)),($D$97&gt;$D72)+($D$97=$D72)/2,0),IF(AND(EXACT($C$98,$C72),ISNUMBER($D$98)),($D$98&gt;$D72)+($D$98=$D72)/2,0),IF(AND(EXACT($C$99,$C72),ISNUMBER($D$99)),($D$99&gt;$D72)+($D$99=$D72)/2,0),IF(AND(EXACT($C$100,$C72),ISNUMBER($D$100)),($D$100&gt;$D72)+($D$100=$D72)/2,0),IF(AND(EXACT($C$101,$C72),ISNUMBER($D$101)),($D$101&gt;$D72)+($D$101=$D72)/2,0),IF(AND(EXACT($C$102,$C72),ISNUMBER($D$102)),($D$102&gt;$D72)+($D$102=$D72)/2,0),IF(AND(EXACT($C$103,$C72),ISNUMBER($D$103)),($D$103&gt;$D72)+($D$103=$D72)/2,0),IF(AND(EXACT($C$104,$C72),ISNUMBER($D$104)),($D$104&gt;$D72)+($D$104=$D72)/2,0),IF(AND(EXACT($C$105,$C72),ISNUMBER($D$105)),($D$105&gt;$D72)+($D$105=$D72)/2,0),IF(AND(EXACT($C$106,$C72),ISNUMBER($D$106)),($D$106&gt;$D72)+($D$106=$D72)/2,0)))</x:f>
      </x:c>
    </x:row>
    <x:row r="73">
      <x:c r="A73" s="34" t="str">
        <x:f>IF('91_CALC_SCORES'!A73="","",'91_CALC_SCORES'!A73)</x:f>
      </x:c>
      <x:c r="B73" s="34" t="str">
        <x:f>IF($A73="","",'91_CALC_SCORES'!B73)</x:f>
      </x:c>
      <x:c r="C73" s="34" t="str">
        <x:f>IF($A73="","",'91_CALC_SCORES'!K73)</x:f>
      </x:c>
      <x:c r="D73" s="57" t="str">
        <x:f>IF(OR($A73="",NOT(OR(LEFT('91_CALC_SCORES'!AB73,4)="PASS",LEFT('91_CALC_SCORES'!AB73,5)="READY"))),"",'91_CALC_SCORES'!Y73)</x:f>
      </x:c>
      <x:c r="E73" s="34" t="str">
        <x:f>IF(COUNT(D73)=0,"",1+SUM(AN73:AO73)-1/2)</x:f>
      </x:c>
      <x:c r="F73" s="34" t="str">
        <x:f>IF($A73="","",'91_CALC_SCORES'!AB73)</x:f>
      </x:c>
      <x:c r="G73" s="34" t="str">
        <x:f>IF(A73="","","연구 베타 | 기업 백분위 아님")</x:f>
      </x:c>
      <x:c r="AN73" s="34" t="str">
        <x:f>IF(COUNT($D73)=0,"",SUM(IF(AND(EXACT($C$7,$C73),ISNUMBER($D$7)),($D$7&gt;$D73)+($D$7=$D73)/2,0),IF(AND(EXACT($C$8,$C73),ISNUMBER($D$8)),($D$8&gt;$D73)+($D$8=$D73)/2,0),IF(AND(EXACT($C$9,$C73),ISNUMBER($D$9)),($D$9&gt;$D73)+($D$9=$D73)/2,0),IF(AND(EXACT($C$10,$C73),ISNUMBER($D$10)),($D$10&gt;$D73)+($D$10=$D73)/2,0),IF(AND(EXACT($C$11,$C73),ISNUMBER($D$11)),($D$11&gt;$D73)+($D$11=$D73)/2,0),IF(AND(EXACT($C$12,$C73),ISNUMBER($D$12)),($D$12&gt;$D73)+($D$12=$D73)/2,0),IF(AND(EXACT($C$13,$C73),ISNUMBER($D$13)),($D$13&gt;$D73)+($D$13=$D73)/2,0),IF(AND(EXACT($C$14,$C73),ISNUMBER($D$14)),($D$14&gt;$D73)+($D$14=$D73)/2,0),IF(AND(EXACT($C$15,$C73),ISNUMBER($D$15)),($D$15&gt;$D73)+($D$15=$D73)/2,0),IF(AND(EXACT($C$16,$C73),ISNUMBER($D$16)),($D$16&gt;$D73)+($D$16=$D73)/2,0),IF(AND(EXACT($C$17,$C73),ISNUMBER($D$17)),($D$17&gt;$D73)+($D$17=$D73)/2,0),IF(AND(EXACT($C$18,$C73),ISNUMBER($D$18)),($D$18&gt;$D73)+($D$18=$D73)/2,0),IF(AND(EXACT($C$19,$C73),ISNUMBER($D$19)),($D$19&gt;$D73)+($D$19=$D73)/2,0),IF(AND(EXACT($C$20,$C73),ISNUMBER($D$20)),($D$20&gt;$D73)+($D$20=$D73)/2,0),IF(AND(EXACT($C$21,$C73),ISNUMBER($D$21)),($D$21&gt;$D73)+($D$21=$D73)/2,0),IF(AND(EXACT($C$22,$C73),ISNUMBER($D$22)),($D$22&gt;$D73)+($D$22=$D73)/2,0),IF(AND(EXACT($C$23,$C73),ISNUMBER($D$23)),($D$23&gt;$D73)+($D$23=$D73)/2,0),IF(AND(EXACT($C$24,$C73),ISNUMBER($D$24)),($D$24&gt;$D73)+($D$24=$D73)/2,0),IF(AND(EXACT($C$25,$C73),ISNUMBER($D$25)),($D$25&gt;$D73)+($D$25=$D73)/2,0),IF(AND(EXACT($C$26,$C73),ISNUMBER($D$26)),($D$26&gt;$D73)+($D$26=$D73)/2,0),IF(AND(EXACT($C$27,$C73),ISNUMBER($D$27)),($D$27&gt;$D73)+($D$27=$D73)/2,0),IF(AND(EXACT($C$28,$C73),ISNUMBER($D$28)),($D$28&gt;$D73)+($D$28=$D73)/2,0),IF(AND(EXACT($C$29,$C73),ISNUMBER($D$29)),($D$29&gt;$D73)+($D$29=$D73)/2,0),IF(AND(EXACT($C$30,$C73),ISNUMBER($D$30)),($D$30&gt;$D73)+($D$30=$D73)/2,0),IF(AND(EXACT($C$31,$C73),ISNUMBER($D$31)),($D$31&gt;$D73)+($D$31=$D73)/2,0),IF(AND(EXACT($C$32,$C73),ISNUMBER($D$32)),($D$32&gt;$D73)+($D$32=$D73)/2,0),IF(AND(EXACT($C$33,$C73),ISNUMBER($D$33)),($D$33&gt;$D73)+($D$33=$D73)/2,0),IF(AND(EXACT($C$34,$C73),ISNUMBER($D$34)),($D$34&gt;$D73)+($D$34=$D73)/2,0),IF(AND(EXACT($C$35,$C73),ISNUMBER($D$35)),($D$35&gt;$D73)+($D$35=$D73)/2,0),IF(AND(EXACT($C$36,$C73),ISNUMBER($D$36)),($D$36&gt;$D73)+($D$36=$D73)/2,0),IF(AND(EXACT($C$37,$C73),ISNUMBER($D$37)),($D$37&gt;$D73)+($D$37=$D73)/2,0),IF(AND(EXACT($C$38,$C73),ISNUMBER($D$38)),($D$38&gt;$D73)+($D$38=$D73)/2,0),IF(AND(EXACT($C$39,$C73),ISNUMBER($D$39)),($D$39&gt;$D73)+($D$39=$D73)/2,0),IF(AND(EXACT($C$40,$C73),ISNUMBER($D$40)),($D$40&gt;$D73)+($D$40=$D73)/2,0),IF(AND(EXACT($C$41,$C73),ISNUMBER($D$41)),($D$41&gt;$D73)+($D$41=$D73)/2,0),IF(AND(EXACT($C$42,$C73),ISNUMBER($D$42)),($D$42&gt;$D73)+($D$42=$D73)/2,0),IF(AND(EXACT($C$43,$C73),ISNUMBER($D$43)),($D$43&gt;$D73)+($D$43=$D73)/2,0),IF(AND(EXACT($C$44,$C73),ISNUMBER($D$44)),($D$44&gt;$D73)+($D$44=$D73)/2,0),IF(AND(EXACT($C$45,$C73),ISNUMBER($D$45)),($D$45&gt;$D73)+($D$45=$D73)/2,0),IF(AND(EXACT($C$46,$C73),ISNUMBER($D$46)),($D$46&gt;$D73)+($D$46=$D73)/2,0),IF(AND(EXACT($C$47,$C73),ISNUMBER($D$47)),($D$47&gt;$D73)+($D$47=$D73)/2,0),IF(AND(EXACT($C$48,$C73),ISNUMBER($D$48)),($D$48&gt;$D73)+($D$48=$D73)/2,0),IF(AND(EXACT($C$49,$C73),ISNUMBER($D$49)),($D$49&gt;$D73)+($D$49=$D73)/2,0),IF(AND(EXACT($C$50,$C73),ISNUMBER($D$50)),($D$50&gt;$D73)+($D$50=$D73)/2,0),IF(AND(EXACT($C$51,$C73),ISNUMBER($D$51)),($D$51&gt;$D73)+($D$51=$D73)/2,0),IF(AND(EXACT($C$52,$C73),ISNUMBER($D$52)),($D$52&gt;$D73)+($D$52=$D73)/2,0),IF(AND(EXACT($C$53,$C73),ISNUMBER($D$53)),($D$53&gt;$D73)+($D$53=$D73)/2,0),IF(AND(EXACT($C$54,$C73),ISNUMBER($D$54)),($D$54&gt;$D73)+($D$54=$D73)/2,0),IF(AND(EXACT($C$55,$C73),ISNUMBER($D$55)),($D$55&gt;$D73)+($D$55=$D73)/2,0),IF(AND(EXACT($C$56,$C73),ISNUMBER($D$56)),($D$56&gt;$D73)+($D$56=$D73)/2,0)))</x:f>
      </x:c>
      <x:c r="AO73" s="34" t="str">
        <x:f>IF(COUNT($D73)=0,"",SUM(IF(AND(EXACT($C$57,$C73),ISNUMBER($D$57)),($D$57&gt;$D73)+($D$57=$D73)/2,0),IF(AND(EXACT($C$58,$C73),ISNUMBER($D$58)),($D$58&gt;$D73)+($D$58=$D73)/2,0),IF(AND(EXACT($C$59,$C73),ISNUMBER($D$59)),($D$59&gt;$D73)+($D$59=$D73)/2,0),IF(AND(EXACT($C$60,$C73),ISNUMBER($D$60)),($D$60&gt;$D73)+($D$60=$D73)/2,0),IF(AND(EXACT($C$61,$C73),ISNUMBER($D$61)),($D$61&gt;$D73)+($D$61=$D73)/2,0),IF(AND(EXACT($C$62,$C73),ISNUMBER($D$62)),($D$62&gt;$D73)+($D$62=$D73)/2,0),IF(AND(EXACT($C$63,$C73),ISNUMBER($D$63)),($D$63&gt;$D73)+($D$63=$D73)/2,0),IF(AND(EXACT($C$64,$C73),ISNUMBER($D$64)),($D$64&gt;$D73)+($D$64=$D73)/2,0),IF(AND(EXACT($C$65,$C73),ISNUMBER($D$65)),($D$65&gt;$D73)+($D$65=$D73)/2,0),IF(AND(EXACT($C$66,$C73),ISNUMBER($D$66)),($D$66&gt;$D73)+($D$66=$D73)/2,0),IF(AND(EXACT($C$67,$C73),ISNUMBER($D$67)),($D$67&gt;$D73)+($D$67=$D73)/2,0),IF(AND(EXACT($C$68,$C73),ISNUMBER($D$68)),($D$68&gt;$D73)+($D$68=$D73)/2,0),IF(AND(EXACT($C$69,$C73),ISNUMBER($D$69)),($D$69&gt;$D73)+($D$69=$D73)/2,0),IF(AND(EXACT($C$70,$C73),ISNUMBER($D$70)),($D$70&gt;$D73)+($D$70=$D73)/2,0),IF(AND(EXACT($C$71,$C73),ISNUMBER($D$71)),($D$71&gt;$D73)+($D$71=$D73)/2,0),IF(AND(EXACT($C$72,$C73),ISNUMBER($D$72)),($D$72&gt;$D73)+($D$72=$D73)/2,0),IF(AND(EXACT($C$73,$C73),ISNUMBER($D$73)),($D$73&gt;$D73)+($D$73=$D73)/2,0),IF(AND(EXACT($C$74,$C73),ISNUMBER($D$74)),($D$74&gt;$D73)+($D$74=$D73)/2,0),IF(AND(EXACT($C$75,$C73),ISNUMBER($D$75)),($D$75&gt;$D73)+($D$75=$D73)/2,0),IF(AND(EXACT($C$76,$C73),ISNUMBER($D$76)),($D$76&gt;$D73)+($D$76=$D73)/2,0),IF(AND(EXACT($C$77,$C73),ISNUMBER($D$77)),($D$77&gt;$D73)+($D$77=$D73)/2,0),IF(AND(EXACT($C$78,$C73),ISNUMBER($D$78)),($D$78&gt;$D73)+($D$78=$D73)/2,0),IF(AND(EXACT($C$79,$C73),ISNUMBER($D$79)),($D$79&gt;$D73)+($D$79=$D73)/2,0),IF(AND(EXACT($C$80,$C73),ISNUMBER($D$80)),($D$80&gt;$D73)+($D$80=$D73)/2,0),IF(AND(EXACT($C$81,$C73),ISNUMBER($D$81)),($D$81&gt;$D73)+($D$81=$D73)/2,0),IF(AND(EXACT($C$82,$C73),ISNUMBER($D$82)),($D$82&gt;$D73)+($D$82=$D73)/2,0),IF(AND(EXACT($C$83,$C73),ISNUMBER($D$83)),($D$83&gt;$D73)+($D$83=$D73)/2,0),IF(AND(EXACT($C$84,$C73),ISNUMBER($D$84)),($D$84&gt;$D73)+($D$84=$D73)/2,0),IF(AND(EXACT($C$85,$C73),ISNUMBER($D$85)),($D$85&gt;$D73)+($D$85=$D73)/2,0),IF(AND(EXACT($C$86,$C73),ISNUMBER($D$86)),($D$86&gt;$D73)+($D$86=$D73)/2,0),IF(AND(EXACT($C$87,$C73),ISNUMBER($D$87)),($D$87&gt;$D73)+($D$87=$D73)/2,0),IF(AND(EXACT($C$88,$C73),ISNUMBER($D$88)),($D$88&gt;$D73)+($D$88=$D73)/2,0),IF(AND(EXACT($C$89,$C73),ISNUMBER($D$89)),($D$89&gt;$D73)+($D$89=$D73)/2,0),IF(AND(EXACT($C$90,$C73),ISNUMBER($D$90)),($D$90&gt;$D73)+($D$90=$D73)/2,0),IF(AND(EXACT($C$91,$C73),ISNUMBER($D$91)),($D$91&gt;$D73)+($D$91=$D73)/2,0),IF(AND(EXACT($C$92,$C73),ISNUMBER($D$92)),($D$92&gt;$D73)+($D$92=$D73)/2,0),IF(AND(EXACT($C$93,$C73),ISNUMBER($D$93)),($D$93&gt;$D73)+($D$93=$D73)/2,0),IF(AND(EXACT($C$94,$C73),ISNUMBER($D$94)),($D$94&gt;$D73)+($D$94=$D73)/2,0),IF(AND(EXACT($C$95,$C73),ISNUMBER($D$95)),($D$95&gt;$D73)+($D$95=$D73)/2,0),IF(AND(EXACT($C$96,$C73),ISNUMBER($D$96)),($D$96&gt;$D73)+($D$96=$D73)/2,0),IF(AND(EXACT($C$97,$C73),ISNUMBER($D$97)),($D$97&gt;$D73)+($D$97=$D73)/2,0),IF(AND(EXACT($C$98,$C73),ISNUMBER($D$98)),($D$98&gt;$D73)+($D$98=$D73)/2,0),IF(AND(EXACT($C$99,$C73),ISNUMBER($D$99)),($D$99&gt;$D73)+($D$99=$D73)/2,0),IF(AND(EXACT($C$100,$C73),ISNUMBER($D$100)),($D$100&gt;$D73)+($D$100=$D73)/2,0),IF(AND(EXACT($C$101,$C73),ISNUMBER($D$101)),($D$101&gt;$D73)+($D$101=$D73)/2,0),IF(AND(EXACT($C$102,$C73),ISNUMBER($D$102)),($D$102&gt;$D73)+($D$102=$D73)/2,0),IF(AND(EXACT($C$103,$C73),ISNUMBER($D$103)),($D$103&gt;$D73)+($D$103=$D73)/2,0),IF(AND(EXACT($C$104,$C73),ISNUMBER($D$104)),($D$104&gt;$D73)+($D$104=$D73)/2,0),IF(AND(EXACT($C$105,$C73),ISNUMBER($D$105)),($D$105&gt;$D73)+($D$105=$D73)/2,0),IF(AND(EXACT($C$106,$C73),ISNUMBER($D$106)),($D$106&gt;$D73)+($D$106=$D73)/2,0)))</x:f>
      </x:c>
    </x:row>
    <x:row r="74">
      <x:c r="A74" s="34" t="str">
        <x:f>IF('91_CALC_SCORES'!A74="","",'91_CALC_SCORES'!A74)</x:f>
      </x:c>
      <x:c r="B74" s="34" t="str">
        <x:f>IF($A74="","",'91_CALC_SCORES'!B74)</x:f>
      </x:c>
      <x:c r="C74" s="34" t="str">
        <x:f>IF($A74="","",'91_CALC_SCORES'!K74)</x:f>
      </x:c>
      <x:c r="D74" s="57" t="str">
        <x:f>IF(OR($A74="",NOT(OR(LEFT('91_CALC_SCORES'!AB74,4)="PASS",LEFT('91_CALC_SCORES'!AB74,5)="READY"))),"",'91_CALC_SCORES'!Y74)</x:f>
      </x:c>
      <x:c r="E74" s="34" t="str">
        <x:f>IF(COUNT(D74)=0,"",1+SUM(AN74:AO74)-1/2)</x:f>
      </x:c>
      <x:c r="F74" s="34" t="str">
        <x:f>IF($A74="","",'91_CALC_SCORES'!AB74)</x:f>
      </x:c>
      <x:c r="G74" s="34" t="str">
        <x:f>IF(A74="","","연구 베타 | 기업 백분위 아님")</x:f>
      </x:c>
      <x:c r="AN74" s="34" t="str">
        <x:f>IF(COUNT($D74)=0,"",SUM(IF(AND(EXACT($C$7,$C74),ISNUMBER($D$7)),($D$7&gt;$D74)+($D$7=$D74)/2,0),IF(AND(EXACT($C$8,$C74),ISNUMBER($D$8)),($D$8&gt;$D74)+($D$8=$D74)/2,0),IF(AND(EXACT($C$9,$C74),ISNUMBER($D$9)),($D$9&gt;$D74)+($D$9=$D74)/2,0),IF(AND(EXACT($C$10,$C74),ISNUMBER($D$10)),($D$10&gt;$D74)+($D$10=$D74)/2,0),IF(AND(EXACT($C$11,$C74),ISNUMBER($D$11)),($D$11&gt;$D74)+($D$11=$D74)/2,0),IF(AND(EXACT($C$12,$C74),ISNUMBER($D$12)),($D$12&gt;$D74)+($D$12=$D74)/2,0),IF(AND(EXACT($C$13,$C74),ISNUMBER($D$13)),($D$13&gt;$D74)+($D$13=$D74)/2,0),IF(AND(EXACT($C$14,$C74),ISNUMBER($D$14)),($D$14&gt;$D74)+($D$14=$D74)/2,0),IF(AND(EXACT($C$15,$C74),ISNUMBER($D$15)),($D$15&gt;$D74)+($D$15=$D74)/2,0),IF(AND(EXACT($C$16,$C74),ISNUMBER($D$16)),($D$16&gt;$D74)+($D$16=$D74)/2,0),IF(AND(EXACT($C$17,$C74),ISNUMBER($D$17)),($D$17&gt;$D74)+($D$17=$D74)/2,0),IF(AND(EXACT($C$18,$C74),ISNUMBER($D$18)),($D$18&gt;$D74)+($D$18=$D74)/2,0),IF(AND(EXACT($C$19,$C74),ISNUMBER($D$19)),($D$19&gt;$D74)+($D$19=$D74)/2,0),IF(AND(EXACT($C$20,$C74),ISNUMBER($D$20)),($D$20&gt;$D74)+($D$20=$D74)/2,0),IF(AND(EXACT($C$21,$C74),ISNUMBER($D$21)),($D$21&gt;$D74)+($D$21=$D74)/2,0),IF(AND(EXACT($C$22,$C74),ISNUMBER($D$22)),($D$22&gt;$D74)+($D$22=$D74)/2,0),IF(AND(EXACT($C$23,$C74),ISNUMBER($D$23)),($D$23&gt;$D74)+($D$23=$D74)/2,0),IF(AND(EXACT($C$24,$C74),ISNUMBER($D$24)),($D$24&gt;$D74)+($D$24=$D74)/2,0),IF(AND(EXACT($C$25,$C74),ISNUMBER($D$25)),($D$25&gt;$D74)+($D$25=$D74)/2,0),IF(AND(EXACT($C$26,$C74),ISNUMBER($D$26)),($D$26&gt;$D74)+($D$26=$D74)/2,0),IF(AND(EXACT($C$27,$C74),ISNUMBER($D$27)),($D$27&gt;$D74)+($D$27=$D74)/2,0),IF(AND(EXACT($C$28,$C74),ISNUMBER($D$28)),($D$28&gt;$D74)+($D$28=$D74)/2,0),IF(AND(EXACT($C$29,$C74),ISNUMBER($D$29)),($D$29&gt;$D74)+($D$29=$D74)/2,0),IF(AND(EXACT($C$30,$C74),ISNUMBER($D$30)),($D$30&gt;$D74)+($D$30=$D74)/2,0),IF(AND(EXACT($C$31,$C74),ISNUMBER($D$31)),($D$31&gt;$D74)+($D$31=$D74)/2,0),IF(AND(EXACT($C$32,$C74),ISNUMBER($D$32)),($D$32&gt;$D74)+($D$32=$D74)/2,0),IF(AND(EXACT($C$33,$C74),ISNUMBER($D$33)),($D$33&gt;$D74)+($D$33=$D74)/2,0),IF(AND(EXACT($C$34,$C74),ISNUMBER($D$34)),($D$34&gt;$D74)+($D$34=$D74)/2,0),IF(AND(EXACT($C$35,$C74),ISNUMBER($D$35)),($D$35&gt;$D74)+($D$35=$D74)/2,0),IF(AND(EXACT($C$36,$C74),ISNUMBER($D$36)),($D$36&gt;$D74)+($D$36=$D74)/2,0),IF(AND(EXACT($C$37,$C74),ISNUMBER($D$37)),($D$37&gt;$D74)+($D$37=$D74)/2,0),IF(AND(EXACT($C$38,$C74),ISNUMBER($D$38)),($D$38&gt;$D74)+($D$38=$D74)/2,0),IF(AND(EXACT($C$39,$C74),ISNUMBER($D$39)),($D$39&gt;$D74)+($D$39=$D74)/2,0),IF(AND(EXACT($C$40,$C74),ISNUMBER($D$40)),($D$40&gt;$D74)+($D$40=$D74)/2,0),IF(AND(EXACT($C$41,$C74),ISNUMBER($D$41)),($D$41&gt;$D74)+($D$41=$D74)/2,0),IF(AND(EXACT($C$42,$C74),ISNUMBER($D$42)),($D$42&gt;$D74)+($D$42=$D74)/2,0),IF(AND(EXACT($C$43,$C74),ISNUMBER($D$43)),($D$43&gt;$D74)+($D$43=$D74)/2,0),IF(AND(EXACT($C$44,$C74),ISNUMBER($D$44)),($D$44&gt;$D74)+($D$44=$D74)/2,0),IF(AND(EXACT($C$45,$C74),ISNUMBER($D$45)),($D$45&gt;$D74)+($D$45=$D74)/2,0),IF(AND(EXACT($C$46,$C74),ISNUMBER($D$46)),($D$46&gt;$D74)+($D$46=$D74)/2,0),IF(AND(EXACT($C$47,$C74),ISNUMBER($D$47)),($D$47&gt;$D74)+($D$47=$D74)/2,0),IF(AND(EXACT($C$48,$C74),ISNUMBER($D$48)),($D$48&gt;$D74)+($D$48=$D74)/2,0),IF(AND(EXACT($C$49,$C74),ISNUMBER($D$49)),($D$49&gt;$D74)+($D$49=$D74)/2,0),IF(AND(EXACT($C$50,$C74),ISNUMBER($D$50)),($D$50&gt;$D74)+($D$50=$D74)/2,0),IF(AND(EXACT($C$51,$C74),ISNUMBER($D$51)),($D$51&gt;$D74)+($D$51=$D74)/2,0),IF(AND(EXACT($C$52,$C74),ISNUMBER($D$52)),($D$52&gt;$D74)+($D$52=$D74)/2,0),IF(AND(EXACT($C$53,$C74),ISNUMBER($D$53)),($D$53&gt;$D74)+($D$53=$D74)/2,0),IF(AND(EXACT($C$54,$C74),ISNUMBER($D$54)),($D$54&gt;$D74)+($D$54=$D74)/2,0),IF(AND(EXACT($C$55,$C74),ISNUMBER($D$55)),($D$55&gt;$D74)+($D$55=$D74)/2,0),IF(AND(EXACT($C$56,$C74),ISNUMBER($D$56)),($D$56&gt;$D74)+($D$56=$D74)/2,0)))</x:f>
      </x:c>
      <x:c r="AO74" s="34" t="str">
        <x:f>IF(COUNT($D74)=0,"",SUM(IF(AND(EXACT($C$57,$C74),ISNUMBER($D$57)),($D$57&gt;$D74)+($D$57=$D74)/2,0),IF(AND(EXACT($C$58,$C74),ISNUMBER($D$58)),($D$58&gt;$D74)+($D$58=$D74)/2,0),IF(AND(EXACT($C$59,$C74),ISNUMBER($D$59)),($D$59&gt;$D74)+($D$59=$D74)/2,0),IF(AND(EXACT($C$60,$C74),ISNUMBER($D$60)),($D$60&gt;$D74)+($D$60=$D74)/2,0),IF(AND(EXACT($C$61,$C74),ISNUMBER($D$61)),($D$61&gt;$D74)+($D$61=$D74)/2,0),IF(AND(EXACT($C$62,$C74),ISNUMBER($D$62)),($D$62&gt;$D74)+($D$62=$D74)/2,0),IF(AND(EXACT($C$63,$C74),ISNUMBER($D$63)),($D$63&gt;$D74)+($D$63=$D74)/2,0),IF(AND(EXACT($C$64,$C74),ISNUMBER($D$64)),($D$64&gt;$D74)+($D$64=$D74)/2,0),IF(AND(EXACT($C$65,$C74),ISNUMBER($D$65)),($D$65&gt;$D74)+($D$65=$D74)/2,0),IF(AND(EXACT($C$66,$C74),ISNUMBER($D$66)),($D$66&gt;$D74)+($D$66=$D74)/2,0),IF(AND(EXACT($C$67,$C74),ISNUMBER($D$67)),($D$67&gt;$D74)+($D$67=$D74)/2,0),IF(AND(EXACT($C$68,$C74),ISNUMBER($D$68)),($D$68&gt;$D74)+($D$68=$D74)/2,0),IF(AND(EXACT($C$69,$C74),ISNUMBER($D$69)),($D$69&gt;$D74)+($D$69=$D74)/2,0),IF(AND(EXACT($C$70,$C74),ISNUMBER($D$70)),($D$70&gt;$D74)+($D$70=$D74)/2,0),IF(AND(EXACT($C$71,$C74),ISNUMBER($D$71)),($D$71&gt;$D74)+($D$71=$D74)/2,0),IF(AND(EXACT($C$72,$C74),ISNUMBER($D$72)),($D$72&gt;$D74)+($D$72=$D74)/2,0),IF(AND(EXACT($C$73,$C74),ISNUMBER($D$73)),($D$73&gt;$D74)+($D$73=$D74)/2,0),IF(AND(EXACT($C$74,$C74),ISNUMBER($D$74)),($D$74&gt;$D74)+($D$74=$D74)/2,0),IF(AND(EXACT($C$75,$C74),ISNUMBER($D$75)),($D$75&gt;$D74)+($D$75=$D74)/2,0),IF(AND(EXACT($C$76,$C74),ISNUMBER($D$76)),($D$76&gt;$D74)+($D$76=$D74)/2,0),IF(AND(EXACT($C$77,$C74),ISNUMBER($D$77)),($D$77&gt;$D74)+($D$77=$D74)/2,0),IF(AND(EXACT($C$78,$C74),ISNUMBER($D$78)),($D$78&gt;$D74)+($D$78=$D74)/2,0),IF(AND(EXACT($C$79,$C74),ISNUMBER($D$79)),($D$79&gt;$D74)+($D$79=$D74)/2,0),IF(AND(EXACT($C$80,$C74),ISNUMBER($D$80)),($D$80&gt;$D74)+($D$80=$D74)/2,0),IF(AND(EXACT($C$81,$C74),ISNUMBER($D$81)),($D$81&gt;$D74)+($D$81=$D74)/2,0),IF(AND(EXACT($C$82,$C74),ISNUMBER($D$82)),($D$82&gt;$D74)+($D$82=$D74)/2,0),IF(AND(EXACT($C$83,$C74),ISNUMBER($D$83)),($D$83&gt;$D74)+($D$83=$D74)/2,0),IF(AND(EXACT($C$84,$C74),ISNUMBER($D$84)),($D$84&gt;$D74)+($D$84=$D74)/2,0),IF(AND(EXACT($C$85,$C74),ISNUMBER($D$85)),($D$85&gt;$D74)+($D$85=$D74)/2,0),IF(AND(EXACT($C$86,$C74),ISNUMBER($D$86)),($D$86&gt;$D74)+($D$86=$D74)/2,0),IF(AND(EXACT($C$87,$C74),ISNUMBER($D$87)),($D$87&gt;$D74)+($D$87=$D74)/2,0),IF(AND(EXACT($C$88,$C74),ISNUMBER($D$88)),($D$88&gt;$D74)+($D$88=$D74)/2,0),IF(AND(EXACT($C$89,$C74),ISNUMBER($D$89)),($D$89&gt;$D74)+($D$89=$D74)/2,0),IF(AND(EXACT($C$90,$C74),ISNUMBER($D$90)),($D$90&gt;$D74)+($D$90=$D74)/2,0),IF(AND(EXACT($C$91,$C74),ISNUMBER($D$91)),($D$91&gt;$D74)+($D$91=$D74)/2,0),IF(AND(EXACT($C$92,$C74),ISNUMBER($D$92)),($D$92&gt;$D74)+($D$92=$D74)/2,0),IF(AND(EXACT($C$93,$C74),ISNUMBER($D$93)),($D$93&gt;$D74)+($D$93=$D74)/2,0),IF(AND(EXACT($C$94,$C74),ISNUMBER($D$94)),($D$94&gt;$D74)+($D$94=$D74)/2,0),IF(AND(EXACT($C$95,$C74),ISNUMBER($D$95)),($D$95&gt;$D74)+($D$95=$D74)/2,0),IF(AND(EXACT($C$96,$C74),ISNUMBER($D$96)),($D$96&gt;$D74)+($D$96=$D74)/2,0),IF(AND(EXACT($C$97,$C74),ISNUMBER($D$97)),($D$97&gt;$D74)+($D$97=$D74)/2,0),IF(AND(EXACT($C$98,$C74),ISNUMBER($D$98)),($D$98&gt;$D74)+($D$98=$D74)/2,0),IF(AND(EXACT($C$99,$C74),ISNUMBER($D$99)),($D$99&gt;$D74)+($D$99=$D74)/2,0),IF(AND(EXACT($C$100,$C74),ISNUMBER($D$100)),($D$100&gt;$D74)+($D$100=$D74)/2,0),IF(AND(EXACT($C$101,$C74),ISNUMBER($D$101)),($D$101&gt;$D74)+($D$101=$D74)/2,0),IF(AND(EXACT($C$102,$C74),ISNUMBER($D$102)),($D$102&gt;$D74)+($D$102=$D74)/2,0),IF(AND(EXACT($C$103,$C74),ISNUMBER($D$103)),($D$103&gt;$D74)+($D$103=$D74)/2,0),IF(AND(EXACT($C$104,$C74),ISNUMBER($D$104)),($D$104&gt;$D74)+($D$104=$D74)/2,0),IF(AND(EXACT($C$105,$C74),ISNUMBER($D$105)),($D$105&gt;$D74)+($D$105=$D74)/2,0),IF(AND(EXACT($C$106,$C74),ISNUMBER($D$106)),($D$106&gt;$D74)+($D$106=$D74)/2,0)))</x:f>
      </x:c>
    </x:row>
    <x:row r="75">
      <x:c r="A75" s="34" t="str">
        <x:f>IF('91_CALC_SCORES'!A75="","",'91_CALC_SCORES'!A75)</x:f>
      </x:c>
      <x:c r="B75" s="34" t="str">
        <x:f>IF($A75="","",'91_CALC_SCORES'!B75)</x:f>
      </x:c>
      <x:c r="C75" s="34" t="str">
        <x:f>IF($A75="","",'91_CALC_SCORES'!K75)</x:f>
      </x:c>
      <x:c r="D75" s="57" t="str">
        <x:f>IF(OR($A75="",NOT(OR(LEFT('91_CALC_SCORES'!AB75,4)="PASS",LEFT('91_CALC_SCORES'!AB75,5)="READY"))),"",'91_CALC_SCORES'!Y75)</x:f>
      </x:c>
      <x:c r="E75" s="34" t="str">
        <x:f>IF(COUNT(D75)=0,"",1+SUM(AN75:AO75)-1/2)</x:f>
      </x:c>
      <x:c r="F75" s="34" t="str">
        <x:f>IF($A75="","",'91_CALC_SCORES'!AB75)</x:f>
      </x:c>
      <x:c r="G75" s="34" t="str">
        <x:f>IF(A75="","","연구 베타 | 기업 백분위 아님")</x:f>
      </x:c>
      <x:c r="AN75" s="34" t="str">
        <x:f>IF(COUNT($D75)=0,"",SUM(IF(AND(EXACT($C$7,$C75),ISNUMBER($D$7)),($D$7&gt;$D75)+($D$7=$D75)/2,0),IF(AND(EXACT($C$8,$C75),ISNUMBER($D$8)),($D$8&gt;$D75)+($D$8=$D75)/2,0),IF(AND(EXACT($C$9,$C75),ISNUMBER($D$9)),($D$9&gt;$D75)+($D$9=$D75)/2,0),IF(AND(EXACT($C$10,$C75),ISNUMBER($D$10)),($D$10&gt;$D75)+($D$10=$D75)/2,0),IF(AND(EXACT($C$11,$C75),ISNUMBER($D$11)),($D$11&gt;$D75)+($D$11=$D75)/2,0),IF(AND(EXACT($C$12,$C75),ISNUMBER($D$12)),($D$12&gt;$D75)+($D$12=$D75)/2,0),IF(AND(EXACT($C$13,$C75),ISNUMBER($D$13)),($D$13&gt;$D75)+($D$13=$D75)/2,0),IF(AND(EXACT($C$14,$C75),ISNUMBER($D$14)),($D$14&gt;$D75)+($D$14=$D75)/2,0),IF(AND(EXACT($C$15,$C75),ISNUMBER($D$15)),($D$15&gt;$D75)+($D$15=$D75)/2,0),IF(AND(EXACT($C$16,$C75),ISNUMBER($D$16)),($D$16&gt;$D75)+($D$16=$D75)/2,0),IF(AND(EXACT($C$17,$C75),ISNUMBER($D$17)),($D$17&gt;$D75)+($D$17=$D75)/2,0),IF(AND(EXACT($C$18,$C75),ISNUMBER($D$18)),($D$18&gt;$D75)+($D$18=$D75)/2,0),IF(AND(EXACT($C$19,$C75),ISNUMBER($D$19)),($D$19&gt;$D75)+($D$19=$D75)/2,0),IF(AND(EXACT($C$20,$C75),ISNUMBER($D$20)),($D$20&gt;$D75)+($D$20=$D75)/2,0),IF(AND(EXACT($C$21,$C75),ISNUMBER($D$21)),($D$21&gt;$D75)+($D$21=$D75)/2,0),IF(AND(EXACT($C$22,$C75),ISNUMBER($D$22)),($D$22&gt;$D75)+($D$22=$D75)/2,0),IF(AND(EXACT($C$23,$C75),ISNUMBER($D$23)),($D$23&gt;$D75)+($D$23=$D75)/2,0),IF(AND(EXACT($C$24,$C75),ISNUMBER($D$24)),($D$24&gt;$D75)+($D$24=$D75)/2,0),IF(AND(EXACT($C$25,$C75),ISNUMBER($D$25)),($D$25&gt;$D75)+($D$25=$D75)/2,0),IF(AND(EXACT($C$26,$C75),ISNUMBER($D$26)),($D$26&gt;$D75)+($D$26=$D75)/2,0),IF(AND(EXACT($C$27,$C75),ISNUMBER($D$27)),($D$27&gt;$D75)+($D$27=$D75)/2,0),IF(AND(EXACT($C$28,$C75),ISNUMBER($D$28)),($D$28&gt;$D75)+($D$28=$D75)/2,0),IF(AND(EXACT($C$29,$C75),ISNUMBER($D$29)),($D$29&gt;$D75)+($D$29=$D75)/2,0),IF(AND(EXACT($C$30,$C75),ISNUMBER($D$30)),($D$30&gt;$D75)+($D$30=$D75)/2,0),IF(AND(EXACT($C$31,$C75),ISNUMBER($D$31)),($D$31&gt;$D75)+($D$31=$D75)/2,0),IF(AND(EXACT($C$32,$C75),ISNUMBER($D$32)),($D$32&gt;$D75)+($D$32=$D75)/2,0),IF(AND(EXACT($C$33,$C75),ISNUMBER($D$33)),($D$33&gt;$D75)+($D$33=$D75)/2,0),IF(AND(EXACT($C$34,$C75),ISNUMBER($D$34)),($D$34&gt;$D75)+($D$34=$D75)/2,0),IF(AND(EXACT($C$35,$C75),ISNUMBER($D$35)),($D$35&gt;$D75)+($D$35=$D75)/2,0),IF(AND(EXACT($C$36,$C75),ISNUMBER($D$36)),($D$36&gt;$D75)+($D$36=$D75)/2,0),IF(AND(EXACT($C$37,$C75),ISNUMBER($D$37)),($D$37&gt;$D75)+($D$37=$D75)/2,0),IF(AND(EXACT($C$38,$C75),ISNUMBER($D$38)),($D$38&gt;$D75)+($D$38=$D75)/2,0),IF(AND(EXACT($C$39,$C75),ISNUMBER($D$39)),($D$39&gt;$D75)+($D$39=$D75)/2,0),IF(AND(EXACT($C$40,$C75),ISNUMBER($D$40)),($D$40&gt;$D75)+($D$40=$D75)/2,0),IF(AND(EXACT($C$41,$C75),ISNUMBER($D$41)),($D$41&gt;$D75)+($D$41=$D75)/2,0),IF(AND(EXACT($C$42,$C75),ISNUMBER($D$42)),($D$42&gt;$D75)+($D$42=$D75)/2,0),IF(AND(EXACT($C$43,$C75),ISNUMBER($D$43)),($D$43&gt;$D75)+($D$43=$D75)/2,0),IF(AND(EXACT($C$44,$C75),ISNUMBER($D$44)),($D$44&gt;$D75)+($D$44=$D75)/2,0),IF(AND(EXACT($C$45,$C75),ISNUMBER($D$45)),($D$45&gt;$D75)+($D$45=$D75)/2,0),IF(AND(EXACT($C$46,$C75),ISNUMBER($D$46)),($D$46&gt;$D75)+($D$46=$D75)/2,0),IF(AND(EXACT($C$47,$C75),ISNUMBER($D$47)),($D$47&gt;$D75)+($D$47=$D75)/2,0),IF(AND(EXACT($C$48,$C75),ISNUMBER($D$48)),($D$48&gt;$D75)+($D$48=$D75)/2,0),IF(AND(EXACT($C$49,$C75),ISNUMBER($D$49)),($D$49&gt;$D75)+($D$49=$D75)/2,0),IF(AND(EXACT($C$50,$C75),ISNUMBER($D$50)),($D$50&gt;$D75)+($D$50=$D75)/2,0),IF(AND(EXACT($C$51,$C75),ISNUMBER($D$51)),($D$51&gt;$D75)+($D$51=$D75)/2,0),IF(AND(EXACT($C$52,$C75),ISNUMBER($D$52)),($D$52&gt;$D75)+($D$52=$D75)/2,0),IF(AND(EXACT($C$53,$C75),ISNUMBER($D$53)),($D$53&gt;$D75)+($D$53=$D75)/2,0),IF(AND(EXACT($C$54,$C75),ISNUMBER($D$54)),($D$54&gt;$D75)+($D$54=$D75)/2,0),IF(AND(EXACT($C$55,$C75),ISNUMBER($D$55)),($D$55&gt;$D75)+($D$55=$D75)/2,0),IF(AND(EXACT($C$56,$C75),ISNUMBER($D$56)),($D$56&gt;$D75)+($D$56=$D75)/2,0)))</x:f>
      </x:c>
      <x:c r="AO75" s="34" t="str">
        <x:f>IF(COUNT($D75)=0,"",SUM(IF(AND(EXACT($C$57,$C75),ISNUMBER($D$57)),($D$57&gt;$D75)+($D$57=$D75)/2,0),IF(AND(EXACT($C$58,$C75),ISNUMBER($D$58)),($D$58&gt;$D75)+($D$58=$D75)/2,0),IF(AND(EXACT($C$59,$C75),ISNUMBER($D$59)),($D$59&gt;$D75)+($D$59=$D75)/2,0),IF(AND(EXACT($C$60,$C75),ISNUMBER($D$60)),($D$60&gt;$D75)+($D$60=$D75)/2,0),IF(AND(EXACT($C$61,$C75),ISNUMBER($D$61)),($D$61&gt;$D75)+($D$61=$D75)/2,0),IF(AND(EXACT($C$62,$C75),ISNUMBER($D$62)),($D$62&gt;$D75)+($D$62=$D75)/2,0),IF(AND(EXACT($C$63,$C75),ISNUMBER($D$63)),($D$63&gt;$D75)+($D$63=$D75)/2,0),IF(AND(EXACT($C$64,$C75),ISNUMBER($D$64)),($D$64&gt;$D75)+($D$64=$D75)/2,0),IF(AND(EXACT($C$65,$C75),ISNUMBER($D$65)),($D$65&gt;$D75)+($D$65=$D75)/2,0),IF(AND(EXACT($C$66,$C75),ISNUMBER($D$66)),($D$66&gt;$D75)+($D$66=$D75)/2,0),IF(AND(EXACT($C$67,$C75),ISNUMBER($D$67)),($D$67&gt;$D75)+($D$67=$D75)/2,0),IF(AND(EXACT($C$68,$C75),ISNUMBER($D$68)),($D$68&gt;$D75)+($D$68=$D75)/2,0),IF(AND(EXACT($C$69,$C75),ISNUMBER($D$69)),($D$69&gt;$D75)+($D$69=$D75)/2,0),IF(AND(EXACT($C$70,$C75),ISNUMBER($D$70)),($D$70&gt;$D75)+($D$70=$D75)/2,0),IF(AND(EXACT($C$71,$C75),ISNUMBER($D$71)),($D$71&gt;$D75)+($D$71=$D75)/2,0),IF(AND(EXACT($C$72,$C75),ISNUMBER($D$72)),($D$72&gt;$D75)+($D$72=$D75)/2,0),IF(AND(EXACT($C$73,$C75),ISNUMBER($D$73)),($D$73&gt;$D75)+($D$73=$D75)/2,0),IF(AND(EXACT($C$74,$C75),ISNUMBER($D$74)),($D$74&gt;$D75)+($D$74=$D75)/2,0),IF(AND(EXACT($C$75,$C75),ISNUMBER($D$75)),($D$75&gt;$D75)+($D$75=$D75)/2,0),IF(AND(EXACT($C$76,$C75),ISNUMBER($D$76)),($D$76&gt;$D75)+($D$76=$D75)/2,0),IF(AND(EXACT($C$77,$C75),ISNUMBER($D$77)),($D$77&gt;$D75)+($D$77=$D75)/2,0),IF(AND(EXACT($C$78,$C75),ISNUMBER($D$78)),($D$78&gt;$D75)+($D$78=$D75)/2,0),IF(AND(EXACT($C$79,$C75),ISNUMBER($D$79)),($D$79&gt;$D75)+($D$79=$D75)/2,0),IF(AND(EXACT($C$80,$C75),ISNUMBER($D$80)),($D$80&gt;$D75)+($D$80=$D75)/2,0),IF(AND(EXACT($C$81,$C75),ISNUMBER($D$81)),($D$81&gt;$D75)+($D$81=$D75)/2,0),IF(AND(EXACT($C$82,$C75),ISNUMBER($D$82)),($D$82&gt;$D75)+($D$82=$D75)/2,0),IF(AND(EXACT($C$83,$C75),ISNUMBER($D$83)),($D$83&gt;$D75)+($D$83=$D75)/2,0),IF(AND(EXACT($C$84,$C75),ISNUMBER($D$84)),($D$84&gt;$D75)+($D$84=$D75)/2,0),IF(AND(EXACT($C$85,$C75),ISNUMBER($D$85)),($D$85&gt;$D75)+($D$85=$D75)/2,0),IF(AND(EXACT($C$86,$C75),ISNUMBER($D$86)),($D$86&gt;$D75)+($D$86=$D75)/2,0),IF(AND(EXACT($C$87,$C75),ISNUMBER($D$87)),($D$87&gt;$D75)+($D$87=$D75)/2,0),IF(AND(EXACT($C$88,$C75),ISNUMBER($D$88)),($D$88&gt;$D75)+($D$88=$D75)/2,0),IF(AND(EXACT($C$89,$C75),ISNUMBER($D$89)),($D$89&gt;$D75)+($D$89=$D75)/2,0),IF(AND(EXACT($C$90,$C75),ISNUMBER($D$90)),($D$90&gt;$D75)+($D$90=$D75)/2,0),IF(AND(EXACT($C$91,$C75),ISNUMBER($D$91)),($D$91&gt;$D75)+($D$91=$D75)/2,0),IF(AND(EXACT($C$92,$C75),ISNUMBER($D$92)),($D$92&gt;$D75)+($D$92=$D75)/2,0),IF(AND(EXACT($C$93,$C75),ISNUMBER($D$93)),($D$93&gt;$D75)+($D$93=$D75)/2,0),IF(AND(EXACT($C$94,$C75),ISNUMBER($D$94)),($D$94&gt;$D75)+($D$94=$D75)/2,0),IF(AND(EXACT($C$95,$C75),ISNUMBER($D$95)),($D$95&gt;$D75)+($D$95=$D75)/2,0),IF(AND(EXACT($C$96,$C75),ISNUMBER($D$96)),($D$96&gt;$D75)+($D$96=$D75)/2,0),IF(AND(EXACT($C$97,$C75),ISNUMBER($D$97)),($D$97&gt;$D75)+($D$97=$D75)/2,0),IF(AND(EXACT($C$98,$C75),ISNUMBER($D$98)),($D$98&gt;$D75)+($D$98=$D75)/2,0),IF(AND(EXACT($C$99,$C75),ISNUMBER($D$99)),($D$99&gt;$D75)+($D$99=$D75)/2,0),IF(AND(EXACT($C$100,$C75),ISNUMBER($D$100)),($D$100&gt;$D75)+($D$100=$D75)/2,0),IF(AND(EXACT($C$101,$C75),ISNUMBER($D$101)),($D$101&gt;$D75)+($D$101=$D75)/2,0),IF(AND(EXACT($C$102,$C75),ISNUMBER($D$102)),($D$102&gt;$D75)+($D$102=$D75)/2,0),IF(AND(EXACT($C$103,$C75),ISNUMBER($D$103)),($D$103&gt;$D75)+($D$103=$D75)/2,0),IF(AND(EXACT($C$104,$C75),ISNUMBER($D$104)),($D$104&gt;$D75)+($D$104=$D75)/2,0),IF(AND(EXACT($C$105,$C75),ISNUMBER($D$105)),($D$105&gt;$D75)+($D$105=$D75)/2,0),IF(AND(EXACT($C$106,$C75),ISNUMBER($D$106)),($D$106&gt;$D75)+($D$106=$D75)/2,0)))</x:f>
      </x:c>
    </x:row>
    <x:row r="76">
      <x:c r="A76" s="34" t="str">
        <x:f>IF('91_CALC_SCORES'!A76="","",'91_CALC_SCORES'!A76)</x:f>
      </x:c>
      <x:c r="B76" s="34" t="str">
        <x:f>IF($A76="","",'91_CALC_SCORES'!B76)</x:f>
      </x:c>
      <x:c r="C76" s="34" t="str">
        <x:f>IF($A76="","",'91_CALC_SCORES'!K76)</x:f>
      </x:c>
      <x:c r="D76" s="57" t="str">
        <x:f>IF(OR($A76="",NOT(OR(LEFT('91_CALC_SCORES'!AB76,4)="PASS",LEFT('91_CALC_SCORES'!AB76,5)="READY"))),"",'91_CALC_SCORES'!Y76)</x:f>
      </x:c>
      <x:c r="E76" s="34" t="str">
        <x:f>IF(COUNT(D76)=0,"",1+SUM(AN76:AO76)-1/2)</x:f>
      </x:c>
      <x:c r="F76" s="34" t="str">
        <x:f>IF($A76="","",'91_CALC_SCORES'!AB76)</x:f>
      </x:c>
      <x:c r="G76" s="34" t="str">
        <x:f>IF(A76="","","연구 베타 | 기업 백분위 아님")</x:f>
      </x:c>
      <x:c r="AN76" s="34" t="str">
        <x:f>IF(COUNT($D76)=0,"",SUM(IF(AND(EXACT($C$7,$C76),ISNUMBER($D$7)),($D$7&gt;$D76)+($D$7=$D76)/2,0),IF(AND(EXACT($C$8,$C76),ISNUMBER($D$8)),($D$8&gt;$D76)+($D$8=$D76)/2,0),IF(AND(EXACT($C$9,$C76),ISNUMBER($D$9)),($D$9&gt;$D76)+($D$9=$D76)/2,0),IF(AND(EXACT($C$10,$C76),ISNUMBER($D$10)),($D$10&gt;$D76)+($D$10=$D76)/2,0),IF(AND(EXACT($C$11,$C76),ISNUMBER($D$11)),($D$11&gt;$D76)+($D$11=$D76)/2,0),IF(AND(EXACT($C$12,$C76),ISNUMBER($D$12)),($D$12&gt;$D76)+($D$12=$D76)/2,0),IF(AND(EXACT($C$13,$C76),ISNUMBER($D$13)),($D$13&gt;$D76)+($D$13=$D76)/2,0),IF(AND(EXACT($C$14,$C76),ISNUMBER($D$14)),($D$14&gt;$D76)+($D$14=$D76)/2,0),IF(AND(EXACT($C$15,$C76),ISNUMBER($D$15)),($D$15&gt;$D76)+($D$15=$D76)/2,0),IF(AND(EXACT($C$16,$C76),ISNUMBER($D$16)),($D$16&gt;$D76)+($D$16=$D76)/2,0),IF(AND(EXACT($C$17,$C76),ISNUMBER($D$17)),($D$17&gt;$D76)+($D$17=$D76)/2,0),IF(AND(EXACT($C$18,$C76),ISNUMBER($D$18)),($D$18&gt;$D76)+($D$18=$D76)/2,0),IF(AND(EXACT($C$19,$C76),ISNUMBER($D$19)),($D$19&gt;$D76)+($D$19=$D76)/2,0),IF(AND(EXACT($C$20,$C76),ISNUMBER($D$20)),($D$20&gt;$D76)+($D$20=$D76)/2,0),IF(AND(EXACT($C$21,$C76),ISNUMBER($D$21)),($D$21&gt;$D76)+($D$21=$D76)/2,0),IF(AND(EXACT($C$22,$C76),ISNUMBER($D$22)),($D$22&gt;$D76)+($D$22=$D76)/2,0),IF(AND(EXACT($C$23,$C76),ISNUMBER($D$23)),($D$23&gt;$D76)+($D$23=$D76)/2,0),IF(AND(EXACT($C$24,$C76),ISNUMBER($D$24)),($D$24&gt;$D76)+($D$24=$D76)/2,0),IF(AND(EXACT($C$25,$C76),ISNUMBER($D$25)),($D$25&gt;$D76)+($D$25=$D76)/2,0),IF(AND(EXACT($C$26,$C76),ISNUMBER($D$26)),($D$26&gt;$D76)+($D$26=$D76)/2,0),IF(AND(EXACT($C$27,$C76),ISNUMBER($D$27)),($D$27&gt;$D76)+($D$27=$D76)/2,0),IF(AND(EXACT($C$28,$C76),ISNUMBER($D$28)),($D$28&gt;$D76)+($D$28=$D76)/2,0),IF(AND(EXACT($C$29,$C76),ISNUMBER($D$29)),($D$29&gt;$D76)+($D$29=$D76)/2,0),IF(AND(EXACT($C$30,$C76),ISNUMBER($D$30)),($D$30&gt;$D76)+($D$30=$D76)/2,0),IF(AND(EXACT($C$31,$C76),ISNUMBER($D$31)),($D$31&gt;$D76)+($D$31=$D76)/2,0),IF(AND(EXACT($C$32,$C76),ISNUMBER($D$32)),($D$32&gt;$D76)+($D$32=$D76)/2,0),IF(AND(EXACT($C$33,$C76),ISNUMBER($D$33)),($D$33&gt;$D76)+($D$33=$D76)/2,0),IF(AND(EXACT($C$34,$C76),ISNUMBER($D$34)),($D$34&gt;$D76)+($D$34=$D76)/2,0),IF(AND(EXACT($C$35,$C76),ISNUMBER($D$35)),($D$35&gt;$D76)+($D$35=$D76)/2,0),IF(AND(EXACT($C$36,$C76),ISNUMBER($D$36)),($D$36&gt;$D76)+($D$36=$D76)/2,0),IF(AND(EXACT($C$37,$C76),ISNUMBER($D$37)),($D$37&gt;$D76)+($D$37=$D76)/2,0),IF(AND(EXACT($C$38,$C76),ISNUMBER($D$38)),($D$38&gt;$D76)+($D$38=$D76)/2,0),IF(AND(EXACT($C$39,$C76),ISNUMBER($D$39)),($D$39&gt;$D76)+($D$39=$D76)/2,0),IF(AND(EXACT($C$40,$C76),ISNUMBER($D$40)),($D$40&gt;$D76)+($D$40=$D76)/2,0),IF(AND(EXACT($C$41,$C76),ISNUMBER($D$41)),($D$41&gt;$D76)+($D$41=$D76)/2,0),IF(AND(EXACT($C$42,$C76),ISNUMBER($D$42)),($D$42&gt;$D76)+($D$42=$D76)/2,0),IF(AND(EXACT($C$43,$C76),ISNUMBER($D$43)),($D$43&gt;$D76)+($D$43=$D76)/2,0),IF(AND(EXACT($C$44,$C76),ISNUMBER($D$44)),($D$44&gt;$D76)+($D$44=$D76)/2,0),IF(AND(EXACT($C$45,$C76),ISNUMBER($D$45)),($D$45&gt;$D76)+($D$45=$D76)/2,0),IF(AND(EXACT($C$46,$C76),ISNUMBER($D$46)),($D$46&gt;$D76)+($D$46=$D76)/2,0),IF(AND(EXACT($C$47,$C76),ISNUMBER($D$47)),($D$47&gt;$D76)+($D$47=$D76)/2,0),IF(AND(EXACT($C$48,$C76),ISNUMBER($D$48)),($D$48&gt;$D76)+($D$48=$D76)/2,0),IF(AND(EXACT($C$49,$C76),ISNUMBER($D$49)),($D$49&gt;$D76)+($D$49=$D76)/2,0),IF(AND(EXACT($C$50,$C76),ISNUMBER($D$50)),($D$50&gt;$D76)+($D$50=$D76)/2,0),IF(AND(EXACT($C$51,$C76),ISNUMBER($D$51)),($D$51&gt;$D76)+($D$51=$D76)/2,0),IF(AND(EXACT($C$52,$C76),ISNUMBER($D$52)),($D$52&gt;$D76)+($D$52=$D76)/2,0),IF(AND(EXACT($C$53,$C76),ISNUMBER($D$53)),($D$53&gt;$D76)+($D$53=$D76)/2,0),IF(AND(EXACT($C$54,$C76),ISNUMBER($D$54)),($D$54&gt;$D76)+($D$54=$D76)/2,0),IF(AND(EXACT($C$55,$C76),ISNUMBER($D$55)),($D$55&gt;$D76)+($D$55=$D76)/2,0),IF(AND(EXACT($C$56,$C76),ISNUMBER($D$56)),($D$56&gt;$D76)+($D$56=$D76)/2,0)))</x:f>
      </x:c>
      <x:c r="AO76" s="34" t="str">
        <x:f>IF(COUNT($D76)=0,"",SUM(IF(AND(EXACT($C$57,$C76),ISNUMBER($D$57)),($D$57&gt;$D76)+($D$57=$D76)/2,0),IF(AND(EXACT($C$58,$C76),ISNUMBER($D$58)),($D$58&gt;$D76)+($D$58=$D76)/2,0),IF(AND(EXACT($C$59,$C76),ISNUMBER($D$59)),($D$59&gt;$D76)+($D$59=$D76)/2,0),IF(AND(EXACT($C$60,$C76),ISNUMBER($D$60)),($D$60&gt;$D76)+($D$60=$D76)/2,0),IF(AND(EXACT($C$61,$C76),ISNUMBER($D$61)),($D$61&gt;$D76)+($D$61=$D76)/2,0),IF(AND(EXACT($C$62,$C76),ISNUMBER($D$62)),($D$62&gt;$D76)+($D$62=$D76)/2,0),IF(AND(EXACT($C$63,$C76),ISNUMBER($D$63)),($D$63&gt;$D76)+($D$63=$D76)/2,0),IF(AND(EXACT($C$64,$C76),ISNUMBER($D$64)),($D$64&gt;$D76)+($D$64=$D76)/2,0),IF(AND(EXACT($C$65,$C76),ISNUMBER($D$65)),($D$65&gt;$D76)+($D$65=$D76)/2,0),IF(AND(EXACT($C$66,$C76),ISNUMBER($D$66)),($D$66&gt;$D76)+($D$66=$D76)/2,0),IF(AND(EXACT($C$67,$C76),ISNUMBER($D$67)),($D$67&gt;$D76)+($D$67=$D76)/2,0),IF(AND(EXACT($C$68,$C76),ISNUMBER($D$68)),($D$68&gt;$D76)+($D$68=$D76)/2,0),IF(AND(EXACT($C$69,$C76),ISNUMBER($D$69)),($D$69&gt;$D76)+($D$69=$D76)/2,0),IF(AND(EXACT($C$70,$C76),ISNUMBER($D$70)),($D$70&gt;$D76)+($D$70=$D76)/2,0),IF(AND(EXACT($C$71,$C76),ISNUMBER($D$71)),($D$71&gt;$D76)+($D$71=$D76)/2,0),IF(AND(EXACT($C$72,$C76),ISNUMBER($D$72)),($D$72&gt;$D76)+($D$72=$D76)/2,0),IF(AND(EXACT($C$73,$C76),ISNUMBER($D$73)),($D$73&gt;$D76)+($D$73=$D76)/2,0),IF(AND(EXACT($C$74,$C76),ISNUMBER($D$74)),($D$74&gt;$D76)+($D$74=$D76)/2,0),IF(AND(EXACT($C$75,$C76),ISNUMBER($D$75)),($D$75&gt;$D76)+($D$75=$D76)/2,0),IF(AND(EXACT($C$76,$C76),ISNUMBER($D$76)),($D$76&gt;$D76)+($D$76=$D76)/2,0),IF(AND(EXACT($C$77,$C76),ISNUMBER($D$77)),($D$77&gt;$D76)+($D$77=$D76)/2,0),IF(AND(EXACT($C$78,$C76),ISNUMBER($D$78)),($D$78&gt;$D76)+($D$78=$D76)/2,0),IF(AND(EXACT($C$79,$C76),ISNUMBER($D$79)),($D$79&gt;$D76)+($D$79=$D76)/2,0),IF(AND(EXACT($C$80,$C76),ISNUMBER($D$80)),($D$80&gt;$D76)+($D$80=$D76)/2,0),IF(AND(EXACT($C$81,$C76),ISNUMBER($D$81)),($D$81&gt;$D76)+($D$81=$D76)/2,0),IF(AND(EXACT($C$82,$C76),ISNUMBER($D$82)),($D$82&gt;$D76)+($D$82=$D76)/2,0),IF(AND(EXACT($C$83,$C76),ISNUMBER($D$83)),($D$83&gt;$D76)+($D$83=$D76)/2,0),IF(AND(EXACT($C$84,$C76),ISNUMBER($D$84)),($D$84&gt;$D76)+($D$84=$D76)/2,0),IF(AND(EXACT($C$85,$C76),ISNUMBER($D$85)),($D$85&gt;$D76)+($D$85=$D76)/2,0),IF(AND(EXACT($C$86,$C76),ISNUMBER($D$86)),($D$86&gt;$D76)+($D$86=$D76)/2,0),IF(AND(EXACT($C$87,$C76),ISNUMBER($D$87)),($D$87&gt;$D76)+($D$87=$D76)/2,0),IF(AND(EXACT($C$88,$C76),ISNUMBER($D$88)),($D$88&gt;$D76)+($D$88=$D76)/2,0),IF(AND(EXACT($C$89,$C76),ISNUMBER($D$89)),($D$89&gt;$D76)+($D$89=$D76)/2,0),IF(AND(EXACT($C$90,$C76),ISNUMBER($D$90)),($D$90&gt;$D76)+($D$90=$D76)/2,0),IF(AND(EXACT($C$91,$C76),ISNUMBER($D$91)),($D$91&gt;$D76)+($D$91=$D76)/2,0),IF(AND(EXACT($C$92,$C76),ISNUMBER($D$92)),($D$92&gt;$D76)+($D$92=$D76)/2,0),IF(AND(EXACT($C$93,$C76),ISNUMBER($D$93)),($D$93&gt;$D76)+($D$93=$D76)/2,0),IF(AND(EXACT($C$94,$C76),ISNUMBER($D$94)),($D$94&gt;$D76)+($D$94=$D76)/2,0),IF(AND(EXACT($C$95,$C76),ISNUMBER($D$95)),($D$95&gt;$D76)+($D$95=$D76)/2,0),IF(AND(EXACT($C$96,$C76),ISNUMBER($D$96)),($D$96&gt;$D76)+($D$96=$D76)/2,0),IF(AND(EXACT($C$97,$C76),ISNUMBER($D$97)),($D$97&gt;$D76)+($D$97=$D76)/2,0),IF(AND(EXACT($C$98,$C76),ISNUMBER($D$98)),($D$98&gt;$D76)+($D$98=$D76)/2,0),IF(AND(EXACT($C$99,$C76),ISNUMBER($D$99)),($D$99&gt;$D76)+($D$99=$D76)/2,0),IF(AND(EXACT($C$100,$C76),ISNUMBER($D$100)),($D$100&gt;$D76)+($D$100=$D76)/2,0),IF(AND(EXACT($C$101,$C76),ISNUMBER($D$101)),($D$101&gt;$D76)+($D$101=$D76)/2,0),IF(AND(EXACT($C$102,$C76),ISNUMBER($D$102)),($D$102&gt;$D76)+($D$102=$D76)/2,0),IF(AND(EXACT($C$103,$C76),ISNUMBER($D$103)),($D$103&gt;$D76)+($D$103=$D76)/2,0),IF(AND(EXACT($C$104,$C76),ISNUMBER($D$104)),($D$104&gt;$D76)+($D$104=$D76)/2,0),IF(AND(EXACT($C$105,$C76),ISNUMBER($D$105)),($D$105&gt;$D76)+($D$105=$D76)/2,0),IF(AND(EXACT($C$106,$C76),ISNUMBER($D$106)),($D$106&gt;$D76)+($D$106=$D76)/2,0)))</x:f>
      </x:c>
    </x:row>
    <x:row r="77">
      <x:c r="A77" s="34" t="str">
        <x:f>IF('91_CALC_SCORES'!A77="","",'91_CALC_SCORES'!A77)</x:f>
      </x:c>
      <x:c r="B77" s="34" t="str">
        <x:f>IF($A77="","",'91_CALC_SCORES'!B77)</x:f>
      </x:c>
      <x:c r="C77" s="34" t="str">
        <x:f>IF($A77="","",'91_CALC_SCORES'!K77)</x:f>
      </x:c>
      <x:c r="D77" s="57" t="str">
        <x:f>IF(OR($A77="",NOT(OR(LEFT('91_CALC_SCORES'!AB77,4)="PASS",LEFT('91_CALC_SCORES'!AB77,5)="READY"))),"",'91_CALC_SCORES'!Y77)</x:f>
      </x:c>
      <x:c r="E77" s="34" t="str">
        <x:f>IF(COUNT(D77)=0,"",1+SUM(AN77:AO77)-1/2)</x:f>
      </x:c>
      <x:c r="F77" s="34" t="str">
        <x:f>IF($A77="","",'91_CALC_SCORES'!AB77)</x:f>
      </x:c>
      <x:c r="G77" s="34" t="str">
        <x:f>IF(A77="","","연구 베타 | 기업 백분위 아님")</x:f>
      </x:c>
      <x:c r="AN77" s="34" t="str">
        <x:f>IF(COUNT($D77)=0,"",SUM(IF(AND(EXACT($C$7,$C77),ISNUMBER($D$7)),($D$7&gt;$D77)+($D$7=$D77)/2,0),IF(AND(EXACT($C$8,$C77),ISNUMBER($D$8)),($D$8&gt;$D77)+($D$8=$D77)/2,0),IF(AND(EXACT($C$9,$C77),ISNUMBER($D$9)),($D$9&gt;$D77)+($D$9=$D77)/2,0),IF(AND(EXACT($C$10,$C77),ISNUMBER($D$10)),($D$10&gt;$D77)+($D$10=$D77)/2,0),IF(AND(EXACT($C$11,$C77),ISNUMBER($D$11)),($D$11&gt;$D77)+($D$11=$D77)/2,0),IF(AND(EXACT($C$12,$C77),ISNUMBER($D$12)),($D$12&gt;$D77)+($D$12=$D77)/2,0),IF(AND(EXACT($C$13,$C77),ISNUMBER($D$13)),($D$13&gt;$D77)+($D$13=$D77)/2,0),IF(AND(EXACT($C$14,$C77),ISNUMBER($D$14)),($D$14&gt;$D77)+($D$14=$D77)/2,0),IF(AND(EXACT($C$15,$C77),ISNUMBER($D$15)),($D$15&gt;$D77)+($D$15=$D77)/2,0),IF(AND(EXACT($C$16,$C77),ISNUMBER($D$16)),($D$16&gt;$D77)+($D$16=$D77)/2,0),IF(AND(EXACT($C$17,$C77),ISNUMBER($D$17)),($D$17&gt;$D77)+($D$17=$D77)/2,0),IF(AND(EXACT($C$18,$C77),ISNUMBER($D$18)),($D$18&gt;$D77)+($D$18=$D77)/2,0),IF(AND(EXACT($C$19,$C77),ISNUMBER($D$19)),($D$19&gt;$D77)+($D$19=$D77)/2,0),IF(AND(EXACT($C$20,$C77),ISNUMBER($D$20)),($D$20&gt;$D77)+($D$20=$D77)/2,0),IF(AND(EXACT($C$21,$C77),ISNUMBER($D$21)),($D$21&gt;$D77)+($D$21=$D77)/2,0),IF(AND(EXACT($C$22,$C77),ISNUMBER($D$22)),($D$22&gt;$D77)+($D$22=$D77)/2,0),IF(AND(EXACT($C$23,$C77),ISNUMBER($D$23)),($D$23&gt;$D77)+($D$23=$D77)/2,0),IF(AND(EXACT($C$24,$C77),ISNUMBER($D$24)),($D$24&gt;$D77)+($D$24=$D77)/2,0),IF(AND(EXACT($C$25,$C77),ISNUMBER($D$25)),($D$25&gt;$D77)+($D$25=$D77)/2,0),IF(AND(EXACT($C$26,$C77),ISNUMBER($D$26)),($D$26&gt;$D77)+($D$26=$D77)/2,0),IF(AND(EXACT($C$27,$C77),ISNUMBER($D$27)),($D$27&gt;$D77)+($D$27=$D77)/2,0),IF(AND(EXACT($C$28,$C77),ISNUMBER($D$28)),($D$28&gt;$D77)+($D$28=$D77)/2,0),IF(AND(EXACT($C$29,$C77),ISNUMBER($D$29)),($D$29&gt;$D77)+($D$29=$D77)/2,0),IF(AND(EXACT($C$30,$C77),ISNUMBER($D$30)),($D$30&gt;$D77)+($D$30=$D77)/2,0),IF(AND(EXACT($C$31,$C77),ISNUMBER($D$31)),($D$31&gt;$D77)+($D$31=$D77)/2,0),IF(AND(EXACT($C$32,$C77),ISNUMBER($D$32)),($D$32&gt;$D77)+($D$32=$D77)/2,0),IF(AND(EXACT($C$33,$C77),ISNUMBER($D$33)),($D$33&gt;$D77)+($D$33=$D77)/2,0),IF(AND(EXACT($C$34,$C77),ISNUMBER($D$34)),($D$34&gt;$D77)+($D$34=$D77)/2,0),IF(AND(EXACT($C$35,$C77),ISNUMBER($D$35)),($D$35&gt;$D77)+($D$35=$D77)/2,0),IF(AND(EXACT($C$36,$C77),ISNUMBER($D$36)),($D$36&gt;$D77)+($D$36=$D77)/2,0),IF(AND(EXACT($C$37,$C77),ISNUMBER($D$37)),($D$37&gt;$D77)+($D$37=$D77)/2,0),IF(AND(EXACT($C$38,$C77),ISNUMBER($D$38)),($D$38&gt;$D77)+($D$38=$D77)/2,0),IF(AND(EXACT($C$39,$C77),ISNUMBER($D$39)),($D$39&gt;$D77)+($D$39=$D77)/2,0),IF(AND(EXACT($C$40,$C77),ISNUMBER($D$40)),($D$40&gt;$D77)+($D$40=$D77)/2,0),IF(AND(EXACT($C$41,$C77),ISNUMBER($D$41)),($D$41&gt;$D77)+($D$41=$D77)/2,0),IF(AND(EXACT($C$42,$C77),ISNUMBER($D$42)),($D$42&gt;$D77)+($D$42=$D77)/2,0),IF(AND(EXACT($C$43,$C77),ISNUMBER($D$43)),($D$43&gt;$D77)+($D$43=$D77)/2,0),IF(AND(EXACT($C$44,$C77),ISNUMBER($D$44)),($D$44&gt;$D77)+($D$44=$D77)/2,0),IF(AND(EXACT($C$45,$C77),ISNUMBER($D$45)),($D$45&gt;$D77)+($D$45=$D77)/2,0),IF(AND(EXACT($C$46,$C77),ISNUMBER($D$46)),($D$46&gt;$D77)+($D$46=$D77)/2,0),IF(AND(EXACT($C$47,$C77),ISNUMBER($D$47)),($D$47&gt;$D77)+($D$47=$D77)/2,0),IF(AND(EXACT($C$48,$C77),ISNUMBER($D$48)),($D$48&gt;$D77)+($D$48=$D77)/2,0),IF(AND(EXACT($C$49,$C77),ISNUMBER($D$49)),($D$49&gt;$D77)+($D$49=$D77)/2,0),IF(AND(EXACT($C$50,$C77),ISNUMBER($D$50)),($D$50&gt;$D77)+($D$50=$D77)/2,0),IF(AND(EXACT($C$51,$C77),ISNUMBER($D$51)),($D$51&gt;$D77)+($D$51=$D77)/2,0),IF(AND(EXACT($C$52,$C77),ISNUMBER($D$52)),($D$52&gt;$D77)+($D$52=$D77)/2,0),IF(AND(EXACT($C$53,$C77),ISNUMBER($D$53)),($D$53&gt;$D77)+($D$53=$D77)/2,0),IF(AND(EXACT($C$54,$C77),ISNUMBER($D$54)),($D$54&gt;$D77)+($D$54=$D77)/2,0),IF(AND(EXACT($C$55,$C77),ISNUMBER($D$55)),($D$55&gt;$D77)+($D$55=$D77)/2,0),IF(AND(EXACT($C$56,$C77),ISNUMBER($D$56)),($D$56&gt;$D77)+($D$56=$D77)/2,0)))</x:f>
      </x:c>
      <x:c r="AO77" s="34" t="str">
        <x:f>IF(COUNT($D77)=0,"",SUM(IF(AND(EXACT($C$57,$C77),ISNUMBER($D$57)),($D$57&gt;$D77)+($D$57=$D77)/2,0),IF(AND(EXACT($C$58,$C77),ISNUMBER($D$58)),($D$58&gt;$D77)+($D$58=$D77)/2,0),IF(AND(EXACT($C$59,$C77),ISNUMBER($D$59)),($D$59&gt;$D77)+($D$59=$D77)/2,0),IF(AND(EXACT($C$60,$C77),ISNUMBER($D$60)),($D$60&gt;$D77)+($D$60=$D77)/2,0),IF(AND(EXACT($C$61,$C77),ISNUMBER($D$61)),($D$61&gt;$D77)+($D$61=$D77)/2,0),IF(AND(EXACT($C$62,$C77),ISNUMBER($D$62)),($D$62&gt;$D77)+($D$62=$D77)/2,0),IF(AND(EXACT($C$63,$C77),ISNUMBER($D$63)),($D$63&gt;$D77)+($D$63=$D77)/2,0),IF(AND(EXACT($C$64,$C77),ISNUMBER($D$64)),($D$64&gt;$D77)+($D$64=$D77)/2,0),IF(AND(EXACT($C$65,$C77),ISNUMBER($D$65)),($D$65&gt;$D77)+($D$65=$D77)/2,0),IF(AND(EXACT($C$66,$C77),ISNUMBER($D$66)),($D$66&gt;$D77)+($D$66=$D77)/2,0),IF(AND(EXACT($C$67,$C77),ISNUMBER($D$67)),($D$67&gt;$D77)+($D$67=$D77)/2,0),IF(AND(EXACT($C$68,$C77),ISNUMBER($D$68)),($D$68&gt;$D77)+($D$68=$D77)/2,0),IF(AND(EXACT($C$69,$C77),ISNUMBER($D$69)),($D$69&gt;$D77)+($D$69=$D77)/2,0),IF(AND(EXACT($C$70,$C77),ISNUMBER($D$70)),($D$70&gt;$D77)+($D$70=$D77)/2,0),IF(AND(EXACT($C$71,$C77),ISNUMBER($D$71)),($D$71&gt;$D77)+($D$71=$D77)/2,0),IF(AND(EXACT($C$72,$C77),ISNUMBER($D$72)),($D$72&gt;$D77)+($D$72=$D77)/2,0),IF(AND(EXACT($C$73,$C77),ISNUMBER($D$73)),($D$73&gt;$D77)+($D$73=$D77)/2,0),IF(AND(EXACT($C$74,$C77),ISNUMBER($D$74)),($D$74&gt;$D77)+($D$74=$D77)/2,0),IF(AND(EXACT($C$75,$C77),ISNUMBER($D$75)),($D$75&gt;$D77)+($D$75=$D77)/2,0),IF(AND(EXACT($C$76,$C77),ISNUMBER($D$76)),($D$76&gt;$D77)+($D$76=$D77)/2,0),IF(AND(EXACT($C$77,$C77),ISNUMBER($D$77)),($D$77&gt;$D77)+($D$77=$D77)/2,0),IF(AND(EXACT($C$78,$C77),ISNUMBER($D$78)),($D$78&gt;$D77)+($D$78=$D77)/2,0),IF(AND(EXACT($C$79,$C77),ISNUMBER($D$79)),($D$79&gt;$D77)+($D$79=$D77)/2,0),IF(AND(EXACT($C$80,$C77),ISNUMBER($D$80)),($D$80&gt;$D77)+($D$80=$D77)/2,0),IF(AND(EXACT($C$81,$C77),ISNUMBER($D$81)),($D$81&gt;$D77)+($D$81=$D77)/2,0),IF(AND(EXACT($C$82,$C77),ISNUMBER($D$82)),($D$82&gt;$D77)+($D$82=$D77)/2,0),IF(AND(EXACT($C$83,$C77),ISNUMBER($D$83)),($D$83&gt;$D77)+($D$83=$D77)/2,0),IF(AND(EXACT($C$84,$C77),ISNUMBER($D$84)),($D$84&gt;$D77)+($D$84=$D77)/2,0),IF(AND(EXACT($C$85,$C77),ISNUMBER($D$85)),($D$85&gt;$D77)+($D$85=$D77)/2,0),IF(AND(EXACT($C$86,$C77),ISNUMBER($D$86)),($D$86&gt;$D77)+($D$86=$D77)/2,0),IF(AND(EXACT($C$87,$C77),ISNUMBER($D$87)),($D$87&gt;$D77)+($D$87=$D77)/2,0),IF(AND(EXACT($C$88,$C77),ISNUMBER($D$88)),($D$88&gt;$D77)+($D$88=$D77)/2,0),IF(AND(EXACT($C$89,$C77),ISNUMBER($D$89)),($D$89&gt;$D77)+($D$89=$D77)/2,0),IF(AND(EXACT($C$90,$C77),ISNUMBER($D$90)),($D$90&gt;$D77)+($D$90=$D77)/2,0),IF(AND(EXACT($C$91,$C77),ISNUMBER($D$91)),($D$91&gt;$D77)+($D$91=$D77)/2,0),IF(AND(EXACT($C$92,$C77),ISNUMBER($D$92)),($D$92&gt;$D77)+($D$92=$D77)/2,0),IF(AND(EXACT($C$93,$C77),ISNUMBER($D$93)),($D$93&gt;$D77)+($D$93=$D77)/2,0),IF(AND(EXACT($C$94,$C77),ISNUMBER($D$94)),($D$94&gt;$D77)+($D$94=$D77)/2,0),IF(AND(EXACT($C$95,$C77),ISNUMBER($D$95)),($D$95&gt;$D77)+($D$95=$D77)/2,0),IF(AND(EXACT($C$96,$C77),ISNUMBER($D$96)),($D$96&gt;$D77)+($D$96=$D77)/2,0),IF(AND(EXACT($C$97,$C77),ISNUMBER($D$97)),($D$97&gt;$D77)+($D$97=$D77)/2,0),IF(AND(EXACT($C$98,$C77),ISNUMBER($D$98)),($D$98&gt;$D77)+($D$98=$D77)/2,0),IF(AND(EXACT($C$99,$C77),ISNUMBER($D$99)),($D$99&gt;$D77)+($D$99=$D77)/2,0),IF(AND(EXACT($C$100,$C77),ISNUMBER($D$100)),($D$100&gt;$D77)+($D$100=$D77)/2,0),IF(AND(EXACT($C$101,$C77),ISNUMBER($D$101)),($D$101&gt;$D77)+($D$101=$D77)/2,0),IF(AND(EXACT($C$102,$C77),ISNUMBER($D$102)),($D$102&gt;$D77)+($D$102=$D77)/2,0),IF(AND(EXACT($C$103,$C77),ISNUMBER($D$103)),($D$103&gt;$D77)+($D$103=$D77)/2,0),IF(AND(EXACT($C$104,$C77),ISNUMBER($D$104)),($D$104&gt;$D77)+($D$104=$D77)/2,0),IF(AND(EXACT($C$105,$C77),ISNUMBER($D$105)),($D$105&gt;$D77)+($D$105=$D77)/2,0),IF(AND(EXACT($C$106,$C77),ISNUMBER($D$106)),($D$106&gt;$D77)+($D$106=$D77)/2,0)))</x:f>
      </x:c>
    </x:row>
    <x:row r="78">
      <x:c r="A78" s="34" t="str">
        <x:f>IF('91_CALC_SCORES'!A78="","",'91_CALC_SCORES'!A78)</x:f>
      </x:c>
      <x:c r="B78" s="34" t="str">
        <x:f>IF($A78="","",'91_CALC_SCORES'!B78)</x:f>
      </x:c>
      <x:c r="C78" s="34" t="str">
        <x:f>IF($A78="","",'91_CALC_SCORES'!K78)</x:f>
      </x:c>
      <x:c r="D78" s="57" t="str">
        <x:f>IF(OR($A78="",NOT(OR(LEFT('91_CALC_SCORES'!AB78,4)="PASS",LEFT('91_CALC_SCORES'!AB78,5)="READY"))),"",'91_CALC_SCORES'!Y78)</x:f>
      </x:c>
      <x:c r="E78" s="34" t="str">
        <x:f>IF(COUNT(D78)=0,"",1+SUM(AN78:AO78)-1/2)</x:f>
      </x:c>
      <x:c r="F78" s="34" t="str">
        <x:f>IF($A78="","",'91_CALC_SCORES'!AB78)</x:f>
      </x:c>
      <x:c r="G78" s="34" t="str">
        <x:f>IF(A78="","","연구 베타 | 기업 백분위 아님")</x:f>
      </x:c>
      <x:c r="AN78" s="34" t="str">
        <x:f>IF(COUNT($D78)=0,"",SUM(IF(AND(EXACT($C$7,$C78),ISNUMBER($D$7)),($D$7&gt;$D78)+($D$7=$D78)/2,0),IF(AND(EXACT($C$8,$C78),ISNUMBER($D$8)),($D$8&gt;$D78)+($D$8=$D78)/2,0),IF(AND(EXACT($C$9,$C78),ISNUMBER($D$9)),($D$9&gt;$D78)+($D$9=$D78)/2,0),IF(AND(EXACT($C$10,$C78),ISNUMBER($D$10)),($D$10&gt;$D78)+($D$10=$D78)/2,0),IF(AND(EXACT($C$11,$C78),ISNUMBER($D$11)),($D$11&gt;$D78)+($D$11=$D78)/2,0),IF(AND(EXACT($C$12,$C78),ISNUMBER($D$12)),($D$12&gt;$D78)+($D$12=$D78)/2,0),IF(AND(EXACT($C$13,$C78),ISNUMBER($D$13)),($D$13&gt;$D78)+($D$13=$D78)/2,0),IF(AND(EXACT($C$14,$C78),ISNUMBER($D$14)),($D$14&gt;$D78)+($D$14=$D78)/2,0),IF(AND(EXACT($C$15,$C78),ISNUMBER($D$15)),($D$15&gt;$D78)+($D$15=$D78)/2,0),IF(AND(EXACT($C$16,$C78),ISNUMBER($D$16)),($D$16&gt;$D78)+($D$16=$D78)/2,0),IF(AND(EXACT($C$17,$C78),ISNUMBER($D$17)),($D$17&gt;$D78)+($D$17=$D78)/2,0),IF(AND(EXACT($C$18,$C78),ISNUMBER($D$18)),($D$18&gt;$D78)+($D$18=$D78)/2,0),IF(AND(EXACT($C$19,$C78),ISNUMBER($D$19)),($D$19&gt;$D78)+($D$19=$D78)/2,0),IF(AND(EXACT($C$20,$C78),ISNUMBER($D$20)),($D$20&gt;$D78)+($D$20=$D78)/2,0),IF(AND(EXACT($C$21,$C78),ISNUMBER($D$21)),($D$21&gt;$D78)+($D$21=$D78)/2,0),IF(AND(EXACT($C$22,$C78),ISNUMBER($D$22)),($D$22&gt;$D78)+($D$22=$D78)/2,0),IF(AND(EXACT($C$23,$C78),ISNUMBER($D$23)),($D$23&gt;$D78)+($D$23=$D78)/2,0),IF(AND(EXACT($C$24,$C78),ISNUMBER($D$24)),($D$24&gt;$D78)+($D$24=$D78)/2,0),IF(AND(EXACT($C$25,$C78),ISNUMBER($D$25)),($D$25&gt;$D78)+($D$25=$D78)/2,0),IF(AND(EXACT($C$26,$C78),ISNUMBER($D$26)),($D$26&gt;$D78)+($D$26=$D78)/2,0),IF(AND(EXACT($C$27,$C78),ISNUMBER($D$27)),($D$27&gt;$D78)+($D$27=$D78)/2,0),IF(AND(EXACT($C$28,$C78),ISNUMBER($D$28)),($D$28&gt;$D78)+($D$28=$D78)/2,0),IF(AND(EXACT($C$29,$C78),ISNUMBER($D$29)),($D$29&gt;$D78)+($D$29=$D78)/2,0),IF(AND(EXACT($C$30,$C78),ISNUMBER($D$30)),($D$30&gt;$D78)+($D$30=$D78)/2,0),IF(AND(EXACT($C$31,$C78),ISNUMBER($D$31)),($D$31&gt;$D78)+($D$31=$D78)/2,0),IF(AND(EXACT($C$32,$C78),ISNUMBER($D$32)),($D$32&gt;$D78)+($D$32=$D78)/2,0),IF(AND(EXACT($C$33,$C78),ISNUMBER($D$33)),($D$33&gt;$D78)+($D$33=$D78)/2,0),IF(AND(EXACT($C$34,$C78),ISNUMBER($D$34)),($D$34&gt;$D78)+($D$34=$D78)/2,0),IF(AND(EXACT($C$35,$C78),ISNUMBER($D$35)),($D$35&gt;$D78)+($D$35=$D78)/2,0),IF(AND(EXACT($C$36,$C78),ISNUMBER($D$36)),($D$36&gt;$D78)+($D$36=$D78)/2,0),IF(AND(EXACT($C$37,$C78),ISNUMBER($D$37)),($D$37&gt;$D78)+($D$37=$D78)/2,0),IF(AND(EXACT($C$38,$C78),ISNUMBER($D$38)),($D$38&gt;$D78)+($D$38=$D78)/2,0),IF(AND(EXACT($C$39,$C78),ISNUMBER($D$39)),($D$39&gt;$D78)+($D$39=$D78)/2,0),IF(AND(EXACT($C$40,$C78),ISNUMBER($D$40)),($D$40&gt;$D78)+($D$40=$D78)/2,0),IF(AND(EXACT($C$41,$C78),ISNUMBER($D$41)),($D$41&gt;$D78)+($D$41=$D78)/2,0),IF(AND(EXACT($C$42,$C78),ISNUMBER($D$42)),($D$42&gt;$D78)+($D$42=$D78)/2,0),IF(AND(EXACT($C$43,$C78),ISNUMBER($D$43)),($D$43&gt;$D78)+($D$43=$D78)/2,0),IF(AND(EXACT($C$44,$C78),ISNUMBER($D$44)),($D$44&gt;$D78)+($D$44=$D78)/2,0),IF(AND(EXACT($C$45,$C78),ISNUMBER($D$45)),($D$45&gt;$D78)+($D$45=$D78)/2,0),IF(AND(EXACT($C$46,$C78),ISNUMBER($D$46)),($D$46&gt;$D78)+($D$46=$D78)/2,0),IF(AND(EXACT($C$47,$C78),ISNUMBER($D$47)),($D$47&gt;$D78)+($D$47=$D78)/2,0),IF(AND(EXACT($C$48,$C78),ISNUMBER($D$48)),($D$48&gt;$D78)+($D$48=$D78)/2,0),IF(AND(EXACT($C$49,$C78),ISNUMBER($D$49)),($D$49&gt;$D78)+($D$49=$D78)/2,0),IF(AND(EXACT($C$50,$C78),ISNUMBER($D$50)),($D$50&gt;$D78)+($D$50=$D78)/2,0),IF(AND(EXACT($C$51,$C78),ISNUMBER($D$51)),($D$51&gt;$D78)+($D$51=$D78)/2,0),IF(AND(EXACT($C$52,$C78),ISNUMBER($D$52)),($D$52&gt;$D78)+($D$52=$D78)/2,0),IF(AND(EXACT($C$53,$C78),ISNUMBER($D$53)),($D$53&gt;$D78)+($D$53=$D78)/2,0),IF(AND(EXACT($C$54,$C78),ISNUMBER($D$54)),($D$54&gt;$D78)+($D$54=$D78)/2,0),IF(AND(EXACT($C$55,$C78),ISNUMBER($D$55)),($D$55&gt;$D78)+($D$55=$D78)/2,0),IF(AND(EXACT($C$56,$C78),ISNUMBER($D$56)),($D$56&gt;$D78)+($D$56=$D78)/2,0)))</x:f>
      </x:c>
      <x:c r="AO78" s="34" t="str">
        <x:f>IF(COUNT($D78)=0,"",SUM(IF(AND(EXACT($C$57,$C78),ISNUMBER($D$57)),($D$57&gt;$D78)+($D$57=$D78)/2,0),IF(AND(EXACT($C$58,$C78),ISNUMBER($D$58)),($D$58&gt;$D78)+($D$58=$D78)/2,0),IF(AND(EXACT($C$59,$C78),ISNUMBER($D$59)),($D$59&gt;$D78)+($D$59=$D78)/2,0),IF(AND(EXACT($C$60,$C78),ISNUMBER($D$60)),($D$60&gt;$D78)+($D$60=$D78)/2,0),IF(AND(EXACT($C$61,$C78),ISNUMBER($D$61)),($D$61&gt;$D78)+($D$61=$D78)/2,0),IF(AND(EXACT($C$62,$C78),ISNUMBER($D$62)),($D$62&gt;$D78)+($D$62=$D78)/2,0),IF(AND(EXACT($C$63,$C78),ISNUMBER($D$63)),($D$63&gt;$D78)+($D$63=$D78)/2,0),IF(AND(EXACT($C$64,$C78),ISNUMBER($D$64)),($D$64&gt;$D78)+($D$64=$D78)/2,0),IF(AND(EXACT($C$65,$C78),ISNUMBER($D$65)),($D$65&gt;$D78)+($D$65=$D78)/2,0),IF(AND(EXACT($C$66,$C78),ISNUMBER($D$66)),($D$66&gt;$D78)+($D$66=$D78)/2,0),IF(AND(EXACT($C$67,$C78),ISNUMBER($D$67)),($D$67&gt;$D78)+($D$67=$D78)/2,0),IF(AND(EXACT($C$68,$C78),ISNUMBER($D$68)),($D$68&gt;$D78)+($D$68=$D78)/2,0),IF(AND(EXACT($C$69,$C78),ISNUMBER($D$69)),($D$69&gt;$D78)+($D$69=$D78)/2,0),IF(AND(EXACT($C$70,$C78),ISNUMBER($D$70)),($D$70&gt;$D78)+($D$70=$D78)/2,0),IF(AND(EXACT($C$71,$C78),ISNUMBER($D$71)),($D$71&gt;$D78)+($D$71=$D78)/2,0),IF(AND(EXACT($C$72,$C78),ISNUMBER($D$72)),($D$72&gt;$D78)+($D$72=$D78)/2,0),IF(AND(EXACT($C$73,$C78),ISNUMBER($D$73)),($D$73&gt;$D78)+($D$73=$D78)/2,0),IF(AND(EXACT($C$74,$C78),ISNUMBER($D$74)),($D$74&gt;$D78)+($D$74=$D78)/2,0),IF(AND(EXACT($C$75,$C78),ISNUMBER($D$75)),($D$75&gt;$D78)+($D$75=$D78)/2,0),IF(AND(EXACT($C$76,$C78),ISNUMBER($D$76)),($D$76&gt;$D78)+($D$76=$D78)/2,0),IF(AND(EXACT($C$77,$C78),ISNUMBER($D$77)),($D$77&gt;$D78)+($D$77=$D78)/2,0),IF(AND(EXACT($C$78,$C78),ISNUMBER($D$78)),($D$78&gt;$D78)+($D$78=$D78)/2,0),IF(AND(EXACT($C$79,$C78),ISNUMBER($D$79)),($D$79&gt;$D78)+($D$79=$D78)/2,0),IF(AND(EXACT($C$80,$C78),ISNUMBER($D$80)),($D$80&gt;$D78)+($D$80=$D78)/2,0),IF(AND(EXACT($C$81,$C78),ISNUMBER($D$81)),($D$81&gt;$D78)+($D$81=$D78)/2,0),IF(AND(EXACT($C$82,$C78),ISNUMBER($D$82)),($D$82&gt;$D78)+($D$82=$D78)/2,0),IF(AND(EXACT($C$83,$C78),ISNUMBER($D$83)),($D$83&gt;$D78)+($D$83=$D78)/2,0),IF(AND(EXACT($C$84,$C78),ISNUMBER($D$84)),($D$84&gt;$D78)+($D$84=$D78)/2,0),IF(AND(EXACT($C$85,$C78),ISNUMBER($D$85)),($D$85&gt;$D78)+($D$85=$D78)/2,0),IF(AND(EXACT($C$86,$C78),ISNUMBER($D$86)),($D$86&gt;$D78)+($D$86=$D78)/2,0),IF(AND(EXACT($C$87,$C78),ISNUMBER($D$87)),($D$87&gt;$D78)+($D$87=$D78)/2,0),IF(AND(EXACT($C$88,$C78),ISNUMBER($D$88)),($D$88&gt;$D78)+($D$88=$D78)/2,0),IF(AND(EXACT($C$89,$C78),ISNUMBER($D$89)),($D$89&gt;$D78)+($D$89=$D78)/2,0),IF(AND(EXACT($C$90,$C78),ISNUMBER($D$90)),($D$90&gt;$D78)+($D$90=$D78)/2,0),IF(AND(EXACT($C$91,$C78),ISNUMBER($D$91)),($D$91&gt;$D78)+($D$91=$D78)/2,0),IF(AND(EXACT($C$92,$C78),ISNUMBER($D$92)),($D$92&gt;$D78)+($D$92=$D78)/2,0),IF(AND(EXACT($C$93,$C78),ISNUMBER($D$93)),($D$93&gt;$D78)+($D$93=$D78)/2,0),IF(AND(EXACT($C$94,$C78),ISNUMBER($D$94)),($D$94&gt;$D78)+($D$94=$D78)/2,0),IF(AND(EXACT($C$95,$C78),ISNUMBER($D$95)),($D$95&gt;$D78)+($D$95=$D78)/2,0),IF(AND(EXACT($C$96,$C78),ISNUMBER($D$96)),($D$96&gt;$D78)+($D$96=$D78)/2,0),IF(AND(EXACT($C$97,$C78),ISNUMBER($D$97)),($D$97&gt;$D78)+($D$97=$D78)/2,0),IF(AND(EXACT($C$98,$C78),ISNUMBER($D$98)),($D$98&gt;$D78)+($D$98=$D78)/2,0),IF(AND(EXACT($C$99,$C78),ISNUMBER($D$99)),($D$99&gt;$D78)+($D$99=$D78)/2,0),IF(AND(EXACT($C$100,$C78),ISNUMBER($D$100)),($D$100&gt;$D78)+($D$100=$D78)/2,0),IF(AND(EXACT($C$101,$C78),ISNUMBER($D$101)),($D$101&gt;$D78)+($D$101=$D78)/2,0),IF(AND(EXACT($C$102,$C78),ISNUMBER($D$102)),($D$102&gt;$D78)+($D$102=$D78)/2,0),IF(AND(EXACT($C$103,$C78),ISNUMBER($D$103)),($D$103&gt;$D78)+($D$103=$D78)/2,0),IF(AND(EXACT($C$104,$C78),ISNUMBER($D$104)),($D$104&gt;$D78)+($D$104=$D78)/2,0),IF(AND(EXACT($C$105,$C78),ISNUMBER($D$105)),($D$105&gt;$D78)+($D$105=$D78)/2,0),IF(AND(EXACT($C$106,$C78),ISNUMBER($D$106)),($D$106&gt;$D78)+($D$106=$D78)/2,0)))</x:f>
      </x:c>
    </x:row>
    <x:row r="79">
      <x:c r="A79" s="34" t="str">
        <x:f>IF('91_CALC_SCORES'!A79="","",'91_CALC_SCORES'!A79)</x:f>
      </x:c>
      <x:c r="B79" s="34" t="str">
        <x:f>IF($A79="","",'91_CALC_SCORES'!B79)</x:f>
      </x:c>
      <x:c r="C79" s="34" t="str">
        <x:f>IF($A79="","",'91_CALC_SCORES'!K79)</x:f>
      </x:c>
      <x:c r="D79" s="57" t="str">
        <x:f>IF(OR($A79="",NOT(OR(LEFT('91_CALC_SCORES'!AB79,4)="PASS",LEFT('91_CALC_SCORES'!AB79,5)="READY"))),"",'91_CALC_SCORES'!Y79)</x:f>
      </x:c>
      <x:c r="E79" s="34" t="str">
        <x:f>IF(COUNT(D79)=0,"",1+SUM(AN79:AO79)-1/2)</x:f>
      </x:c>
      <x:c r="F79" s="34" t="str">
        <x:f>IF($A79="","",'91_CALC_SCORES'!AB79)</x:f>
      </x:c>
      <x:c r="G79" s="34" t="str">
        <x:f>IF(A79="","","연구 베타 | 기업 백분위 아님")</x:f>
      </x:c>
      <x:c r="AN79" s="34" t="str">
        <x:f>IF(COUNT($D79)=0,"",SUM(IF(AND(EXACT($C$7,$C79),ISNUMBER($D$7)),($D$7&gt;$D79)+($D$7=$D79)/2,0),IF(AND(EXACT($C$8,$C79),ISNUMBER($D$8)),($D$8&gt;$D79)+($D$8=$D79)/2,0),IF(AND(EXACT($C$9,$C79),ISNUMBER($D$9)),($D$9&gt;$D79)+($D$9=$D79)/2,0),IF(AND(EXACT($C$10,$C79),ISNUMBER($D$10)),($D$10&gt;$D79)+($D$10=$D79)/2,0),IF(AND(EXACT($C$11,$C79),ISNUMBER($D$11)),($D$11&gt;$D79)+($D$11=$D79)/2,0),IF(AND(EXACT($C$12,$C79),ISNUMBER($D$12)),($D$12&gt;$D79)+($D$12=$D79)/2,0),IF(AND(EXACT($C$13,$C79),ISNUMBER($D$13)),($D$13&gt;$D79)+($D$13=$D79)/2,0),IF(AND(EXACT($C$14,$C79),ISNUMBER($D$14)),($D$14&gt;$D79)+($D$14=$D79)/2,0),IF(AND(EXACT($C$15,$C79),ISNUMBER($D$15)),($D$15&gt;$D79)+($D$15=$D79)/2,0),IF(AND(EXACT($C$16,$C79),ISNUMBER($D$16)),($D$16&gt;$D79)+($D$16=$D79)/2,0),IF(AND(EXACT($C$17,$C79),ISNUMBER($D$17)),($D$17&gt;$D79)+($D$17=$D79)/2,0),IF(AND(EXACT($C$18,$C79),ISNUMBER($D$18)),($D$18&gt;$D79)+($D$18=$D79)/2,0),IF(AND(EXACT($C$19,$C79),ISNUMBER($D$19)),($D$19&gt;$D79)+($D$19=$D79)/2,0),IF(AND(EXACT($C$20,$C79),ISNUMBER($D$20)),($D$20&gt;$D79)+($D$20=$D79)/2,0),IF(AND(EXACT($C$21,$C79),ISNUMBER($D$21)),($D$21&gt;$D79)+($D$21=$D79)/2,0),IF(AND(EXACT($C$22,$C79),ISNUMBER($D$22)),($D$22&gt;$D79)+($D$22=$D79)/2,0),IF(AND(EXACT($C$23,$C79),ISNUMBER($D$23)),($D$23&gt;$D79)+($D$23=$D79)/2,0),IF(AND(EXACT($C$24,$C79),ISNUMBER($D$24)),($D$24&gt;$D79)+($D$24=$D79)/2,0),IF(AND(EXACT($C$25,$C79),ISNUMBER($D$25)),($D$25&gt;$D79)+($D$25=$D79)/2,0),IF(AND(EXACT($C$26,$C79),ISNUMBER($D$26)),($D$26&gt;$D79)+($D$26=$D79)/2,0),IF(AND(EXACT($C$27,$C79),ISNUMBER($D$27)),($D$27&gt;$D79)+($D$27=$D79)/2,0),IF(AND(EXACT($C$28,$C79),ISNUMBER($D$28)),($D$28&gt;$D79)+($D$28=$D79)/2,0),IF(AND(EXACT($C$29,$C79),ISNUMBER($D$29)),($D$29&gt;$D79)+($D$29=$D79)/2,0),IF(AND(EXACT($C$30,$C79),ISNUMBER($D$30)),($D$30&gt;$D79)+($D$30=$D79)/2,0),IF(AND(EXACT($C$31,$C79),ISNUMBER($D$31)),($D$31&gt;$D79)+($D$31=$D79)/2,0),IF(AND(EXACT($C$32,$C79),ISNUMBER($D$32)),($D$32&gt;$D79)+($D$32=$D79)/2,0),IF(AND(EXACT($C$33,$C79),ISNUMBER($D$33)),($D$33&gt;$D79)+($D$33=$D79)/2,0),IF(AND(EXACT($C$34,$C79),ISNUMBER($D$34)),($D$34&gt;$D79)+($D$34=$D79)/2,0),IF(AND(EXACT($C$35,$C79),ISNUMBER($D$35)),($D$35&gt;$D79)+($D$35=$D79)/2,0),IF(AND(EXACT($C$36,$C79),ISNUMBER($D$36)),($D$36&gt;$D79)+($D$36=$D79)/2,0),IF(AND(EXACT($C$37,$C79),ISNUMBER($D$37)),($D$37&gt;$D79)+($D$37=$D79)/2,0),IF(AND(EXACT($C$38,$C79),ISNUMBER($D$38)),($D$38&gt;$D79)+($D$38=$D79)/2,0),IF(AND(EXACT($C$39,$C79),ISNUMBER($D$39)),($D$39&gt;$D79)+($D$39=$D79)/2,0),IF(AND(EXACT($C$40,$C79),ISNUMBER($D$40)),($D$40&gt;$D79)+($D$40=$D79)/2,0),IF(AND(EXACT($C$41,$C79),ISNUMBER($D$41)),($D$41&gt;$D79)+($D$41=$D79)/2,0),IF(AND(EXACT($C$42,$C79),ISNUMBER($D$42)),($D$42&gt;$D79)+($D$42=$D79)/2,0),IF(AND(EXACT($C$43,$C79),ISNUMBER($D$43)),($D$43&gt;$D79)+($D$43=$D79)/2,0),IF(AND(EXACT($C$44,$C79),ISNUMBER($D$44)),($D$44&gt;$D79)+($D$44=$D79)/2,0),IF(AND(EXACT($C$45,$C79),ISNUMBER($D$45)),($D$45&gt;$D79)+($D$45=$D79)/2,0),IF(AND(EXACT($C$46,$C79),ISNUMBER($D$46)),($D$46&gt;$D79)+($D$46=$D79)/2,0),IF(AND(EXACT($C$47,$C79),ISNUMBER($D$47)),($D$47&gt;$D79)+($D$47=$D79)/2,0),IF(AND(EXACT($C$48,$C79),ISNUMBER($D$48)),($D$48&gt;$D79)+($D$48=$D79)/2,0),IF(AND(EXACT($C$49,$C79),ISNUMBER($D$49)),($D$49&gt;$D79)+($D$49=$D79)/2,0),IF(AND(EXACT($C$50,$C79),ISNUMBER($D$50)),($D$50&gt;$D79)+($D$50=$D79)/2,0),IF(AND(EXACT($C$51,$C79),ISNUMBER($D$51)),($D$51&gt;$D79)+($D$51=$D79)/2,0),IF(AND(EXACT($C$52,$C79),ISNUMBER($D$52)),($D$52&gt;$D79)+($D$52=$D79)/2,0),IF(AND(EXACT($C$53,$C79),ISNUMBER($D$53)),($D$53&gt;$D79)+($D$53=$D79)/2,0),IF(AND(EXACT($C$54,$C79),ISNUMBER($D$54)),($D$54&gt;$D79)+($D$54=$D79)/2,0),IF(AND(EXACT($C$55,$C79),ISNUMBER($D$55)),($D$55&gt;$D79)+($D$55=$D79)/2,0),IF(AND(EXACT($C$56,$C79),ISNUMBER($D$56)),($D$56&gt;$D79)+($D$56=$D79)/2,0)))</x:f>
      </x:c>
      <x:c r="AO79" s="34" t="str">
        <x:f>IF(COUNT($D79)=0,"",SUM(IF(AND(EXACT($C$57,$C79),ISNUMBER($D$57)),($D$57&gt;$D79)+($D$57=$D79)/2,0),IF(AND(EXACT($C$58,$C79),ISNUMBER($D$58)),($D$58&gt;$D79)+($D$58=$D79)/2,0),IF(AND(EXACT($C$59,$C79),ISNUMBER($D$59)),($D$59&gt;$D79)+($D$59=$D79)/2,0),IF(AND(EXACT($C$60,$C79),ISNUMBER($D$60)),($D$60&gt;$D79)+($D$60=$D79)/2,0),IF(AND(EXACT($C$61,$C79),ISNUMBER($D$61)),($D$61&gt;$D79)+($D$61=$D79)/2,0),IF(AND(EXACT($C$62,$C79),ISNUMBER($D$62)),($D$62&gt;$D79)+($D$62=$D79)/2,0),IF(AND(EXACT($C$63,$C79),ISNUMBER($D$63)),($D$63&gt;$D79)+($D$63=$D79)/2,0),IF(AND(EXACT($C$64,$C79),ISNUMBER($D$64)),($D$64&gt;$D79)+($D$64=$D79)/2,0),IF(AND(EXACT($C$65,$C79),ISNUMBER($D$65)),($D$65&gt;$D79)+($D$65=$D79)/2,0),IF(AND(EXACT($C$66,$C79),ISNUMBER($D$66)),($D$66&gt;$D79)+($D$66=$D79)/2,0),IF(AND(EXACT($C$67,$C79),ISNUMBER($D$67)),($D$67&gt;$D79)+($D$67=$D79)/2,0),IF(AND(EXACT($C$68,$C79),ISNUMBER($D$68)),($D$68&gt;$D79)+($D$68=$D79)/2,0),IF(AND(EXACT($C$69,$C79),ISNUMBER($D$69)),($D$69&gt;$D79)+($D$69=$D79)/2,0),IF(AND(EXACT($C$70,$C79),ISNUMBER($D$70)),($D$70&gt;$D79)+($D$70=$D79)/2,0),IF(AND(EXACT($C$71,$C79),ISNUMBER($D$71)),($D$71&gt;$D79)+($D$71=$D79)/2,0),IF(AND(EXACT($C$72,$C79),ISNUMBER($D$72)),($D$72&gt;$D79)+($D$72=$D79)/2,0),IF(AND(EXACT($C$73,$C79),ISNUMBER($D$73)),($D$73&gt;$D79)+($D$73=$D79)/2,0),IF(AND(EXACT($C$74,$C79),ISNUMBER($D$74)),($D$74&gt;$D79)+($D$74=$D79)/2,0),IF(AND(EXACT($C$75,$C79),ISNUMBER($D$75)),($D$75&gt;$D79)+($D$75=$D79)/2,0),IF(AND(EXACT($C$76,$C79),ISNUMBER($D$76)),($D$76&gt;$D79)+($D$76=$D79)/2,0),IF(AND(EXACT($C$77,$C79),ISNUMBER($D$77)),($D$77&gt;$D79)+($D$77=$D79)/2,0),IF(AND(EXACT($C$78,$C79),ISNUMBER($D$78)),($D$78&gt;$D79)+($D$78=$D79)/2,0),IF(AND(EXACT($C$79,$C79),ISNUMBER($D$79)),($D$79&gt;$D79)+($D$79=$D79)/2,0),IF(AND(EXACT($C$80,$C79),ISNUMBER($D$80)),($D$80&gt;$D79)+($D$80=$D79)/2,0),IF(AND(EXACT($C$81,$C79),ISNUMBER($D$81)),($D$81&gt;$D79)+($D$81=$D79)/2,0),IF(AND(EXACT($C$82,$C79),ISNUMBER($D$82)),($D$82&gt;$D79)+($D$82=$D79)/2,0),IF(AND(EXACT($C$83,$C79),ISNUMBER($D$83)),($D$83&gt;$D79)+($D$83=$D79)/2,0),IF(AND(EXACT($C$84,$C79),ISNUMBER($D$84)),($D$84&gt;$D79)+($D$84=$D79)/2,0),IF(AND(EXACT($C$85,$C79),ISNUMBER($D$85)),($D$85&gt;$D79)+($D$85=$D79)/2,0),IF(AND(EXACT($C$86,$C79),ISNUMBER($D$86)),($D$86&gt;$D79)+($D$86=$D79)/2,0),IF(AND(EXACT($C$87,$C79),ISNUMBER($D$87)),($D$87&gt;$D79)+($D$87=$D79)/2,0),IF(AND(EXACT($C$88,$C79),ISNUMBER($D$88)),($D$88&gt;$D79)+($D$88=$D79)/2,0),IF(AND(EXACT($C$89,$C79),ISNUMBER($D$89)),($D$89&gt;$D79)+($D$89=$D79)/2,0),IF(AND(EXACT($C$90,$C79),ISNUMBER($D$90)),($D$90&gt;$D79)+($D$90=$D79)/2,0),IF(AND(EXACT($C$91,$C79),ISNUMBER($D$91)),($D$91&gt;$D79)+($D$91=$D79)/2,0),IF(AND(EXACT($C$92,$C79),ISNUMBER($D$92)),($D$92&gt;$D79)+($D$92=$D79)/2,0),IF(AND(EXACT($C$93,$C79),ISNUMBER($D$93)),($D$93&gt;$D79)+($D$93=$D79)/2,0),IF(AND(EXACT($C$94,$C79),ISNUMBER($D$94)),($D$94&gt;$D79)+($D$94=$D79)/2,0),IF(AND(EXACT($C$95,$C79),ISNUMBER($D$95)),($D$95&gt;$D79)+($D$95=$D79)/2,0),IF(AND(EXACT($C$96,$C79),ISNUMBER($D$96)),($D$96&gt;$D79)+($D$96=$D79)/2,0),IF(AND(EXACT($C$97,$C79),ISNUMBER($D$97)),($D$97&gt;$D79)+($D$97=$D79)/2,0),IF(AND(EXACT($C$98,$C79),ISNUMBER($D$98)),($D$98&gt;$D79)+($D$98=$D79)/2,0),IF(AND(EXACT($C$99,$C79),ISNUMBER($D$99)),($D$99&gt;$D79)+($D$99=$D79)/2,0),IF(AND(EXACT($C$100,$C79),ISNUMBER($D$100)),($D$100&gt;$D79)+($D$100=$D79)/2,0),IF(AND(EXACT($C$101,$C79),ISNUMBER($D$101)),($D$101&gt;$D79)+($D$101=$D79)/2,0),IF(AND(EXACT($C$102,$C79),ISNUMBER($D$102)),($D$102&gt;$D79)+($D$102=$D79)/2,0),IF(AND(EXACT($C$103,$C79),ISNUMBER($D$103)),($D$103&gt;$D79)+($D$103=$D79)/2,0),IF(AND(EXACT($C$104,$C79),ISNUMBER($D$104)),($D$104&gt;$D79)+($D$104=$D79)/2,0),IF(AND(EXACT($C$105,$C79),ISNUMBER($D$105)),($D$105&gt;$D79)+($D$105=$D79)/2,0),IF(AND(EXACT($C$106,$C79),ISNUMBER($D$106)),($D$106&gt;$D79)+($D$106=$D79)/2,0)))</x:f>
      </x:c>
    </x:row>
    <x:row r="80">
      <x:c r="A80" s="34" t="str">
        <x:f>IF('91_CALC_SCORES'!A80="","",'91_CALC_SCORES'!A80)</x:f>
      </x:c>
      <x:c r="B80" s="34" t="str">
        <x:f>IF($A80="","",'91_CALC_SCORES'!B80)</x:f>
      </x:c>
      <x:c r="C80" s="34" t="str">
        <x:f>IF($A80="","",'91_CALC_SCORES'!K80)</x:f>
      </x:c>
      <x:c r="D80" s="57" t="str">
        <x:f>IF(OR($A80="",NOT(OR(LEFT('91_CALC_SCORES'!AB80,4)="PASS",LEFT('91_CALC_SCORES'!AB80,5)="READY"))),"",'91_CALC_SCORES'!Y80)</x:f>
      </x:c>
      <x:c r="E80" s="34" t="str">
        <x:f>IF(COUNT(D80)=0,"",1+SUM(AN80:AO80)-1/2)</x:f>
      </x:c>
      <x:c r="F80" s="34" t="str">
        <x:f>IF($A80="","",'91_CALC_SCORES'!AB80)</x:f>
      </x:c>
      <x:c r="G80" s="34" t="str">
        <x:f>IF(A80="","","연구 베타 | 기업 백분위 아님")</x:f>
      </x:c>
      <x:c r="AN80" s="34" t="str">
        <x:f>IF(COUNT($D80)=0,"",SUM(IF(AND(EXACT($C$7,$C80),ISNUMBER($D$7)),($D$7&gt;$D80)+($D$7=$D80)/2,0),IF(AND(EXACT($C$8,$C80),ISNUMBER($D$8)),($D$8&gt;$D80)+($D$8=$D80)/2,0),IF(AND(EXACT($C$9,$C80),ISNUMBER($D$9)),($D$9&gt;$D80)+($D$9=$D80)/2,0),IF(AND(EXACT($C$10,$C80),ISNUMBER($D$10)),($D$10&gt;$D80)+($D$10=$D80)/2,0),IF(AND(EXACT($C$11,$C80),ISNUMBER($D$11)),($D$11&gt;$D80)+($D$11=$D80)/2,0),IF(AND(EXACT($C$12,$C80),ISNUMBER($D$12)),($D$12&gt;$D80)+($D$12=$D80)/2,0),IF(AND(EXACT($C$13,$C80),ISNUMBER($D$13)),($D$13&gt;$D80)+($D$13=$D80)/2,0),IF(AND(EXACT($C$14,$C80),ISNUMBER($D$14)),($D$14&gt;$D80)+($D$14=$D80)/2,0),IF(AND(EXACT($C$15,$C80),ISNUMBER($D$15)),($D$15&gt;$D80)+($D$15=$D80)/2,0),IF(AND(EXACT($C$16,$C80),ISNUMBER($D$16)),($D$16&gt;$D80)+($D$16=$D80)/2,0),IF(AND(EXACT($C$17,$C80),ISNUMBER($D$17)),($D$17&gt;$D80)+($D$17=$D80)/2,0),IF(AND(EXACT($C$18,$C80),ISNUMBER($D$18)),($D$18&gt;$D80)+($D$18=$D80)/2,0),IF(AND(EXACT($C$19,$C80),ISNUMBER($D$19)),($D$19&gt;$D80)+($D$19=$D80)/2,0),IF(AND(EXACT($C$20,$C80),ISNUMBER($D$20)),($D$20&gt;$D80)+($D$20=$D80)/2,0),IF(AND(EXACT($C$21,$C80),ISNUMBER($D$21)),($D$21&gt;$D80)+($D$21=$D80)/2,0),IF(AND(EXACT($C$22,$C80),ISNUMBER($D$22)),($D$22&gt;$D80)+($D$22=$D80)/2,0),IF(AND(EXACT($C$23,$C80),ISNUMBER($D$23)),($D$23&gt;$D80)+($D$23=$D80)/2,0),IF(AND(EXACT($C$24,$C80),ISNUMBER($D$24)),($D$24&gt;$D80)+($D$24=$D80)/2,0),IF(AND(EXACT($C$25,$C80),ISNUMBER($D$25)),($D$25&gt;$D80)+($D$25=$D80)/2,0),IF(AND(EXACT($C$26,$C80),ISNUMBER($D$26)),($D$26&gt;$D80)+($D$26=$D80)/2,0),IF(AND(EXACT($C$27,$C80),ISNUMBER($D$27)),($D$27&gt;$D80)+($D$27=$D80)/2,0),IF(AND(EXACT($C$28,$C80),ISNUMBER($D$28)),($D$28&gt;$D80)+($D$28=$D80)/2,0),IF(AND(EXACT($C$29,$C80),ISNUMBER($D$29)),($D$29&gt;$D80)+($D$29=$D80)/2,0),IF(AND(EXACT($C$30,$C80),ISNUMBER($D$30)),($D$30&gt;$D80)+($D$30=$D80)/2,0),IF(AND(EXACT($C$31,$C80),ISNUMBER($D$31)),($D$31&gt;$D80)+($D$31=$D80)/2,0),IF(AND(EXACT($C$32,$C80),ISNUMBER($D$32)),($D$32&gt;$D80)+($D$32=$D80)/2,0),IF(AND(EXACT($C$33,$C80),ISNUMBER($D$33)),($D$33&gt;$D80)+($D$33=$D80)/2,0),IF(AND(EXACT($C$34,$C80),ISNUMBER($D$34)),($D$34&gt;$D80)+($D$34=$D80)/2,0),IF(AND(EXACT($C$35,$C80),ISNUMBER($D$35)),($D$35&gt;$D80)+($D$35=$D80)/2,0),IF(AND(EXACT($C$36,$C80),ISNUMBER($D$36)),($D$36&gt;$D80)+($D$36=$D80)/2,0),IF(AND(EXACT($C$37,$C80),ISNUMBER($D$37)),($D$37&gt;$D80)+($D$37=$D80)/2,0),IF(AND(EXACT($C$38,$C80),ISNUMBER($D$38)),($D$38&gt;$D80)+($D$38=$D80)/2,0),IF(AND(EXACT($C$39,$C80),ISNUMBER($D$39)),($D$39&gt;$D80)+($D$39=$D80)/2,0),IF(AND(EXACT($C$40,$C80),ISNUMBER($D$40)),($D$40&gt;$D80)+($D$40=$D80)/2,0),IF(AND(EXACT($C$41,$C80),ISNUMBER($D$41)),($D$41&gt;$D80)+($D$41=$D80)/2,0),IF(AND(EXACT($C$42,$C80),ISNUMBER($D$42)),($D$42&gt;$D80)+($D$42=$D80)/2,0),IF(AND(EXACT($C$43,$C80),ISNUMBER($D$43)),($D$43&gt;$D80)+($D$43=$D80)/2,0),IF(AND(EXACT($C$44,$C80),ISNUMBER($D$44)),($D$44&gt;$D80)+($D$44=$D80)/2,0),IF(AND(EXACT($C$45,$C80),ISNUMBER($D$45)),($D$45&gt;$D80)+($D$45=$D80)/2,0),IF(AND(EXACT($C$46,$C80),ISNUMBER($D$46)),($D$46&gt;$D80)+($D$46=$D80)/2,0),IF(AND(EXACT($C$47,$C80),ISNUMBER($D$47)),($D$47&gt;$D80)+($D$47=$D80)/2,0),IF(AND(EXACT($C$48,$C80),ISNUMBER($D$48)),($D$48&gt;$D80)+($D$48=$D80)/2,0),IF(AND(EXACT($C$49,$C80),ISNUMBER($D$49)),($D$49&gt;$D80)+($D$49=$D80)/2,0),IF(AND(EXACT($C$50,$C80),ISNUMBER($D$50)),($D$50&gt;$D80)+($D$50=$D80)/2,0),IF(AND(EXACT($C$51,$C80),ISNUMBER($D$51)),($D$51&gt;$D80)+($D$51=$D80)/2,0),IF(AND(EXACT($C$52,$C80),ISNUMBER($D$52)),($D$52&gt;$D80)+($D$52=$D80)/2,0),IF(AND(EXACT($C$53,$C80),ISNUMBER($D$53)),($D$53&gt;$D80)+($D$53=$D80)/2,0),IF(AND(EXACT($C$54,$C80),ISNUMBER($D$54)),($D$54&gt;$D80)+($D$54=$D80)/2,0),IF(AND(EXACT($C$55,$C80),ISNUMBER($D$55)),($D$55&gt;$D80)+($D$55=$D80)/2,0),IF(AND(EXACT($C$56,$C80),ISNUMBER($D$56)),($D$56&gt;$D80)+($D$56=$D80)/2,0)))</x:f>
      </x:c>
      <x:c r="AO80" s="34" t="str">
        <x:f>IF(COUNT($D80)=0,"",SUM(IF(AND(EXACT($C$57,$C80),ISNUMBER($D$57)),($D$57&gt;$D80)+($D$57=$D80)/2,0),IF(AND(EXACT($C$58,$C80),ISNUMBER($D$58)),($D$58&gt;$D80)+($D$58=$D80)/2,0),IF(AND(EXACT($C$59,$C80),ISNUMBER($D$59)),($D$59&gt;$D80)+($D$59=$D80)/2,0),IF(AND(EXACT($C$60,$C80),ISNUMBER($D$60)),($D$60&gt;$D80)+($D$60=$D80)/2,0),IF(AND(EXACT($C$61,$C80),ISNUMBER($D$61)),($D$61&gt;$D80)+($D$61=$D80)/2,0),IF(AND(EXACT($C$62,$C80),ISNUMBER($D$62)),($D$62&gt;$D80)+($D$62=$D80)/2,0),IF(AND(EXACT($C$63,$C80),ISNUMBER($D$63)),($D$63&gt;$D80)+($D$63=$D80)/2,0),IF(AND(EXACT($C$64,$C80),ISNUMBER($D$64)),($D$64&gt;$D80)+($D$64=$D80)/2,0),IF(AND(EXACT($C$65,$C80),ISNUMBER($D$65)),($D$65&gt;$D80)+($D$65=$D80)/2,0),IF(AND(EXACT($C$66,$C80),ISNUMBER($D$66)),($D$66&gt;$D80)+($D$66=$D80)/2,0),IF(AND(EXACT($C$67,$C80),ISNUMBER($D$67)),($D$67&gt;$D80)+($D$67=$D80)/2,0),IF(AND(EXACT($C$68,$C80),ISNUMBER($D$68)),($D$68&gt;$D80)+($D$68=$D80)/2,0),IF(AND(EXACT($C$69,$C80),ISNUMBER($D$69)),($D$69&gt;$D80)+($D$69=$D80)/2,0),IF(AND(EXACT($C$70,$C80),ISNUMBER($D$70)),($D$70&gt;$D80)+($D$70=$D80)/2,0),IF(AND(EXACT($C$71,$C80),ISNUMBER($D$71)),($D$71&gt;$D80)+($D$71=$D80)/2,0),IF(AND(EXACT($C$72,$C80),ISNUMBER($D$72)),($D$72&gt;$D80)+($D$72=$D80)/2,0),IF(AND(EXACT($C$73,$C80),ISNUMBER($D$73)),($D$73&gt;$D80)+($D$73=$D80)/2,0),IF(AND(EXACT($C$74,$C80),ISNUMBER($D$74)),($D$74&gt;$D80)+($D$74=$D80)/2,0),IF(AND(EXACT($C$75,$C80),ISNUMBER($D$75)),($D$75&gt;$D80)+($D$75=$D80)/2,0),IF(AND(EXACT($C$76,$C80),ISNUMBER($D$76)),($D$76&gt;$D80)+($D$76=$D80)/2,0),IF(AND(EXACT($C$77,$C80),ISNUMBER($D$77)),($D$77&gt;$D80)+($D$77=$D80)/2,0),IF(AND(EXACT($C$78,$C80),ISNUMBER($D$78)),($D$78&gt;$D80)+($D$78=$D80)/2,0),IF(AND(EXACT($C$79,$C80),ISNUMBER($D$79)),($D$79&gt;$D80)+($D$79=$D80)/2,0),IF(AND(EXACT($C$80,$C80),ISNUMBER($D$80)),($D$80&gt;$D80)+($D$80=$D80)/2,0),IF(AND(EXACT($C$81,$C80),ISNUMBER($D$81)),($D$81&gt;$D80)+($D$81=$D80)/2,0),IF(AND(EXACT($C$82,$C80),ISNUMBER($D$82)),($D$82&gt;$D80)+($D$82=$D80)/2,0),IF(AND(EXACT($C$83,$C80),ISNUMBER($D$83)),($D$83&gt;$D80)+($D$83=$D80)/2,0),IF(AND(EXACT($C$84,$C80),ISNUMBER($D$84)),($D$84&gt;$D80)+($D$84=$D80)/2,0),IF(AND(EXACT($C$85,$C80),ISNUMBER($D$85)),($D$85&gt;$D80)+($D$85=$D80)/2,0),IF(AND(EXACT($C$86,$C80),ISNUMBER($D$86)),($D$86&gt;$D80)+($D$86=$D80)/2,0),IF(AND(EXACT($C$87,$C80),ISNUMBER($D$87)),($D$87&gt;$D80)+($D$87=$D80)/2,0),IF(AND(EXACT($C$88,$C80),ISNUMBER($D$88)),($D$88&gt;$D80)+($D$88=$D80)/2,0),IF(AND(EXACT($C$89,$C80),ISNUMBER($D$89)),($D$89&gt;$D80)+($D$89=$D80)/2,0),IF(AND(EXACT($C$90,$C80),ISNUMBER($D$90)),($D$90&gt;$D80)+($D$90=$D80)/2,0),IF(AND(EXACT($C$91,$C80),ISNUMBER($D$91)),($D$91&gt;$D80)+($D$91=$D80)/2,0),IF(AND(EXACT($C$92,$C80),ISNUMBER($D$92)),($D$92&gt;$D80)+($D$92=$D80)/2,0),IF(AND(EXACT($C$93,$C80),ISNUMBER($D$93)),($D$93&gt;$D80)+($D$93=$D80)/2,0),IF(AND(EXACT($C$94,$C80),ISNUMBER($D$94)),($D$94&gt;$D80)+($D$94=$D80)/2,0),IF(AND(EXACT($C$95,$C80),ISNUMBER($D$95)),($D$95&gt;$D80)+($D$95=$D80)/2,0),IF(AND(EXACT($C$96,$C80),ISNUMBER($D$96)),($D$96&gt;$D80)+($D$96=$D80)/2,0),IF(AND(EXACT($C$97,$C80),ISNUMBER($D$97)),($D$97&gt;$D80)+($D$97=$D80)/2,0),IF(AND(EXACT($C$98,$C80),ISNUMBER($D$98)),($D$98&gt;$D80)+($D$98=$D80)/2,0),IF(AND(EXACT($C$99,$C80),ISNUMBER($D$99)),($D$99&gt;$D80)+($D$99=$D80)/2,0),IF(AND(EXACT($C$100,$C80),ISNUMBER($D$100)),($D$100&gt;$D80)+($D$100=$D80)/2,0),IF(AND(EXACT($C$101,$C80),ISNUMBER($D$101)),($D$101&gt;$D80)+($D$101=$D80)/2,0),IF(AND(EXACT($C$102,$C80),ISNUMBER($D$102)),($D$102&gt;$D80)+($D$102=$D80)/2,0),IF(AND(EXACT($C$103,$C80),ISNUMBER($D$103)),($D$103&gt;$D80)+($D$103=$D80)/2,0),IF(AND(EXACT($C$104,$C80),ISNUMBER($D$104)),($D$104&gt;$D80)+($D$104=$D80)/2,0),IF(AND(EXACT($C$105,$C80),ISNUMBER($D$105)),($D$105&gt;$D80)+($D$105=$D80)/2,0),IF(AND(EXACT($C$106,$C80),ISNUMBER($D$106)),($D$106&gt;$D80)+($D$106=$D80)/2,0)))</x:f>
      </x:c>
    </x:row>
    <x:row r="81">
      <x:c r="A81" s="34" t="str">
        <x:f>IF('91_CALC_SCORES'!A81="","",'91_CALC_SCORES'!A81)</x:f>
      </x:c>
      <x:c r="B81" s="34" t="str">
        <x:f>IF($A81="","",'91_CALC_SCORES'!B81)</x:f>
      </x:c>
      <x:c r="C81" s="34" t="str">
        <x:f>IF($A81="","",'91_CALC_SCORES'!K81)</x:f>
      </x:c>
      <x:c r="D81" s="57" t="str">
        <x:f>IF(OR($A81="",NOT(OR(LEFT('91_CALC_SCORES'!AB81,4)="PASS",LEFT('91_CALC_SCORES'!AB81,5)="READY"))),"",'91_CALC_SCORES'!Y81)</x:f>
      </x:c>
      <x:c r="E81" s="34" t="str">
        <x:f>IF(COUNT(D81)=0,"",1+SUM(AN81:AO81)-1/2)</x:f>
      </x:c>
      <x:c r="F81" s="34" t="str">
        <x:f>IF($A81="","",'91_CALC_SCORES'!AB81)</x:f>
      </x:c>
      <x:c r="G81" s="34" t="str">
        <x:f>IF(A81="","","연구 베타 | 기업 백분위 아님")</x:f>
      </x:c>
      <x:c r="AN81" s="34" t="str">
        <x:f>IF(COUNT($D81)=0,"",SUM(IF(AND(EXACT($C$7,$C81),ISNUMBER($D$7)),($D$7&gt;$D81)+($D$7=$D81)/2,0),IF(AND(EXACT($C$8,$C81),ISNUMBER($D$8)),($D$8&gt;$D81)+($D$8=$D81)/2,0),IF(AND(EXACT($C$9,$C81),ISNUMBER($D$9)),($D$9&gt;$D81)+($D$9=$D81)/2,0),IF(AND(EXACT($C$10,$C81),ISNUMBER($D$10)),($D$10&gt;$D81)+($D$10=$D81)/2,0),IF(AND(EXACT($C$11,$C81),ISNUMBER($D$11)),($D$11&gt;$D81)+($D$11=$D81)/2,0),IF(AND(EXACT($C$12,$C81),ISNUMBER($D$12)),($D$12&gt;$D81)+($D$12=$D81)/2,0),IF(AND(EXACT($C$13,$C81),ISNUMBER($D$13)),($D$13&gt;$D81)+($D$13=$D81)/2,0),IF(AND(EXACT($C$14,$C81),ISNUMBER($D$14)),($D$14&gt;$D81)+($D$14=$D81)/2,0),IF(AND(EXACT($C$15,$C81),ISNUMBER($D$15)),($D$15&gt;$D81)+($D$15=$D81)/2,0),IF(AND(EXACT($C$16,$C81),ISNUMBER($D$16)),($D$16&gt;$D81)+($D$16=$D81)/2,0),IF(AND(EXACT($C$17,$C81),ISNUMBER($D$17)),($D$17&gt;$D81)+($D$17=$D81)/2,0),IF(AND(EXACT($C$18,$C81),ISNUMBER($D$18)),($D$18&gt;$D81)+($D$18=$D81)/2,0),IF(AND(EXACT($C$19,$C81),ISNUMBER($D$19)),($D$19&gt;$D81)+($D$19=$D81)/2,0),IF(AND(EXACT($C$20,$C81),ISNUMBER($D$20)),($D$20&gt;$D81)+($D$20=$D81)/2,0),IF(AND(EXACT($C$21,$C81),ISNUMBER($D$21)),($D$21&gt;$D81)+($D$21=$D81)/2,0),IF(AND(EXACT($C$22,$C81),ISNUMBER($D$22)),($D$22&gt;$D81)+($D$22=$D81)/2,0),IF(AND(EXACT($C$23,$C81),ISNUMBER($D$23)),($D$23&gt;$D81)+($D$23=$D81)/2,0),IF(AND(EXACT($C$24,$C81),ISNUMBER($D$24)),($D$24&gt;$D81)+($D$24=$D81)/2,0),IF(AND(EXACT($C$25,$C81),ISNUMBER($D$25)),($D$25&gt;$D81)+($D$25=$D81)/2,0),IF(AND(EXACT($C$26,$C81),ISNUMBER($D$26)),($D$26&gt;$D81)+($D$26=$D81)/2,0),IF(AND(EXACT($C$27,$C81),ISNUMBER($D$27)),($D$27&gt;$D81)+($D$27=$D81)/2,0),IF(AND(EXACT($C$28,$C81),ISNUMBER($D$28)),($D$28&gt;$D81)+($D$28=$D81)/2,0),IF(AND(EXACT($C$29,$C81),ISNUMBER($D$29)),($D$29&gt;$D81)+($D$29=$D81)/2,0),IF(AND(EXACT($C$30,$C81),ISNUMBER($D$30)),($D$30&gt;$D81)+($D$30=$D81)/2,0),IF(AND(EXACT($C$31,$C81),ISNUMBER($D$31)),($D$31&gt;$D81)+($D$31=$D81)/2,0),IF(AND(EXACT($C$32,$C81),ISNUMBER($D$32)),($D$32&gt;$D81)+($D$32=$D81)/2,0),IF(AND(EXACT($C$33,$C81),ISNUMBER($D$33)),($D$33&gt;$D81)+($D$33=$D81)/2,0),IF(AND(EXACT($C$34,$C81),ISNUMBER($D$34)),($D$34&gt;$D81)+($D$34=$D81)/2,0),IF(AND(EXACT($C$35,$C81),ISNUMBER($D$35)),($D$35&gt;$D81)+($D$35=$D81)/2,0),IF(AND(EXACT($C$36,$C81),ISNUMBER($D$36)),($D$36&gt;$D81)+($D$36=$D81)/2,0),IF(AND(EXACT($C$37,$C81),ISNUMBER($D$37)),($D$37&gt;$D81)+($D$37=$D81)/2,0),IF(AND(EXACT($C$38,$C81),ISNUMBER($D$38)),($D$38&gt;$D81)+($D$38=$D81)/2,0),IF(AND(EXACT($C$39,$C81),ISNUMBER($D$39)),($D$39&gt;$D81)+($D$39=$D81)/2,0),IF(AND(EXACT($C$40,$C81),ISNUMBER($D$40)),($D$40&gt;$D81)+($D$40=$D81)/2,0),IF(AND(EXACT($C$41,$C81),ISNUMBER($D$41)),($D$41&gt;$D81)+($D$41=$D81)/2,0),IF(AND(EXACT($C$42,$C81),ISNUMBER($D$42)),($D$42&gt;$D81)+($D$42=$D81)/2,0),IF(AND(EXACT($C$43,$C81),ISNUMBER($D$43)),($D$43&gt;$D81)+($D$43=$D81)/2,0),IF(AND(EXACT($C$44,$C81),ISNUMBER($D$44)),($D$44&gt;$D81)+($D$44=$D81)/2,0),IF(AND(EXACT($C$45,$C81),ISNUMBER($D$45)),($D$45&gt;$D81)+($D$45=$D81)/2,0),IF(AND(EXACT($C$46,$C81),ISNUMBER($D$46)),($D$46&gt;$D81)+($D$46=$D81)/2,0),IF(AND(EXACT($C$47,$C81),ISNUMBER($D$47)),($D$47&gt;$D81)+($D$47=$D81)/2,0),IF(AND(EXACT($C$48,$C81),ISNUMBER($D$48)),($D$48&gt;$D81)+($D$48=$D81)/2,0),IF(AND(EXACT($C$49,$C81),ISNUMBER($D$49)),($D$49&gt;$D81)+($D$49=$D81)/2,0),IF(AND(EXACT($C$50,$C81),ISNUMBER($D$50)),($D$50&gt;$D81)+($D$50=$D81)/2,0),IF(AND(EXACT($C$51,$C81),ISNUMBER($D$51)),($D$51&gt;$D81)+($D$51=$D81)/2,0),IF(AND(EXACT($C$52,$C81),ISNUMBER($D$52)),($D$52&gt;$D81)+($D$52=$D81)/2,0),IF(AND(EXACT($C$53,$C81),ISNUMBER($D$53)),($D$53&gt;$D81)+($D$53=$D81)/2,0),IF(AND(EXACT($C$54,$C81),ISNUMBER($D$54)),($D$54&gt;$D81)+($D$54=$D81)/2,0),IF(AND(EXACT($C$55,$C81),ISNUMBER($D$55)),($D$55&gt;$D81)+($D$55=$D81)/2,0),IF(AND(EXACT($C$56,$C81),ISNUMBER($D$56)),($D$56&gt;$D81)+($D$56=$D81)/2,0)))</x:f>
      </x:c>
      <x:c r="AO81" s="34" t="str">
        <x:f>IF(COUNT($D81)=0,"",SUM(IF(AND(EXACT($C$57,$C81),ISNUMBER($D$57)),($D$57&gt;$D81)+($D$57=$D81)/2,0),IF(AND(EXACT($C$58,$C81),ISNUMBER($D$58)),($D$58&gt;$D81)+($D$58=$D81)/2,0),IF(AND(EXACT($C$59,$C81),ISNUMBER($D$59)),($D$59&gt;$D81)+($D$59=$D81)/2,0),IF(AND(EXACT($C$60,$C81),ISNUMBER($D$60)),($D$60&gt;$D81)+($D$60=$D81)/2,0),IF(AND(EXACT($C$61,$C81),ISNUMBER($D$61)),($D$61&gt;$D81)+($D$61=$D81)/2,0),IF(AND(EXACT($C$62,$C81),ISNUMBER($D$62)),($D$62&gt;$D81)+($D$62=$D81)/2,0),IF(AND(EXACT($C$63,$C81),ISNUMBER($D$63)),($D$63&gt;$D81)+($D$63=$D81)/2,0),IF(AND(EXACT($C$64,$C81),ISNUMBER($D$64)),($D$64&gt;$D81)+($D$64=$D81)/2,0),IF(AND(EXACT($C$65,$C81),ISNUMBER($D$65)),($D$65&gt;$D81)+($D$65=$D81)/2,0),IF(AND(EXACT($C$66,$C81),ISNUMBER($D$66)),($D$66&gt;$D81)+($D$66=$D81)/2,0),IF(AND(EXACT($C$67,$C81),ISNUMBER($D$67)),($D$67&gt;$D81)+($D$67=$D81)/2,0),IF(AND(EXACT($C$68,$C81),ISNUMBER($D$68)),($D$68&gt;$D81)+($D$68=$D81)/2,0),IF(AND(EXACT($C$69,$C81),ISNUMBER($D$69)),($D$69&gt;$D81)+($D$69=$D81)/2,0),IF(AND(EXACT($C$70,$C81),ISNUMBER($D$70)),($D$70&gt;$D81)+($D$70=$D81)/2,0),IF(AND(EXACT($C$71,$C81),ISNUMBER($D$71)),($D$71&gt;$D81)+($D$71=$D81)/2,0),IF(AND(EXACT($C$72,$C81),ISNUMBER($D$72)),($D$72&gt;$D81)+($D$72=$D81)/2,0),IF(AND(EXACT($C$73,$C81),ISNUMBER($D$73)),($D$73&gt;$D81)+($D$73=$D81)/2,0),IF(AND(EXACT($C$74,$C81),ISNUMBER($D$74)),($D$74&gt;$D81)+($D$74=$D81)/2,0),IF(AND(EXACT($C$75,$C81),ISNUMBER($D$75)),($D$75&gt;$D81)+($D$75=$D81)/2,0),IF(AND(EXACT($C$76,$C81),ISNUMBER($D$76)),($D$76&gt;$D81)+($D$76=$D81)/2,0),IF(AND(EXACT($C$77,$C81),ISNUMBER($D$77)),($D$77&gt;$D81)+($D$77=$D81)/2,0),IF(AND(EXACT($C$78,$C81),ISNUMBER($D$78)),($D$78&gt;$D81)+($D$78=$D81)/2,0),IF(AND(EXACT($C$79,$C81),ISNUMBER($D$79)),($D$79&gt;$D81)+($D$79=$D81)/2,0),IF(AND(EXACT($C$80,$C81),ISNUMBER($D$80)),($D$80&gt;$D81)+($D$80=$D81)/2,0),IF(AND(EXACT($C$81,$C81),ISNUMBER($D$81)),($D$81&gt;$D81)+($D$81=$D81)/2,0),IF(AND(EXACT($C$82,$C81),ISNUMBER($D$82)),($D$82&gt;$D81)+($D$82=$D81)/2,0),IF(AND(EXACT($C$83,$C81),ISNUMBER($D$83)),($D$83&gt;$D81)+($D$83=$D81)/2,0),IF(AND(EXACT($C$84,$C81),ISNUMBER($D$84)),($D$84&gt;$D81)+($D$84=$D81)/2,0),IF(AND(EXACT($C$85,$C81),ISNUMBER($D$85)),($D$85&gt;$D81)+($D$85=$D81)/2,0),IF(AND(EXACT($C$86,$C81),ISNUMBER($D$86)),($D$86&gt;$D81)+($D$86=$D81)/2,0),IF(AND(EXACT($C$87,$C81),ISNUMBER($D$87)),($D$87&gt;$D81)+($D$87=$D81)/2,0),IF(AND(EXACT($C$88,$C81),ISNUMBER($D$88)),($D$88&gt;$D81)+($D$88=$D81)/2,0),IF(AND(EXACT($C$89,$C81),ISNUMBER($D$89)),($D$89&gt;$D81)+($D$89=$D81)/2,0),IF(AND(EXACT($C$90,$C81),ISNUMBER($D$90)),($D$90&gt;$D81)+($D$90=$D81)/2,0),IF(AND(EXACT($C$91,$C81),ISNUMBER($D$91)),($D$91&gt;$D81)+($D$91=$D81)/2,0),IF(AND(EXACT($C$92,$C81),ISNUMBER($D$92)),($D$92&gt;$D81)+($D$92=$D81)/2,0),IF(AND(EXACT($C$93,$C81),ISNUMBER($D$93)),($D$93&gt;$D81)+($D$93=$D81)/2,0),IF(AND(EXACT($C$94,$C81),ISNUMBER($D$94)),($D$94&gt;$D81)+($D$94=$D81)/2,0),IF(AND(EXACT($C$95,$C81),ISNUMBER($D$95)),($D$95&gt;$D81)+($D$95=$D81)/2,0),IF(AND(EXACT($C$96,$C81),ISNUMBER($D$96)),($D$96&gt;$D81)+($D$96=$D81)/2,0),IF(AND(EXACT($C$97,$C81),ISNUMBER($D$97)),($D$97&gt;$D81)+($D$97=$D81)/2,0),IF(AND(EXACT($C$98,$C81),ISNUMBER($D$98)),($D$98&gt;$D81)+($D$98=$D81)/2,0),IF(AND(EXACT($C$99,$C81),ISNUMBER($D$99)),($D$99&gt;$D81)+($D$99=$D81)/2,0),IF(AND(EXACT($C$100,$C81),ISNUMBER($D$100)),($D$100&gt;$D81)+($D$100=$D81)/2,0),IF(AND(EXACT($C$101,$C81),ISNUMBER($D$101)),($D$101&gt;$D81)+($D$101=$D81)/2,0),IF(AND(EXACT($C$102,$C81),ISNUMBER($D$102)),($D$102&gt;$D81)+($D$102=$D81)/2,0),IF(AND(EXACT($C$103,$C81),ISNUMBER($D$103)),($D$103&gt;$D81)+($D$103=$D81)/2,0),IF(AND(EXACT($C$104,$C81),ISNUMBER($D$104)),($D$104&gt;$D81)+($D$104=$D81)/2,0),IF(AND(EXACT($C$105,$C81),ISNUMBER($D$105)),($D$105&gt;$D81)+($D$105=$D81)/2,0),IF(AND(EXACT($C$106,$C81),ISNUMBER($D$106)),($D$106&gt;$D81)+($D$106=$D81)/2,0)))</x:f>
      </x:c>
    </x:row>
    <x:row r="82">
      <x:c r="A82" s="34" t="str">
        <x:f>IF('91_CALC_SCORES'!A82="","",'91_CALC_SCORES'!A82)</x:f>
      </x:c>
      <x:c r="B82" s="34" t="str">
        <x:f>IF($A82="","",'91_CALC_SCORES'!B82)</x:f>
      </x:c>
      <x:c r="C82" s="34" t="str">
        <x:f>IF($A82="","",'91_CALC_SCORES'!K82)</x:f>
      </x:c>
      <x:c r="D82" s="57" t="str">
        <x:f>IF(OR($A82="",NOT(OR(LEFT('91_CALC_SCORES'!AB82,4)="PASS",LEFT('91_CALC_SCORES'!AB82,5)="READY"))),"",'91_CALC_SCORES'!Y82)</x:f>
      </x:c>
      <x:c r="E82" s="34" t="str">
        <x:f>IF(COUNT(D82)=0,"",1+SUM(AN82:AO82)-1/2)</x:f>
      </x:c>
      <x:c r="F82" s="34" t="str">
        <x:f>IF($A82="","",'91_CALC_SCORES'!AB82)</x:f>
      </x:c>
      <x:c r="G82" s="34" t="str">
        <x:f>IF(A82="","","연구 베타 | 기업 백분위 아님")</x:f>
      </x:c>
      <x:c r="AN82" s="34" t="str">
        <x:f>IF(COUNT($D82)=0,"",SUM(IF(AND(EXACT($C$7,$C82),ISNUMBER($D$7)),($D$7&gt;$D82)+($D$7=$D82)/2,0),IF(AND(EXACT($C$8,$C82),ISNUMBER($D$8)),($D$8&gt;$D82)+($D$8=$D82)/2,0),IF(AND(EXACT($C$9,$C82),ISNUMBER($D$9)),($D$9&gt;$D82)+($D$9=$D82)/2,0),IF(AND(EXACT($C$10,$C82),ISNUMBER($D$10)),($D$10&gt;$D82)+($D$10=$D82)/2,0),IF(AND(EXACT($C$11,$C82),ISNUMBER($D$11)),($D$11&gt;$D82)+($D$11=$D82)/2,0),IF(AND(EXACT($C$12,$C82),ISNUMBER($D$12)),($D$12&gt;$D82)+($D$12=$D82)/2,0),IF(AND(EXACT($C$13,$C82),ISNUMBER($D$13)),($D$13&gt;$D82)+($D$13=$D82)/2,0),IF(AND(EXACT($C$14,$C82),ISNUMBER($D$14)),($D$14&gt;$D82)+($D$14=$D82)/2,0),IF(AND(EXACT($C$15,$C82),ISNUMBER($D$15)),($D$15&gt;$D82)+($D$15=$D82)/2,0),IF(AND(EXACT($C$16,$C82),ISNUMBER($D$16)),($D$16&gt;$D82)+($D$16=$D82)/2,0),IF(AND(EXACT($C$17,$C82),ISNUMBER($D$17)),($D$17&gt;$D82)+($D$17=$D82)/2,0),IF(AND(EXACT($C$18,$C82),ISNUMBER($D$18)),($D$18&gt;$D82)+($D$18=$D82)/2,0),IF(AND(EXACT($C$19,$C82),ISNUMBER($D$19)),($D$19&gt;$D82)+($D$19=$D82)/2,0),IF(AND(EXACT($C$20,$C82),ISNUMBER($D$20)),($D$20&gt;$D82)+($D$20=$D82)/2,0),IF(AND(EXACT($C$21,$C82),ISNUMBER($D$21)),($D$21&gt;$D82)+($D$21=$D82)/2,0),IF(AND(EXACT($C$22,$C82),ISNUMBER($D$22)),($D$22&gt;$D82)+($D$22=$D82)/2,0),IF(AND(EXACT($C$23,$C82),ISNUMBER($D$23)),($D$23&gt;$D82)+($D$23=$D82)/2,0),IF(AND(EXACT($C$24,$C82),ISNUMBER($D$24)),($D$24&gt;$D82)+($D$24=$D82)/2,0),IF(AND(EXACT($C$25,$C82),ISNUMBER($D$25)),($D$25&gt;$D82)+($D$25=$D82)/2,0),IF(AND(EXACT($C$26,$C82),ISNUMBER($D$26)),($D$26&gt;$D82)+($D$26=$D82)/2,0),IF(AND(EXACT($C$27,$C82),ISNUMBER($D$27)),($D$27&gt;$D82)+($D$27=$D82)/2,0),IF(AND(EXACT($C$28,$C82),ISNUMBER($D$28)),($D$28&gt;$D82)+($D$28=$D82)/2,0),IF(AND(EXACT($C$29,$C82),ISNUMBER($D$29)),($D$29&gt;$D82)+($D$29=$D82)/2,0),IF(AND(EXACT($C$30,$C82),ISNUMBER($D$30)),($D$30&gt;$D82)+($D$30=$D82)/2,0),IF(AND(EXACT($C$31,$C82),ISNUMBER($D$31)),($D$31&gt;$D82)+($D$31=$D82)/2,0),IF(AND(EXACT($C$32,$C82),ISNUMBER($D$32)),($D$32&gt;$D82)+($D$32=$D82)/2,0),IF(AND(EXACT($C$33,$C82),ISNUMBER($D$33)),($D$33&gt;$D82)+($D$33=$D82)/2,0),IF(AND(EXACT($C$34,$C82),ISNUMBER($D$34)),($D$34&gt;$D82)+($D$34=$D82)/2,0),IF(AND(EXACT($C$35,$C82),ISNUMBER($D$35)),($D$35&gt;$D82)+($D$35=$D82)/2,0),IF(AND(EXACT($C$36,$C82),ISNUMBER($D$36)),($D$36&gt;$D82)+($D$36=$D82)/2,0),IF(AND(EXACT($C$37,$C82),ISNUMBER($D$37)),($D$37&gt;$D82)+($D$37=$D82)/2,0),IF(AND(EXACT($C$38,$C82),ISNUMBER($D$38)),($D$38&gt;$D82)+($D$38=$D82)/2,0),IF(AND(EXACT($C$39,$C82),ISNUMBER($D$39)),($D$39&gt;$D82)+($D$39=$D82)/2,0),IF(AND(EXACT($C$40,$C82),ISNUMBER($D$40)),($D$40&gt;$D82)+($D$40=$D82)/2,0),IF(AND(EXACT($C$41,$C82),ISNUMBER($D$41)),($D$41&gt;$D82)+($D$41=$D82)/2,0),IF(AND(EXACT($C$42,$C82),ISNUMBER($D$42)),($D$42&gt;$D82)+($D$42=$D82)/2,0),IF(AND(EXACT($C$43,$C82),ISNUMBER($D$43)),($D$43&gt;$D82)+($D$43=$D82)/2,0),IF(AND(EXACT($C$44,$C82),ISNUMBER($D$44)),($D$44&gt;$D82)+($D$44=$D82)/2,0),IF(AND(EXACT($C$45,$C82),ISNUMBER($D$45)),($D$45&gt;$D82)+($D$45=$D82)/2,0),IF(AND(EXACT($C$46,$C82),ISNUMBER($D$46)),($D$46&gt;$D82)+($D$46=$D82)/2,0),IF(AND(EXACT($C$47,$C82),ISNUMBER($D$47)),($D$47&gt;$D82)+($D$47=$D82)/2,0),IF(AND(EXACT($C$48,$C82),ISNUMBER($D$48)),($D$48&gt;$D82)+($D$48=$D82)/2,0),IF(AND(EXACT($C$49,$C82),ISNUMBER($D$49)),($D$49&gt;$D82)+($D$49=$D82)/2,0),IF(AND(EXACT($C$50,$C82),ISNUMBER($D$50)),($D$50&gt;$D82)+($D$50=$D82)/2,0),IF(AND(EXACT($C$51,$C82),ISNUMBER($D$51)),($D$51&gt;$D82)+($D$51=$D82)/2,0),IF(AND(EXACT($C$52,$C82),ISNUMBER($D$52)),($D$52&gt;$D82)+($D$52=$D82)/2,0),IF(AND(EXACT($C$53,$C82),ISNUMBER($D$53)),($D$53&gt;$D82)+($D$53=$D82)/2,0),IF(AND(EXACT($C$54,$C82),ISNUMBER($D$54)),($D$54&gt;$D82)+($D$54=$D82)/2,0),IF(AND(EXACT($C$55,$C82),ISNUMBER($D$55)),($D$55&gt;$D82)+($D$55=$D82)/2,0),IF(AND(EXACT($C$56,$C82),ISNUMBER($D$56)),($D$56&gt;$D82)+($D$56=$D82)/2,0)))</x:f>
      </x:c>
      <x:c r="AO82" s="34" t="str">
        <x:f>IF(COUNT($D82)=0,"",SUM(IF(AND(EXACT($C$57,$C82),ISNUMBER($D$57)),($D$57&gt;$D82)+($D$57=$D82)/2,0),IF(AND(EXACT($C$58,$C82),ISNUMBER($D$58)),($D$58&gt;$D82)+($D$58=$D82)/2,0),IF(AND(EXACT($C$59,$C82),ISNUMBER($D$59)),($D$59&gt;$D82)+($D$59=$D82)/2,0),IF(AND(EXACT($C$60,$C82),ISNUMBER($D$60)),($D$60&gt;$D82)+($D$60=$D82)/2,0),IF(AND(EXACT($C$61,$C82),ISNUMBER($D$61)),($D$61&gt;$D82)+($D$61=$D82)/2,0),IF(AND(EXACT($C$62,$C82),ISNUMBER($D$62)),($D$62&gt;$D82)+($D$62=$D82)/2,0),IF(AND(EXACT($C$63,$C82),ISNUMBER($D$63)),($D$63&gt;$D82)+($D$63=$D82)/2,0),IF(AND(EXACT($C$64,$C82),ISNUMBER($D$64)),($D$64&gt;$D82)+($D$64=$D82)/2,0),IF(AND(EXACT($C$65,$C82),ISNUMBER($D$65)),($D$65&gt;$D82)+($D$65=$D82)/2,0),IF(AND(EXACT($C$66,$C82),ISNUMBER($D$66)),($D$66&gt;$D82)+($D$66=$D82)/2,0),IF(AND(EXACT($C$67,$C82),ISNUMBER($D$67)),($D$67&gt;$D82)+($D$67=$D82)/2,0),IF(AND(EXACT($C$68,$C82),ISNUMBER($D$68)),($D$68&gt;$D82)+($D$68=$D82)/2,0),IF(AND(EXACT($C$69,$C82),ISNUMBER($D$69)),($D$69&gt;$D82)+($D$69=$D82)/2,0),IF(AND(EXACT($C$70,$C82),ISNUMBER($D$70)),($D$70&gt;$D82)+($D$70=$D82)/2,0),IF(AND(EXACT($C$71,$C82),ISNUMBER($D$71)),($D$71&gt;$D82)+($D$71=$D82)/2,0),IF(AND(EXACT($C$72,$C82),ISNUMBER($D$72)),($D$72&gt;$D82)+($D$72=$D82)/2,0),IF(AND(EXACT($C$73,$C82),ISNUMBER($D$73)),($D$73&gt;$D82)+($D$73=$D82)/2,0),IF(AND(EXACT($C$74,$C82),ISNUMBER($D$74)),($D$74&gt;$D82)+($D$74=$D82)/2,0),IF(AND(EXACT($C$75,$C82),ISNUMBER($D$75)),($D$75&gt;$D82)+($D$75=$D82)/2,0),IF(AND(EXACT($C$76,$C82),ISNUMBER($D$76)),($D$76&gt;$D82)+($D$76=$D82)/2,0),IF(AND(EXACT($C$77,$C82),ISNUMBER($D$77)),($D$77&gt;$D82)+($D$77=$D82)/2,0),IF(AND(EXACT($C$78,$C82),ISNUMBER($D$78)),($D$78&gt;$D82)+($D$78=$D82)/2,0),IF(AND(EXACT($C$79,$C82),ISNUMBER($D$79)),($D$79&gt;$D82)+($D$79=$D82)/2,0),IF(AND(EXACT($C$80,$C82),ISNUMBER($D$80)),($D$80&gt;$D82)+($D$80=$D82)/2,0),IF(AND(EXACT($C$81,$C82),ISNUMBER($D$81)),($D$81&gt;$D82)+($D$81=$D82)/2,0),IF(AND(EXACT($C$82,$C82),ISNUMBER($D$82)),($D$82&gt;$D82)+($D$82=$D82)/2,0),IF(AND(EXACT($C$83,$C82),ISNUMBER($D$83)),($D$83&gt;$D82)+($D$83=$D82)/2,0),IF(AND(EXACT($C$84,$C82),ISNUMBER($D$84)),($D$84&gt;$D82)+($D$84=$D82)/2,0),IF(AND(EXACT($C$85,$C82),ISNUMBER($D$85)),($D$85&gt;$D82)+($D$85=$D82)/2,0),IF(AND(EXACT($C$86,$C82),ISNUMBER($D$86)),($D$86&gt;$D82)+($D$86=$D82)/2,0),IF(AND(EXACT($C$87,$C82),ISNUMBER($D$87)),($D$87&gt;$D82)+($D$87=$D82)/2,0),IF(AND(EXACT($C$88,$C82),ISNUMBER($D$88)),($D$88&gt;$D82)+($D$88=$D82)/2,0),IF(AND(EXACT($C$89,$C82),ISNUMBER($D$89)),($D$89&gt;$D82)+($D$89=$D82)/2,0),IF(AND(EXACT($C$90,$C82),ISNUMBER($D$90)),($D$90&gt;$D82)+($D$90=$D82)/2,0),IF(AND(EXACT($C$91,$C82),ISNUMBER($D$91)),($D$91&gt;$D82)+($D$91=$D82)/2,0),IF(AND(EXACT($C$92,$C82),ISNUMBER($D$92)),($D$92&gt;$D82)+($D$92=$D82)/2,0),IF(AND(EXACT($C$93,$C82),ISNUMBER($D$93)),($D$93&gt;$D82)+($D$93=$D82)/2,0),IF(AND(EXACT($C$94,$C82),ISNUMBER($D$94)),($D$94&gt;$D82)+($D$94=$D82)/2,0),IF(AND(EXACT($C$95,$C82),ISNUMBER($D$95)),($D$95&gt;$D82)+($D$95=$D82)/2,0),IF(AND(EXACT($C$96,$C82),ISNUMBER($D$96)),($D$96&gt;$D82)+($D$96=$D82)/2,0),IF(AND(EXACT($C$97,$C82),ISNUMBER($D$97)),($D$97&gt;$D82)+($D$97=$D82)/2,0),IF(AND(EXACT($C$98,$C82),ISNUMBER($D$98)),($D$98&gt;$D82)+($D$98=$D82)/2,0),IF(AND(EXACT($C$99,$C82),ISNUMBER($D$99)),($D$99&gt;$D82)+($D$99=$D82)/2,0),IF(AND(EXACT($C$100,$C82),ISNUMBER($D$100)),($D$100&gt;$D82)+($D$100=$D82)/2,0),IF(AND(EXACT($C$101,$C82),ISNUMBER($D$101)),($D$101&gt;$D82)+($D$101=$D82)/2,0),IF(AND(EXACT($C$102,$C82),ISNUMBER($D$102)),($D$102&gt;$D82)+($D$102=$D82)/2,0),IF(AND(EXACT($C$103,$C82),ISNUMBER($D$103)),($D$103&gt;$D82)+($D$103=$D82)/2,0),IF(AND(EXACT($C$104,$C82),ISNUMBER($D$104)),($D$104&gt;$D82)+($D$104=$D82)/2,0),IF(AND(EXACT($C$105,$C82),ISNUMBER($D$105)),($D$105&gt;$D82)+($D$105=$D82)/2,0),IF(AND(EXACT($C$106,$C82),ISNUMBER($D$106)),($D$106&gt;$D82)+($D$106=$D82)/2,0)))</x:f>
      </x:c>
    </x:row>
    <x:row r="83">
      <x:c r="A83" s="34" t="str">
        <x:f>IF('91_CALC_SCORES'!A83="","",'91_CALC_SCORES'!A83)</x:f>
      </x:c>
      <x:c r="B83" s="34" t="str">
        <x:f>IF($A83="","",'91_CALC_SCORES'!B83)</x:f>
      </x:c>
      <x:c r="C83" s="34" t="str">
        <x:f>IF($A83="","",'91_CALC_SCORES'!K83)</x:f>
      </x:c>
      <x:c r="D83" s="57" t="str">
        <x:f>IF(OR($A83="",NOT(OR(LEFT('91_CALC_SCORES'!AB83,4)="PASS",LEFT('91_CALC_SCORES'!AB83,5)="READY"))),"",'91_CALC_SCORES'!Y83)</x:f>
      </x:c>
      <x:c r="E83" s="34" t="str">
        <x:f>IF(COUNT(D83)=0,"",1+SUM(AN83:AO83)-1/2)</x:f>
      </x:c>
      <x:c r="F83" s="34" t="str">
        <x:f>IF($A83="","",'91_CALC_SCORES'!AB83)</x:f>
      </x:c>
      <x:c r="G83" s="34" t="str">
        <x:f>IF(A83="","","연구 베타 | 기업 백분위 아님")</x:f>
      </x:c>
      <x:c r="AN83" s="34" t="str">
        <x:f>IF(COUNT($D83)=0,"",SUM(IF(AND(EXACT($C$7,$C83),ISNUMBER($D$7)),($D$7&gt;$D83)+($D$7=$D83)/2,0),IF(AND(EXACT($C$8,$C83),ISNUMBER($D$8)),($D$8&gt;$D83)+($D$8=$D83)/2,0),IF(AND(EXACT($C$9,$C83),ISNUMBER($D$9)),($D$9&gt;$D83)+($D$9=$D83)/2,0),IF(AND(EXACT($C$10,$C83),ISNUMBER($D$10)),($D$10&gt;$D83)+($D$10=$D83)/2,0),IF(AND(EXACT($C$11,$C83),ISNUMBER($D$11)),($D$11&gt;$D83)+($D$11=$D83)/2,0),IF(AND(EXACT($C$12,$C83),ISNUMBER($D$12)),($D$12&gt;$D83)+($D$12=$D83)/2,0),IF(AND(EXACT($C$13,$C83),ISNUMBER($D$13)),($D$13&gt;$D83)+($D$13=$D83)/2,0),IF(AND(EXACT($C$14,$C83),ISNUMBER($D$14)),($D$14&gt;$D83)+($D$14=$D83)/2,0),IF(AND(EXACT($C$15,$C83),ISNUMBER($D$15)),($D$15&gt;$D83)+($D$15=$D83)/2,0),IF(AND(EXACT($C$16,$C83),ISNUMBER($D$16)),($D$16&gt;$D83)+($D$16=$D83)/2,0),IF(AND(EXACT($C$17,$C83),ISNUMBER($D$17)),($D$17&gt;$D83)+($D$17=$D83)/2,0),IF(AND(EXACT($C$18,$C83),ISNUMBER($D$18)),($D$18&gt;$D83)+($D$18=$D83)/2,0),IF(AND(EXACT($C$19,$C83),ISNUMBER($D$19)),($D$19&gt;$D83)+($D$19=$D83)/2,0),IF(AND(EXACT($C$20,$C83),ISNUMBER($D$20)),($D$20&gt;$D83)+($D$20=$D83)/2,0),IF(AND(EXACT($C$21,$C83),ISNUMBER($D$21)),($D$21&gt;$D83)+($D$21=$D83)/2,0),IF(AND(EXACT($C$22,$C83),ISNUMBER($D$22)),($D$22&gt;$D83)+($D$22=$D83)/2,0),IF(AND(EXACT($C$23,$C83),ISNUMBER($D$23)),($D$23&gt;$D83)+($D$23=$D83)/2,0),IF(AND(EXACT($C$24,$C83),ISNUMBER($D$24)),($D$24&gt;$D83)+($D$24=$D83)/2,0),IF(AND(EXACT($C$25,$C83),ISNUMBER($D$25)),($D$25&gt;$D83)+($D$25=$D83)/2,0),IF(AND(EXACT($C$26,$C83),ISNUMBER($D$26)),($D$26&gt;$D83)+($D$26=$D83)/2,0),IF(AND(EXACT($C$27,$C83),ISNUMBER($D$27)),($D$27&gt;$D83)+($D$27=$D83)/2,0),IF(AND(EXACT($C$28,$C83),ISNUMBER($D$28)),($D$28&gt;$D83)+($D$28=$D83)/2,0),IF(AND(EXACT($C$29,$C83),ISNUMBER($D$29)),($D$29&gt;$D83)+($D$29=$D83)/2,0),IF(AND(EXACT($C$30,$C83),ISNUMBER($D$30)),($D$30&gt;$D83)+($D$30=$D83)/2,0),IF(AND(EXACT($C$31,$C83),ISNUMBER($D$31)),($D$31&gt;$D83)+($D$31=$D83)/2,0),IF(AND(EXACT($C$32,$C83),ISNUMBER($D$32)),($D$32&gt;$D83)+($D$32=$D83)/2,0),IF(AND(EXACT($C$33,$C83),ISNUMBER($D$33)),($D$33&gt;$D83)+($D$33=$D83)/2,0),IF(AND(EXACT($C$34,$C83),ISNUMBER($D$34)),($D$34&gt;$D83)+($D$34=$D83)/2,0),IF(AND(EXACT($C$35,$C83),ISNUMBER($D$35)),($D$35&gt;$D83)+($D$35=$D83)/2,0),IF(AND(EXACT($C$36,$C83),ISNUMBER($D$36)),($D$36&gt;$D83)+($D$36=$D83)/2,0),IF(AND(EXACT($C$37,$C83),ISNUMBER($D$37)),($D$37&gt;$D83)+($D$37=$D83)/2,0),IF(AND(EXACT($C$38,$C83),ISNUMBER($D$38)),($D$38&gt;$D83)+($D$38=$D83)/2,0),IF(AND(EXACT($C$39,$C83),ISNUMBER($D$39)),($D$39&gt;$D83)+($D$39=$D83)/2,0),IF(AND(EXACT($C$40,$C83),ISNUMBER($D$40)),($D$40&gt;$D83)+($D$40=$D83)/2,0),IF(AND(EXACT($C$41,$C83),ISNUMBER($D$41)),($D$41&gt;$D83)+($D$41=$D83)/2,0),IF(AND(EXACT($C$42,$C83),ISNUMBER($D$42)),($D$42&gt;$D83)+($D$42=$D83)/2,0),IF(AND(EXACT($C$43,$C83),ISNUMBER($D$43)),($D$43&gt;$D83)+($D$43=$D83)/2,0),IF(AND(EXACT($C$44,$C83),ISNUMBER($D$44)),($D$44&gt;$D83)+($D$44=$D83)/2,0),IF(AND(EXACT($C$45,$C83),ISNUMBER($D$45)),($D$45&gt;$D83)+($D$45=$D83)/2,0),IF(AND(EXACT($C$46,$C83),ISNUMBER($D$46)),($D$46&gt;$D83)+($D$46=$D83)/2,0),IF(AND(EXACT($C$47,$C83),ISNUMBER($D$47)),($D$47&gt;$D83)+($D$47=$D83)/2,0),IF(AND(EXACT($C$48,$C83),ISNUMBER($D$48)),($D$48&gt;$D83)+($D$48=$D83)/2,0),IF(AND(EXACT($C$49,$C83),ISNUMBER($D$49)),($D$49&gt;$D83)+($D$49=$D83)/2,0),IF(AND(EXACT($C$50,$C83),ISNUMBER($D$50)),($D$50&gt;$D83)+($D$50=$D83)/2,0),IF(AND(EXACT($C$51,$C83),ISNUMBER($D$51)),($D$51&gt;$D83)+($D$51=$D83)/2,0),IF(AND(EXACT($C$52,$C83),ISNUMBER($D$52)),($D$52&gt;$D83)+($D$52=$D83)/2,0),IF(AND(EXACT($C$53,$C83),ISNUMBER($D$53)),($D$53&gt;$D83)+($D$53=$D83)/2,0),IF(AND(EXACT($C$54,$C83),ISNUMBER($D$54)),($D$54&gt;$D83)+($D$54=$D83)/2,0),IF(AND(EXACT($C$55,$C83),ISNUMBER($D$55)),($D$55&gt;$D83)+($D$55=$D83)/2,0),IF(AND(EXACT($C$56,$C83),ISNUMBER($D$56)),($D$56&gt;$D83)+($D$56=$D83)/2,0)))</x:f>
      </x:c>
      <x:c r="AO83" s="34" t="str">
        <x:f>IF(COUNT($D83)=0,"",SUM(IF(AND(EXACT($C$57,$C83),ISNUMBER($D$57)),($D$57&gt;$D83)+($D$57=$D83)/2,0),IF(AND(EXACT($C$58,$C83),ISNUMBER($D$58)),($D$58&gt;$D83)+($D$58=$D83)/2,0),IF(AND(EXACT($C$59,$C83),ISNUMBER($D$59)),($D$59&gt;$D83)+($D$59=$D83)/2,0),IF(AND(EXACT($C$60,$C83),ISNUMBER($D$60)),($D$60&gt;$D83)+($D$60=$D83)/2,0),IF(AND(EXACT($C$61,$C83),ISNUMBER($D$61)),($D$61&gt;$D83)+($D$61=$D83)/2,0),IF(AND(EXACT($C$62,$C83),ISNUMBER($D$62)),($D$62&gt;$D83)+($D$62=$D83)/2,0),IF(AND(EXACT($C$63,$C83),ISNUMBER($D$63)),($D$63&gt;$D83)+($D$63=$D83)/2,0),IF(AND(EXACT($C$64,$C83),ISNUMBER($D$64)),($D$64&gt;$D83)+($D$64=$D83)/2,0),IF(AND(EXACT($C$65,$C83),ISNUMBER($D$65)),($D$65&gt;$D83)+($D$65=$D83)/2,0),IF(AND(EXACT($C$66,$C83),ISNUMBER($D$66)),($D$66&gt;$D83)+($D$66=$D83)/2,0),IF(AND(EXACT($C$67,$C83),ISNUMBER($D$67)),($D$67&gt;$D83)+($D$67=$D83)/2,0),IF(AND(EXACT($C$68,$C83),ISNUMBER($D$68)),($D$68&gt;$D83)+($D$68=$D83)/2,0),IF(AND(EXACT($C$69,$C83),ISNUMBER($D$69)),($D$69&gt;$D83)+($D$69=$D83)/2,0),IF(AND(EXACT($C$70,$C83),ISNUMBER($D$70)),($D$70&gt;$D83)+($D$70=$D83)/2,0),IF(AND(EXACT($C$71,$C83),ISNUMBER($D$71)),($D$71&gt;$D83)+($D$71=$D83)/2,0),IF(AND(EXACT($C$72,$C83),ISNUMBER($D$72)),($D$72&gt;$D83)+($D$72=$D83)/2,0),IF(AND(EXACT($C$73,$C83),ISNUMBER($D$73)),($D$73&gt;$D83)+($D$73=$D83)/2,0),IF(AND(EXACT($C$74,$C83),ISNUMBER($D$74)),($D$74&gt;$D83)+($D$74=$D83)/2,0),IF(AND(EXACT($C$75,$C83),ISNUMBER($D$75)),($D$75&gt;$D83)+($D$75=$D83)/2,0),IF(AND(EXACT($C$76,$C83),ISNUMBER($D$76)),($D$76&gt;$D83)+($D$76=$D83)/2,0),IF(AND(EXACT($C$77,$C83),ISNUMBER($D$77)),($D$77&gt;$D83)+($D$77=$D83)/2,0),IF(AND(EXACT($C$78,$C83),ISNUMBER($D$78)),($D$78&gt;$D83)+($D$78=$D83)/2,0),IF(AND(EXACT($C$79,$C83),ISNUMBER($D$79)),($D$79&gt;$D83)+($D$79=$D83)/2,0),IF(AND(EXACT($C$80,$C83),ISNUMBER($D$80)),($D$80&gt;$D83)+($D$80=$D83)/2,0),IF(AND(EXACT($C$81,$C83),ISNUMBER($D$81)),($D$81&gt;$D83)+($D$81=$D83)/2,0),IF(AND(EXACT($C$82,$C83),ISNUMBER($D$82)),($D$82&gt;$D83)+($D$82=$D83)/2,0),IF(AND(EXACT($C$83,$C83),ISNUMBER($D$83)),($D$83&gt;$D83)+($D$83=$D83)/2,0),IF(AND(EXACT($C$84,$C83),ISNUMBER($D$84)),($D$84&gt;$D83)+($D$84=$D83)/2,0),IF(AND(EXACT($C$85,$C83),ISNUMBER($D$85)),($D$85&gt;$D83)+($D$85=$D83)/2,0),IF(AND(EXACT($C$86,$C83),ISNUMBER($D$86)),($D$86&gt;$D83)+($D$86=$D83)/2,0),IF(AND(EXACT($C$87,$C83),ISNUMBER($D$87)),($D$87&gt;$D83)+($D$87=$D83)/2,0),IF(AND(EXACT($C$88,$C83),ISNUMBER($D$88)),($D$88&gt;$D83)+($D$88=$D83)/2,0),IF(AND(EXACT($C$89,$C83),ISNUMBER($D$89)),($D$89&gt;$D83)+($D$89=$D83)/2,0),IF(AND(EXACT($C$90,$C83),ISNUMBER($D$90)),($D$90&gt;$D83)+($D$90=$D83)/2,0),IF(AND(EXACT($C$91,$C83),ISNUMBER($D$91)),($D$91&gt;$D83)+($D$91=$D83)/2,0),IF(AND(EXACT($C$92,$C83),ISNUMBER($D$92)),($D$92&gt;$D83)+($D$92=$D83)/2,0),IF(AND(EXACT($C$93,$C83),ISNUMBER($D$93)),($D$93&gt;$D83)+($D$93=$D83)/2,0),IF(AND(EXACT($C$94,$C83),ISNUMBER($D$94)),($D$94&gt;$D83)+($D$94=$D83)/2,0),IF(AND(EXACT($C$95,$C83),ISNUMBER($D$95)),($D$95&gt;$D83)+($D$95=$D83)/2,0),IF(AND(EXACT($C$96,$C83),ISNUMBER($D$96)),($D$96&gt;$D83)+($D$96=$D83)/2,0),IF(AND(EXACT($C$97,$C83),ISNUMBER($D$97)),($D$97&gt;$D83)+($D$97=$D83)/2,0),IF(AND(EXACT($C$98,$C83),ISNUMBER($D$98)),($D$98&gt;$D83)+($D$98=$D83)/2,0),IF(AND(EXACT($C$99,$C83),ISNUMBER($D$99)),($D$99&gt;$D83)+($D$99=$D83)/2,0),IF(AND(EXACT($C$100,$C83),ISNUMBER($D$100)),($D$100&gt;$D83)+($D$100=$D83)/2,0),IF(AND(EXACT($C$101,$C83),ISNUMBER($D$101)),($D$101&gt;$D83)+($D$101=$D83)/2,0),IF(AND(EXACT($C$102,$C83),ISNUMBER($D$102)),($D$102&gt;$D83)+($D$102=$D83)/2,0),IF(AND(EXACT($C$103,$C83),ISNUMBER($D$103)),($D$103&gt;$D83)+($D$103=$D83)/2,0),IF(AND(EXACT($C$104,$C83),ISNUMBER($D$104)),($D$104&gt;$D83)+($D$104=$D83)/2,0),IF(AND(EXACT($C$105,$C83),ISNUMBER($D$105)),($D$105&gt;$D83)+($D$105=$D83)/2,0),IF(AND(EXACT($C$106,$C83),ISNUMBER($D$106)),($D$106&gt;$D83)+($D$106=$D83)/2,0)))</x:f>
      </x:c>
    </x:row>
    <x:row r="84">
      <x:c r="A84" s="34" t="str">
        <x:f>IF('91_CALC_SCORES'!A84="","",'91_CALC_SCORES'!A84)</x:f>
      </x:c>
      <x:c r="B84" s="34" t="str">
        <x:f>IF($A84="","",'91_CALC_SCORES'!B84)</x:f>
      </x:c>
      <x:c r="C84" s="34" t="str">
        <x:f>IF($A84="","",'91_CALC_SCORES'!K84)</x:f>
      </x:c>
      <x:c r="D84" s="57" t="str">
        <x:f>IF(OR($A84="",NOT(OR(LEFT('91_CALC_SCORES'!AB84,4)="PASS",LEFT('91_CALC_SCORES'!AB84,5)="READY"))),"",'91_CALC_SCORES'!Y84)</x:f>
      </x:c>
      <x:c r="E84" s="34" t="str">
        <x:f>IF(COUNT(D84)=0,"",1+SUM(AN84:AO84)-1/2)</x:f>
      </x:c>
      <x:c r="F84" s="34" t="str">
        <x:f>IF($A84="","",'91_CALC_SCORES'!AB84)</x:f>
      </x:c>
      <x:c r="G84" s="34" t="str">
        <x:f>IF(A84="","","연구 베타 | 기업 백분위 아님")</x:f>
      </x:c>
      <x:c r="AN84" s="34" t="str">
        <x:f>IF(COUNT($D84)=0,"",SUM(IF(AND(EXACT($C$7,$C84),ISNUMBER($D$7)),($D$7&gt;$D84)+($D$7=$D84)/2,0),IF(AND(EXACT($C$8,$C84),ISNUMBER($D$8)),($D$8&gt;$D84)+($D$8=$D84)/2,0),IF(AND(EXACT($C$9,$C84),ISNUMBER($D$9)),($D$9&gt;$D84)+($D$9=$D84)/2,0),IF(AND(EXACT($C$10,$C84),ISNUMBER($D$10)),($D$10&gt;$D84)+($D$10=$D84)/2,0),IF(AND(EXACT($C$11,$C84),ISNUMBER($D$11)),($D$11&gt;$D84)+($D$11=$D84)/2,0),IF(AND(EXACT($C$12,$C84),ISNUMBER($D$12)),($D$12&gt;$D84)+($D$12=$D84)/2,0),IF(AND(EXACT($C$13,$C84),ISNUMBER($D$13)),($D$13&gt;$D84)+($D$13=$D84)/2,0),IF(AND(EXACT($C$14,$C84),ISNUMBER($D$14)),($D$14&gt;$D84)+($D$14=$D84)/2,0),IF(AND(EXACT($C$15,$C84),ISNUMBER($D$15)),($D$15&gt;$D84)+($D$15=$D84)/2,0),IF(AND(EXACT($C$16,$C84),ISNUMBER($D$16)),($D$16&gt;$D84)+($D$16=$D84)/2,0),IF(AND(EXACT($C$17,$C84),ISNUMBER($D$17)),($D$17&gt;$D84)+($D$17=$D84)/2,0),IF(AND(EXACT($C$18,$C84),ISNUMBER($D$18)),($D$18&gt;$D84)+($D$18=$D84)/2,0),IF(AND(EXACT($C$19,$C84),ISNUMBER($D$19)),($D$19&gt;$D84)+($D$19=$D84)/2,0),IF(AND(EXACT($C$20,$C84),ISNUMBER($D$20)),($D$20&gt;$D84)+($D$20=$D84)/2,0),IF(AND(EXACT($C$21,$C84),ISNUMBER($D$21)),($D$21&gt;$D84)+($D$21=$D84)/2,0),IF(AND(EXACT($C$22,$C84),ISNUMBER($D$22)),($D$22&gt;$D84)+($D$22=$D84)/2,0),IF(AND(EXACT($C$23,$C84),ISNUMBER($D$23)),($D$23&gt;$D84)+($D$23=$D84)/2,0),IF(AND(EXACT($C$24,$C84),ISNUMBER($D$24)),($D$24&gt;$D84)+($D$24=$D84)/2,0),IF(AND(EXACT($C$25,$C84),ISNUMBER($D$25)),($D$25&gt;$D84)+($D$25=$D84)/2,0),IF(AND(EXACT($C$26,$C84),ISNUMBER($D$26)),($D$26&gt;$D84)+($D$26=$D84)/2,0),IF(AND(EXACT($C$27,$C84),ISNUMBER($D$27)),($D$27&gt;$D84)+($D$27=$D84)/2,0),IF(AND(EXACT($C$28,$C84),ISNUMBER($D$28)),($D$28&gt;$D84)+($D$28=$D84)/2,0),IF(AND(EXACT($C$29,$C84),ISNUMBER($D$29)),($D$29&gt;$D84)+($D$29=$D84)/2,0),IF(AND(EXACT($C$30,$C84),ISNUMBER($D$30)),($D$30&gt;$D84)+($D$30=$D84)/2,0),IF(AND(EXACT($C$31,$C84),ISNUMBER($D$31)),($D$31&gt;$D84)+($D$31=$D84)/2,0),IF(AND(EXACT($C$32,$C84),ISNUMBER($D$32)),($D$32&gt;$D84)+($D$32=$D84)/2,0),IF(AND(EXACT($C$33,$C84),ISNUMBER($D$33)),($D$33&gt;$D84)+($D$33=$D84)/2,0),IF(AND(EXACT($C$34,$C84),ISNUMBER($D$34)),($D$34&gt;$D84)+($D$34=$D84)/2,0),IF(AND(EXACT($C$35,$C84),ISNUMBER($D$35)),($D$35&gt;$D84)+($D$35=$D84)/2,0),IF(AND(EXACT($C$36,$C84),ISNUMBER($D$36)),($D$36&gt;$D84)+($D$36=$D84)/2,0),IF(AND(EXACT($C$37,$C84),ISNUMBER($D$37)),($D$37&gt;$D84)+($D$37=$D84)/2,0),IF(AND(EXACT($C$38,$C84),ISNUMBER($D$38)),($D$38&gt;$D84)+($D$38=$D84)/2,0),IF(AND(EXACT($C$39,$C84),ISNUMBER($D$39)),($D$39&gt;$D84)+($D$39=$D84)/2,0),IF(AND(EXACT($C$40,$C84),ISNUMBER($D$40)),($D$40&gt;$D84)+($D$40=$D84)/2,0),IF(AND(EXACT($C$41,$C84),ISNUMBER($D$41)),($D$41&gt;$D84)+($D$41=$D84)/2,0),IF(AND(EXACT($C$42,$C84),ISNUMBER($D$42)),($D$42&gt;$D84)+($D$42=$D84)/2,0),IF(AND(EXACT($C$43,$C84),ISNUMBER($D$43)),($D$43&gt;$D84)+($D$43=$D84)/2,0),IF(AND(EXACT($C$44,$C84),ISNUMBER($D$44)),($D$44&gt;$D84)+($D$44=$D84)/2,0),IF(AND(EXACT($C$45,$C84),ISNUMBER($D$45)),($D$45&gt;$D84)+($D$45=$D84)/2,0),IF(AND(EXACT($C$46,$C84),ISNUMBER($D$46)),($D$46&gt;$D84)+($D$46=$D84)/2,0),IF(AND(EXACT($C$47,$C84),ISNUMBER($D$47)),($D$47&gt;$D84)+($D$47=$D84)/2,0),IF(AND(EXACT($C$48,$C84),ISNUMBER($D$48)),($D$48&gt;$D84)+($D$48=$D84)/2,0),IF(AND(EXACT($C$49,$C84),ISNUMBER($D$49)),($D$49&gt;$D84)+($D$49=$D84)/2,0),IF(AND(EXACT($C$50,$C84),ISNUMBER($D$50)),($D$50&gt;$D84)+($D$50=$D84)/2,0),IF(AND(EXACT($C$51,$C84),ISNUMBER($D$51)),($D$51&gt;$D84)+($D$51=$D84)/2,0),IF(AND(EXACT($C$52,$C84),ISNUMBER($D$52)),($D$52&gt;$D84)+($D$52=$D84)/2,0),IF(AND(EXACT($C$53,$C84),ISNUMBER($D$53)),($D$53&gt;$D84)+($D$53=$D84)/2,0),IF(AND(EXACT($C$54,$C84),ISNUMBER($D$54)),($D$54&gt;$D84)+($D$54=$D84)/2,0),IF(AND(EXACT($C$55,$C84),ISNUMBER($D$55)),($D$55&gt;$D84)+($D$55=$D84)/2,0),IF(AND(EXACT($C$56,$C84),ISNUMBER($D$56)),($D$56&gt;$D84)+($D$56=$D84)/2,0)))</x:f>
      </x:c>
      <x:c r="AO84" s="34" t="str">
        <x:f>IF(COUNT($D84)=0,"",SUM(IF(AND(EXACT($C$57,$C84),ISNUMBER($D$57)),($D$57&gt;$D84)+($D$57=$D84)/2,0),IF(AND(EXACT($C$58,$C84),ISNUMBER($D$58)),($D$58&gt;$D84)+($D$58=$D84)/2,0),IF(AND(EXACT($C$59,$C84),ISNUMBER($D$59)),($D$59&gt;$D84)+($D$59=$D84)/2,0),IF(AND(EXACT($C$60,$C84),ISNUMBER($D$60)),($D$60&gt;$D84)+($D$60=$D84)/2,0),IF(AND(EXACT($C$61,$C84),ISNUMBER($D$61)),($D$61&gt;$D84)+($D$61=$D84)/2,0),IF(AND(EXACT($C$62,$C84),ISNUMBER($D$62)),($D$62&gt;$D84)+($D$62=$D84)/2,0),IF(AND(EXACT($C$63,$C84),ISNUMBER($D$63)),($D$63&gt;$D84)+($D$63=$D84)/2,0),IF(AND(EXACT($C$64,$C84),ISNUMBER($D$64)),($D$64&gt;$D84)+($D$64=$D84)/2,0),IF(AND(EXACT($C$65,$C84),ISNUMBER($D$65)),($D$65&gt;$D84)+($D$65=$D84)/2,0),IF(AND(EXACT($C$66,$C84),ISNUMBER($D$66)),($D$66&gt;$D84)+($D$66=$D84)/2,0),IF(AND(EXACT($C$67,$C84),ISNUMBER($D$67)),($D$67&gt;$D84)+($D$67=$D84)/2,0),IF(AND(EXACT($C$68,$C84),ISNUMBER($D$68)),($D$68&gt;$D84)+($D$68=$D84)/2,0),IF(AND(EXACT($C$69,$C84),ISNUMBER($D$69)),($D$69&gt;$D84)+($D$69=$D84)/2,0),IF(AND(EXACT($C$70,$C84),ISNUMBER($D$70)),($D$70&gt;$D84)+($D$70=$D84)/2,0),IF(AND(EXACT($C$71,$C84),ISNUMBER($D$71)),($D$71&gt;$D84)+($D$71=$D84)/2,0),IF(AND(EXACT($C$72,$C84),ISNUMBER($D$72)),($D$72&gt;$D84)+($D$72=$D84)/2,0),IF(AND(EXACT($C$73,$C84),ISNUMBER($D$73)),($D$73&gt;$D84)+($D$73=$D84)/2,0),IF(AND(EXACT($C$74,$C84),ISNUMBER($D$74)),($D$74&gt;$D84)+($D$74=$D84)/2,0),IF(AND(EXACT($C$75,$C84),ISNUMBER($D$75)),($D$75&gt;$D84)+($D$75=$D84)/2,0),IF(AND(EXACT($C$76,$C84),ISNUMBER($D$76)),($D$76&gt;$D84)+($D$76=$D84)/2,0),IF(AND(EXACT($C$77,$C84),ISNUMBER($D$77)),($D$77&gt;$D84)+($D$77=$D84)/2,0),IF(AND(EXACT($C$78,$C84),ISNUMBER($D$78)),($D$78&gt;$D84)+($D$78=$D84)/2,0),IF(AND(EXACT($C$79,$C84),ISNUMBER($D$79)),($D$79&gt;$D84)+($D$79=$D84)/2,0),IF(AND(EXACT($C$80,$C84),ISNUMBER($D$80)),($D$80&gt;$D84)+($D$80=$D84)/2,0),IF(AND(EXACT($C$81,$C84),ISNUMBER($D$81)),($D$81&gt;$D84)+($D$81=$D84)/2,0),IF(AND(EXACT($C$82,$C84),ISNUMBER($D$82)),($D$82&gt;$D84)+($D$82=$D84)/2,0),IF(AND(EXACT($C$83,$C84),ISNUMBER($D$83)),($D$83&gt;$D84)+($D$83=$D84)/2,0),IF(AND(EXACT($C$84,$C84),ISNUMBER($D$84)),($D$84&gt;$D84)+($D$84=$D84)/2,0),IF(AND(EXACT($C$85,$C84),ISNUMBER($D$85)),($D$85&gt;$D84)+($D$85=$D84)/2,0),IF(AND(EXACT($C$86,$C84),ISNUMBER($D$86)),($D$86&gt;$D84)+($D$86=$D84)/2,0),IF(AND(EXACT($C$87,$C84),ISNUMBER($D$87)),($D$87&gt;$D84)+($D$87=$D84)/2,0),IF(AND(EXACT($C$88,$C84),ISNUMBER($D$88)),($D$88&gt;$D84)+($D$88=$D84)/2,0),IF(AND(EXACT($C$89,$C84),ISNUMBER($D$89)),($D$89&gt;$D84)+($D$89=$D84)/2,0),IF(AND(EXACT($C$90,$C84),ISNUMBER($D$90)),($D$90&gt;$D84)+($D$90=$D84)/2,0),IF(AND(EXACT($C$91,$C84),ISNUMBER($D$91)),($D$91&gt;$D84)+($D$91=$D84)/2,0),IF(AND(EXACT($C$92,$C84),ISNUMBER($D$92)),($D$92&gt;$D84)+($D$92=$D84)/2,0),IF(AND(EXACT($C$93,$C84),ISNUMBER($D$93)),($D$93&gt;$D84)+($D$93=$D84)/2,0),IF(AND(EXACT($C$94,$C84),ISNUMBER($D$94)),($D$94&gt;$D84)+($D$94=$D84)/2,0),IF(AND(EXACT($C$95,$C84),ISNUMBER($D$95)),($D$95&gt;$D84)+($D$95=$D84)/2,0),IF(AND(EXACT($C$96,$C84),ISNUMBER($D$96)),($D$96&gt;$D84)+($D$96=$D84)/2,0),IF(AND(EXACT($C$97,$C84),ISNUMBER($D$97)),($D$97&gt;$D84)+($D$97=$D84)/2,0),IF(AND(EXACT($C$98,$C84),ISNUMBER($D$98)),($D$98&gt;$D84)+($D$98=$D84)/2,0),IF(AND(EXACT($C$99,$C84),ISNUMBER($D$99)),($D$99&gt;$D84)+($D$99=$D84)/2,0),IF(AND(EXACT($C$100,$C84),ISNUMBER($D$100)),($D$100&gt;$D84)+($D$100=$D84)/2,0),IF(AND(EXACT($C$101,$C84),ISNUMBER($D$101)),($D$101&gt;$D84)+($D$101=$D84)/2,0),IF(AND(EXACT($C$102,$C84),ISNUMBER($D$102)),($D$102&gt;$D84)+($D$102=$D84)/2,0),IF(AND(EXACT($C$103,$C84),ISNUMBER($D$103)),($D$103&gt;$D84)+($D$103=$D84)/2,0),IF(AND(EXACT($C$104,$C84),ISNUMBER($D$104)),($D$104&gt;$D84)+($D$104=$D84)/2,0),IF(AND(EXACT($C$105,$C84),ISNUMBER($D$105)),($D$105&gt;$D84)+($D$105=$D84)/2,0),IF(AND(EXACT($C$106,$C84),ISNUMBER($D$106)),($D$106&gt;$D84)+($D$106=$D84)/2,0)))</x:f>
      </x:c>
    </x:row>
    <x:row r="85">
      <x:c r="A85" s="34" t="str">
        <x:f>IF('91_CALC_SCORES'!A85="","",'91_CALC_SCORES'!A85)</x:f>
      </x:c>
      <x:c r="B85" s="34" t="str">
        <x:f>IF($A85="","",'91_CALC_SCORES'!B85)</x:f>
      </x:c>
      <x:c r="C85" s="34" t="str">
        <x:f>IF($A85="","",'91_CALC_SCORES'!K85)</x:f>
      </x:c>
      <x:c r="D85" s="57" t="str">
        <x:f>IF(OR($A85="",NOT(OR(LEFT('91_CALC_SCORES'!AB85,4)="PASS",LEFT('91_CALC_SCORES'!AB85,5)="READY"))),"",'91_CALC_SCORES'!Y85)</x:f>
      </x:c>
      <x:c r="E85" s="34" t="str">
        <x:f>IF(COUNT(D85)=0,"",1+SUM(AN85:AO85)-1/2)</x:f>
      </x:c>
      <x:c r="F85" s="34" t="str">
        <x:f>IF($A85="","",'91_CALC_SCORES'!AB85)</x:f>
      </x:c>
      <x:c r="G85" s="34" t="str">
        <x:f>IF(A85="","","연구 베타 | 기업 백분위 아님")</x:f>
      </x:c>
      <x:c r="AN85" s="34" t="str">
        <x:f>IF(COUNT($D85)=0,"",SUM(IF(AND(EXACT($C$7,$C85),ISNUMBER($D$7)),($D$7&gt;$D85)+($D$7=$D85)/2,0),IF(AND(EXACT($C$8,$C85),ISNUMBER($D$8)),($D$8&gt;$D85)+($D$8=$D85)/2,0),IF(AND(EXACT($C$9,$C85),ISNUMBER($D$9)),($D$9&gt;$D85)+($D$9=$D85)/2,0),IF(AND(EXACT($C$10,$C85),ISNUMBER($D$10)),($D$10&gt;$D85)+($D$10=$D85)/2,0),IF(AND(EXACT($C$11,$C85),ISNUMBER($D$11)),($D$11&gt;$D85)+($D$11=$D85)/2,0),IF(AND(EXACT($C$12,$C85),ISNUMBER($D$12)),($D$12&gt;$D85)+($D$12=$D85)/2,0),IF(AND(EXACT($C$13,$C85),ISNUMBER($D$13)),($D$13&gt;$D85)+($D$13=$D85)/2,0),IF(AND(EXACT($C$14,$C85),ISNUMBER($D$14)),($D$14&gt;$D85)+($D$14=$D85)/2,0),IF(AND(EXACT($C$15,$C85),ISNUMBER($D$15)),($D$15&gt;$D85)+($D$15=$D85)/2,0),IF(AND(EXACT($C$16,$C85),ISNUMBER($D$16)),($D$16&gt;$D85)+($D$16=$D85)/2,0),IF(AND(EXACT($C$17,$C85),ISNUMBER($D$17)),($D$17&gt;$D85)+($D$17=$D85)/2,0),IF(AND(EXACT($C$18,$C85),ISNUMBER($D$18)),($D$18&gt;$D85)+($D$18=$D85)/2,0),IF(AND(EXACT($C$19,$C85),ISNUMBER($D$19)),($D$19&gt;$D85)+($D$19=$D85)/2,0),IF(AND(EXACT($C$20,$C85),ISNUMBER($D$20)),($D$20&gt;$D85)+($D$20=$D85)/2,0),IF(AND(EXACT($C$21,$C85),ISNUMBER($D$21)),($D$21&gt;$D85)+($D$21=$D85)/2,0),IF(AND(EXACT($C$22,$C85),ISNUMBER($D$22)),($D$22&gt;$D85)+($D$22=$D85)/2,0),IF(AND(EXACT($C$23,$C85),ISNUMBER($D$23)),($D$23&gt;$D85)+($D$23=$D85)/2,0),IF(AND(EXACT($C$24,$C85),ISNUMBER($D$24)),($D$24&gt;$D85)+($D$24=$D85)/2,0),IF(AND(EXACT($C$25,$C85),ISNUMBER($D$25)),($D$25&gt;$D85)+($D$25=$D85)/2,0),IF(AND(EXACT($C$26,$C85),ISNUMBER($D$26)),($D$26&gt;$D85)+($D$26=$D85)/2,0),IF(AND(EXACT($C$27,$C85),ISNUMBER($D$27)),($D$27&gt;$D85)+($D$27=$D85)/2,0),IF(AND(EXACT($C$28,$C85),ISNUMBER($D$28)),($D$28&gt;$D85)+($D$28=$D85)/2,0),IF(AND(EXACT($C$29,$C85),ISNUMBER($D$29)),($D$29&gt;$D85)+($D$29=$D85)/2,0),IF(AND(EXACT($C$30,$C85),ISNUMBER($D$30)),($D$30&gt;$D85)+($D$30=$D85)/2,0),IF(AND(EXACT($C$31,$C85),ISNUMBER($D$31)),($D$31&gt;$D85)+($D$31=$D85)/2,0),IF(AND(EXACT($C$32,$C85),ISNUMBER($D$32)),($D$32&gt;$D85)+($D$32=$D85)/2,0),IF(AND(EXACT($C$33,$C85),ISNUMBER($D$33)),($D$33&gt;$D85)+($D$33=$D85)/2,0),IF(AND(EXACT($C$34,$C85),ISNUMBER($D$34)),($D$34&gt;$D85)+($D$34=$D85)/2,0),IF(AND(EXACT($C$35,$C85),ISNUMBER($D$35)),($D$35&gt;$D85)+($D$35=$D85)/2,0),IF(AND(EXACT($C$36,$C85),ISNUMBER($D$36)),($D$36&gt;$D85)+($D$36=$D85)/2,0),IF(AND(EXACT($C$37,$C85),ISNUMBER($D$37)),($D$37&gt;$D85)+($D$37=$D85)/2,0),IF(AND(EXACT($C$38,$C85),ISNUMBER($D$38)),($D$38&gt;$D85)+($D$38=$D85)/2,0),IF(AND(EXACT($C$39,$C85),ISNUMBER($D$39)),($D$39&gt;$D85)+($D$39=$D85)/2,0),IF(AND(EXACT($C$40,$C85),ISNUMBER($D$40)),($D$40&gt;$D85)+($D$40=$D85)/2,0),IF(AND(EXACT($C$41,$C85),ISNUMBER($D$41)),($D$41&gt;$D85)+($D$41=$D85)/2,0),IF(AND(EXACT($C$42,$C85),ISNUMBER($D$42)),($D$42&gt;$D85)+($D$42=$D85)/2,0),IF(AND(EXACT($C$43,$C85),ISNUMBER($D$43)),($D$43&gt;$D85)+($D$43=$D85)/2,0),IF(AND(EXACT($C$44,$C85),ISNUMBER($D$44)),($D$44&gt;$D85)+($D$44=$D85)/2,0),IF(AND(EXACT($C$45,$C85),ISNUMBER($D$45)),($D$45&gt;$D85)+($D$45=$D85)/2,0),IF(AND(EXACT($C$46,$C85),ISNUMBER($D$46)),($D$46&gt;$D85)+($D$46=$D85)/2,0),IF(AND(EXACT($C$47,$C85),ISNUMBER($D$47)),($D$47&gt;$D85)+($D$47=$D85)/2,0),IF(AND(EXACT($C$48,$C85),ISNUMBER($D$48)),($D$48&gt;$D85)+($D$48=$D85)/2,0),IF(AND(EXACT($C$49,$C85),ISNUMBER($D$49)),($D$49&gt;$D85)+($D$49=$D85)/2,0),IF(AND(EXACT($C$50,$C85),ISNUMBER($D$50)),($D$50&gt;$D85)+($D$50=$D85)/2,0),IF(AND(EXACT($C$51,$C85),ISNUMBER($D$51)),($D$51&gt;$D85)+($D$51=$D85)/2,0),IF(AND(EXACT($C$52,$C85),ISNUMBER($D$52)),($D$52&gt;$D85)+($D$52=$D85)/2,0),IF(AND(EXACT($C$53,$C85),ISNUMBER($D$53)),($D$53&gt;$D85)+($D$53=$D85)/2,0),IF(AND(EXACT($C$54,$C85),ISNUMBER($D$54)),($D$54&gt;$D85)+($D$54=$D85)/2,0),IF(AND(EXACT($C$55,$C85),ISNUMBER($D$55)),($D$55&gt;$D85)+($D$55=$D85)/2,0),IF(AND(EXACT($C$56,$C85),ISNUMBER($D$56)),($D$56&gt;$D85)+($D$56=$D85)/2,0)))</x:f>
      </x:c>
      <x:c r="AO85" s="34" t="str">
        <x:f>IF(COUNT($D85)=0,"",SUM(IF(AND(EXACT($C$57,$C85),ISNUMBER($D$57)),($D$57&gt;$D85)+($D$57=$D85)/2,0),IF(AND(EXACT($C$58,$C85),ISNUMBER($D$58)),($D$58&gt;$D85)+($D$58=$D85)/2,0),IF(AND(EXACT($C$59,$C85),ISNUMBER($D$59)),($D$59&gt;$D85)+($D$59=$D85)/2,0),IF(AND(EXACT($C$60,$C85),ISNUMBER($D$60)),($D$60&gt;$D85)+($D$60=$D85)/2,0),IF(AND(EXACT($C$61,$C85),ISNUMBER($D$61)),($D$61&gt;$D85)+($D$61=$D85)/2,0),IF(AND(EXACT($C$62,$C85),ISNUMBER($D$62)),($D$62&gt;$D85)+($D$62=$D85)/2,0),IF(AND(EXACT($C$63,$C85),ISNUMBER($D$63)),($D$63&gt;$D85)+($D$63=$D85)/2,0),IF(AND(EXACT($C$64,$C85),ISNUMBER($D$64)),($D$64&gt;$D85)+($D$64=$D85)/2,0),IF(AND(EXACT($C$65,$C85),ISNUMBER($D$65)),($D$65&gt;$D85)+($D$65=$D85)/2,0),IF(AND(EXACT($C$66,$C85),ISNUMBER($D$66)),($D$66&gt;$D85)+($D$66=$D85)/2,0),IF(AND(EXACT($C$67,$C85),ISNUMBER($D$67)),($D$67&gt;$D85)+($D$67=$D85)/2,0),IF(AND(EXACT($C$68,$C85),ISNUMBER($D$68)),($D$68&gt;$D85)+($D$68=$D85)/2,0),IF(AND(EXACT($C$69,$C85),ISNUMBER($D$69)),($D$69&gt;$D85)+($D$69=$D85)/2,0),IF(AND(EXACT($C$70,$C85),ISNUMBER($D$70)),($D$70&gt;$D85)+($D$70=$D85)/2,0),IF(AND(EXACT($C$71,$C85),ISNUMBER($D$71)),($D$71&gt;$D85)+($D$71=$D85)/2,0),IF(AND(EXACT($C$72,$C85),ISNUMBER($D$72)),($D$72&gt;$D85)+($D$72=$D85)/2,0),IF(AND(EXACT($C$73,$C85),ISNUMBER($D$73)),($D$73&gt;$D85)+($D$73=$D85)/2,0),IF(AND(EXACT($C$74,$C85),ISNUMBER($D$74)),($D$74&gt;$D85)+($D$74=$D85)/2,0),IF(AND(EXACT($C$75,$C85),ISNUMBER($D$75)),($D$75&gt;$D85)+($D$75=$D85)/2,0),IF(AND(EXACT($C$76,$C85),ISNUMBER($D$76)),($D$76&gt;$D85)+($D$76=$D85)/2,0),IF(AND(EXACT($C$77,$C85),ISNUMBER($D$77)),($D$77&gt;$D85)+($D$77=$D85)/2,0),IF(AND(EXACT($C$78,$C85),ISNUMBER($D$78)),($D$78&gt;$D85)+($D$78=$D85)/2,0),IF(AND(EXACT($C$79,$C85),ISNUMBER($D$79)),($D$79&gt;$D85)+($D$79=$D85)/2,0),IF(AND(EXACT($C$80,$C85),ISNUMBER($D$80)),($D$80&gt;$D85)+($D$80=$D85)/2,0),IF(AND(EXACT($C$81,$C85),ISNUMBER($D$81)),($D$81&gt;$D85)+($D$81=$D85)/2,0),IF(AND(EXACT($C$82,$C85),ISNUMBER($D$82)),($D$82&gt;$D85)+($D$82=$D85)/2,0),IF(AND(EXACT($C$83,$C85),ISNUMBER($D$83)),($D$83&gt;$D85)+($D$83=$D85)/2,0),IF(AND(EXACT($C$84,$C85),ISNUMBER($D$84)),($D$84&gt;$D85)+($D$84=$D85)/2,0),IF(AND(EXACT($C$85,$C85),ISNUMBER($D$85)),($D$85&gt;$D85)+($D$85=$D85)/2,0),IF(AND(EXACT($C$86,$C85),ISNUMBER($D$86)),($D$86&gt;$D85)+($D$86=$D85)/2,0),IF(AND(EXACT($C$87,$C85),ISNUMBER($D$87)),($D$87&gt;$D85)+($D$87=$D85)/2,0),IF(AND(EXACT($C$88,$C85),ISNUMBER($D$88)),($D$88&gt;$D85)+($D$88=$D85)/2,0),IF(AND(EXACT($C$89,$C85),ISNUMBER($D$89)),($D$89&gt;$D85)+($D$89=$D85)/2,0),IF(AND(EXACT($C$90,$C85),ISNUMBER($D$90)),($D$90&gt;$D85)+($D$90=$D85)/2,0),IF(AND(EXACT($C$91,$C85),ISNUMBER($D$91)),($D$91&gt;$D85)+($D$91=$D85)/2,0),IF(AND(EXACT($C$92,$C85),ISNUMBER($D$92)),($D$92&gt;$D85)+($D$92=$D85)/2,0),IF(AND(EXACT($C$93,$C85),ISNUMBER($D$93)),($D$93&gt;$D85)+($D$93=$D85)/2,0),IF(AND(EXACT($C$94,$C85),ISNUMBER($D$94)),($D$94&gt;$D85)+($D$94=$D85)/2,0),IF(AND(EXACT($C$95,$C85),ISNUMBER($D$95)),($D$95&gt;$D85)+($D$95=$D85)/2,0),IF(AND(EXACT($C$96,$C85),ISNUMBER($D$96)),($D$96&gt;$D85)+($D$96=$D85)/2,0),IF(AND(EXACT($C$97,$C85),ISNUMBER($D$97)),($D$97&gt;$D85)+($D$97=$D85)/2,0),IF(AND(EXACT($C$98,$C85),ISNUMBER($D$98)),($D$98&gt;$D85)+($D$98=$D85)/2,0),IF(AND(EXACT($C$99,$C85),ISNUMBER($D$99)),($D$99&gt;$D85)+($D$99=$D85)/2,0),IF(AND(EXACT($C$100,$C85),ISNUMBER($D$100)),($D$100&gt;$D85)+($D$100=$D85)/2,0),IF(AND(EXACT($C$101,$C85),ISNUMBER($D$101)),($D$101&gt;$D85)+($D$101=$D85)/2,0),IF(AND(EXACT($C$102,$C85),ISNUMBER($D$102)),($D$102&gt;$D85)+($D$102=$D85)/2,0),IF(AND(EXACT($C$103,$C85),ISNUMBER($D$103)),($D$103&gt;$D85)+($D$103=$D85)/2,0),IF(AND(EXACT($C$104,$C85),ISNUMBER($D$104)),($D$104&gt;$D85)+($D$104=$D85)/2,0),IF(AND(EXACT($C$105,$C85),ISNUMBER($D$105)),($D$105&gt;$D85)+($D$105=$D85)/2,0),IF(AND(EXACT($C$106,$C85),ISNUMBER($D$106)),($D$106&gt;$D85)+($D$106=$D85)/2,0)))</x:f>
      </x:c>
    </x:row>
    <x:row r="86">
      <x:c r="A86" s="34" t="str">
        <x:f>IF('91_CALC_SCORES'!A86="","",'91_CALC_SCORES'!A86)</x:f>
      </x:c>
      <x:c r="B86" s="34" t="str">
        <x:f>IF($A86="","",'91_CALC_SCORES'!B86)</x:f>
      </x:c>
      <x:c r="C86" s="34" t="str">
        <x:f>IF($A86="","",'91_CALC_SCORES'!K86)</x:f>
      </x:c>
      <x:c r="D86" s="57" t="str">
        <x:f>IF(OR($A86="",NOT(OR(LEFT('91_CALC_SCORES'!AB86,4)="PASS",LEFT('91_CALC_SCORES'!AB86,5)="READY"))),"",'91_CALC_SCORES'!Y86)</x:f>
      </x:c>
      <x:c r="E86" s="34" t="str">
        <x:f>IF(COUNT(D86)=0,"",1+SUM(AN86:AO86)-1/2)</x:f>
      </x:c>
      <x:c r="F86" s="34" t="str">
        <x:f>IF($A86="","",'91_CALC_SCORES'!AB86)</x:f>
      </x:c>
      <x:c r="G86" s="34" t="str">
        <x:f>IF(A86="","","연구 베타 | 기업 백분위 아님")</x:f>
      </x:c>
      <x:c r="AN86" s="34" t="str">
        <x:f>IF(COUNT($D86)=0,"",SUM(IF(AND(EXACT($C$7,$C86),ISNUMBER($D$7)),($D$7&gt;$D86)+($D$7=$D86)/2,0),IF(AND(EXACT($C$8,$C86),ISNUMBER($D$8)),($D$8&gt;$D86)+($D$8=$D86)/2,0),IF(AND(EXACT($C$9,$C86),ISNUMBER($D$9)),($D$9&gt;$D86)+($D$9=$D86)/2,0),IF(AND(EXACT($C$10,$C86),ISNUMBER($D$10)),($D$10&gt;$D86)+($D$10=$D86)/2,0),IF(AND(EXACT($C$11,$C86),ISNUMBER($D$11)),($D$11&gt;$D86)+($D$11=$D86)/2,0),IF(AND(EXACT($C$12,$C86),ISNUMBER($D$12)),($D$12&gt;$D86)+($D$12=$D86)/2,0),IF(AND(EXACT($C$13,$C86),ISNUMBER($D$13)),($D$13&gt;$D86)+($D$13=$D86)/2,0),IF(AND(EXACT($C$14,$C86),ISNUMBER($D$14)),($D$14&gt;$D86)+($D$14=$D86)/2,0),IF(AND(EXACT($C$15,$C86),ISNUMBER($D$15)),($D$15&gt;$D86)+($D$15=$D86)/2,0),IF(AND(EXACT($C$16,$C86),ISNUMBER($D$16)),($D$16&gt;$D86)+($D$16=$D86)/2,0),IF(AND(EXACT($C$17,$C86),ISNUMBER($D$17)),($D$17&gt;$D86)+($D$17=$D86)/2,0),IF(AND(EXACT($C$18,$C86),ISNUMBER($D$18)),($D$18&gt;$D86)+($D$18=$D86)/2,0),IF(AND(EXACT($C$19,$C86),ISNUMBER($D$19)),($D$19&gt;$D86)+($D$19=$D86)/2,0),IF(AND(EXACT($C$20,$C86),ISNUMBER($D$20)),($D$20&gt;$D86)+($D$20=$D86)/2,0),IF(AND(EXACT($C$21,$C86),ISNUMBER($D$21)),($D$21&gt;$D86)+($D$21=$D86)/2,0),IF(AND(EXACT($C$22,$C86),ISNUMBER($D$22)),($D$22&gt;$D86)+($D$22=$D86)/2,0),IF(AND(EXACT($C$23,$C86),ISNUMBER($D$23)),($D$23&gt;$D86)+($D$23=$D86)/2,0),IF(AND(EXACT($C$24,$C86),ISNUMBER($D$24)),($D$24&gt;$D86)+($D$24=$D86)/2,0),IF(AND(EXACT($C$25,$C86),ISNUMBER($D$25)),($D$25&gt;$D86)+($D$25=$D86)/2,0),IF(AND(EXACT($C$26,$C86),ISNUMBER($D$26)),($D$26&gt;$D86)+($D$26=$D86)/2,0),IF(AND(EXACT($C$27,$C86),ISNUMBER($D$27)),($D$27&gt;$D86)+($D$27=$D86)/2,0),IF(AND(EXACT($C$28,$C86),ISNUMBER($D$28)),($D$28&gt;$D86)+($D$28=$D86)/2,0),IF(AND(EXACT($C$29,$C86),ISNUMBER($D$29)),($D$29&gt;$D86)+($D$29=$D86)/2,0),IF(AND(EXACT($C$30,$C86),ISNUMBER($D$30)),($D$30&gt;$D86)+($D$30=$D86)/2,0),IF(AND(EXACT($C$31,$C86),ISNUMBER($D$31)),($D$31&gt;$D86)+($D$31=$D86)/2,0),IF(AND(EXACT($C$32,$C86),ISNUMBER($D$32)),($D$32&gt;$D86)+($D$32=$D86)/2,0),IF(AND(EXACT($C$33,$C86),ISNUMBER($D$33)),($D$33&gt;$D86)+($D$33=$D86)/2,0),IF(AND(EXACT($C$34,$C86),ISNUMBER($D$34)),($D$34&gt;$D86)+($D$34=$D86)/2,0),IF(AND(EXACT($C$35,$C86),ISNUMBER($D$35)),($D$35&gt;$D86)+($D$35=$D86)/2,0),IF(AND(EXACT($C$36,$C86),ISNUMBER($D$36)),($D$36&gt;$D86)+($D$36=$D86)/2,0),IF(AND(EXACT($C$37,$C86),ISNUMBER($D$37)),($D$37&gt;$D86)+($D$37=$D86)/2,0),IF(AND(EXACT($C$38,$C86),ISNUMBER($D$38)),($D$38&gt;$D86)+($D$38=$D86)/2,0),IF(AND(EXACT($C$39,$C86),ISNUMBER($D$39)),($D$39&gt;$D86)+($D$39=$D86)/2,0),IF(AND(EXACT($C$40,$C86),ISNUMBER($D$40)),($D$40&gt;$D86)+($D$40=$D86)/2,0),IF(AND(EXACT($C$41,$C86),ISNUMBER($D$41)),($D$41&gt;$D86)+($D$41=$D86)/2,0),IF(AND(EXACT($C$42,$C86),ISNUMBER($D$42)),($D$42&gt;$D86)+($D$42=$D86)/2,0),IF(AND(EXACT($C$43,$C86),ISNUMBER($D$43)),($D$43&gt;$D86)+($D$43=$D86)/2,0),IF(AND(EXACT($C$44,$C86),ISNUMBER($D$44)),($D$44&gt;$D86)+($D$44=$D86)/2,0),IF(AND(EXACT($C$45,$C86),ISNUMBER($D$45)),($D$45&gt;$D86)+($D$45=$D86)/2,0),IF(AND(EXACT($C$46,$C86),ISNUMBER($D$46)),($D$46&gt;$D86)+($D$46=$D86)/2,0),IF(AND(EXACT($C$47,$C86),ISNUMBER($D$47)),($D$47&gt;$D86)+($D$47=$D86)/2,0),IF(AND(EXACT($C$48,$C86),ISNUMBER($D$48)),($D$48&gt;$D86)+($D$48=$D86)/2,0),IF(AND(EXACT($C$49,$C86),ISNUMBER($D$49)),($D$49&gt;$D86)+($D$49=$D86)/2,0),IF(AND(EXACT($C$50,$C86),ISNUMBER($D$50)),($D$50&gt;$D86)+($D$50=$D86)/2,0),IF(AND(EXACT($C$51,$C86),ISNUMBER($D$51)),($D$51&gt;$D86)+($D$51=$D86)/2,0),IF(AND(EXACT($C$52,$C86),ISNUMBER($D$52)),($D$52&gt;$D86)+($D$52=$D86)/2,0),IF(AND(EXACT($C$53,$C86),ISNUMBER($D$53)),($D$53&gt;$D86)+($D$53=$D86)/2,0),IF(AND(EXACT($C$54,$C86),ISNUMBER($D$54)),($D$54&gt;$D86)+($D$54=$D86)/2,0),IF(AND(EXACT($C$55,$C86),ISNUMBER($D$55)),($D$55&gt;$D86)+($D$55=$D86)/2,0),IF(AND(EXACT($C$56,$C86),ISNUMBER($D$56)),($D$56&gt;$D86)+($D$56=$D86)/2,0)))</x:f>
      </x:c>
      <x:c r="AO86" s="34" t="str">
        <x:f>IF(COUNT($D86)=0,"",SUM(IF(AND(EXACT($C$57,$C86),ISNUMBER($D$57)),($D$57&gt;$D86)+($D$57=$D86)/2,0),IF(AND(EXACT($C$58,$C86),ISNUMBER($D$58)),($D$58&gt;$D86)+($D$58=$D86)/2,0),IF(AND(EXACT($C$59,$C86),ISNUMBER($D$59)),($D$59&gt;$D86)+($D$59=$D86)/2,0),IF(AND(EXACT($C$60,$C86),ISNUMBER($D$60)),($D$60&gt;$D86)+($D$60=$D86)/2,0),IF(AND(EXACT($C$61,$C86),ISNUMBER($D$61)),($D$61&gt;$D86)+($D$61=$D86)/2,0),IF(AND(EXACT($C$62,$C86),ISNUMBER($D$62)),($D$62&gt;$D86)+($D$62=$D86)/2,0),IF(AND(EXACT($C$63,$C86),ISNUMBER($D$63)),($D$63&gt;$D86)+($D$63=$D86)/2,0),IF(AND(EXACT($C$64,$C86),ISNUMBER($D$64)),($D$64&gt;$D86)+($D$64=$D86)/2,0),IF(AND(EXACT($C$65,$C86),ISNUMBER($D$65)),($D$65&gt;$D86)+($D$65=$D86)/2,0),IF(AND(EXACT($C$66,$C86),ISNUMBER($D$66)),($D$66&gt;$D86)+($D$66=$D86)/2,0),IF(AND(EXACT($C$67,$C86),ISNUMBER($D$67)),($D$67&gt;$D86)+($D$67=$D86)/2,0),IF(AND(EXACT($C$68,$C86),ISNUMBER($D$68)),($D$68&gt;$D86)+($D$68=$D86)/2,0),IF(AND(EXACT($C$69,$C86),ISNUMBER($D$69)),($D$69&gt;$D86)+($D$69=$D86)/2,0),IF(AND(EXACT($C$70,$C86),ISNUMBER($D$70)),($D$70&gt;$D86)+($D$70=$D86)/2,0),IF(AND(EXACT($C$71,$C86),ISNUMBER($D$71)),($D$71&gt;$D86)+($D$71=$D86)/2,0),IF(AND(EXACT($C$72,$C86),ISNUMBER($D$72)),($D$72&gt;$D86)+($D$72=$D86)/2,0),IF(AND(EXACT($C$73,$C86),ISNUMBER($D$73)),($D$73&gt;$D86)+($D$73=$D86)/2,0),IF(AND(EXACT($C$74,$C86),ISNUMBER($D$74)),($D$74&gt;$D86)+($D$74=$D86)/2,0),IF(AND(EXACT($C$75,$C86),ISNUMBER($D$75)),($D$75&gt;$D86)+($D$75=$D86)/2,0),IF(AND(EXACT($C$76,$C86),ISNUMBER($D$76)),($D$76&gt;$D86)+($D$76=$D86)/2,0),IF(AND(EXACT($C$77,$C86),ISNUMBER($D$77)),($D$77&gt;$D86)+($D$77=$D86)/2,0),IF(AND(EXACT($C$78,$C86),ISNUMBER($D$78)),($D$78&gt;$D86)+($D$78=$D86)/2,0),IF(AND(EXACT($C$79,$C86),ISNUMBER($D$79)),($D$79&gt;$D86)+($D$79=$D86)/2,0),IF(AND(EXACT($C$80,$C86),ISNUMBER($D$80)),($D$80&gt;$D86)+($D$80=$D86)/2,0),IF(AND(EXACT($C$81,$C86),ISNUMBER($D$81)),($D$81&gt;$D86)+($D$81=$D86)/2,0),IF(AND(EXACT($C$82,$C86),ISNUMBER($D$82)),($D$82&gt;$D86)+($D$82=$D86)/2,0),IF(AND(EXACT($C$83,$C86),ISNUMBER($D$83)),($D$83&gt;$D86)+($D$83=$D86)/2,0),IF(AND(EXACT($C$84,$C86),ISNUMBER($D$84)),($D$84&gt;$D86)+($D$84=$D86)/2,0),IF(AND(EXACT($C$85,$C86),ISNUMBER($D$85)),($D$85&gt;$D86)+($D$85=$D86)/2,0),IF(AND(EXACT($C$86,$C86),ISNUMBER($D$86)),($D$86&gt;$D86)+($D$86=$D86)/2,0),IF(AND(EXACT($C$87,$C86),ISNUMBER($D$87)),($D$87&gt;$D86)+($D$87=$D86)/2,0),IF(AND(EXACT($C$88,$C86),ISNUMBER($D$88)),($D$88&gt;$D86)+($D$88=$D86)/2,0),IF(AND(EXACT($C$89,$C86),ISNUMBER($D$89)),($D$89&gt;$D86)+($D$89=$D86)/2,0),IF(AND(EXACT($C$90,$C86),ISNUMBER($D$90)),($D$90&gt;$D86)+($D$90=$D86)/2,0),IF(AND(EXACT($C$91,$C86),ISNUMBER($D$91)),($D$91&gt;$D86)+($D$91=$D86)/2,0),IF(AND(EXACT($C$92,$C86),ISNUMBER($D$92)),($D$92&gt;$D86)+($D$92=$D86)/2,0),IF(AND(EXACT($C$93,$C86),ISNUMBER($D$93)),($D$93&gt;$D86)+($D$93=$D86)/2,0),IF(AND(EXACT($C$94,$C86),ISNUMBER($D$94)),($D$94&gt;$D86)+($D$94=$D86)/2,0),IF(AND(EXACT($C$95,$C86),ISNUMBER($D$95)),($D$95&gt;$D86)+($D$95=$D86)/2,0),IF(AND(EXACT($C$96,$C86),ISNUMBER($D$96)),($D$96&gt;$D86)+($D$96=$D86)/2,0),IF(AND(EXACT($C$97,$C86),ISNUMBER($D$97)),($D$97&gt;$D86)+($D$97=$D86)/2,0),IF(AND(EXACT($C$98,$C86),ISNUMBER($D$98)),($D$98&gt;$D86)+($D$98=$D86)/2,0),IF(AND(EXACT($C$99,$C86),ISNUMBER($D$99)),($D$99&gt;$D86)+($D$99=$D86)/2,0),IF(AND(EXACT($C$100,$C86),ISNUMBER($D$100)),($D$100&gt;$D86)+($D$100=$D86)/2,0),IF(AND(EXACT($C$101,$C86),ISNUMBER($D$101)),($D$101&gt;$D86)+($D$101=$D86)/2,0),IF(AND(EXACT($C$102,$C86),ISNUMBER($D$102)),($D$102&gt;$D86)+($D$102=$D86)/2,0),IF(AND(EXACT($C$103,$C86),ISNUMBER($D$103)),($D$103&gt;$D86)+($D$103=$D86)/2,0),IF(AND(EXACT($C$104,$C86),ISNUMBER($D$104)),($D$104&gt;$D86)+($D$104=$D86)/2,0),IF(AND(EXACT($C$105,$C86),ISNUMBER($D$105)),($D$105&gt;$D86)+($D$105=$D86)/2,0),IF(AND(EXACT($C$106,$C86),ISNUMBER($D$106)),($D$106&gt;$D86)+($D$106=$D86)/2,0)))</x:f>
      </x:c>
    </x:row>
    <x:row r="87">
      <x:c r="A87" s="34" t="str">
        <x:f>IF('91_CALC_SCORES'!A87="","",'91_CALC_SCORES'!A87)</x:f>
      </x:c>
      <x:c r="B87" s="34" t="str">
        <x:f>IF($A87="","",'91_CALC_SCORES'!B87)</x:f>
      </x:c>
      <x:c r="C87" s="34" t="str">
        <x:f>IF($A87="","",'91_CALC_SCORES'!K87)</x:f>
      </x:c>
      <x:c r="D87" s="57" t="str">
        <x:f>IF(OR($A87="",NOT(OR(LEFT('91_CALC_SCORES'!AB87,4)="PASS",LEFT('91_CALC_SCORES'!AB87,5)="READY"))),"",'91_CALC_SCORES'!Y87)</x:f>
      </x:c>
      <x:c r="E87" s="34" t="str">
        <x:f>IF(COUNT(D87)=0,"",1+SUM(AN87:AO87)-1/2)</x:f>
      </x:c>
      <x:c r="F87" s="34" t="str">
        <x:f>IF($A87="","",'91_CALC_SCORES'!AB87)</x:f>
      </x:c>
      <x:c r="G87" s="34" t="str">
        <x:f>IF(A87="","","연구 베타 | 기업 백분위 아님")</x:f>
      </x:c>
      <x:c r="AN87" s="34" t="str">
        <x:f>IF(COUNT($D87)=0,"",SUM(IF(AND(EXACT($C$7,$C87),ISNUMBER($D$7)),($D$7&gt;$D87)+($D$7=$D87)/2,0),IF(AND(EXACT($C$8,$C87),ISNUMBER($D$8)),($D$8&gt;$D87)+($D$8=$D87)/2,0),IF(AND(EXACT($C$9,$C87),ISNUMBER($D$9)),($D$9&gt;$D87)+($D$9=$D87)/2,0),IF(AND(EXACT($C$10,$C87),ISNUMBER($D$10)),($D$10&gt;$D87)+($D$10=$D87)/2,0),IF(AND(EXACT($C$11,$C87),ISNUMBER($D$11)),($D$11&gt;$D87)+($D$11=$D87)/2,0),IF(AND(EXACT($C$12,$C87),ISNUMBER($D$12)),($D$12&gt;$D87)+($D$12=$D87)/2,0),IF(AND(EXACT($C$13,$C87),ISNUMBER($D$13)),($D$13&gt;$D87)+($D$13=$D87)/2,0),IF(AND(EXACT($C$14,$C87),ISNUMBER($D$14)),($D$14&gt;$D87)+($D$14=$D87)/2,0),IF(AND(EXACT($C$15,$C87),ISNUMBER($D$15)),($D$15&gt;$D87)+($D$15=$D87)/2,0),IF(AND(EXACT($C$16,$C87),ISNUMBER($D$16)),($D$16&gt;$D87)+($D$16=$D87)/2,0),IF(AND(EXACT($C$17,$C87),ISNUMBER($D$17)),($D$17&gt;$D87)+($D$17=$D87)/2,0),IF(AND(EXACT($C$18,$C87),ISNUMBER($D$18)),($D$18&gt;$D87)+($D$18=$D87)/2,0),IF(AND(EXACT($C$19,$C87),ISNUMBER($D$19)),($D$19&gt;$D87)+($D$19=$D87)/2,0),IF(AND(EXACT($C$20,$C87),ISNUMBER($D$20)),($D$20&gt;$D87)+($D$20=$D87)/2,0),IF(AND(EXACT($C$21,$C87),ISNUMBER($D$21)),($D$21&gt;$D87)+($D$21=$D87)/2,0),IF(AND(EXACT($C$22,$C87),ISNUMBER($D$22)),($D$22&gt;$D87)+($D$22=$D87)/2,0),IF(AND(EXACT($C$23,$C87),ISNUMBER($D$23)),($D$23&gt;$D87)+($D$23=$D87)/2,0),IF(AND(EXACT($C$24,$C87),ISNUMBER($D$24)),($D$24&gt;$D87)+($D$24=$D87)/2,0),IF(AND(EXACT($C$25,$C87),ISNUMBER($D$25)),($D$25&gt;$D87)+($D$25=$D87)/2,0),IF(AND(EXACT($C$26,$C87),ISNUMBER($D$26)),($D$26&gt;$D87)+($D$26=$D87)/2,0),IF(AND(EXACT($C$27,$C87),ISNUMBER($D$27)),($D$27&gt;$D87)+($D$27=$D87)/2,0),IF(AND(EXACT($C$28,$C87),ISNUMBER($D$28)),($D$28&gt;$D87)+($D$28=$D87)/2,0),IF(AND(EXACT($C$29,$C87),ISNUMBER($D$29)),($D$29&gt;$D87)+($D$29=$D87)/2,0),IF(AND(EXACT($C$30,$C87),ISNUMBER($D$30)),($D$30&gt;$D87)+($D$30=$D87)/2,0),IF(AND(EXACT($C$31,$C87),ISNUMBER($D$31)),($D$31&gt;$D87)+($D$31=$D87)/2,0),IF(AND(EXACT($C$32,$C87),ISNUMBER($D$32)),($D$32&gt;$D87)+($D$32=$D87)/2,0),IF(AND(EXACT($C$33,$C87),ISNUMBER($D$33)),($D$33&gt;$D87)+($D$33=$D87)/2,0),IF(AND(EXACT($C$34,$C87),ISNUMBER($D$34)),($D$34&gt;$D87)+($D$34=$D87)/2,0),IF(AND(EXACT($C$35,$C87),ISNUMBER($D$35)),($D$35&gt;$D87)+($D$35=$D87)/2,0),IF(AND(EXACT($C$36,$C87),ISNUMBER($D$36)),($D$36&gt;$D87)+($D$36=$D87)/2,0),IF(AND(EXACT($C$37,$C87),ISNUMBER($D$37)),($D$37&gt;$D87)+($D$37=$D87)/2,0),IF(AND(EXACT($C$38,$C87),ISNUMBER($D$38)),($D$38&gt;$D87)+($D$38=$D87)/2,0),IF(AND(EXACT($C$39,$C87),ISNUMBER($D$39)),($D$39&gt;$D87)+($D$39=$D87)/2,0),IF(AND(EXACT($C$40,$C87),ISNUMBER($D$40)),($D$40&gt;$D87)+($D$40=$D87)/2,0),IF(AND(EXACT($C$41,$C87),ISNUMBER($D$41)),($D$41&gt;$D87)+($D$41=$D87)/2,0),IF(AND(EXACT($C$42,$C87),ISNUMBER($D$42)),($D$42&gt;$D87)+($D$42=$D87)/2,0),IF(AND(EXACT($C$43,$C87),ISNUMBER($D$43)),($D$43&gt;$D87)+($D$43=$D87)/2,0),IF(AND(EXACT($C$44,$C87),ISNUMBER($D$44)),($D$44&gt;$D87)+($D$44=$D87)/2,0),IF(AND(EXACT($C$45,$C87),ISNUMBER($D$45)),($D$45&gt;$D87)+($D$45=$D87)/2,0),IF(AND(EXACT($C$46,$C87),ISNUMBER($D$46)),($D$46&gt;$D87)+($D$46=$D87)/2,0),IF(AND(EXACT($C$47,$C87),ISNUMBER($D$47)),($D$47&gt;$D87)+($D$47=$D87)/2,0),IF(AND(EXACT($C$48,$C87),ISNUMBER($D$48)),($D$48&gt;$D87)+($D$48=$D87)/2,0),IF(AND(EXACT($C$49,$C87),ISNUMBER($D$49)),($D$49&gt;$D87)+($D$49=$D87)/2,0),IF(AND(EXACT($C$50,$C87),ISNUMBER($D$50)),($D$50&gt;$D87)+($D$50=$D87)/2,0),IF(AND(EXACT($C$51,$C87),ISNUMBER($D$51)),($D$51&gt;$D87)+($D$51=$D87)/2,0),IF(AND(EXACT($C$52,$C87),ISNUMBER($D$52)),($D$52&gt;$D87)+($D$52=$D87)/2,0),IF(AND(EXACT($C$53,$C87),ISNUMBER($D$53)),($D$53&gt;$D87)+($D$53=$D87)/2,0),IF(AND(EXACT($C$54,$C87),ISNUMBER($D$54)),($D$54&gt;$D87)+($D$54=$D87)/2,0),IF(AND(EXACT($C$55,$C87),ISNUMBER($D$55)),($D$55&gt;$D87)+($D$55=$D87)/2,0),IF(AND(EXACT($C$56,$C87),ISNUMBER($D$56)),($D$56&gt;$D87)+($D$56=$D87)/2,0)))</x:f>
      </x:c>
      <x:c r="AO87" s="34" t="str">
        <x:f>IF(COUNT($D87)=0,"",SUM(IF(AND(EXACT($C$57,$C87),ISNUMBER($D$57)),($D$57&gt;$D87)+($D$57=$D87)/2,0),IF(AND(EXACT($C$58,$C87),ISNUMBER($D$58)),($D$58&gt;$D87)+($D$58=$D87)/2,0),IF(AND(EXACT($C$59,$C87),ISNUMBER($D$59)),($D$59&gt;$D87)+($D$59=$D87)/2,0),IF(AND(EXACT($C$60,$C87),ISNUMBER($D$60)),($D$60&gt;$D87)+($D$60=$D87)/2,0),IF(AND(EXACT($C$61,$C87),ISNUMBER($D$61)),($D$61&gt;$D87)+($D$61=$D87)/2,0),IF(AND(EXACT($C$62,$C87),ISNUMBER($D$62)),($D$62&gt;$D87)+($D$62=$D87)/2,0),IF(AND(EXACT($C$63,$C87),ISNUMBER($D$63)),($D$63&gt;$D87)+($D$63=$D87)/2,0),IF(AND(EXACT($C$64,$C87),ISNUMBER($D$64)),($D$64&gt;$D87)+($D$64=$D87)/2,0),IF(AND(EXACT($C$65,$C87),ISNUMBER($D$65)),($D$65&gt;$D87)+($D$65=$D87)/2,0),IF(AND(EXACT($C$66,$C87),ISNUMBER($D$66)),($D$66&gt;$D87)+($D$66=$D87)/2,0),IF(AND(EXACT($C$67,$C87),ISNUMBER($D$67)),($D$67&gt;$D87)+($D$67=$D87)/2,0),IF(AND(EXACT($C$68,$C87),ISNUMBER($D$68)),($D$68&gt;$D87)+($D$68=$D87)/2,0),IF(AND(EXACT($C$69,$C87),ISNUMBER($D$69)),($D$69&gt;$D87)+($D$69=$D87)/2,0),IF(AND(EXACT($C$70,$C87),ISNUMBER($D$70)),($D$70&gt;$D87)+($D$70=$D87)/2,0),IF(AND(EXACT($C$71,$C87),ISNUMBER($D$71)),($D$71&gt;$D87)+($D$71=$D87)/2,0),IF(AND(EXACT($C$72,$C87),ISNUMBER($D$72)),($D$72&gt;$D87)+($D$72=$D87)/2,0),IF(AND(EXACT($C$73,$C87),ISNUMBER($D$73)),($D$73&gt;$D87)+($D$73=$D87)/2,0),IF(AND(EXACT($C$74,$C87),ISNUMBER($D$74)),($D$74&gt;$D87)+($D$74=$D87)/2,0),IF(AND(EXACT($C$75,$C87),ISNUMBER($D$75)),($D$75&gt;$D87)+($D$75=$D87)/2,0),IF(AND(EXACT($C$76,$C87),ISNUMBER($D$76)),($D$76&gt;$D87)+($D$76=$D87)/2,0),IF(AND(EXACT($C$77,$C87),ISNUMBER($D$77)),($D$77&gt;$D87)+($D$77=$D87)/2,0),IF(AND(EXACT($C$78,$C87),ISNUMBER($D$78)),($D$78&gt;$D87)+($D$78=$D87)/2,0),IF(AND(EXACT($C$79,$C87),ISNUMBER($D$79)),($D$79&gt;$D87)+($D$79=$D87)/2,0),IF(AND(EXACT($C$80,$C87),ISNUMBER($D$80)),($D$80&gt;$D87)+($D$80=$D87)/2,0),IF(AND(EXACT($C$81,$C87),ISNUMBER($D$81)),($D$81&gt;$D87)+($D$81=$D87)/2,0),IF(AND(EXACT($C$82,$C87),ISNUMBER($D$82)),($D$82&gt;$D87)+($D$82=$D87)/2,0),IF(AND(EXACT($C$83,$C87),ISNUMBER($D$83)),($D$83&gt;$D87)+($D$83=$D87)/2,0),IF(AND(EXACT($C$84,$C87),ISNUMBER($D$84)),($D$84&gt;$D87)+($D$84=$D87)/2,0),IF(AND(EXACT($C$85,$C87),ISNUMBER($D$85)),($D$85&gt;$D87)+($D$85=$D87)/2,0),IF(AND(EXACT($C$86,$C87),ISNUMBER($D$86)),($D$86&gt;$D87)+($D$86=$D87)/2,0),IF(AND(EXACT($C$87,$C87),ISNUMBER($D$87)),($D$87&gt;$D87)+($D$87=$D87)/2,0),IF(AND(EXACT($C$88,$C87),ISNUMBER($D$88)),($D$88&gt;$D87)+($D$88=$D87)/2,0),IF(AND(EXACT($C$89,$C87),ISNUMBER($D$89)),($D$89&gt;$D87)+($D$89=$D87)/2,0),IF(AND(EXACT($C$90,$C87),ISNUMBER($D$90)),($D$90&gt;$D87)+($D$90=$D87)/2,0),IF(AND(EXACT($C$91,$C87),ISNUMBER($D$91)),($D$91&gt;$D87)+($D$91=$D87)/2,0),IF(AND(EXACT($C$92,$C87),ISNUMBER($D$92)),($D$92&gt;$D87)+($D$92=$D87)/2,0),IF(AND(EXACT($C$93,$C87),ISNUMBER($D$93)),($D$93&gt;$D87)+($D$93=$D87)/2,0),IF(AND(EXACT($C$94,$C87),ISNUMBER($D$94)),($D$94&gt;$D87)+($D$94=$D87)/2,0),IF(AND(EXACT($C$95,$C87),ISNUMBER($D$95)),($D$95&gt;$D87)+($D$95=$D87)/2,0),IF(AND(EXACT($C$96,$C87),ISNUMBER($D$96)),($D$96&gt;$D87)+($D$96=$D87)/2,0),IF(AND(EXACT($C$97,$C87),ISNUMBER($D$97)),($D$97&gt;$D87)+($D$97=$D87)/2,0),IF(AND(EXACT($C$98,$C87),ISNUMBER($D$98)),($D$98&gt;$D87)+($D$98=$D87)/2,0),IF(AND(EXACT($C$99,$C87),ISNUMBER($D$99)),($D$99&gt;$D87)+($D$99=$D87)/2,0),IF(AND(EXACT($C$100,$C87),ISNUMBER($D$100)),($D$100&gt;$D87)+($D$100=$D87)/2,0),IF(AND(EXACT($C$101,$C87),ISNUMBER($D$101)),($D$101&gt;$D87)+($D$101=$D87)/2,0),IF(AND(EXACT($C$102,$C87),ISNUMBER($D$102)),($D$102&gt;$D87)+($D$102=$D87)/2,0),IF(AND(EXACT($C$103,$C87),ISNUMBER($D$103)),($D$103&gt;$D87)+($D$103=$D87)/2,0),IF(AND(EXACT($C$104,$C87),ISNUMBER($D$104)),($D$104&gt;$D87)+($D$104=$D87)/2,0),IF(AND(EXACT($C$105,$C87),ISNUMBER($D$105)),($D$105&gt;$D87)+($D$105=$D87)/2,0),IF(AND(EXACT($C$106,$C87),ISNUMBER($D$106)),($D$106&gt;$D87)+($D$106=$D87)/2,0)))</x:f>
      </x:c>
    </x:row>
    <x:row r="88">
      <x:c r="A88" s="34" t="str">
        <x:f>IF('91_CALC_SCORES'!A88="","",'91_CALC_SCORES'!A88)</x:f>
      </x:c>
      <x:c r="B88" s="34" t="str">
        <x:f>IF($A88="","",'91_CALC_SCORES'!B88)</x:f>
      </x:c>
      <x:c r="C88" s="34" t="str">
        <x:f>IF($A88="","",'91_CALC_SCORES'!K88)</x:f>
      </x:c>
      <x:c r="D88" s="57" t="str">
        <x:f>IF(OR($A88="",NOT(OR(LEFT('91_CALC_SCORES'!AB88,4)="PASS",LEFT('91_CALC_SCORES'!AB88,5)="READY"))),"",'91_CALC_SCORES'!Y88)</x:f>
      </x:c>
      <x:c r="E88" s="34" t="str">
        <x:f>IF(COUNT(D88)=0,"",1+SUM(AN88:AO88)-1/2)</x:f>
      </x:c>
      <x:c r="F88" s="34" t="str">
        <x:f>IF($A88="","",'91_CALC_SCORES'!AB88)</x:f>
      </x:c>
      <x:c r="G88" s="34" t="str">
        <x:f>IF(A88="","","연구 베타 | 기업 백분위 아님")</x:f>
      </x:c>
      <x:c r="AN88" s="34" t="str">
        <x:f>IF(COUNT($D88)=0,"",SUM(IF(AND(EXACT($C$7,$C88),ISNUMBER($D$7)),($D$7&gt;$D88)+($D$7=$D88)/2,0),IF(AND(EXACT($C$8,$C88),ISNUMBER($D$8)),($D$8&gt;$D88)+($D$8=$D88)/2,0),IF(AND(EXACT($C$9,$C88),ISNUMBER($D$9)),($D$9&gt;$D88)+($D$9=$D88)/2,0),IF(AND(EXACT($C$10,$C88),ISNUMBER($D$10)),($D$10&gt;$D88)+($D$10=$D88)/2,0),IF(AND(EXACT($C$11,$C88),ISNUMBER($D$11)),($D$11&gt;$D88)+($D$11=$D88)/2,0),IF(AND(EXACT($C$12,$C88),ISNUMBER($D$12)),($D$12&gt;$D88)+($D$12=$D88)/2,0),IF(AND(EXACT($C$13,$C88),ISNUMBER($D$13)),($D$13&gt;$D88)+($D$13=$D88)/2,0),IF(AND(EXACT($C$14,$C88),ISNUMBER($D$14)),($D$14&gt;$D88)+($D$14=$D88)/2,0),IF(AND(EXACT($C$15,$C88),ISNUMBER($D$15)),($D$15&gt;$D88)+($D$15=$D88)/2,0),IF(AND(EXACT($C$16,$C88),ISNUMBER($D$16)),($D$16&gt;$D88)+($D$16=$D88)/2,0),IF(AND(EXACT($C$17,$C88),ISNUMBER($D$17)),($D$17&gt;$D88)+($D$17=$D88)/2,0),IF(AND(EXACT($C$18,$C88),ISNUMBER($D$18)),($D$18&gt;$D88)+($D$18=$D88)/2,0),IF(AND(EXACT($C$19,$C88),ISNUMBER($D$19)),($D$19&gt;$D88)+($D$19=$D88)/2,0),IF(AND(EXACT($C$20,$C88),ISNUMBER($D$20)),($D$20&gt;$D88)+($D$20=$D88)/2,0),IF(AND(EXACT($C$21,$C88),ISNUMBER($D$21)),($D$21&gt;$D88)+($D$21=$D88)/2,0),IF(AND(EXACT($C$22,$C88),ISNUMBER($D$22)),($D$22&gt;$D88)+($D$22=$D88)/2,0),IF(AND(EXACT($C$23,$C88),ISNUMBER($D$23)),($D$23&gt;$D88)+($D$23=$D88)/2,0),IF(AND(EXACT($C$24,$C88),ISNUMBER($D$24)),($D$24&gt;$D88)+($D$24=$D88)/2,0),IF(AND(EXACT($C$25,$C88),ISNUMBER($D$25)),($D$25&gt;$D88)+($D$25=$D88)/2,0),IF(AND(EXACT($C$26,$C88),ISNUMBER($D$26)),($D$26&gt;$D88)+($D$26=$D88)/2,0),IF(AND(EXACT($C$27,$C88),ISNUMBER($D$27)),($D$27&gt;$D88)+($D$27=$D88)/2,0),IF(AND(EXACT($C$28,$C88),ISNUMBER($D$28)),($D$28&gt;$D88)+($D$28=$D88)/2,0),IF(AND(EXACT($C$29,$C88),ISNUMBER($D$29)),($D$29&gt;$D88)+($D$29=$D88)/2,0),IF(AND(EXACT($C$30,$C88),ISNUMBER($D$30)),($D$30&gt;$D88)+($D$30=$D88)/2,0),IF(AND(EXACT($C$31,$C88),ISNUMBER($D$31)),($D$31&gt;$D88)+($D$31=$D88)/2,0),IF(AND(EXACT($C$32,$C88),ISNUMBER($D$32)),($D$32&gt;$D88)+($D$32=$D88)/2,0),IF(AND(EXACT($C$33,$C88),ISNUMBER($D$33)),($D$33&gt;$D88)+($D$33=$D88)/2,0),IF(AND(EXACT($C$34,$C88),ISNUMBER($D$34)),($D$34&gt;$D88)+($D$34=$D88)/2,0),IF(AND(EXACT($C$35,$C88),ISNUMBER($D$35)),($D$35&gt;$D88)+($D$35=$D88)/2,0),IF(AND(EXACT($C$36,$C88),ISNUMBER($D$36)),($D$36&gt;$D88)+($D$36=$D88)/2,0),IF(AND(EXACT($C$37,$C88),ISNUMBER($D$37)),($D$37&gt;$D88)+($D$37=$D88)/2,0),IF(AND(EXACT($C$38,$C88),ISNUMBER($D$38)),($D$38&gt;$D88)+($D$38=$D88)/2,0),IF(AND(EXACT($C$39,$C88),ISNUMBER($D$39)),($D$39&gt;$D88)+($D$39=$D88)/2,0),IF(AND(EXACT($C$40,$C88),ISNUMBER($D$40)),($D$40&gt;$D88)+($D$40=$D88)/2,0),IF(AND(EXACT($C$41,$C88),ISNUMBER($D$41)),($D$41&gt;$D88)+($D$41=$D88)/2,0),IF(AND(EXACT($C$42,$C88),ISNUMBER($D$42)),($D$42&gt;$D88)+($D$42=$D88)/2,0),IF(AND(EXACT($C$43,$C88),ISNUMBER($D$43)),($D$43&gt;$D88)+($D$43=$D88)/2,0),IF(AND(EXACT($C$44,$C88),ISNUMBER($D$44)),($D$44&gt;$D88)+($D$44=$D88)/2,0),IF(AND(EXACT($C$45,$C88),ISNUMBER($D$45)),($D$45&gt;$D88)+($D$45=$D88)/2,0),IF(AND(EXACT($C$46,$C88),ISNUMBER($D$46)),($D$46&gt;$D88)+($D$46=$D88)/2,0),IF(AND(EXACT($C$47,$C88),ISNUMBER($D$47)),($D$47&gt;$D88)+($D$47=$D88)/2,0),IF(AND(EXACT($C$48,$C88),ISNUMBER($D$48)),($D$48&gt;$D88)+($D$48=$D88)/2,0),IF(AND(EXACT($C$49,$C88),ISNUMBER($D$49)),($D$49&gt;$D88)+($D$49=$D88)/2,0),IF(AND(EXACT($C$50,$C88),ISNUMBER($D$50)),($D$50&gt;$D88)+($D$50=$D88)/2,0),IF(AND(EXACT($C$51,$C88),ISNUMBER($D$51)),($D$51&gt;$D88)+($D$51=$D88)/2,0),IF(AND(EXACT($C$52,$C88),ISNUMBER($D$52)),($D$52&gt;$D88)+($D$52=$D88)/2,0),IF(AND(EXACT($C$53,$C88),ISNUMBER($D$53)),($D$53&gt;$D88)+($D$53=$D88)/2,0),IF(AND(EXACT($C$54,$C88),ISNUMBER($D$54)),($D$54&gt;$D88)+($D$54=$D88)/2,0),IF(AND(EXACT($C$55,$C88),ISNUMBER($D$55)),($D$55&gt;$D88)+($D$55=$D88)/2,0),IF(AND(EXACT($C$56,$C88),ISNUMBER($D$56)),($D$56&gt;$D88)+($D$56=$D88)/2,0)))</x:f>
      </x:c>
      <x:c r="AO88" s="34" t="str">
        <x:f>IF(COUNT($D88)=0,"",SUM(IF(AND(EXACT($C$57,$C88),ISNUMBER($D$57)),($D$57&gt;$D88)+($D$57=$D88)/2,0),IF(AND(EXACT($C$58,$C88),ISNUMBER($D$58)),($D$58&gt;$D88)+($D$58=$D88)/2,0),IF(AND(EXACT($C$59,$C88),ISNUMBER($D$59)),($D$59&gt;$D88)+($D$59=$D88)/2,0),IF(AND(EXACT($C$60,$C88),ISNUMBER($D$60)),($D$60&gt;$D88)+($D$60=$D88)/2,0),IF(AND(EXACT($C$61,$C88),ISNUMBER($D$61)),($D$61&gt;$D88)+($D$61=$D88)/2,0),IF(AND(EXACT($C$62,$C88),ISNUMBER($D$62)),($D$62&gt;$D88)+($D$62=$D88)/2,0),IF(AND(EXACT($C$63,$C88),ISNUMBER($D$63)),($D$63&gt;$D88)+($D$63=$D88)/2,0),IF(AND(EXACT($C$64,$C88),ISNUMBER($D$64)),($D$64&gt;$D88)+($D$64=$D88)/2,0),IF(AND(EXACT($C$65,$C88),ISNUMBER($D$65)),($D$65&gt;$D88)+($D$65=$D88)/2,0),IF(AND(EXACT($C$66,$C88),ISNUMBER($D$66)),($D$66&gt;$D88)+($D$66=$D88)/2,0),IF(AND(EXACT($C$67,$C88),ISNUMBER($D$67)),($D$67&gt;$D88)+($D$67=$D88)/2,0),IF(AND(EXACT($C$68,$C88),ISNUMBER($D$68)),($D$68&gt;$D88)+($D$68=$D88)/2,0),IF(AND(EXACT($C$69,$C88),ISNUMBER($D$69)),($D$69&gt;$D88)+($D$69=$D88)/2,0),IF(AND(EXACT($C$70,$C88),ISNUMBER($D$70)),($D$70&gt;$D88)+($D$70=$D88)/2,0),IF(AND(EXACT($C$71,$C88),ISNUMBER($D$71)),($D$71&gt;$D88)+($D$71=$D88)/2,0),IF(AND(EXACT($C$72,$C88),ISNUMBER($D$72)),($D$72&gt;$D88)+($D$72=$D88)/2,0),IF(AND(EXACT($C$73,$C88),ISNUMBER($D$73)),($D$73&gt;$D88)+($D$73=$D88)/2,0),IF(AND(EXACT($C$74,$C88),ISNUMBER($D$74)),($D$74&gt;$D88)+($D$74=$D88)/2,0),IF(AND(EXACT($C$75,$C88),ISNUMBER($D$75)),($D$75&gt;$D88)+($D$75=$D88)/2,0),IF(AND(EXACT($C$76,$C88),ISNUMBER($D$76)),($D$76&gt;$D88)+($D$76=$D88)/2,0),IF(AND(EXACT($C$77,$C88),ISNUMBER($D$77)),($D$77&gt;$D88)+($D$77=$D88)/2,0),IF(AND(EXACT($C$78,$C88),ISNUMBER($D$78)),($D$78&gt;$D88)+($D$78=$D88)/2,0),IF(AND(EXACT($C$79,$C88),ISNUMBER($D$79)),($D$79&gt;$D88)+($D$79=$D88)/2,0),IF(AND(EXACT($C$80,$C88),ISNUMBER($D$80)),($D$80&gt;$D88)+($D$80=$D88)/2,0),IF(AND(EXACT($C$81,$C88),ISNUMBER($D$81)),($D$81&gt;$D88)+($D$81=$D88)/2,0),IF(AND(EXACT($C$82,$C88),ISNUMBER($D$82)),($D$82&gt;$D88)+($D$82=$D88)/2,0),IF(AND(EXACT($C$83,$C88),ISNUMBER($D$83)),($D$83&gt;$D88)+($D$83=$D88)/2,0),IF(AND(EXACT($C$84,$C88),ISNUMBER($D$84)),($D$84&gt;$D88)+($D$84=$D88)/2,0),IF(AND(EXACT($C$85,$C88),ISNUMBER($D$85)),($D$85&gt;$D88)+($D$85=$D88)/2,0),IF(AND(EXACT($C$86,$C88),ISNUMBER($D$86)),($D$86&gt;$D88)+($D$86=$D88)/2,0),IF(AND(EXACT($C$87,$C88),ISNUMBER($D$87)),($D$87&gt;$D88)+($D$87=$D88)/2,0),IF(AND(EXACT($C$88,$C88),ISNUMBER($D$88)),($D$88&gt;$D88)+($D$88=$D88)/2,0),IF(AND(EXACT($C$89,$C88),ISNUMBER($D$89)),($D$89&gt;$D88)+($D$89=$D88)/2,0),IF(AND(EXACT($C$90,$C88),ISNUMBER($D$90)),($D$90&gt;$D88)+($D$90=$D88)/2,0),IF(AND(EXACT($C$91,$C88),ISNUMBER($D$91)),($D$91&gt;$D88)+($D$91=$D88)/2,0),IF(AND(EXACT($C$92,$C88),ISNUMBER($D$92)),($D$92&gt;$D88)+($D$92=$D88)/2,0),IF(AND(EXACT($C$93,$C88),ISNUMBER($D$93)),($D$93&gt;$D88)+($D$93=$D88)/2,0),IF(AND(EXACT($C$94,$C88),ISNUMBER($D$94)),($D$94&gt;$D88)+($D$94=$D88)/2,0),IF(AND(EXACT($C$95,$C88),ISNUMBER($D$95)),($D$95&gt;$D88)+($D$95=$D88)/2,0),IF(AND(EXACT($C$96,$C88),ISNUMBER($D$96)),($D$96&gt;$D88)+($D$96=$D88)/2,0),IF(AND(EXACT($C$97,$C88),ISNUMBER($D$97)),($D$97&gt;$D88)+($D$97=$D88)/2,0),IF(AND(EXACT($C$98,$C88),ISNUMBER($D$98)),($D$98&gt;$D88)+($D$98=$D88)/2,0),IF(AND(EXACT($C$99,$C88),ISNUMBER($D$99)),($D$99&gt;$D88)+($D$99=$D88)/2,0),IF(AND(EXACT($C$100,$C88),ISNUMBER($D$100)),($D$100&gt;$D88)+($D$100=$D88)/2,0),IF(AND(EXACT($C$101,$C88),ISNUMBER($D$101)),($D$101&gt;$D88)+($D$101=$D88)/2,0),IF(AND(EXACT($C$102,$C88),ISNUMBER($D$102)),($D$102&gt;$D88)+($D$102=$D88)/2,0),IF(AND(EXACT($C$103,$C88),ISNUMBER($D$103)),($D$103&gt;$D88)+($D$103=$D88)/2,0),IF(AND(EXACT($C$104,$C88),ISNUMBER($D$104)),($D$104&gt;$D88)+($D$104=$D88)/2,0),IF(AND(EXACT($C$105,$C88),ISNUMBER($D$105)),($D$105&gt;$D88)+($D$105=$D88)/2,0),IF(AND(EXACT($C$106,$C88),ISNUMBER($D$106)),($D$106&gt;$D88)+($D$106=$D88)/2,0)))</x:f>
      </x:c>
    </x:row>
    <x:row r="89">
      <x:c r="A89" s="34" t="str">
        <x:f>IF('91_CALC_SCORES'!A89="","",'91_CALC_SCORES'!A89)</x:f>
      </x:c>
      <x:c r="B89" s="34" t="str">
        <x:f>IF($A89="","",'91_CALC_SCORES'!B89)</x:f>
      </x:c>
      <x:c r="C89" s="34" t="str">
        <x:f>IF($A89="","",'91_CALC_SCORES'!K89)</x:f>
      </x:c>
      <x:c r="D89" s="57" t="str">
        <x:f>IF(OR($A89="",NOT(OR(LEFT('91_CALC_SCORES'!AB89,4)="PASS",LEFT('91_CALC_SCORES'!AB89,5)="READY"))),"",'91_CALC_SCORES'!Y89)</x:f>
      </x:c>
      <x:c r="E89" s="34" t="str">
        <x:f>IF(COUNT(D89)=0,"",1+SUM(AN89:AO89)-1/2)</x:f>
      </x:c>
      <x:c r="F89" s="34" t="str">
        <x:f>IF($A89="","",'91_CALC_SCORES'!AB89)</x:f>
      </x:c>
      <x:c r="G89" s="34" t="str">
        <x:f>IF(A89="","","연구 베타 | 기업 백분위 아님")</x:f>
      </x:c>
      <x:c r="AN89" s="34" t="str">
        <x:f>IF(COUNT($D89)=0,"",SUM(IF(AND(EXACT($C$7,$C89),ISNUMBER($D$7)),($D$7&gt;$D89)+($D$7=$D89)/2,0),IF(AND(EXACT($C$8,$C89),ISNUMBER($D$8)),($D$8&gt;$D89)+($D$8=$D89)/2,0),IF(AND(EXACT($C$9,$C89),ISNUMBER($D$9)),($D$9&gt;$D89)+($D$9=$D89)/2,0),IF(AND(EXACT($C$10,$C89),ISNUMBER($D$10)),($D$10&gt;$D89)+($D$10=$D89)/2,0),IF(AND(EXACT($C$11,$C89),ISNUMBER($D$11)),($D$11&gt;$D89)+($D$11=$D89)/2,0),IF(AND(EXACT($C$12,$C89),ISNUMBER($D$12)),($D$12&gt;$D89)+($D$12=$D89)/2,0),IF(AND(EXACT($C$13,$C89),ISNUMBER($D$13)),($D$13&gt;$D89)+($D$13=$D89)/2,0),IF(AND(EXACT($C$14,$C89),ISNUMBER($D$14)),($D$14&gt;$D89)+($D$14=$D89)/2,0),IF(AND(EXACT($C$15,$C89),ISNUMBER($D$15)),($D$15&gt;$D89)+($D$15=$D89)/2,0),IF(AND(EXACT($C$16,$C89),ISNUMBER($D$16)),($D$16&gt;$D89)+($D$16=$D89)/2,0),IF(AND(EXACT($C$17,$C89),ISNUMBER($D$17)),($D$17&gt;$D89)+($D$17=$D89)/2,0),IF(AND(EXACT($C$18,$C89),ISNUMBER($D$18)),($D$18&gt;$D89)+($D$18=$D89)/2,0),IF(AND(EXACT($C$19,$C89),ISNUMBER($D$19)),($D$19&gt;$D89)+($D$19=$D89)/2,0),IF(AND(EXACT($C$20,$C89),ISNUMBER($D$20)),($D$20&gt;$D89)+($D$20=$D89)/2,0),IF(AND(EXACT($C$21,$C89),ISNUMBER($D$21)),($D$21&gt;$D89)+($D$21=$D89)/2,0),IF(AND(EXACT($C$22,$C89),ISNUMBER($D$22)),($D$22&gt;$D89)+($D$22=$D89)/2,0),IF(AND(EXACT($C$23,$C89),ISNUMBER($D$23)),($D$23&gt;$D89)+($D$23=$D89)/2,0),IF(AND(EXACT($C$24,$C89),ISNUMBER($D$24)),($D$24&gt;$D89)+($D$24=$D89)/2,0),IF(AND(EXACT($C$25,$C89),ISNUMBER($D$25)),($D$25&gt;$D89)+($D$25=$D89)/2,0),IF(AND(EXACT($C$26,$C89),ISNUMBER($D$26)),($D$26&gt;$D89)+($D$26=$D89)/2,0),IF(AND(EXACT($C$27,$C89),ISNUMBER($D$27)),($D$27&gt;$D89)+($D$27=$D89)/2,0),IF(AND(EXACT($C$28,$C89),ISNUMBER($D$28)),($D$28&gt;$D89)+($D$28=$D89)/2,0),IF(AND(EXACT($C$29,$C89),ISNUMBER($D$29)),($D$29&gt;$D89)+($D$29=$D89)/2,0),IF(AND(EXACT($C$30,$C89),ISNUMBER($D$30)),($D$30&gt;$D89)+($D$30=$D89)/2,0),IF(AND(EXACT($C$31,$C89),ISNUMBER($D$31)),($D$31&gt;$D89)+($D$31=$D89)/2,0),IF(AND(EXACT($C$32,$C89),ISNUMBER($D$32)),($D$32&gt;$D89)+($D$32=$D89)/2,0),IF(AND(EXACT($C$33,$C89),ISNUMBER($D$33)),($D$33&gt;$D89)+($D$33=$D89)/2,0),IF(AND(EXACT($C$34,$C89),ISNUMBER($D$34)),($D$34&gt;$D89)+($D$34=$D89)/2,0),IF(AND(EXACT($C$35,$C89),ISNUMBER($D$35)),($D$35&gt;$D89)+($D$35=$D89)/2,0),IF(AND(EXACT($C$36,$C89),ISNUMBER($D$36)),($D$36&gt;$D89)+($D$36=$D89)/2,0),IF(AND(EXACT($C$37,$C89),ISNUMBER($D$37)),($D$37&gt;$D89)+($D$37=$D89)/2,0),IF(AND(EXACT($C$38,$C89),ISNUMBER($D$38)),($D$38&gt;$D89)+($D$38=$D89)/2,0),IF(AND(EXACT($C$39,$C89),ISNUMBER($D$39)),($D$39&gt;$D89)+($D$39=$D89)/2,0),IF(AND(EXACT($C$40,$C89),ISNUMBER($D$40)),($D$40&gt;$D89)+($D$40=$D89)/2,0),IF(AND(EXACT($C$41,$C89),ISNUMBER($D$41)),($D$41&gt;$D89)+($D$41=$D89)/2,0),IF(AND(EXACT($C$42,$C89),ISNUMBER($D$42)),($D$42&gt;$D89)+($D$42=$D89)/2,0),IF(AND(EXACT($C$43,$C89),ISNUMBER($D$43)),($D$43&gt;$D89)+($D$43=$D89)/2,0),IF(AND(EXACT($C$44,$C89),ISNUMBER($D$44)),($D$44&gt;$D89)+($D$44=$D89)/2,0),IF(AND(EXACT($C$45,$C89),ISNUMBER($D$45)),($D$45&gt;$D89)+($D$45=$D89)/2,0),IF(AND(EXACT($C$46,$C89),ISNUMBER($D$46)),($D$46&gt;$D89)+($D$46=$D89)/2,0),IF(AND(EXACT($C$47,$C89),ISNUMBER($D$47)),($D$47&gt;$D89)+($D$47=$D89)/2,0),IF(AND(EXACT($C$48,$C89),ISNUMBER($D$48)),($D$48&gt;$D89)+($D$48=$D89)/2,0),IF(AND(EXACT($C$49,$C89),ISNUMBER($D$49)),($D$49&gt;$D89)+($D$49=$D89)/2,0),IF(AND(EXACT($C$50,$C89),ISNUMBER($D$50)),($D$50&gt;$D89)+($D$50=$D89)/2,0),IF(AND(EXACT($C$51,$C89),ISNUMBER($D$51)),($D$51&gt;$D89)+($D$51=$D89)/2,0),IF(AND(EXACT($C$52,$C89),ISNUMBER($D$52)),($D$52&gt;$D89)+($D$52=$D89)/2,0),IF(AND(EXACT($C$53,$C89),ISNUMBER($D$53)),($D$53&gt;$D89)+($D$53=$D89)/2,0),IF(AND(EXACT($C$54,$C89),ISNUMBER($D$54)),($D$54&gt;$D89)+($D$54=$D89)/2,0),IF(AND(EXACT($C$55,$C89),ISNUMBER($D$55)),($D$55&gt;$D89)+($D$55=$D89)/2,0),IF(AND(EXACT($C$56,$C89),ISNUMBER($D$56)),($D$56&gt;$D89)+($D$56=$D89)/2,0)))</x:f>
      </x:c>
      <x:c r="AO89" s="34" t="str">
        <x:f>IF(COUNT($D89)=0,"",SUM(IF(AND(EXACT($C$57,$C89),ISNUMBER($D$57)),($D$57&gt;$D89)+($D$57=$D89)/2,0),IF(AND(EXACT($C$58,$C89),ISNUMBER($D$58)),($D$58&gt;$D89)+($D$58=$D89)/2,0),IF(AND(EXACT($C$59,$C89),ISNUMBER($D$59)),($D$59&gt;$D89)+($D$59=$D89)/2,0),IF(AND(EXACT($C$60,$C89),ISNUMBER($D$60)),($D$60&gt;$D89)+($D$60=$D89)/2,0),IF(AND(EXACT($C$61,$C89),ISNUMBER($D$61)),($D$61&gt;$D89)+($D$61=$D89)/2,0),IF(AND(EXACT($C$62,$C89),ISNUMBER($D$62)),($D$62&gt;$D89)+($D$62=$D89)/2,0),IF(AND(EXACT($C$63,$C89),ISNUMBER($D$63)),($D$63&gt;$D89)+($D$63=$D89)/2,0),IF(AND(EXACT($C$64,$C89),ISNUMBER($D$64)),($D$64&gt;$D89)+($D$64=$D89)/2,0),IF(AND(EXACT($C$65,$C89),ISNUMBER($D$65)),($D$65&gt;$D89)+($D$65=$D89)/2,0),IF(AND(EXACT($C$66,$C89),ISNUMBER($D$66)),($D$66&gt;$D89)+($D$66=$D89)/2,0),IF(AND(EXACT($C$67,$C89),ISNUMBER($D$67)),($D$67&gt;$D89)+($D$67=$D89)/2,0),IF(AND(EXACT($C$68,$C89),ISNUMBER($D$68)),($D$68&gt;$D89)+($D$68=$D89)/2,0),IF(AND(EXACT($C$69,$C89),ISNUMBER($D$69)),($D$69&gt;$D89)+($D$69=$D89)/2,0),IF(AND(EXACT($C$70,$C89),ISNUMBER($D$70)),($D$70&gt;$D89)+($D$70=$D89)/2,0),IF(AND(EXACT($C$71,$C89),ISNUMBER($D$71)),($D$71&gt;$D89)+($D$71=$D89)/2,0),IF(AND(EXACT($C$72,$C89),ISNUMBER($D$72)),($D$72&gt;$D89)+($D$72=$D89)/2,0),IF(AND(EXACT($C$73,$C89),ISNUMBER($D$73)),($D$73&gt;$D89)+($D$73=$D89)/2,0),IF(AND(EXACT($C$74,$C89),ISNUMBER($D$74)),($D$74&gt;$D89)+($D$74=$D89)/2,0),IF(AND(EXACT($C$75,$C89),ISNUMBER($D$75)),($D$75&gt;$D89)+($D$75=$D89)/2,0),IF(AND(EXACT($C$76,$C89),ISNUMBER($D$76)),($D$76&gt;$D89)+($D$76=$D89)/2,0),IF(AND(EXACT($C$77,$C89),ISNUMBER($D$77)),($D$77&gt;$D89)+($D$77=$D89)/2,0),IF(AND(EXACT($C$78,$C89),ISNUMBER($D$78)),($D$78&gt;$D89)+($D$78=$D89)/2,0),IF(AND(EXACT($C$79,$C89),ISNUMBER($D$79)),($D$79&gt;$D89)+($D$79=$D89)/2,0),IF(AND(EXACT($C$80,$C89),ISNUMBER($D$80)),($D$80&gt;$D89)+($D$80=$D89)/2,0),IF(AND(EXACT($C$81,$C89),ISNUMBER($D$81)),($D$81&gt;$D89)+($D$81=$D89)/2,0),IF(AND(EXACT($C$82,$C89),ISNUMBER($D$82)),($D$82&gt;$D89)+($D$82=$D89)/2,0),IF(AND(EXACT($C$83,$C89),ISNUMBER($D$83)),($D$83&gt;$D89)+($D$83=$D89)/2,0),IF(AND(EXACT($C$84,$C89),ISNUMBER($D$84)),($D$84&gt;$D89)+($D$84=$D89)/2,0),IF(AND(EXACT($C$85,$C89),ISNUMBER($D$85)),($D$85&gt;$D89)+($D$85=$D89)/2,0),IF(AND(EXACT($C$86,$C89),ISNUMBER($D$86)),($D$86&gt;$D89)+($D$86=$D89)/2,0),IF(AND(EXACT($C$87,$C89),ISNUMBER($D$87)),($D$87&gt;$D89)+($D$87=$D89)/2,0),IF(AND(EXACT($C$88,$C89),ISNUMBER($D$88)),($D$88&gt;$D89)+($D$88=$D89)/2,0),IF(AND(EXACT($C$89,$C89),ISNUMBER($D$89)),($D$89&gt;$D89)+($D$89=$D89)/2,0),IF(AND(EXACT($C$90,$C89),ISNUMBER($D$90)),($D$90&gt;$D89)+($D$90=$D89)/2,0),IF(AND(EXACT($C$91,$C89),ISNUMBER($D$91)),($D$91&gt;$D89)+($D$91=$D89)/2,0),IF(AND(EXACT($C$92,$C89),ISNUMBER($D$92)),($D$92&gt;$D89)+($D$92=$D89)/2,0),IF(AND(EXACT($C$93,$C89),ISNUMBER($D$93)),($D$93&gt;$D89)+($D$93=$D89)/2,0),IF(AND(EXACT($C$94,$C89),ISNUMBER($D$94)),($D$94&gt;$D89)+($D$94=$D89)/2,0),IF(AND(EXACT($C$95,$C89),ISNUMBER($D$95)),($D$95&gt;$D89)+($D$95=$D89)/2,0),IF(AND(EXACT($C$96,$C89),ISNUMBER($D$96)),($D$96&gt;$D89)+($D$96=$D89)/2,0),IF(AND(EXACT($C$97,$C89),ISNUMBER($D$97)),($D$97&gt;$D89)+($D$97=$D89)/2,0),IF(AND(EXACT($C$98,$C89),ISNUMBER($D$98)),($D$98&gt;$D89)+($D$98=$D89)/2,0),IF(AND(EXACT($C$99,$C89),ISNUMBER($D$99)),($D$99&gt;$D89)+($D$99=$D89)/2,0),IF(AND(EXACT($C$100,$C89),ISNUMBER($D$100)),($D$100&gt;$D89)+($D$100=$D89)/2,0),IF(AND(EXACT($C$101,$C89),ISNUMBER($D$101)),($D$101&gt;$D89)+($D$101=$D89)/2,0),IF(AND(EXACT($C$102,$C89),ISNUMBER($D$102)),($D$102&gt;$D89)+($D$102=$D89)/2,0),IF(AND(EXACT($C$103,$C89),ISNUMBER($D$103)),($D$103&gt;$D89)+($D$103=$D89)/2,0),IF(AND(EXACT($C$104,$C89),ISNUMBER($D$104)),($D$104&gt;$D89)+($D$104=$D89)/2,0),IF(AND(EXACT($C$105,$C89),ISNUMBER($D$105)),($D$105&gt;$D89)+($D$105=$D89)/2,0),IF(AND(EXACT($C$106,$C89),ISNUMBER($D$106)),($D$106&gt;$D89)+($D$106=$D89)/2,0)))</x:f>
      </x:c>
    </x:row>
    <x:row r="90">
      <x:c r="A90" s="34" t="str">
        <x:f>IF('91_CALC_SCORES'!A90="","",'91_CALC_SCORES'!A90)</x:f>
      </x:c>
      <x:c r="B90" s="34" t="str">
        <x:f>IF($A90="","",'91_CALC_SCORES'!B90)</x:f>
      </x:c>
      <x:c r="C90" s="34" t="str">
        <x:f>IF($A90="","",'91_CALC_SCORES'!K90)</x:f>
      </x:c>
      <x:c r="D90" s="57" t="str">
        <x:f>IF(OR($A90="",NOT(OR(LEFT('91_CALC_SCORES'!AB90,4)="PASS",LEFT('91_CALC_SCORES'!AB90,5)="READY"))),"",'91_CALC_SCORES'!Y90)</x:f>
      </x:c>
      <x:c r="E90" s="34" t="str">
        <x:f>IF(COUNT(D90)=0,"",1+SUM(AN90:AO90)-1/2)</x:f>
      </x:c>
      <x:c r="F90" s="34" t="str">
        <x:f>IF($A90="","",'91_CALC_SCORES'!AB90)</x:f>
      </x:c>
      <x:c r="G90" s="34" t="str">
        <x:f>IF(A90="","","연구 베타 | 기업 백분위 아님")</x:f>
      </x:c>
      <x:c r="AN90" s="34" t="str">
        <x:f>IF(COUNT($D90)=0,"",SUM(IF(AND(EXACT($C$7,$C90),ISNUMBER($D$7)),($D$7&gt;$D90)+($D$7=$D90)/2,0),IF(AND(EXACT($C$8,$C90),ISNUMBER($D$8)),($D$8&gt;$D90)+($D$8=$D90)/2,0),IF(AND(EXACT($C$9,$C90),ISNUMBER($D$9)),($D$9&gt;$D90)+($D$9=$D90)/2,0),IF(AND(EXACT($C$10,$C90),ISNUMBER($D$10)),($D$10&gt;$D90)+($D$10=$D90)/2,0),IF(AND(EXACT($C$11,$C90),ISNUMBER($D$11)),($D$11&gt;$D90)+($D$11=$D90)/2,0),IF(AND(EXACT($C$12,$C90),ISNUMBER($D$12)),($D$12&gt;$D90)+($D$12=$D90)/2,0),IF(AND(EXACT($C$13,$C90),ISNUMBER($D$13)),($D$13&gt;$D90)+($D$13=$D90)/2,0),IF(AND(EXACT($C$14,$C90),ISNUMBER($D$14)),($D$14&gt;$D90)+($D$14=$D90)/2,0),IF(AND(EXACT($C$15,$C90),ISNUMBER($D$15)),($D$15&gt;$D90)+($D$15=$D90)/2,0),IF(AND(EXACT($C$16,$C90),ISNUMBER($D$16)),($D$16&gt;$D90)+($D$16=$D90)/2,0),IF(AND(EXACT($C$17,$C90),ISNUMBER($D$17)),($D$17&gt;$D90)+($D$17=$D90)/2,0),IF(AND(EXACT($C$18,$C90),ISNUMBER($D$18)),($D$18&gt;$D90)+($D$18=$D90)/2,0),IF(AND(EXACT($C$19,$C90),ISNUMBER($D$19)),($D$19&gt;$D90)+($D$19=$D90)/2,0),IF(AND(EXACT($C$20,$C90),ISNUMBER($D$20)),($D$20&gt;$D90)+($D$20=$D90)/2,0),IF(AND(EXACT($C$21,$C90),ISNUMBER($D$21)),($D$21&gt;$D90)+($D$21=$D90)/2,0),IF(AND(EXACT($C$22,$C90),ISNUMBER($D$22)),($D$22&gt;$D90)+($D$22=$D90)/2,0),IF(AND(EXACT($C$23,$C90),ISNUMBER($D$23)),($D$23&gt;$D90)+($D$23=$D90)/2,0),IF(AND(EXACT($C$24,$C90),ISNUMBER($D$24)),($D$24&gt;$D90)+($D$24=$D90)/2,0),IF(AND(EXACT($C$25,$C90),ISNUMBER($D$25)),($D$25&gt;$D90)+($D$25=$D90)/2,0),IF(AND(EXACT($C$26,$C90),ISNUMBER($D$26)),($D$26&gt;$D90)+($D$26=$D90)/2,0),IF(AND(EXACT($C$27,$C90),ISNUMBER($D$27)),($D$27&gt;$D90)+($D$27=$D90)/2,0),IF(AND(EXACT($C$28,$C90),ISNUMBER($D$28)),($D$28&gt;$D90)+($D$28=$D90)/2,0),IF(AND(EXACT($C$29,$C90),ISNUMBER($D$29)),($D$29&gt;$D90)+($D$29=$D90)/2,0),IF(AND(EXACT($C$30,$C90),ISNUMBER($D$30)),($D$30&gt;$D90)+($D$30=$D90)/2,0),IF(AND(EXACT($C$31,$C90),ISNUMBER($D$31)),($D$31&gt;$D90)+($D$31=$D90)/2,0),IF(AND(EXACT($C$32,$C90),ISNUMBER($D$32)),($D$32&gt;$D90)+($D$32=$D90)/2,0),IF(AND(EXACT($C$33,$C90),ISNUMBER($D$33)),($D$33&gt;$D90)+($D$33=$D90)/2,0),IF(AND(EXACT($C$34,$C90),ISNUMBER($D$34)),($D$34&gt;$D90)+($D$34=$D90)/2,0),IF(AND(EXACT($C$35,$C90),ISNUMBER($D$35)),($D$35&gt;$D90)+($D$35=$D90)/2,0),IF(AND(EXACT($C$36,$C90),ISNUMBER($D$36)),($D$36&gt;$D90)+($D$36=$D90)/2,0),IF(AND(EXACT($C$37,$C90),ISNUMBER($D$37)),($D$37&gt;$D90)+($D$37=$D90)/2,0),IF(AND(EXACT($C$38,$C90),ISNUMBER($D$38)),($D$38&gt;$D90)+($D$38=$D90)/2,0),IF(AND(EXACT($C$39,$C90),ISNUMBER($D$39)),($D$39&gt;$D90)+($D$39=$D90)/2,0),IF(AND(EXACT($C$40,$C90),ISNUMBER($D$40)),($D$40&gt;$D90)+($D$40=$D90)/2,0),IF(AND(EXACT($C$41,$C90),ISNUMBER($D$41)),($D$41&gt;$D90)+($D$41=$D90)/2,0),IF(AND(EXACT($C$42,$C90),ISNUMBER($D$42)),($D$42&gt;$D90)+($D$42=$D90)/2,0),IF(AND(EXACT($C$43,$C90),ISNUMBER($D$43)),($D$43&gt;$D90)+($D$43=$D90)/2,0),IF(AND(EXACT($C$44,$C90),ISNUMBER($D$44)),($D$44&gt;$D90)+($D$44=$D90)/2,0),IF(AND(EXACT($C$45,$C90),ISNUMBER($D$45)),($D$45&gt;$D90)+($D$45=$D90)/2,0),IF(AND(EXACT($C$46,$C90),ISNUMBER($D$46)),($D$46&gt;$D90)+($D$46=$D90)/2,0),IF(AND(EXACT($C$47,$C90),ISNUMBER($D$47)),($D$47&gt;$D90)+($D$47=$D90)/2,0),IF(AND(EXACT($C$48,$C90),ISNUMBER($D$48)),($D$48&gt;$D90)+($D$48=$D90)/2,0),IF(AND(EXACT($C$49,$C90),ISNUMBER($D$49)),($D$49&gt;$D90)+($D$49=$D90)/2,0),IF(AND(EXACT($C$50,$C90),ISNUMBER($D$50)),($D$50&gt;$D90)+($D$50=$D90)/2,0),IF(AND(EXACT($C$51,$C90),ISNUMBER($D$51)),($D$51&gt;$D90)+($D$51=$D90)/2,0),IF(AND(EXACT($C$52,$C90),ISNUMBER($D$52)),($D$52&gt;$D90)+($D$52=$D90)/2,0),IF(AND(EXACT($C$53,$C90),ISNUMBER($D$53)),($D$53&gt;$D90)+($D$53=$D90)/2,0),IF(AND(EXACT($C$54,$C90),ISNUMBER($D$54)),($D$54&gt;$D90)+($D$54=$D90)/2,0),IF(AND(EXACT($C$55,$C90),ISNUMBER($D$55)),($D$55&gt;$D90)+($D$55=$D90)/2,0),IF(AND(EXACT($C$56,$C90),ISNUMBER($D$56)),($D$56&gt;$D90)+($D$56=$D90)/2,0)))</x:f>
      </x:c>
      <x:c r="AO90" s="34" t="str">
        <x:f>IF(COUNT($D90)=0,"",SUM(IF(AND(EXACT($C$57,$C90),ISNUMBER($D$57)),($D$57&gt;$D90)+($D$57=$D90)/2,0),IF(AND(EXACT($C$58,$C90),ISNUMBER($D$58)),($D$58&gt;$D90)+($D$58=$D90)/2,0),IF(AND(EXACT($C$59,$C90),ISNUMBER($D$59)),($D$59&gt;$D90)+($D$59=$D90)/2,0),IF(AND(EXACT($C$60,$C90),ISNUMBER($D$60)),($D$60&gt;$D90)+($D$60=$D90)/2,0),IF(AND(EXACT($C$61,$C90),ISNUMBER($D$61)),($D$61&gt;$D90)+($D$61=$D90)/2,0),IF(AND(EXACT($C$62,$C90),ISNUMBER($D$62)),($D$62&gt;$D90)+($D$62=$D90)/2,0),IF(AND(EXACT($C$63,$C90),ISNUMBER($D$63)),($D$63&gt;$D90)+($D$63=$D90)/2,0),IF(AND(EXACT($C$64,$C90),ISNUMBER($D$64)),($D$64&gt;$D90)+($D$64=$D90)/2,0),IF(AND(EXACT($C$65,$C90),ISNUMBER($D$65)),($D$65&gt;$D90)+($D$65=$D90)/2,0),IF(AND(EXACT($C$66,$C90),ISNUMBER($D$66)),($D$66&gt;$D90)+($D$66=$D90)/2,0),IF(AND(EXACT($C$67,$C90),ISNUMBER($D$67)),($D$67&gt;$D90)+($D$67=$D90)/2,0),IF(AND(EXACT($C$68,$C90),ISNUMBER($D$68)),($D$68&gt;$D90)+($D$68=$D90)/2,0),IF(AND(EXACT($C$69,$C90),ISNUMBER($D$69)),($D$69&gt;$D90)+($D$69=$D90)/2,0),IF(AND(EXACT($C$70,$C90),ISNUMBER($D$70)),($D$70&gt;$D90)+($D$70=$D90)/2,0),IF(AND(EXACT($C$71,$C90),ISNUMBER($D$71)),($D$71&gt;$D90)+($D$71=$D90)/2,0),IF(AND(EXACT($C$72,$C90),ISNUMBER($D$72)),($D$72&gt;$D90)+($D$72=$D90)/2,0),IF(AND(EXACT($C$73,$C90),ISNUMBER($D$73)),($D$73&gt;$D90)+($D$73=$D90)/2,0),IF(AND(EXACT($C$74,$C90),ISNUMBER($D$74)),($D$74&gt;$D90)+($D$74=$D90)/2,0),IF(AND(EXACT($C$75,$C90),ISNUMBER($D$75)),($D$75&gt;$D90)+($D$75=$D90)/2,0),IF(AND(EXACT($C$76,$C90),ISNUMBER($D$76)),($D$76&gt;$D90)+($D$76=$D90)/2,0),IF(AND(EXACT($C$77,$C90),ISNUMBER($D$77)),($D$77&gt;$D90)+($D$77=$D90)/2,0),IF(AND(EXACT($C$78,$C90),ISNUMBER($D$78)),($D$78&gt;$D90)+($D$78=$D90)/2,0),IF(AND(EXACT($C$79,$C90),ISNUMBER($D$79)),($D$79&gt;$D90)+($D$79=$D90)/2,0),IF(AND(EXACT($C$80,$C90),ISNUMBER($D$80)),($D$80&gt;$D90)+($D$80=$D90)/2,0),IF(AND(EXACT($C$81,$C90),ISNUMBER($D$81)),($D$81&gt;$D90)+($D$81=$D90)/2,0),IF(AND(EXACT($C$82,$C90),ISNUMBER($D$82)),($D$82&gt;$D90)+($D$82=$D90)/2,0),IF(AND(EXACT($C$83,$C90),ISNUMBER($D$83)),($D$83&gt;$D90)+($D$83=$D90)/2,0),IF(AND(EXACT($C$84,$C90),ISNUMBER($D$84)),($D$84&gt;$D90)+($D$84=$D90)/2,0),IF(AND(EXACT($C$85,$C90),ISNUMBER($D$85)),($D$85&gt;$D90)+($D$85=$D90)/2,0),IF(AND(EXACT($C$86,$C90),ISNUMBER($D$86)),($D$86&gt;$D90)+($D$86=$D90)/2,0),IF(AND(EXACT($C$87,$C90),ISNUMBER($D$87)),($D$87&gt;$D90)+($D$87=$D90)/2,0),IF(AND(EXACT($C$88,$C90),ISNUMBER($D$88)),($D$88&gt;$D90)+($D$88=$D90)/2,0),IF(AND(EXACT($C$89,$C90),ISNUMBER($D$89)),($D$89&gt;$D90)+($D$89=$D90)/2,0),IF(AND(EXACT($C$90,$C90),ISNUMBER($D$90)),($D$90&gt;$D90)+($D$90=$D90)/2,0),IF(AND(EXACT($C$91,$C90),ISNUMBER($D$91)),($D$91&gt;$D90)+($D$91=$D90)/2,0),IF(AND(EXACT($C$92,$C90),ISNUMBER($D$92)),($D$92&gt;$D90)+($D$92=$D90)/2,0),IF(AND(EXACT($C$93,$C90),ISNUMBER($D$93)),($D$93&gt;$D90)+($D$93=$D90)/2,0),IF(AND(EXACT($C$94,$C90),ISNUMBER($D$94)),($D$94&gt;$D90)+($D$94=$D90)/2,0),IF(AND(EXACT($C$95,$C90),ISNUMBER($D$95)),($D$95&gt;$D90)+($D$95=$D90)/2,0),IF(AND(EXACT($C$96,$C90),ISNUMBER($D$96)),($D$96&gt;$D90)+($D$96=$D90)/2,0),IF(AND(EXACT($C$97,$C90),ISNUMBER($D$97)),($D$97&gt;$D90)+($D$97=$D90)/2,0),IF(AND(EXACT($C$98,$C90),ISNUMBER($D$98)),($D$98&gt;$D90)+($D$98=$D90)/2,0),IF(AND(EXACT($C$99,$C90),ISNUMBER($D$99)),($D$99&gt;$D90)+($D$99=$D90)/2,0),IF(AND(EXACT($C$100,$C90),ISNUMBER($D$100)),($D$100&gt;$D90)+($D$100=$D90)/2,0),IF(AND(EXACT($C$101,$C90),ISNUMBER($D$101)),($D$101&gt;$D90)+($D$101=$D90)/2,0),IF(AND(EXACT($C$102,$C90),ISNUMBER($D$102)),($D$102&gt;$D90)+($D$102=$D90)/2,0),IF(AND(EXACT($C$103,$C90),ISNUMBER($D$103)),($D$103&gt;$D90)+($D$103=$D90)/2,0),IF(AND(EXACT($C$104,$C90),ISNUMBER($D$104)),($D$104&gt;$D90)+($D$104=$D90)/2,0),IF(AND(EXACT($C$105,$C90),ISNUMBER($D$105)),($D$105&gt;$D90)+($D$105=$D90)/2,0),IF(AND(EXACT($C$106,$C90),ISNUMBER($D$106)),($D$106&gt;$D90)+($D$106=$D90)/2,0)))</x:f>
      </x:c>
    </x:row>
    <x:row r="91">
      <x:c r="A91" s="34" t="str">
        <x:f>IF('91_CALC_SCORES'!A91="","",'91_CALC_SCORES'!A91)</x:f>
      </x:c>
      <x:c r="B91" s="34" t="str">
        <x:f>IF($A91="","",'91_CALC_SCORES'!B91)</x:f>
      </x:c>
      <x:c r="C91" s="34" t="str">
        <x:f>IF($A91="","",'91_CALC_SCORES'!K91)</x:f>
      </x:c>
      <x:c r="D91" s="57" t="str">
        <x:f>IF(OR($A91="",NOT(OR(LEFT('91_CALC_SCORES'!AB91,4)="PASS",LEFT('91_CALC_SCORES'!AB91,5)="READY"))),"",'91_CALC_SCORES'!Y91)</x:f>
      </x:c>
      <x:c r="E91" s="34" t="str">
        <x:f>IF(COUNT(D91)=0,"",1+SUM(AN91:AO91)-1/2)</x:f>
      </x:c>
      <x:c r="F91" s="34" t="str">
        <x:f>IF($A91="","",'91_CALC_SCORES'!AB91)</x:f>
      </x:c>
      <x:c r="G91" s="34" t="str">
        <x:f>IF(A91="","","연구 베타 | 기업 백분위 아님")</x:f>
      </x:c>
      <x:c r="AN91" s="34" t="str">
        <x:f>IF(COUNT($D91)=0,"",SUM(IF(AND(EXACT($C$7,$C91),ISNUMBER($D$7)),($D$7&gt;$D91)+($D$7=$D91)/2,0),IF(AND(EXACT($C$8,$C91),ISNUMBER($D$8)),($D$8&gt;$D91)+($D$8=$D91)/2,0),IF(AND(EXACT($C$9,$C91),ISNUMBER($D$9)),($D$9&gt;$D91)+($D$9=$D91)/2,0),IF(AND(EXACT($C$10,$C91),ISNUMBER($D$10)),($D$10&gt;$D91)+($D$10=$D91)/2,0),IF(AND(EXACT($C$11,$C91),ISNUMBER($D$11)),($D$11&gt;$D91)+($D$11=$D91)/2,0),IF(AND(EXACT($C$12,$C91),ISNUMBER($D$12)),($D$12&gt;$D91)+($D$12=$D91)/2,0),IF(AND(EXACT($C$13,$C91),ISNUMBER($D$13)),($D$13&gt;$D91)+($D$13=$D91)/2,0),IF(AND(EXACT($C$14,$C91),ISNUMBER($D$14)),($D$14&gt;$D91)+($D$14=$D91)/2,0),IF(AND(EXACT($C$15,$C91),ISNUMBER($D$15)),($D$15&gt;$D91)+($D$15=$D91)/2,0),IF(AND(EXACT($C$16,$C91),ISNUMBER($D$16)),($D$16&gt;$D91)+($D$16=$D91)/2,0),IF(AND(EXACT($C$17,$C91),ISNUMBER($D$17)),($D$17&gt;$D91)+($D$17=$D91)/2,0),IF(AND(EXACT($C$18,$C91),ISNUMBER($D$18)),($D$18&gt;$D91)+($D$18=$D91)/2,0),IF(AND(EXACT($C$19,$C91),ISNUMBER($D$19)),($D$19&gt;$D91)+($D$19=$D91)/2,0),IF(AND(EXACT($C$20,$C91),ISNUMBER($D$20)),($D$20&gt;$D91)+($D$20=$D91)/2,0),IF(AND(EXACT($C$21,$C91),ISNUMBER($D$21)),($D$21&gt;$D91)+($D$21=$D91)/2,0),IF(AND(EXACT($C$22,$C91),ISNUMBER($D$22)),($D$22&gt;$D91)+($D$22=$D91)/2,0),IF(AND(EXACT($C$23,$C91),ISNUMBER($D$23)),($D$23&gt;$D91)+($D$23=$D91)/2,0),IF(AND(EXACT($C$24,$C91),ISNUMBER($D$24)),($D$24&gt;$D91)+($D$24=$D91)/2,0),IF(AND(EXACT($C$25,$C91),ISNUMBER($D$25)),($D$25&gt;$D91)+($D$25=$D91)/2,0),IF(AND(EXACT($C$26,$C91),ISNUMBER($D$26)),($D$26&gt;$D91)+($D$26=$D91)/2,0),IF(AND(EXACT($C$27,$C91),ISNUMBER($D$27)),($D$27&gt;$D91)+($D$27=$D91)/2,0),IF(AND(EXACT($C$28,$C91),ISNUMBER($D$28)),($D$28&gt;$D91)+($D$28=$D91)/2,0),IF(AND(EXACT($C$29,$C91),ISNUMBER($D$29)),($D$29&gt;$D91)+($D$29=$D91)/2,0),IF(AND(EXACT($C$30,$C91),ISNUMBER($D$30)),($D$30&gt;$D91)+($D$30=$D91)/2,0),IF(AND(EXACT($C$31,$C91),ISNUMBER($D$31)),($D$31&gt;$D91)+($D$31=$D91)/2,0),IF(AND(EXACT($C$32,$C91),ISNUMBER($D$32)),($D$32&gt;$D91)+($D$32=$D91)/2,0),IF(AND(EXACT($C$33,$C91),ISNUMBER($D$33)),($D$33&gt;$D91)+($D$33=$D91)/2,0),IF(AND(EXACT($C$34,$C91),ISNUMBER($D$34)),($D$34&gt;$D91)+($D$34=$D91)/2,0),IF(AND(EXACT($C$35,$C91),ISNUMBER($D$35)),($D$35&gt;$D91)+($D$35=$D91)/2,0),IF(AND(EXACT($C$36,$C91),ISNUMBER($D$36)),($D$36&gt;$D91)+($D$36=$D91)/2,0),IF(AND(EXACT($C$37,$C91),ISNUMBER($D$37)),($D$37&gt;$D91)+($D$37=$D91)/2,0),IF(AND(EXACT($C$38,$C91),ISNUMBER($D$38)),($D$38&gt;$D91)+($D$38=$D91)/2,0),IF(AND(EXACT($C$39,$C91),ISNUMBER($D$39)),($D$39&gt;$D91)+($D$39=$D91)/2,0),IF(AND(EXACT($C$40,$C91),ISNUMBER($D$40)),($D$40&gt;$D91)+($D$40=$D91)/2,0),IF(AND(EXACT($C$41,$C91),ISNUMBER($D$41)),($D$41&gt;$D91)+($D$41=$D91)/2,0),IF(AND(EXACT($C$42,$C91),ISNUMBER($D$42)),($D$42&gt;$D91)+($D$42=$D91)/2,0),IF(AND(EXACT($C$43,$C91),ISNUMBER($D$43)),($D$43&gt;$D91)+($D$43=$D91)/2,0),IF(AND(EXACT($C$44,$C91),ISNUMBER($D$44)),($D$44&gt;$D91)+($D$44=$D91)/2,0),IF(AND(EXACT($C$45,$C91),ISNUMBER($D$45)),($D$45&gt;$D91)+($D$45=$D91)/2,0),IF(AND(EXACT($C$46,$C91),ISNUMBER($D$46)),($D$46&gt;$D91)+($D$46=$D91)/2,0),IF(AND(EXACT($C$47,$C91),ISNUMBER($D$47)),($D$47&gt;$D91)+($D$47=$D91)/2,0),IF(AND(EXACT($C$48,$C91),ISNUMBER($D$48)),($D$48&gt;$D91)+($D$48=$D91)/2,0),IF(AND(EXACT($C$49,$C91),ISNUMBER($D$49)),($D$49&gt;$D91)+($D$49=$D91)/2,0),IF(AND(EXACT($C$50,$C91),ISNUMBER($D$50)),($D$50&gt;$D91)+($D$50=$D91)/2,0),IF(AND(EXACT($C$51,$C91),ISNUMBER($D$51)),($D$51&gt;$D91)+($D$51=$D91)/2,0),IF(AND(EXACT($C$52,$C91),ISNUMBER($D$52)),($D$52&gt;$D91)+($D$52=$D91)/2,0),IF(AND(EXACT($C$53,$C91),ISNUMBER($D$53)),($D$53&gt;$D91)+($D$53=$D91)/2,0),IF(AND(EXACT($C$54,$C91),ISNUMBER($D$54)),($D$54&gt;$D91)+($D$54=$D91)/2,0),IF(AND(EXACT($C$55,$C91),ISNUMBER($D$55)),($D$55&gt;$D91)+($D$55=$D91)/2,0),IF(AND(EXACT($C$56,$C91),ISNUMBER($D$56)),($D$56&gt;$D91)+($D$56=$D91)/2,0)))</x:f>
      </x:c>
      <x:c r="AO91" s="34" t="str">
        <x:f>IF(COUNT($D91)=0,"",SUM(IF(AND(EXACT($C$57,$C91),ISNUMBER($D$57)),($D$57&gt;$D91)+($D$57=$D91)/2,0),IF(AND(EXACT($C$58,$C91),ISNUMBER($D$58)),($D$58&gt;$D91)+($D$58=$D91)/2,0),IF(AND(EXACT($C$59,$C91),ISNUMBER($D$59)),($D$59&gt;$D91)+($D$59=$D91)/2,0),IF(AND(EXACT($C$60,$C91),ISNUMBER($D$60)),($D$60&gt;$D91)+($D$60=$D91)/2,0),IF(AND(EXACT($C$61,$C91),ISNUMBER($D$61)),($D$61&gt;$D91)+($D$61=$D91)/2,0),IF(AND(EXACT($C$62,$C91),ISNUMBER($D$62)),($D$62&gt;$D91)+($D$62=$D91)/2,0),IF(AND(EXACT($C$63,$C91),ISNUMBER($D$63)),($D$63&gt;$D91)+($D$63=$D91)/2,0),IF(AND(EXACT($C$64,$C91),ISNUMBER($D$64)),($D$64&gt;$D91)+($D$64=$D91)/2,0),IF(AND(EXACT($C$65,$C91),ISNUMBER($D$65)),($D$65&gt;$D91)+($D$65=$D91)/2,0),IF(AND(EXACT($C$66,$C91),ISNUMBER($D$66)),($D$66&gt;$D91)+($D$66=$D91)/2,0),IF(AND(EXACT($C$67,$C91),ISNUMBER($D$67)),($D$67&gt;$D91)+($D$67=$D91)/2,0),IF(AND(EXACT($C$68,$C91),ISNUMBER($D$68)),($D$68&gt;$D91)+($D$68=$D91)/2,0),IF(AND(EXACT($C$69,$C91),ISNUMBER($D$69)),($D$69&gt;$D91)+($D$69=$D91)/2,0),IF(AND(EXACT($C$70,$C91),ISNUMBER($D$70)),($D$70&gt;$D91)+($D$70=$D91)/2,0),IF(AND(EXACT($C$71,$C91),ISNUMBER($D$71)),($D$71&gt;$D91)+($D$71=$D91)/2,0),IF(AND(EXACT($C$72,$C91),ISNUMBER($D$72)),($D$72&gt;$D91)+($D$72=$D91)/2,0),IF(AND(EXACT($C$73,$C91),ISNUMBER($D$73)),($D$73&gt;$D91)+($D$73=$D91)/2,0),IF(AND(EXACT($C$74,$C91),ISNUMBER($D$74)),($D$74&gt;$D91)+($D$74=$D91)/2,0),IF(AND(EXACT($C$75,$C91),ISNUMBER($D$75)),($D$75&gt;$D91)+($D$75=$D91)/2,0),IF(AND(EXACT($C$76,$C91),ISNUMBER($D$76)),($D$76&gt;$D91)+($D$76=$D91)/2,0),IF(AND(EXACT($C$77,$C91),ISNUMBER($D$77)),($D$77&gt;$D91)+($D$77=$D91)/2,0),IF(AND(EXACT($C$78,$C91),ISNUMBER($D$78)),($D$78&gt;$D91)+($D$78=$D91)/2,0),IF(AND(EXACT($C$79,$C91),ISNUMBER($D$79)),($D$79&gt;$D91)+($D$79=$D91)/2,0),IF(AND(EXACT($C$80,$C91),ISNUMBER($D$80)),($D$80&gt;$D91)+($D$80=$D91)/2,0),IF(AND(EXACT($C$81,$C91),ISNUMBER($D$81)),($D$81&gt;$D91)+($D$81=$D91)/2,0),IF(AND(EXACT($C$82,$C91),ISNUMBER($D$82)),($D$82&gt;$D91)+($D$82=$D91)/2,0),IF(AND(EXACT($C$83,$C91),ISNUMBER($D$83)),($D$83&gt;$D91)+($D$83=$D91)/2,0),IF(AND(EXACT($C$84,$C91),ISNUMBER($D$84)),($D$84&gt;$D91)+($D$84=$D91)/2,0),IF(AND(EXACT($C$85,$C91),ISNUMBER($D$85)),($D$85&gt;$D91)+($D$85=$D91)/2,0),IF(AND(EXACT($C$86,$C91),ISNUMBER($D$86)),($D$86&gt;$D91)+($D$86=$D91)/2,0),IF(AND(EXACT($C$87,$C91),ISNUMBER($D$87)),($D$87&gt;$D91)+($D$87=$D91)/2,0),IF(AND(EXACT($C$88,$C91),ISNUMBER($D$88)),($D$88&gt;$D91)+($D$88=$D91)/2,0),IF(AND(EXACT($C$89,$C91),ISNUMBER($D$89)),($D$89&gt;$D91)+($D$89=$D91)/2,0),IF(AND(EXACT($C$90,$C91),ISNUMBER($D$90)),($D$90&gt;$D91)+($D$90=$D91)/2,0),IF(AND(EXACT($C$91,$C91),ISNUMBER($D$91)),($D$91&gt;$D91)+($D$91=$D91)/2,0),IF(AND(EXACT($C$92,$C91),ISNUMBER($D$92)),($D$92&gt;$D91)+($D$92=$D91)/2,0),IF(AND(EXACT($C$93,$C91),ISNUMBER($D$93)),($D$93&gt;$D91)+($D$93=$D91)/2,0),IF(AND(EXACT($C$94,$C91),ISNUMBER($D$94)),($D$94&gt;$D91)+($D$94=$D91)/2,0),IF(AND(EXACT($C$95,$C91),ISNUMBER($D$95)),($D$95&gt;$D91)+($D$95=$D91)/2,0),IF(AND(EXACT($C$96,$C91),ISNUMBER($D$96)),($D$96&gt;$D91)+($D$96=$D91)/2,0),IF(AND(EXACT($C$97,$C91),ISNUMBER($D$97)),($D$97&gt;$D91)+($D$97=$D91)/2,0),IF(AND(EXACT($C$98,$C91),ISNUMBER($D$98)),($D$98&gt;$D91)+($D$98=$D91)/2,0),IF(AND(EXACT($C$99,$C91),ISNUMBER($D$99)),($D$99&gt;$D91)+($D$99=$D91)/2,0),IF(AND(EXACT($C$100,$C91),ISNUMBER($D$100)),($D$100&gt;$D91)+($D$100=$D91)/2,0),IF(AND(EXACT($C$101,$C91),ISNUMBER($D$101)),($D$101&gt;$D91)+($D$101=$D91)/2,0),IF(AND(EXACT($C$102,$C91),ISNUMBER($D$102)),($D$102&gt;$D91)+($D$102=$D91)/2,0),IF(AND(EXACT($C$103,$C91),ISNUMBER($D$103)),($D$103&gt;$D91)+($D$103=$D91)/2,0),IF(AND(EXACT($C$104,$C91),ISNUMBER($D$104)),($D$104&gt;$D91)+($D$104=$D91)/2,0),IF(AND(EXACT($C$105,$C91),ISNUMBER($D$105)),($D$105&gt;$D91)+($D$105=$D91)/2,0),IF(AND(EXACT($C$106,$C91),ISNUMBER($D$106)),($D$106&gt;$D91)+($D$106=$D91)/2,0)))</x:f>
      </x:c>
    </x:row>
    <x:row r="92">
      <x:c r="A92" s="34" t="str">
        <x:f>IF('91_CALC_SCORES'!A92="","",'91_CALC_SCORES'!A92)</x:f>
      </x:c>
      <x:c r="B92" s="34" t="str">
        <x:f>IF($A92="","",'91_CALC_SCORES'!B92)</x:f>
      </x:c>
      <x:c r="C92" s="34" t="str">
        <x:f>IF($A92="","",'91_CALC_SCORES'!K92)</x:f>
      </x:c>
      <x:c r="D92" s="57" t="str">
        <x:f>IF(OR($A92="",NOT(OR(LEFT('91_CALC_SCORES'!AB92,4)="PASS",LEFT('91_CALC_SCORES'!AB92,5)="READY"))),"",'91_CALC_SCORES'!Y92)</x:f>
      </x:c>
      <x:c r="E92" s="34" t="str">
        <x:f>IF(COUNT(D92)=0,"",1+SUM(AN92:AO92)-1/2)</x:f>
      </x:c>
      <x:c r="F92" s="34" t="str">
        <x:f>IF($A92="","",'91_CALC_SCORES'!AB92)</x:f>
      </x:c>
      <x:c r="G92" s="34" t="str">
        <x:f>IF(A92="","","연구 베타 | 기업 백분위 아님")</x:f>
      </x:c>
      <x:c r="AN92" s="34" t="str">
        <x:f>IF(COUNT($D92)=0,"",SUM(IF(AND(EXACT($C$7,$C92),ISNUMBER($D$7)),($D$7&gt;$D92)+($D$7=$D92)/2,0),IF(AND(EXACT($C$8,$C92),ISNUMBER($D$8)),($D$8&gt;$D92)+($D$8=$D92)/2,0),IF(AND(EXACT($C$9,$C92),ISNUMBER($D$9)),($D$9&gt;$D92)+($D$9=$D92)/2,0),IF(AND(EXACT($C$10,$C92),ISNUMBER($D$10)),($D$10&gt;$D92)+($D$10=$D92)/2,0),IF(AND(EXACT($C$11,$C92),ISNUMBER($D$11)),($D$11&gt;$D92)+($D$11=$D92)/2,0),IF(AND(EXACT($C$12,$C92),ISNUMBER($D$12)),($D$12&gt;$D92)+($D$12=$D92)/2,0),IF(AND(EXACT($C$13,$C92),ISNUMBER($D$13)),($D$13&gt;$D92)+($D$13=$D92)/2,0),IF(AND(EXACT($C$14,$C92),ISNUMBER($D$14)),($D$14&gt;$D92)+($D$14=$D92)/2,0),IF(AND(EXACT($C$15,$C92),ISNUMBER($D$15)),($D$15&gt;$D92)+($D$15=$D92)/2,0),IF(AND(EXACT($C$16,$C92),ISNUMBER($D$16)),($D$16&gt;$D92)+($D$16=$D92)/2,0),IF(AND(EXACT($C$17,$C92),ISNUMBER($D$17)),($D$17&gt;$D92)+($D$17=$D92)/2,0),IF(AND(EXACT($C$18,$C92),ISNUMBER($D$18)),($D$18&gt;$D92)+($D$18=$D92)/2,0),IF(AND(EXACT($C$19,$C92),ISNUMBER($D$19)),($D$19&gt;$D92)+($D$19=$D92)/2,0),IF(AND(EXACT($C$20,$C92),ISNUMBER($D$20)),($D$20&gt;$D92)+($D$20=$D92)/2,0),IF(AND(EXACT($C$21,$C92),ISNUMBER($D$21)),($D$21&gt;$D92)+($D$21=$D92)/2,0),IF(AND(EXACT($C$22,$C92),ISNUMBER($D$22)),($D$22&gt;$D92)+($D$22=$D92)/2,0),IF(AND(EXACT($C$23,$C92),ISNUMBER($D$23)),($D$23&gt;$D92)+($D$23=$D92)/2,0),IF(AND(EXACT($C$24,$C92),ISNUMBER($D$24)),($D$24&gt;$D92)+($D$24=$D92)/2,0),IF(AND(EXACT($C$25,$C92),ISNUMBER($D$25)),($D$25&gt;$D92)+($D$25=$D92)/2,0),IF(AND(EXACT($C$26,$C92),ISNUMBER($D$26)),($D$26&gt;$D92)+($D$26=$D92)/2,0),IF(AND(EXACT($C$27,$C92),ISNUMBER($D$27)),($D$27&gt;$D92)+($D$27=$D92)/2,0),IF(AND(EXACT($C$28,$C92),ISNUMBER($D$28)),($D$28&gt;$D92)+($D$28=$D92)/2,0),IF(AND(EXACT($C$29,$C92),ISNUMBER($D$29)),($D$29&gt;$D92)+($D$29=$D92)/2,0),IF(AND(EXACT($C$30,$C92),ISNUMBER($D$30)),($D$30&gt;$D92)+($D$30=$D92)/2,0),IF(AND(EXACT($C$31,$C92),ISNUMBER($D$31)),($D$31&gt;$D92)+($D$31=$D92)/2,0),IF(AND(EXACT($C$32,$C92),ISNUMBER($D$32)),($D$32&gt;$D92)+($D$32=$D92)/2,0),IF(AND(EXACT($C$33,$C92),ISNUMBER($D$33)),($D$33&gt;$D92)+($D$33=$D92)/2,0),IF(AND(EXACT($C$34,$C92),ISNUMBER($D$34)),($D$34&gt;$D92)+($D$34=$D92)/2,0),IF(AND(EXACT($C$35,$C92),ISNUMBER($D$35)),($D$35&gt;$D92)+($D$35=$D92)/2,0),IF(AND(EXACT($C$36,$C92),ISNUMBER($D$36)),($D$36&gt;$D92)+($D$36=$D92)/2,0),IF(AND(EXACT($C$37,$C92),ISNUMBER($D$37)),($D$37&gt;$D92)+($D$37=$D92)/2,0),IF(AND(EXACT($C$38,$C92),ISNUMBER($D$38)),($D$38&gt;$D92)+($D$38=$D92)/2,0),IF(AND(EXACT($C$39,$C92),ISNUMBER($D$39)),($D$39&gt;$D92)+($D$39=$D92)/2,0),IF(AND(EXACT($C$40,$C92),ISNUMBER($D$40)),($D$40&gt;$D92)+($D$40=$D92)/2,0),IF(AND(EXACT($C$41,$C92),ISNUMBER($D$41)),($D$41&gt;$D92)+($D$41=$D92)/2,0),IF(AND(EXACT($C$42,$C92),ISNUMBER($D$42)),($D$42&gt;$D92)+($D$42=$D92)/2,0),IF(AND(EXACT($C$43,$C92),ISNUMBER($D$43)),($D$43&gt;$D92)+($D$43=$D92)/2,0),IF(AND(EXACT($C$44,$C92),ISNUMBER($D$44)),($D$44&gt;$D92)+($D$44=$D92)/2,0),IF(AND(EXACT($C$45,$C92),ISNUMBER($D$45)),($D$45&gt;$D92)+($D$45=$D92)/2,0),IF(AND(EXACT($C$46,$C92),ISNUMBER($D$46)),($D$46&gt;$D92)+($D$46=$D92)/2,0),IF(AND(EXACT($C$47,$C92),ISNUMBER($D$47)),($D$47&gt;$D92)+($D$47=$D92)/2,0),IF(AND(EXACT($C$48,$C92),ISNUMBER($D$48)),($D$48&gt;$D92)+($D$48=$D92)/2,0),IF(AND(EXACT($C$49,$C92),ISNUMBER($D$49)),($D$49&gt;$D92)+($D$49=$D92)/2,0),IF(AND(EXACT($C$50,$C92),ISNUMBER($D$50)),($D$50&gt;$D92)+($D$50=$D92)/2,0),IF(AND(EXACT($C$51,$C92),ISNUMBER($D$51)),($D$51&gt;$D92)+($D$51=$D92)/2,0),IF(AND(EXACT($C$52,$C92),ISNUMBER($D$52)),($D$52&gt;$D92)+($D$52=$D92)/2,0),IF(AND(EXACT($C$53,$C92),ISNUMBER($D$53)),($D$53&gt;$D92)+($D$53=$D92)/2,0),IF(AND(EXACT($C$54,$C92),ISNUMBER($D$54)),($D$54&gt;$D92)+($D$54=$D92)/2,0),IF(AND(EXACT($C$55,$C92),ISNUMBER($D$55)),($D$55&gt;$D92)+($D$55=$D92)/2,0),IF(AND(EXACT($C$56,$C92),ISNUMBER($D$56)),($D$56&gt;$D92)+($D$56=$D92)/2,0)))</x:f>
      </x:c>
      <x:c r="AO92" s="34" t="str">
        <x:f>IF(COUNT($D92)=0,"",SUM(IF(AND(EXACT($C$57,$C92),ISNUMBER($D$57)),($D$57&gt;$D92)+($D$57=$D92)/2,0),IF(AND(EXACT($C$58,$C92),ISNUMBER($D$58)),($D$58&gt;$D92)+($D$58=$D92)/2,0),IF(AND(EXACT($C$59,$C92),ISNUMBER($D$59)),($D$59&gt;$D92)+($D$59=$D92)/2,0),IF(AND(EXACT($C$60,$C92),ISNUMBER($D$60)),($D$60&gt;$D92)+($D$60=$D92)/2,0),IF(AND(EXACT($C$61,$C92),ISNUMBER($D$61)),($D$61&gt;$D92)+($D$61=$D92)/2,0),IF(AND(EXACT($C$62,$C92),ISNUMBER($D$62)),($D$62&gt;$D92)+($D$62=$D92)/2,0),IF(AND(EXACT($C$63,$C92),ISNUMBER($D$63)),($D$63&gt;$D92)+($D$63=$D92)/2,0),IF(AND(EXACT($C$64,$C92),ISNUMBER($D$64)),($D$64&gt;$D92)+($D$64=$D92)/2,0),IF(AND(EXACT($C$65,$C92),ISNUMBER($D$65)),($D$65&gt;$D92)+($D$65=$D92)/2,0),IF(AND(EXACT($C$66,$C92),ISNUMBER($D$66)),($D$66&gt;$D92)+($D$66=$D92)/2,0),IF(AND(EXACT($C$67,$C92),ISNUMBER($D$67)),($D$67&gt;$D92)+($D$67=$D92)/2,0),IF(AND(EXACT($C$68,$C92),ISNUMBER($D$68)),($D$68&gt;$D92)+($D$68=$D92)/2,0),IF(AND(EXACT($C$69,$C92),ISNUMBER($D$69)),($D$69&gt;$D92)+($D$69=$D92)/2,0),IF(AND(EXACT($C$70,$C92),ISNUMBER($D$70)),($D$70&gt;$D92)+($D$70=$D92)/2,0),IF(AND(EXACT($C$71,$C92),ISNUMBER($D$71)),($D$71&gt;$D92)+($D$71=$D92)/2,0),IF(AND(EXACT($C$72,$C92),ISNUMBER($D$72)),($D$72&gt;$D92)+($D$72=$D92)/2,0),IF(AND(EXACT($C$73,$C92),ISNUMBER($D$73)),($D$73&gt;$D92)+($D$73=$D92)/2,0),IF(AND(EXACT($C$74,$C92),ISNUMBER($D$74)),($D$74&gt;$D92)+($D$74=$D92)/2,0),IF(AND(EXACT($C$75,$C92),ISNUMBER($D$75)),($D$75&gt;$D92)+($D$75=$D92)/2,0),IF(AND(EXACT($C$76,$C92),ISNUMBER($D$76)),($D$76&gt;$D92)+($D$76=$D92)/2,0),IF(AND(EXACT($C$77,$C92),ISNUMBER($D$77)),($D$77&gt;$D92)+($D$77=$D92)/2,0),IF(AND(EXACT($C$78,$C92),ISNUMBER($D$78)),($D$78&gt;$D92)+($D$78=$D92)/2,0),IF(AND(EXACT($C$79,$C92),ISNUMBER($D$79)),($D$79&gt;$D92)+($D$79=$D92)/2,0),IF(AND(EXACT($C$80,$C92),ISNUMBER($D$80)),($D$80&gt;$D92)+($D$80=$D92)/2,0),IF(AND(EXACT($C$81,$C92),ISNUMBER($D$81)),($D$81&gt;$D92)+($D$81=$D92)/2,0),IF(AND(EXACT($C$82,$C92),ISNUMBER($D$82)),($D$82&gt;$D92)+($D$82=$D92)/2,0),IF(AND(EXACT($C$83,$C92),ISNUMBER($D$83)),($D$83&gt;$D92)+($D$83=$D92)/2,0),IF(AND(EXACT($C$84,$C92),ISNUMBER($D$84)),($D$84&gt;$D92)+($D$84=$D92)/2,0),IF(AND(EXACT($C$85,$C92),ISNUMBER($D$85)),($D$85&gt;$D92)+($D$85=$D92)/2,0),IF(AND(EXACT($C$86,$C92),ISNUMBER($D$86)),($D$86&gt;$D92)+($D$86=$D92)/2,0),IF(AND(EXACT($C$87,$C92),ISNUMBER($D$87)),($D$87&gt;$D92)+($D$87=$D92)/2,0),IF(AND(EXACT($C$88,$C92),ISNUMBER($D$88)),($D$88&gt;$D92)+($D$88=$D92)/2,0),IF(AND(EXACT($C$89,$C92),ISNUMBER($D$89)),($D$89&gt;$D92)+($D$89=$D92)/2,0),IF(AND(EXACT($C$90,$C92),ISNUMBER($D$90)),($D$90&gt;$D92)+($D$90=$D92)/2,0),IF(AND(EXACT($C$91,$C92),ISNUMBER($D$91)),($D$91&gt;$D92)+($D$91=$D92)/2,0),IF(AND(EXACT($C$92,$C92),ISNUMBER($D$92)),($D$92&gt;$D92)+($D$92=$D92)/2,0),IF(AND(EXACT($C$93,$C92),ISNUMBER($D$93)),($D$93&gt;$D92)+($D$93=$D92)/2,0),IF(AND(EXACT($C$94,$C92),ISNUMBER($D$94)),($D$94&gt;$D92)+($D$94=$D92)/2,0),IF(AND(EXACT($C$95,$C92),ISNUMBER($D$95)),($D$95&gt;$D92)+($D$95=$D92)/2,0),IF(AND(EXACT($C$96,$C92),ISNUMBER($D$96)),($D$96&gt;$D92)+($D$96=$D92)/2,0),IF(AND(EXACT($C$97,$C92),ISNUMBER($D$97)),($D$97&gt;$D92)+($D$97=$D92)/2,0),IF(AND(EXACT($C$98,$C92),ISNUMBER($D$98)),($D$98&gt;$D92)+($D$98=$D92)/2,0),IF(AND(EXACT($C$99,$C92),ISNUMBER($D$99)),($D$99&gt;$D92)+($D$99=$D92)/2,0),IF(AND(EXACT($C$100,$C92),ISNUMBER($D$100)),($D$100&gt;$D92)+($D$100=$D92)/2,0),IF(AND(EXACT($C$101,$C92),ISNUMBER($D$101)),($D$101&gt;$D92)+($D$101=$D92)/2,0),IF(AND(EXACT($C$102,$C92),ISNUMBER($D$102)),($D$102&gt;$D92)+($D$102=$D92)/2,0),IF(AND(EXACT($C$103,$C92),ISNUMBER($D$103)),($D$103&gt;$D92)+($D$103=$D92)/2,0),IF(AND(EXACT($C$104,$C92),ISNUMBER($D$104)),($D$104&gt;$D92)+($D$104=$D92)/2,0),IF(AND(EXACT($C$105,$C92),ISNUMBER($D$105)),($D$105&gt;$D92)+($D$105=$D92)/2,0),IF(AND(EXACT($C$106,$C92),ISNUMBER($D$106)),($D$106&gt;$D92)+($D$106=$D92)/2,0)))</x:f>
      </x:c>
    </x:row>
    <x:row r="93">
      <x:c r="A93" s="34" t="str">
        <x:f>IF('91_CALC_SCORES'!A93="","",'91_CALC_SCORES'!A93)</x:f>
      </x:c>
      <x:c r="B93" s="34" t="str">
        <x:f>IF($A93="","",'91_CALC_SCORES'!B93)</x:f>
      </x:c>
      <x:c r="C93" s="34" t="str">
        <x:f>IF($A93="","",'91_CALC_SCORES'!K93)</x:f>
      </x:c>
      <x:c r="D93" s="57" t="str">
        <x:f>IF(OR($A93="",NOT(OR(LEFT('91_CALC_SCORES'!AB93,4)="PASS",LEFT('91_CALC_SCORES'!AB93,5)="READY"))),"",'91_CALC_SCORES'!Y93)</x:f>
      </x:c>
      <x:c r="E93" s="34" t="str">
        <x:f>IF(COUNT(D93)=0,"",1+SUM(AN93:AO93)-1/2)</x:f>
      </x:c>
      <x:c r="F93" s="34" t="str">
        <x:f>IF($A93="","",'91_CALC_SCORES'!AB93)</x:f>
      </x:c>
      <x:c r="G93" s="34" t="str">
        <x:f>IF(A93="","","연구 베타 | 기업 백분위 아님")</x:f>
      </x:c>
      <x:c r="AN93" s="34" t="str">
        <x:f>IF(COUNT($D93)=0,"",SUM(IF(AND(EXACT($C$7,$C93),ISNUMBER($D$7)),($D$7&gt;$D93)+($D$7=$D93)/2,0),IF(AND(EXACT($C$8,$C93),ISNUMBER($D$8)),($D$8&gt;$D93)+($D$8=$D93)/2,0),IF(AND(EXACT($C$9,$C93),ISNUMBER($D$9)),($D$9&gt;$D93)+($D$9=$D93)/2,0),IF(AND(EXACT($C$10,$C93),ISNUMBER($D$10)),($D$10&gt;$D93)+($D$10=$D93)/2,0),IF(AND(EXACT($C$11,$C93),ISNUMBER($D$11)),($D$11&gt;$D93)+($D$11=$D93)/2,0),IF(AND(EXACT($C$12,$C93),ISNUMBER($D$12)),($D$12&gt;$D93)+($D$12=$D93)/2,0),IF(AND(EXACT($C$13,$C93),ISNUMBER($D$13)),($D$13&gt;$D93)+($D$13=$D93)/2,0),IF(AND(EXACT($C$14,$C93),ISNUMBER($D$14)),($D$14&gt;$D93)+($D$14=$D93)/2,0),IF(AND(EXACT($C$15,$C93),ISNUMBER($D$15)),($D$15&gt;$D93)+($D$15=$D93)/2,0),IF(AND(EXACT($C$16,$C93),ISNUMBER($D$16)),($D$16&gt;$D93)+($D$16=$D93)/2,0),IF(AND(EXACT($C$17,$C93),ISNUMBER($D$17)),($D$17&gt;$D93)+($D$17=$D93)/2,0),IF(AND(EXACT($C$18,$C93),ISNUMBER($D$18)),($D$18&gt;$D93)+($D$18=$D93)/2,0),IF(AND(EXACT($C$19,$C93),ISNUMBER($D$19)),($D$19&gt;$D93)+($D$19=$D93)/2,0),IF(AND(EXACT($C$20,$C93),ISNUMBER($D$20)),($D$20&gt;$D93)+($D$20=$D93)/2,0),IF(AND(EXACT($C$21,$C93),ISNUMBER($D$21)),($D$21&gt;$D93)+($D$21=$D93)/2,0),IF(AND(EXACT($C$22,$C93),ISNUMBER($D$22)),($D$22&gt;$D93)+($D$22=$D93)/2,0),IF(AND(EXACT($C$23,$C93),ISNUMBER($D$23)),($D$23&gt;$D93)+($D$23=$D93)/2,0),IF(AND(EXACT($C$24,$C93),ISNUMBER($D$24)),($D$24&gt;$D93)+($D$24=$D93)/2,0),IF(AND(EXACT($C$25,$C93),ISNUMBER($D$25)),($D$25&gt;$D93)+($D$25=$D93)/2,0),IF(AND(EXACT($C$26,$C93),ISNUMBER($D$26)),($D$26&gt;$D93)+($D$26=$D93)/2,0),IF(AND(EXACT($C$27,$C93),ISNUMBER($D$27)),($D$27&gt;$D93)+($D$27=$D93)/2,0),IF(AND(EXACT($C$28,$C93),ISNUMBER($D$28)),($D$28&gt;$D93)+($D$28=$D93)/2,0),IF(AND(EXACT($C$29,$C93),ISNUMBER($D$29)),($D$29&gt;$D93)+($D$29=$D93)/2,0),IF(AND(EXACT($C$30,$C93),ISNUMBER($D$30)),($D$30&gt;$D93)+($D$30=$D93)/2,0),IF(AND(EXACT($C$31,$C93),ISNUMBER($D$31)),($D$31&gt;$D93)+($D$31=$D93)/2,0),IF(AND(EXACT($C$32,$C93),ISNUMBER($D$32)),($D$32&gt;$D93)+($D$32=$D93)/2,0),IF(AND(EXACT($C$33,$C93),ISNUMBER($D$33)),($D$33&gt;$D93)+($D$33=$D93)/2,0),IF(AND(EXACT($C$34,$C93),ISNUMBER($D$34)),($D$34&gt;$D93)+($D$34=$D93)/2,0),IF(AND(EXACT($C$35,$C93),ISNUMBER($D$35)),($D$35&gt;$D93)+($D$35=$D93)/2,0),IF(AND(EXACT($C$36,$C93),ISNUMBER($D$36)),($D$36&gt;$D93)+($D$36=$D93)/2,0),IF(AND(EXACT($C$37,$C93),ISNUMBER($D$37)),($D$37&gt;$D93)+($D$37=$D93)/2,0),IF(AND(EXACT($C$38,$C93),ISNUMBER($D$38)),($D$38&gt;$D93)+($D$38=$D93)/2,0),IF(AND(EXACT($C$39,$C93),ISNUMBER($D$39)),($D$39&gt;$D93)+($D$39=$D93)/2,0),IF(AND(EXACT($C$40,$C93),ISNUMBER($D$40)),($D$40&gt;$D93)+($D$40=$D93)/2,0),IF(AND(EXACT($C$41,$C93),ISNUMBER($D$41)),($D$41&gt;$D93)+($D$41=$D93)/2,0),IF(AND(EXACT($C$42,$C93),ISNUMBER($D$42)),($D$42&gt;$D93)+($D$42=$D93)/2,0),IF(AND(EXACT($C$43,$C93),ISNUMBER($D$43)),($D$43&gt;$D93)+($D$43=$D93)/2,0),IF(AND(EXACT($C$44,$C93),ISNUMBER($D$44)),($D$44&gt;$D93)+($D$44=$D93)/2,0),IF(AND(EXACT($C$45,$C93),ISNUMBER($D$45)),($D$45&gt;$D93)+($D$45=$D93)/2,0),IF(AND(EXACT($C$46,$C93),ISNUMBER($D$46)),($D$46&gt;$D93)+($D$46=$D93)/2,0),IF(AND(EXACT($C$47,$C93),ISNUMBER($D$47)),($D$47&gt;$D93)+($D$47=$D93)/2,0),IF(AND(EXACT($C$48,$C93),ISNUMBER($D$48)),($D$48&gt;$D93)+($D$48=$D93)/2,0),IF(AND(EXACT($C$49,$C93),ISNUMBER($D$49)),($D$49&gt;$D93)+($D$49=$D93)/2,0),IF(AND(EXACT($C$50,$C93),ISNUMBER($D$50)),($D$50&gt;$D93)+($D$50=$D93)/2,0),IF(AND(EXACT($C$51,$C93),ISNUMBER($D$51)),($D$51&gt;$D93)+($D$51=$D93)/2,0),IF(AND(EXACT($C$52,$C93),ISNUMBER($D$52)),($D$52&gt;$D93)+($D$52=$D93)/2,0),IF(AND(EXACT($C$53,$C93),ISNUMBER($D$53)),($D$53&gt;$D93)+($D$53=$D93)/2,0),IF(AND(EXACT($C$54,$C93),ISNUMBER($D$54)),($D$54&gt;$D93)+($D$54=$D93)/2,0),IF(AND(EXACT($C$55,$C93),ISNUMBER($D$55)),($D$55&gt;$D93)+($D$55=$D93)/2,0),IF(AND(EXACT($C$56,$C93),ISNUMBER($D$56)),($D$56&gt;$D93)+($D$56=$D93)/2,0)))</x:f>
      </x:c>
      <x:c r="AO93" s="34" t="str">
        <x:f>IF(COUNT($D93)=0,"",SUM(IF(AND(EXACT($C$57,$C93),ISNUMBER($D$57)),($D$57&gt;$D93)+($D$57=$D93)/2,0),IF(AND(EXACT($C$58,$C93),ISNUMBER($D$58)),($D$58&gt;$D93)+($D$58=$D93)/2,0),IF(AND(EXACT($C$59,$C93),ISNUMBER($D$59)),($D$59&gt;$D93)+($D$59=$D93)/2,0),IF(AND(EXACT($C$60,$C93),ISNUMBER($D$60)),($D$60&gt;$D93)+($D$60=$D93)/2,0),IF(AND(EXACT($C$61,$C93),ISNUMBER($D$61)),($D$61&gt;$D93)+($D$61=$D93)/2,0),IF(AND(EXACT($C$62,$C93),ISNUMBER($D$62)),($D$62&gt;$D93)+($D$62=$D93)/2,0),IF(AND(EXACT($C$63,$C93),ISNUMBER($D$63)),($D$63&gt;$D93)+($D$63=$D93)/2,0),IF(AND(EXACT($C$64,$C93),ISNUMBER($D$64)),($D$64&gt;$D93)+($D$64=$D93)/2,0),IF(AND(EXACT($C$65,$C93),ISNUMBER($D$65)),($D$65&gt;$D93)+($D$65=$D93)/2,0),IF(AND(EXACT($C$66,$C93),ISNUMBER($D$66)),($D$66&gt;$D93)+($D$66=$D93)/2,0),IF(AND(EXACT($C$67,$C93),ISNUMBER($D$67)),($D$67&gt;$D93)+($D$67=$D93)/2,0),IF(AND(EXACT($C$68,$C93),ISNUMBER($D$68)),($D$68&gt;$D93)+($D$68=$D93)/2,0),IF(AND(EXACT($C$69,$C93),ISNUMBER($D$69)),($D$69&gt;$D93)+($D$69=$D93)/2,0),IF(AND(EXACT($C$70,$C93),ISNUMBER($D$70)),($D$70&gt;$D93)+($D$70=$D93)/2,0),IF(AND(EXACT($C$71,$C93),ISNUMBER($D$71)),($D$71&gt;$D93)+($D$71=$D93)/2,0),IF(AND(EXACT($C$72,$C93),ISNUMBER($D$72)),($D$72&gt;$D93)+($D$72=$D93)/2,0),IF(AND(EXACT($C$73,$C93),ISNUMBER($D$73)),($D$73&gt;$D93)+($D$73=$D93)/2,0),IF(AND(EXACT($C$74,$C93),ISNUMBER($D$74)),($D$74&gt;$D93)+($D$74=$D93)/2,0),IF(AND(EXACT($C$75,$C93),ISNUMBER($D$75)),($D$75&gt;$D93)+($D$75=$D93)/2,0),IF(AND(EXACT($C$76,$C93),ISNUMBER($D$76)),($D$76&gt;$D93)+($D$76=$D93)/2,0),IF(AND(EXACT($C$77,$C93),ISNUMBER($D$77)),($D$77&gt;$D93)+($D$77=$D93)/2,0),IF(AND(EXACT($C$78,$C93),ISNUMBER($D$78)),($D$78&gt;$D93)+($D$78=$D93)/2,0),IF(AND(EXACT($C$79,$C93),ISNUMBER($D$79)),($D$79&gt;$D93)+($D$79=$D93)/2,0),IF(AND(EXACT($C$80,$C93),ISNUMBER($D$80)),($D$80&gt;$D93)+($D$80=$D93)/2,0),IF(AND(EXACT($C$81,$C93),ISNUMBER($D$81)),($D$81&gt;$D93)+($D$81=$D93)/2,0),IF(AND(EXACT($C$82,$C93),ISNUMBER($D$82)),($D$82&gt;$D93)+($D$82=$D93)/2,0),IF(AND(EXACT($C$83,$C93),ISNUMBER($D$83)),($D$83&gt;$D93)+($D$83=$D93)/2,0),IF(AND(EXACT($C$84,$C93),ISNUMBER($D$84)),($D$84&gt;$D93)+($D$84=$D93)/2,0),IF(AND(EXACT($C$85,$C93),ISNUMBER($D$85)),($D$85&gt;$D93)+($D$85=$D93)/2,0),IF(AND(EXACT($C$86,$C93),ISNUMBER($D$86)),($D$86&gt;$D93)+($D$86=$D93)/2,0),IF(AND(EXACT($C$87,$C93),ISNUMBER($D$87)),($D$87&gt;$D93)+($D$87=$D93)/2,0),IF(AND(EXACT($C$88,$C93),ISNUMBER($D$88)),($D$88&gt;$D93)+($D$88=$D93)/2,0),IF(AND(EXACT($C$89,$C93),ISNUMBER($D$89)),($D$89&gt;$D93)+($D$89=$D93)/2,0),IF(AND(EXACT($C$90,$C93),ISNUMBER($D$90)),($D$90&gt;$D93)+($D$90=$D93)/2,0),IF(AND(EXACT($C$91,$C93),ISNUMBER($D$91)),($D$91&gt;$D93)+($D$91=$D93)/2,0),IF(AND(EXACT($C$92,$C93),ISNUMBER($D$92)),($D$92&gt;$D93)+($D$92=$D93)/2,0),IF(AND(EXACT($C$93,$C93),ISNUMBER($D$93)),($D$93&gt;$D93)+($D$93=$D93)/2,0),IF(AND(EXACT($C$94,$C93),ISNUMBER($D$94)),($D$94&gt;$D93)+($D$94=$D93)/2,0),IF(AND(EXACT($C$95,$C93),ISNUMBER($D$95)),($D$95&gt;$D93)+($D$95=$D93)/2,0),IF(AND(EXACT($C$96,$C93),ISNUMBER($D$96)),($D$96&gt;$D93)+($D$96=$D93)/2,0),IF(AND(EXACT($C$97,$C93),ISNUMBER($D$97)),($D$97&gt;$D93)+($D$97=$D93)/2,0),IF(AND(EXACT($C$98,$C93),ISNUMBER($D$98)),($D$98&gt;$D93)+($D$98=$D93)/2,0),IF(AND(EXACT($C$99,$C93),ISNUMBER($D$99)),($D$99&gt;$D93)+($D$99=$D93)/2,0),IF(AND(EXACT($C$100,$C93),ISNUMBER($D$100)),($D$100&gt;$D93)+($D$100=$D93)/2,0),IF(AND(EXACT($C$101,$C93),ISNUMBER($D$101)),($D$101&gt;$D93)+($D$101=$D93)/2,0),IF(AND(EXACT($C$102,$C93),ISNUMBER($D$102)),($D$102&gt;$D93)+($D$102=$D93)/2,0),IF(AND(EXACT($C$103,$C93),ISNUMBER($D$103)),($D$103&gt;$D93)+($D$103=$D93)/2,0),IF(AND(EXACT($C$104,$C93),ISNUMBER($D$104)),($D$104&gt;$D93)+($D$104=$D93)/2,0),IF(AND(EXACT($C$105,$C93),ISNUMBER($D$105)),($D$105&gt;$D93)+($D$105=$D93)/2,0),IF(AND(EXACT($C$106,$C93),ISNUMBER($D$106)),($D$106&gt;$D93)+($D$106=$D93)/2,0)))</x:f>
      </x:c>
    </x:row>
    <x:row r="94">
      <x:c r="A94" s="34" t="str">
        <x:f>IF('91_CALC_SCORES'!A94="","",'91_CALC_SCORES'!A94)</x:f>
      </x:c>
      <x:c r="B94" s="34" t="str">
        <x:f>IF($A94="","",'91_CALC_SCORES'!B94)</x:f>
      </x:c>
      <x:c r="C94" s="34" t="str">
        <x:f>IF($A94="","",'91_CALC_SCORES'!K94)</x:f>
      </x:c>
      <x:c r="D94" s="57" t="str">
        <x:f>IF(OR($A94="",NOT(OR(LEFT('91_CALC_SCORES'!AB94,4)="PASS",LEFT('91_CALC_SCORES'!AB94,5)="READY"))),"",'91_CALC_SCORES'!Y94)</x:f>
      </x:c>
      <x:c r="E94" s="34" t="str">
        <x:f>IF(COUNT(D94)=0,"",1+SUM(AN94:AO94)-1/2)</x:f>
      </x:c>
      <x:c r="F94" s="34" t="str">
        <x:f>IF($A94="","",'91_CALC_SCORES'!AB94)</x:f>
      </x:c>
      <x:c r="G94" s="34" t="str">
        <x:f>IF(A94="","","연구 베타 | 기업 백분위 아님")</x:f>
      </x:c>
      <x:c r="AN94" s="34" t="str">
        <x:f>IF(COUNT($D94)=0,"",SUM(IF(AND(EXACT($C$7,$C94),ISNUMBER($D$7)),($D$7&gt;$D94)+($D$7=$D94)/2,0),IF(AND(EXACT($C$8,$C94),ISNUMBER($D$8)),($D$8&gt;$D94)+($D$8=$D94)/2,0),IF(AND(EXACT($C$9,$C94),ISNUMBER($D$9)),($D$9&gt;$D94)+($D$9=$D94)/2,0),IF(AND(EXACT($C$10,$C94),ISNUMBER($D$10)),($D$10&gt;$D94)+($D$10=$D94)/2,0),IF(AND(EXACT($C$11,$C94),ISNUMBER($D$11)),($D$11&gt;$D94)+($D$11=$D94)/2,0),IF(AND(EXACT($C$12,$C94),ISNUMBER($D$12)),($D$12&gt;$D94)+($D$12=$D94)/2,0),IF(AND(EXACT($C$13,$C94),ISNUMBER($D$13)),($D$13&gt;$D94)+($D$13=$D94)/2,0),IF(AND(EXACT($C$14,$C94),ISNUMBER($D$14)),($D$14&gt;$D94)+($D$14=$D94)/2,0),IF(AND(EXACT($C$15,$C94),ISNUMBER($D$15)),($D$15&gt;$D94)+($D$15=$D94)/2,0),IF(AND(EXACT($C$16,$C94),ISNUMBER($D$16)),($D$16&gt;$D94)+($D$16=$D94)/2,0),IF(AND(EXACT($C$17,$C94),ISNUMBER($D$17)),($D$17&gt;$D94)+($D$17=$D94)/2,0),IF(AND(EXACT($C$18,$C94),ISNUMBER($D$18)),($D$18&gt;$D94)+($D$18=$D94)/2,0),IF(AND(EXACT($C$19,$C94),ISNUMBER($D$19)),($D$19&gt;$D94)+($D$19=$D94)/2,0),IF(AND(EXACT($C$20,$C94),ISNUMBER($D$20)),($D$20&gt;$D94)+($D$20=$D94)/2,0),IF(AND(EXACT($C$21,$C94),ISNUMBER($D$21)),($D$21&gt;$D94)+($D$21=$D94)/2,0),IF(AND(EXACT($C$22,$C94),ISNUMBER($D$22)),($D$22&gt;$D94)+($D$22=$D94)/2,0),IF(AND(EXACT($C$23,$C94),ISNUMBER($D$23)),($D$23&gt;$D94)+($D$23=$D94)/2,0),IF(AND(EXACT($C$24,$C94),ISNUMBER($D$24)),($D$24&gt;$D94)+($D$24=$D94)/2,0),IF(AND(EXACT($C$25,$C94),ISNUMBER($D$25)),($D$25&gt;$D94)+($D$25=$D94)/2,0),IF(AND(EXACT($C$26,$C94),ISNUMBER($D$26)),($D$26&gt;$D94)+($D$26=$D94)/2,0),IF(AND(EXACT($C$27,$C94),ISNUMBER($D$27)),($D$27&gt;$D94)+($D$27=$D94)/2,0),IF(AND(EXACT($C$28,$C94),ISNUMBER($D$28)),($D$28&gt;$D94)+($D$28=$D94)/2,0),IF(AND(EXACT($C$29,$C94),ISNUMBER($D$29)),($D$29&gt;$D94)+($D$29=$D94)/2,0),IF(AND(EXACT($C$30,$C94),ISNUMBER($D$30)),($D$30&gt;$D94)+($D$30=$D94)/2,0),IF(AND(EXACT($C$31,$C94),ISNUMBER($D$31)),($D$31&gt;$D94)+($D$31=$D94)/2,0),IF(AND(EXACT($C$32,$C94),ISNUMBER($D$32)),($D$32&gt;$D94)+($D$32=$D94)/2,0),IF(AND(EXACT($C$33,$C94),ISNUMBER($D$33)),($D$33&gt;$D94)+($D$33=$D94)/2,0),IF(AND(EXACT($C$34,$C94),ISNUMBER($D$34)),($D$34&gt;$D94)+($D$34=$D94)/2,0),IF(AND(EXACT($C$35,$C94),ISNUMBER($D$35)),($D$35&gt;$D94)+($D$35=$D94)/2,0),IF(AND(EXACT($C$36,$C94),ISNUMBER($D$36)),($D$36&gt;$D94)+($D$36=$D94)/2,0),IF(AND(EXACT($C$37,$C94),ISNUMBER($D$37)),($D$37&gt;$D94)+($D$37=$D94)/2,0),IF(AND(EXACT($C$38,$C94),ISNUMBER($D$38)),($D$38&gt;$D94)+($D$38=$D94)/2,0),IF(AND(EXACT($C$39,$C94),ISNUMBER($D$39)),($D$39&gt;$D94)+($D$39=$D94)/2,0),IF(AND(EXACT($C$40,$C94),ISNUMBER($D$40)),($D$40&gt;$D94)+($D$40=$D94)/2,0),IF(AND(EXACT($C$41,$C94),ISNUMBER($D$41)),($D$41&gt;$D94)+($D$41=$D94)/2,0),IF(AND(EXACT($C$42,$C94),ISNUMBER($D$42)),($D$42&gt;$D94)+($D$42=$D94)/2,0),IF(AND(EXACT($C$43,$C94),ISNUMBER($D$43)),($D$43&gt;$D94)+($D$43=$D94)/2,0),IF(AND(EXACT($C$44,$C94),ISNUMBER($D$44)),($D$44&gt;$D94)+($D$44=$D94)/2,0),IF(AND(EXACT($C$45,$C94),ISNUMBER($D$45)),($D$45&gt;$D94)+($D$45=$D94)/2,0),IF(AND(EXACT($C$46,$C94),ISNUMBER($D$46)),($D$46&gt;$D94)+($D$46=$D94)/2,0),IF(AND(EXACT($C$47,$C94),ISNUMBER($D$47)),($D$47&gt;$D94)+($D$47=$D94)/2,0),IF(AND(EXACT($C$48,$C94),ISNUMBER($D$48)),($D$48&gt;$D94)+($D$48=$D94)/2,0),IF(AND(EXACT($C$49,$C94),ISNUMBER($D$49)),($D$49&gt;$D94)+($D$49=$D94)/2,0),IF(AND(EXACT($C$50,$C94),ISNUMBER($D$50)),($D$50&gt;$D94)+($D$50=$D94)/2,0),IF(AND(EXACT($C$51,$C94),ISNUMBER($D$51)),($D$51&gt;$D94)+($D$51=$D94)/2,0),IF(AND(EXACT($C$52,$C94),ISNUMBER($D$52)),($D$52&gt;$D94)+($D$52=$D94)/2,0),IF(AND(EXACT($C$53,$C94),ISNUMBER($D$53)),($D$53&gt;$D94)+($D$53=$D94)/2,0),IF(AND(EXACT($C$54,$C94),ISNUMBER($D$54)),($D$54&gt;$D94)+($D$54=$D94)/2,0),IF(AND(EXACT($C$55,$C94),ISNUMBER($D$55)),($D$55&gt;$D94)+($D$55=$D94)/2,0),IF(AND(EXACT($C$56,$C94),ISNUMBER($D$56)),($D$56&gt;$D94)+($D$56=$D94)/2,0)))</x:f>
      </x:c>
      <x:c r="AO94" s="34" t="str">
        <x:f>IF(COUNT($D94)=0,"",SUM(IF(AND(EXACT($C$57,$C94),ISNUMBER($D$57)),($D$57&gt;$D94)+($D$57=$D94)/2,0),IF(AND(EXACT($C$58,$C94),ISNUMBER($D$58)),($D$58&gt;$D94)+($D$58=$D94)/2,0),IF(AND(EXACT($C$59,$C94),ISNUMBER($D$59)),($D$59&gt;$D94)+($D$59=$D94)/2,0),IF(AND(EXACT($C$60,$C94),ISNUMBER($D$60)),($D$60&gt;$D94)+($D$60=$D94)/2,0),IF(AND(EXACT($C$61,$C94),ISNUMBER($D$61)),($D$61&gt;$D94)+($D$61=$D94)/2,0),IF(AND(EXACT($C$62,$C94),ISNUMBER($D$62)),($D$62&gt;$D94)+($D$62=$D94)/2,0),IF(AND(EXACT($C$63,$C94),ISNUMBER($D$63)),($D$63&gt;$D94)+($D$63=$D94)/2,0),IF(AND(EXACT($C$64,$C94),ISNUMBER($D$64)),($D$64&gt;$D94)+($D$64=$D94)/2,0),IF(AND(EXACT($C$65,$C94),ISNUMBER($D$65)),($D$65&gt;$D94)+($D$65=$D94)/2,0),IF(AND(EXACT($C$66,$C94),ISNUMBER($D$66)),($D$66&gt;$D94)+($D$66=$D94)/2,0),IF(AND(EXACT($C$67,$C94),ISNUMBER($D$67)),($D$67&gt;$D94)+($D$67=$D94)/2,0),IF(AND(EXACT($C$68,$C94),ISNUMBER($D$68)),($D$68&gt;$D94)+($D$68=$D94)/2,0),IF(AND(EXACT($C$69,$C94),ISNUMBER($D$69)),($D$69&gt;$D94)+($D$69=$D94)/2,0),IF(AND(EXACT($C$70,$C94),ISNUMBER($D$70)),($D$70&gt;$D94)+($D$70=$D94)/2,0),IF(AND(EXACT($C$71,$C94),ISNUMBER($D$71)),($D$71&gt;$D94)+($D$71=$D94)/2,0),IF(AND(EXACT($C$72,$C94),ISNUMBER($D$72)),($D$72&gt;$D94)+($D$72=$D94)/2,0),IF(AND(EXACT($C$73,$C94),ISNUMBER($D$73)),($D$73&gt;$D94)+($D$73=$D94)/2,0),IF(AND(EXACT($C$74,$C94),ISNUMBER($D$74)),($D$74&gt;$D94)+($D$74=$D94)/2,0),IF(AND(EXACT($C$75,$C94),ISNUMBER($D$75)),($D$75&gt;$D94)+($D$75=$D94)/2,0),IF(AND(EXACT($C$76,$C94),ISNUMBER($D$76)),($D$76&gt;$D94)+($D$76=$D94)/2,0),IF(AND(EXACT($C$77,$C94),ISNUMBER($D$77)),($D$77&gt;$D94)+($D$77=$D94)/2,0),IF(AND(EXACT($C$78,$C94),ISNUMBER($D$78)),($D$78&gt;$D94)+($D$78=$D94)/2,0),IF(AND(EXACT($C$79,$C94),ISNUMBER($D$79)),($D$79&gt;$D94)+($D$79=$D94)/2,0),IF(AND(EXACT($C$80,$C94),ISNUMBER($D$80)),($D$80&gt;$D94)+($D$80=$D94)/2,0),IF(AND(EXACT($C$81,$C94),ISNUMBER($D$81)),($D$81&gt;$D94)+($D$81=$D94)/2,0),IF(AND(EXACT($C$82,$C94),ISNUMBER($D$82)),($D$82&gt;$D94)+($D$82=$D94)/2,0),IF(AND(EXACT($C$83,$C94),ISNUMBER($D$83)),($D$83&gt;$D94)+($D$83=$D94)/2,0),IF(AND(EXACT($C$84,$C94),ISNUMBER($D$84)),($D$84&gt;$D94)+($D$84=$D94)/2,0),IF(AND(EXACT($C$85,$C94),ISNUMBER($D$85)),($D$85&gt;$D94)+($D$85=$D94)/2,0),IF(AND(EXACT($C$86,$C94),ISNUMBER($D$86)),($D$86&gt;$D94)+($D$86=$D94)/2,0),IF(AND(EXACT($C$87,$C94),ISNUMBER($D$87)),($D$87&gt;$D94)+($D$87=$D94)/2,0),IF(AND(EXACT($C$88,$C94),ISNUMBER($D$88)),($D$88&gt;$D94)+($D$88=$D94)/2,0),IF(AND(EXACT($C$89,$C94),ISNUMBER($D$89)),($D$89&gt;$D94)+($D$89=$D94)/2,0),IF(AND(EXACT($C$90,$C94),ISNUMBER($D$90)),($D$90&gt;$D94)+($D$90=$D94)/2,0),IF(AND(EXACT($C$91,$C94),ISNUMBER($D$91)),($D$91&gt;$D94)+($D$91=$D94)/2,0),IF(AND(EXACT($C$92,$C94),ISNUMBER($D$92)),($D$92&gt;$D94)+($D$92=$D94)/2,0),IF(AND(EXACT($C$93,$C94),ISNUMBER($D$93)),($D$93&gt;$D94)+($D$93=$D94)/2,0),IF(AND(EXACT($C$94,$C94),ISNUMBER($D$94)),($D$94&gt;$D94)+($D$94=$D94)/2,0),IF(AND(EXACT($C$95,$C94),ISNUMBER($D$95)),($D$95&gt;$D94)+($D$95=$D94)/2,0),IF(AND(EXACT($C$96,$C94),ISNUMBER($D$96)),($D$96&gt;$D94)+($D$96=$D94)/2,0),IF(AND(EXACT($C$97,$C94),ISNUMBER($D$97)),($D$97&gt;$D94)+($D$97=$D94)/2,0),IF(AND(EXACT($C$98,$C94),ISNUMBER($D$98)),($D$98&gt;$D94)+($D$98=$D94)/2,0),IF(AND(EXACT($C$99,$C94),ISNUMBER($D$99)),($D$99&gt;$D94)+($D$99=$D94)/2,0),IF(AND(EXACT($C$100,$C94),ISNUMBER($D$100)),($D$100&gt;$D94)+($D$100=$D94)/2,0),IF(AND(EXACT($C$101,$C94),ISNUMBER($D$101)),($D$101&gt;$D94)+($D$101=$D94)/2,0),IF(AND(EXACT($C$102,$C94),ISNUMBER($D$102)),($D$102&gt;$D94)+($D$102=$D94)/2,0),IF(AND(EXACT($C$103,$C94),ISNUMBER($D$103)),($D$103&gt;$D94)+($D$103=$D94)/2,0),IF(AND(EXACT($C$104,$C94),ISNUMBER($D$104)),($D$104&gt;$D94)+($D$104=$D94)/2,0),IF(AND(EXACT($C$105,$C94),ISNUMBER($D$105)),($D$105&gt;$D94)+($D$105=$D94)/2,0),IF(AND(EXACT($C$106,$C94),ISNUMBER($D$106)),($D$106&gt;$D94)+($D$106=$D94)/2,0)))</x:f>
      </x:c>
    </x:row>
    <x:row r="95">
      <x:c r="A95" s="34" t="str">
        <x:f>IF('91_CALC_SCORES'!A95="","",'91_CALC_SCORES'!A95)</x:f>
      </x:c>
      <x:c r="B95" s="34" t="str">
        <x:f>IF($A95="","",'91_CALC_SCORES'!B95)</x:f>
      </x:c>
      <x:c r="C95" s="34" t="str">
        <x:f>IF($A95="","",'91_CALC_SCORES'!K95)</x:f>
      </x:c>
      <x:c r="D95" s="57" t="str">
        <x:f>IF(OR($A95="",NOT(OR(LEFT('91_CALC_SCORES'!AB95,4)="PASS",LEFT('91_CALC_SCORES'!AB95,5)="READY"))),"",'91_CALC_SCORES'!Y95)</x:f>
      </x:c>
      <x:c r="E95" s="34" t="str">
        <x:f>IF(COUNT(D95)=0,"",1+SUM(AN95:AO95)-1/2)</x:f>
      </x:c>
      <x:c r="F95" s="34" t="str">
        <x:f>IF($A95="","",'91_CALC_SCORES'!AB95)</x:f>
      </x:c>
      <x:c r="G95" s="34" t="str">
        <x:f>IF(A95="","","연구 베타 | 기업 백분위 아님")</x:f>
      </x:c>
      <x:c r="AN95" s="34" t="str">
        <x:f>IF(COUNT($D95)=0,"",SUM(IF(AND(EXACT($C$7,$C95),ISNUMBER($D$7)),($D$7&gt;$D95)+($D$7=$D95)/2,0),IF(AND(EXACT($C$8,$C95),ISNUMBER($D$8)),($D$8&gt;$D95)+($D$8=$D95)/2,0),IF(AND(EXACT($C$9,$C95),ISNUMBER($D$9)),($D$9&gt;$D95)+($D$9=$D95)/2,0),IF(AND(EXACT($C$10,$C95),ISNUMBER($D$10)),($D$10&gt;$D95)+($D$10=$D95)/2,0),IF(AND(EXACT($C$11,$C95),ISNUMBER($D$11)),($D$11&gt;$D95)+($D$11=$D95)/2,0),IF(AND(EXACT($C$12,$C95),ISNUMBER($D$12)),($D$12&gt;$D95)+($D$12=$D95)/2,0),IF(AND(EXACT($C$13,$C95),ISNUMBER($D$13)),($D$13&gt;$D95)+($D$13=$D95)/2,0),IF(AND(EXACT($C$14,$C95),ISNUMBER($D$14)),($D$14&gt;$D95)+($D$14=$D95)/2,0),IF(AND(EXACT($C$15,$C95),ISNUMBER($D$15)),($D$15&gt;$D95)+($D$15=$D95)/2,0),IF(AND(EXACT($C$16,$C95),ISNUMBER($D$16)),($D$16&gt;$D95)+($D$16=$D95)/2,0),IF(AND(EXACT($C$17,$C95),ISNUMBER($D$17)),($D$17&gt;$D95)+($D$17=$D95)/2,0),IF(AND(EXACT($C$18,$C95),ISNUMBER($D$18)),($D$18&gt;$D95)+($D$18=$D95)/2,0),IF(AND(EXACT($C$19,$C95),ISNUMBER($D$19)),($D$19&gt;$D95)+($D$19=$D95)/2,0),IF(AND(EXACT($C$20,$C95),ISNUMBER($D$20)),($D$20&gt;$D95)+($D$20=$D95)/2,0),IF(AND(EXACT($C$21,$C95),ISNUMBER($D$21)),($D$21&gt;$D95)+($D$21=$D95)/2,0),IF(AND(EXACT($C$22,$C95),ISNUMBER($D$22)),($D$22&gt;$D95)+($D$22=$D95)/2,0),IF(AND(EXACT($C$23,$C95),ISNUMBER($D$23)),($D$23&gt;$D95)+($D$23=$D95)/2,0),IF(AND(EXACT($C$24,$C95),ISNUMBER($D$24)),($D$24&gt;$D95)+($D$24=$D95)/2,0),IF(AND(EXACT($C$25,$C95),ISNUMBER($D$25)),($D$25&gt;$D95)+($D$25=$D95)/2,0),IF(AND(EXACT($C$26,$C95),ISNUMBER($D$26)),($D$26&gt;$D95)+($D$26=$D95)/2,0),IF(AND(EXACT($C$27,$C95),ISNUMBER($D$27)),($D$27&gt;$D95)+($D$27=$D95)/2,0),IF(AND(EXACT($C$28,$C95),ISNUMBER($D$28)),($D$28&gt;$D95)+($D$28=$D95)/2,0),IF(AND(EXACT($C$29,$C95),ISNUMBER($D$29)),($D$29&gt;$D95)+($D$29=$D95)/2,0),IF(AND(EXACT($C$30,$C95),ISNUMBER($D$30)),($D$30&gt;$D95)+($D$30=$D95)/2,0),IF(AND(EXACT($C$31,$C95),ISNUMBER($D$31)),($D$31&gt;$D95)+($D$31=$D95)/2,0),IF(AND(EXACT($C$32,$C95),ISNUMBER($D$32)),($D$32&gt;$D95)+($D$32=$D95)/2,0),IF(AND(EXACT($C$33,$C95),ISNUMBER($D$33)),($D$33&gt;$D95)+($D$33=$D95)/2,0),IF(AND(EXACT($C$34,$C95),ISNUMBER($D$34)),($D$34&gt;$D95)+($D$34=$D95)/2,0),IF(AND(EXACT($C$35,$C95),ISNUMBER($D$35)),($D$35&gt;$D95)+($D$35=$D95)/2,0),IF(AND(EXACT($C$36,$C95),ISNUMBER($D$36)),($D$36&gt;$D95)+($D$36=$D95)/2,0),IF(AND(EXACT($C$37,$C95),ISNUMBER($D$37)),($D$37&gt;$D95)+($D$37=$D95)/2,0),IF(AND(EXACT($C$38,$C95),ISNUMBER($D$38)),($D$38&gt;$D95)+($D$38=$D95)/2,0),IF(AND(EXACT($C$39,$C95),ISNUMBER($D$39)),($D$39&gt;$D95)+($D$39=$D95)/2,0),IF(AND(EXACT($C$40,$C95),ISNUMBER($D$40)),($D$40&gt;$D95)+($D$40=$D95)/2,0),IF(AND(EXACT($C$41,$C95),ISNUMBER($D$41)),($D$41&gt;$D95)+($D$41=$D95)/2,0),IF(AND(EXACT($C$42,$C95),ISNUMBER($D$42)),($D$42&gt;$D95)+($D$42=$D95)/2,0),IF(AND(EXACT($C$43,$C95),ISNUMBER($D$43)),($D$43&gt;$D95)+($D$43=$D95)/2,0),IF(AND(EXACT($C$44,$C95),ISNUMBER($D$44)),($D$44&gt;$D95)+($D$44=$D95)/2,0),IF(AND(EXACT($C$45,$C95),ISNUMBER($D$45)),($D$45&gt;$D95)+($D$45=$D95)/2,0),IF(AND(EXACT($C$46,$C95),ISNUMBER($D$46)),($D$46&gt;$D95)+($D$46=$D95)/2,0),IF(AND(EXACT($C$47,$C95),ISNUMBER($D$47)),($D$47&gt;$D95)+($D$47=$D95)/2,0),IF(AND(EXACT($C$48,$C95),ISNUMBER($D$48)),($D$48&gt;$D95)+($D$48=$D95)/2,0),IF(AND(EXACT($C$49,$C95),ISNUMBER($D$49)),($D$49&gt;$D95)+($D$49=$D95)/2,0),IF(AND(EXACT($C$50,$C95),ISNUMBER($D$50)),($D$50&gt;$D95)+($D$50=$D95)/2,0),IF(AND(EXACT($C$51,$C95),ISNUMBER($D$51)),($D$51&gt;$D95)+($D$51=$D95)/2,0),IF(AND(EXACT($C$52,$C95),ISNUMBER($D$52)),($D$52&gt;$D95)+($D$52=$D95)/2,0),IF(AND(EXACT($C$53,$C95),ISNUMBER($D$53)),($D$53&gt;$D95)+($D$53=$D95)/2,0),IF(AND(EXACT($C$54,$C95),ISNUMBER($D$54)),($D$54&gt;$D95)+($D$54=$D95)/2,0),IF(AND(EXACT($C$55,$C95),ISNUMBER($D$55)),($D$55&gt;$D95)+($D$55=$D95)/2,0),IF(AND(EXACT($C$56,$C95),ISNUMBER($D$56)),($D$56&gt;$D95)+($D$56=$D95)/2,0)))</x:f>
      </x:c>
      <x:c r="AO95" s="34" t="str">
        <x:f>IF(COUNT($D95)=0,"",SUM(IF(AND(EXACT($C$57,$C95),ISNUMBER($D$57)),($D$57&gt;$D95)+($D$57=$D95)/2,0),IF(AND(EXACT($C$58,$C95),ISNUMBER($D$58)),($D$58&gt;$D95)+($D$58=$D95)/2,0),IF(AND(EXACT($C$59,$C95),ISNUMBER($D$59)),($D$59&gt;$D95)+($D$59=$D95)/2,0),IF(AND(EXACT($C$60,$C95),ISNUMBER($D$60)),($D$60&gt;$D95)+($D$60=$D95)/2,0),IF(AND(EXACT($C$61,$C95),ISNUMBER($D$61)),($D$61&gt;$D95)+($D$61=$D95)/2,0),IF(AND(EXACT($C$62,$C95),ISNUMBER($D$62)),($D$62&gt;$D95)+($D$62=$D95)/2,0),IF(AND(EXACT($C$63,$C95),ISNUMBER($D$63)),($D$63&gt;$D95)+($D$63=$D95)/2,0),IF(AND(EXACT($C$64,$C95),ISNUMBER($D$64)),($D$64&gt;$D95)+($D$64=$D95)/2,0),IF(AND(EXACT($C$65,$C95),ISNUMBER($D$65)),($D$65&gt;$D95)+($D$65=$D95)/2,0),IF(AND(EXACT($C$66,$C95),ISNUMBER($D$66)),($D$66&gt;$D95)+($D$66=$D95)/2,0),IF(AND(EXACT($C$67,$C95),ISNUMBER($D$67)),($D$67&gt;$D95)+($D$67=$D95)/2,0),IF(AND(EXACT($C$68,$C95),ISNUMBER($D$68)),($D$68&gt;$D95)+($D$68=$D95)/2,0),IF(AND(EXACT($C$69,$C95),ISNUMBER($D$69)),($D$69&gt;$D95)+($D$69=$D95)/2,0),IF(AND(EXACT($C$70,$C95),ISNUMBER($D$70)),($D$70&gt;$D95)+($D$70=$D95)/2,0),IF(AND(EXACT($C$71,$C95),ISNUMBER($D$71)),($D$71&gt;$D95)+($D$71=$D95)/2,0),IF(AND(EXACT($C$72,$C95),ISNUMBER($D$72)),($D$72&gt;$D95)+($D$72=$D95)/2,0),IF(AND(EXACT($C$73,$C95),ISNUMBER($D$73)),($D$73&gt;$D95)+($D$73=$D95)/2,0),IF(AND(EXACT($C$74,$C95),ISNUMBER($D$74)),($D$74&gt;$D95)+($D$74=$D95)/2,0),IF(AND(EXACT($C$75,$C95),ISNUMBER($D$75)),($D$75&gt;$D95)+($D$75=$D95)/2,0),IF(AND(EXACT($C$76,$C95),ISNUMBER($D$76)),($D$76&gt;$D95)+($D$76=$D95)/2,0),IF(AND(EXACT($C$77,$C95),ISNUMBER($D$77)),($D$77&gt;$D95)+($D$77=$D95)/2,0),IF(AND(EXACT($C$78,$C95),ISNUMBER($D$78)),($D$78&gt;$D95)+($D$78=$D95)/2,0),IF(AND(EXACT($C$79,$C95),ISNUMBER($D$79)),($D$79&gt;$D95)+($D$79=$D95)/2,0),IF(AND(EXACT($C$80,$C95),ISNUMBER($D$80)),($D$80&gt;$D95)+($D$80=$D95)/2,0),IF(AND(EXACT($C$81,$C95),ISNUMBER($D$81)),($D$81&gt;$D95)+($D$81=$D95)/2,0),IF(AND(EXACT($C$82,$C95),ISNUMBER($D$82)),($D$82&gt;$D95)+($D$82=$D95)/2,0),IF(AND(EXACT($C$83,$C95),ISNUMBER($D$83)),($D$83&gt;$D95)+($D$83=$D95)/2,0),IF(AND(EXACT($C$84,$C95),ISNUMBER($D$84)),($D$84&gt;$D95)+($D$84=$D95)/2,0),IF(AND(EXACT($C$85,$C95),ISNUMBER($D$85)),($D$85&gt;$D95)+($D$85=$D95)/2,0),IF(AND(EXACT($C$86,$C95),ISNUMBER($D$86)),($D$86&gt;$D95)+($D$86=$D95)/2,0),IF(AND(EXACT($C$87,$C95),ISNUMBER($D$87)),($D$87&gt;$D95)+($D$87=$D95)/2,0),IF(AND(EXACT($C$88,$C95),ISNUMBER($D$88)),($D$88&gt;$D95)+($D$88=$D95)/2,0),IF(AND(EXACT($C$89,$C95),ISNUMBER($D$89)),($D$89&gt;$D95)+($D$89=$D95)/2,0),IF(AND(EXACT($C$90,$C95),ISNUMBER($D$90)),($D$90&gt;$D95)+($D$90=$D95)/2,0),IF(AND(EXACT($C$91,$C95),ISNUMBER($D$91)),($D$91&gt;$D95)+($D$91=$D95)/2,0),IF(AND(EXACT($C$92,$C95),ISNUMBER($D$92)),($D$92&gt;$D95)+($D$92=$D95)/2,0),IF(AND(EXACT($C$93,$C95),ISNUMBER($D$93)),($D$93&gt;$D95)+($D$93=$D95)/2,0),IF(AND(EXACT($C$94,$C95),ISNUMBER($D$94)),($D$94&gt;$D95)+($D$94=$D95)/2,0),IF(AND(EXACT($C$95,$C95),ISNUMBER($D$95)),($D$95&gt;$D95)+($D$95=$D95)/2,0),IF(AND(EXACT($C$96,$C95),ISNUMBER($D$96)),($D$96&gt;$D95)+($D$96=$D95)/2,0),IF(AND(EXACT($C$97,$C95),ISNUMBER($D$97)),($D$97&gt;$D95)+($D$97=$D95)/2,0),IF(AND(EXACT($C$98,$C95),ISNUMBER($D$98)),($D$98&gt;$D95)+($D$98=$D95)/2,0),IF(AND(EXACT($C$99,$C95),ISNUMBER($D$99)),($D$99&gt;$D95)+($D$99=$D95)/2,0),IF(AND(EXACT($C$100,$C95),ISNUMBER($D$100)),($D$100&gt;$D95)+($D$100=$D95)/2,0),IF(AND(EXACT($C$101,$C95),ISNUMBER($D$101)),($D$101&gt;$D95)+($D$101=$D95)/2,0),IF(AND(EXACT($C$102,$C95),ISNUMBER($D$102)),($D$102&gt;$D95)+($D$102=$D95)/2,0),IF(AND(EXACT($C$103,$C95),ISNUMBER($D$103)),($D$103&gt;$D95)+($D$103=$D95)/2,0),IF(AND(EXACT($C$104,$C95),ISNUMBER($D$104)),($D$104&gt;$D95)+($D$104=$D95)/2,0),IF(AND(EXACT($C$105,$C95),ISNUMBER($D$105)),($D$105&gt;$D95)+($D$105=$D95)/2,0),IF(AND(EXACT($C$106,$C95),ISNUMBER($D$106)),($D$106&gt;$D95)+($D$106=$D95)/2,0)))</x:f>
      </x:c>
    </x:row>
    <x:row r="96">
      <x:c r="A96" s="34" t="str">
        <x:f>IF('91_CALC_SCORES'!A96="","",'91_CALC_SCORES'!A96)</x:f>
      </x:c>
      <x:c r="B96" s="34" t="str">
        <x:f>IF($A96="","",'91_CALC_SCORES'!B96)</x:f>
      </x:c>
      <x:c r="C96" s="34" t="str">
        <x:f>IF($A96="","",'91_CALC_SCORES'!K96)</x:f>
      </x:c>
      <x:c r="D96" s="57" t="str">
        <x:f>IF(OR($A96="",NOT(OR(LEFT('91_CALC_SCORES'!AB96,4)="PASS",LEFT('91_CALC_SCORES'!AB96,5)="READY"))),"",'91_CALC_SCORES'!Y96)</x:f>
      </x:c>
      <x:c r="E96" s="34" t="str">
        <x:f>IF(COUNT(D96)=0,"",1+SUM(AN96:AO96)-1/2)</x:f>
      </x:c>
      <x:c r="F96" s="34" t="str">
        <x:f>IF($A96="","",'91_CALC_SCORES'!AB96)</x:f>
      </x:c>
      <x:c r="G96" s="34" t="str">
        <x:f>IF(A96="","","연구 베타 | 기업 백분위 아님")</x:f>
      </x:c>
      <x:c r="AN96" s="34" t="str">
        <x:f>IF(COUNT($D96)=0,"",SUM(IF(AND(EXACT($C$7,$C96),ISNUMBER($D$7)),($D$7&gt;$D96)+($D$7=$D96)/2,0),IF(AND(EXACT($C$8,$C96),ISNUMBER($D$8)),($D$8&gt;$D96)+($D$8=$D96)/2,0),IF(AND(EXACT($C$9,$C96),ISNUMBER($D$9)),($D$9&gt;$D96)+($D$9=$D96)/2,0),IF(AND(EXACT($C$10,$C96),ISNUMBER($D$10)),($D$10&gt;$D96)+($D$10=$D96)/2,0),IF(AND(EXACT($C$11,$C96),ISNUMBER($D$11)),($D$11&gt;$D96)+($D$11=$D96)/2,0),IF(AND(EXACT($C$12,$C96),ISNUMBER($D$12)),($D$12&gt;$D96)+($D$12=$D96)/2,0),IF(AND(EXACT($C$13,$C96),ISNUMBER($D$13)),($D$13&gt;$D96)+($D$13=$D96)/2,0),IF(AND(EXACT($C$14,$C96),ISNUMBER($D$14)),($D$14&gt;$D96)+($D$14=$D96)/2,0),IF(AND(EXACT($C$15,$C96),ISNUMBER($D$15)),($D$15&gt;$D96)+($D$15=$D96)/2,0),IF(AND(EXACT($C$16,$C96),ISNUMBER($D$16)),($D$16&gt;$D96)+($D$16=$D96)/2,0),IF(AND(EXACT($C$17,$C96),ISNUMBER($D$17)),($D$17&gt;$D96)+($D$17=$D96)/2,0),IF(AND(EXACT($C$18,$C96),ISNUMBER($D$18)),($D$18&gt;$D96)+($D$18=$D96)/2,0),IF(AND(EXACT($C$19,$C96),ISNUMBER($D$19)),($D$19&gt;$D96)+($D$19=$D96)/2,0),IF(AND(EXACT($C$20,$C96),ISNUMBER($D$20)),($D$20&gt;$D96)+($D$20=$D96)/2,0),IF(AND(EXACT($C$21,$C96),ISNUMBER($D$21)),($D$21&gt;$D96)+($D$21=$D96)/2,0),IF(AND(EXACT($C$22,$C96),ISNUMBER($D$22)),($D$22&gt;$D96)+($D$22=$D96)/2,0),IF(AND(EXACT($C$23,$C96),ISNUMBER($D$23)),($D$23&gt;$D96)+($D$23=$D96)/2,0),IF(AND(EXACT($C$24,$C96),ISNUMBER($D$24)),($D$24&gt;$D96)+($D$24=$D96)/2,0),IF(AND(EXACT($C$25,$C96),ISNUMBER($D$25)),($D$25&gt;$D96)+($D$25=$D96)/2,0),IF(AND(EXACT($C$26,$C96),ISNUMBER($D$26)),($D$26&gt;$D96)+($D$26=$D96)/2,0),IF(AND(EXACT($C$27,$C96),ISNUMBER($D$27)),($D$27&gt;$D96)+($D$27=$D96)/2,0),IF(AND(EXACT($C$28,$C96),ISNUMBER($D$28)),($D$28&gt;$D96)+($D$28=$D96)/2,0),IF(AND(EXACT($C$29,$C96),ISNUMBER($D$29)),($D$29&gt;$D96)+($D$29=$D96)/2,0),IF(AND(EXACT($C$30,$C96),ISNUMBER($D$30)),($D$30&gt;$D96)+($D$30=$D96)/2,0),IF(AND(EXACT($C$31,$C96),ISNUMBER($D$31)),($D$31&gt;$D96)+($D$31=$D96)/2,0),IF(AND(EXACT($C$32,$C96),ISNUMBER($D$32)),($D$32&gt;$D96)+($D$32=$D96)/2,0),IF(AND(EXACT($C$33,$C96),ISNUMBER($D$33)),($D$33&gt;$D96)+($D$33=$D96)/2,0),IF(AND(EXACT($C$34,$C96),ISNUMBER($D$34)),($D$34&gt;$D96)+($D$34=$D96)/2,0),IF(AND(EXACT($C$35,$C96),ISNUMBER($D$35)),($D$35&gt;$D96)+($D$35=$D96)/2,0),IF(AND(EXACT($C$36,$C96),ISNUMBER($D$36)),($D$36&gt;$D96)+($D$36=$D96)/2,0),IF(AND(EXACT($C$37,$C96),ISNUMBER($D$37)),($D$37&gt;$D96)+($D$37=$D96)/2,0),IF(AND(EXACT($C$38,$C96),ISNUMBER($D$38)),($D$38&gt;$D96)+($D$38=$D96)/2,0),IF(AND(EXACT($C$39,$C96),ISNUMBER($D$39)),($D$39&gt;$D96)+($D$39=$D96)/2,0),IF(AND(EXACT($C$40,$C96),ISNUMBER($D$40)),($D$40&gt;$D96)+($D$40=$D96)/2,0),IF(AND(EXACT($C$41,$C96),ISNUMBER($D$41)),($D$41&gt;$D96)+($D$41=$D96)/2,0),IF(AND(EXACT($C$42,$C96),ISNUMBER($D$42)),($D$42&gt;$D96)+($D$42=$D96)/2,0),IF(AND(EXACT($C$43,$C96),ISNUMBER($D$43)),($D$43&gt;$D96)+($D$43=$D96)/2,0),IF(AND(EXACT($C$44,$C96),ISNUMBER($D$44)),($D$44&gt;$D96)+($D$44=$D96)/2,0),IF(AND(EXACT($C$45,$C96),ISNUMBER($D$45)),($D$45&gt;$D96)+($D$45=$D96)/2,0),IF(AND(EXACT($C$46,$C96),ISNUMBER($D$46)),($D$46&gt;$D96)+($D$46=$D96)/2,0),IF(AND(EXACT($C$47,$C96),ISNUMBER($D$47)),($D$47&gt;$D96)+($D$47=$D96)/2,0),IF(AND(EXACT($C$48,$C96),ISNUMBER($D$48)),($D$48&gt;$D96)+($D$48=$D96)/2,0),IF(AND(EXACT($C$49,$C96),ISNUMBER($D$49)),($D$49&gt;$D96)+($D$49=$D96)/2,0),IF(AND(EXACT($C$50,$C96),ISNUMBER($D$50)),($D$50&gt;$D96)+($D$50=$D96)/2,0),IF(AND(EXACT($C$51,$C96),ISNUMBER($D$51)),($D$51&gt;$D96)+($D$51=$D96)/2,0),IF(AND(EXACT($C$52,$C96),ISNUMBER($D$52)),($D$52&gt;$D96)+($D$52=$D96)/2,0),IF(AND(EXACT($C$53,$C96),ISNUMBER($D$53)),($D$53&gt;$D96)+($D$53=$D96)/2,0),IF(AND(EXACT($C$54,$C96),ISNUMBER($D$54)),($D$54&gt;$D96)+($D$54=$D96)/2,0),IF(AND(EXACT($C$55,$C96),ISNUMBER($D$55)),($D$55&gt;$D96)+($D$55=$D96)/2,0),IF(AND(EXACT($C$56,$C96),ISNUMBER($D$56)),($D$56&gt;$D96)+($D$56=$D96)/2,0)))</x:f>
      </x:c>
      <x:c r="AO96" s="34" t="str">
        <x:f>IF(COUNT($D96)=0,"",SUM(IF(AND(EXACT($C$57,$C96),ISNUMBER($D$57)),($D$57&gt;$D96)+($D$57=$D96)/2,0),IF(AND(EXACT($C$58,$C96),ISNUMBER($D$58)),($D$58&gt;$D96)+($D$58=$D96)/2,0),IF(AND(EXACT($C$59,$C96),ISNUMBER($D$59)),($D$59&gt;$D96)+($D$59=$D96)/2,0),IF(AND(EXACT($C$60,$C96),ISNUMBER($D$60)),($D$60&gt;$D96)+($D$60=$D96)/2,0),IF(AND(EXACT($C$61,$C96),ISNUMBER($D$61)),($D$61&gt;$D96)+($D$61=$D96)/2,0),IF(AND(EXACT($C$62,$C96),ISNUMBER($D$62)),($D$62&gt;$D96)+($D$62=$D96)/2,0),IF(AND(EXACT($C$63,$C96),ISNUMBER($D$63)),($D$63&gt;$D96)+($D$63=$D96)/2,0),IF(AND(EXACT($C$64,$C96),ISNUMBER($D$64)),($D$64&gt;$D96)+($D$64=$D96)/2,0),IF(AND(EXACT($C$65,$C96),ISNUMBER($D$65)),($D$65&gt;$D96)+($D$65=$D96)/2,0),IF(AND(EXACT($C$66,$C96),ISNUMBER($D$66)),($D$66&gt;$D96)+($D$66=$D96)/2,0),IF(AND(EXACT($C$67,$C96),ISNUMBER($D$67)),($D$67&gt;$D96)+($D$67=$D96)/2,0),IF(AND(EXACT($C$68,$C96),ISNUMBER($D$68)),($D$68&gt;$D96)+($D$68=$D96)/2,0),IF(AND(EXACT($C$69,$C96),ISNUMBER($D$69)),($D$69&gt;$D96)+($D$69=$D96)/2,0),IF(AND(EXACT($C$70,$C96),ISNUMBER($D$70)),($D$70&gt;$D96)+($D$70=$D96)/2,0),IF(AND(EXACT($C$71,$C96),ISNUMBER($D$71)),($D$71&gt;$D96)+($D$71=$D96)/2,0),IF(AND(EXACT($C$72,$C96),ISNUMBER($D$72)),($D$72&gt;$D96)+($D$72=$D96)/2,0),IF(AND(EXACT($C$73,$C96),ISNUMBER($D$73)),($D$73&gt;$D96)+($D$73=$D96)/2,0),IF(AND(EXACT($C$74,$C96),ISNUMBER($D$74)),($D$74&gt;$D96)+($D$74=$D96)/2,0),IF(AND(EXACT($C$75,$C96),ISNUMBER($D$75)),($D$75&gt;$D96)+($D$75=$D96)/2,0),IF(AND(EXACT($C$76,$C96),ISNUMBER($D$76)),($D$76&gt;$D96)+($D$76=$D96)/2,0),IF(AND(EXACT($C$77,$C96),ISNUMBER($D$77)),($D$77&gt;$D96)+($D$77=$D96)/2,0),IF(AND(EXACT($C$78,$C96),ISNUMBER($D$78)),($D$78&gt;$D96)+($D$78=$D96)/2,0),IF(AND(EXACT($C$79,$C96),ISNUMBER($D$79)),($D$79&gt;$D96)+($D$79=$D96)/2,0),IF(AND(EXACT($C$80,$C96),ISNUMBER($D$80)),($D$80&gt;$D96)+($D$80=$D96)/2,0),IF(AND(EXACT($C$81,$C96),ISNUMBER($D$81)),($D$81&gt;$D96)+($D$81=$D96)/2,0),IF(AND(EXACT($C$82,$C96),ISNUMBER($D$82)),($D$82&gt;$D96)+($D$82=$D96)/2,0),IF(AND(EXACT($C$83,$C96),ISNUMBER($D$83)),($D$83&gt;$D96)+($D$83=$D96)/2,0),IF(AND(EXACT($C$84,$C96),ISNUMBER($D$84)),($D$84&gt;$D96)+($D$84=$D96)/2,0),IF(AND(EXACT($C$85,$C96),ISNUMBER($D$85)),($D$85&gt;$D96)+($D$85=$D96)/2,0),IF(AND(EXACT($C$86,$C96),ISNUMBER($D$86)),($D$86&gt;$D96)+($D$86=$D96)/2,0),IF(AND(EXACT($C$87,$C96),ISNUMBER($D$87)),($D$87&gt;$D96)+($D$87=$D96)/2,0),IF(AND(EXACT($C$88,$C96),ISNUMBER($D$88)),($D$88&gt;$D96)+($D$88=$D96)/2,0),IF(AND(EXACT($C$89,$C96),ISNUMBER($D$89)),($D$89&gt;$D96)+($D$89=$D96)/2,0),IF(AND(EXACT($C$90,$C96),ISNUMBER($D$90)),($D$90&gt;$D96)+($D$90=$D96)/2,0),IF(AND(EXACT($C$91,$C96),ISNUMBER($D$91)),($D$91&gt;$D96)+($D$91=$D96)/2,0),IF(AND(EXACT($C$92,$C96),ISNUMBER($D$92)),($D$92&gt;$D96)+($D$92=$D96)/2,0),IF(AND(EXACT($C$93,$C96),ISNUMBER($D$93)),($D$93&gt;$D96)+($D$93=$D96)/2,0),IF(AND(EXACT($C$94,$C96),ISNUMBER($D$94)),($D$94&gt;$D96)+($D$94=$D96)/2,0),IF(AND(EXACT($C$95,$C96),ISNUMBER($D$95)),($D$95&gt;$D96)+($D$95=$D96)/2,0),IF(AND(EXACT($C$96,$C96),ISNUMBER($D$96)),($D$96&gt;$D96)+($D$96=$D96)/2,0),IF(AND(EXACT($C$97,$C96),ISNUMBER($D$97)),($D$97&gt;$D96)+($D$97=$D96)/2,0),IF(AND(EXACT($C$98,$C96),ISNUMBER($D$98)),($D$98&gt;$D96)+($D$98=$D96)/2,0),IF(AND(EXACT($C$99,$C96),ISNUMBER($D$99)),($D$99&gt;$D96)+($D$99=$D96)/2,0),IF(AND(EXACT($C$100,$C96),ISNUMBER($D$100)),($D$100&gt;$D96)+($D$100=$D96)/2,0),IF(AND(EXACT($C$101,$C96),ISNUMBER($D$101)),($D$101&gt;$D96)+($D$101=$D96)/2,0),IF(AND(EXACT($C$102,$C96),ISNUMBER($D$102)),($D$102&gt;$D96)+($D$102=$D96)/2,0),IF(AND(EXACT($C$103,$C96),ISNUMBER($D$103)),($D$103&gt;$D96)+($D$103=$D96)/2,0),IF(AND(EXACT($C$104,$C96),ISNUMBER($D$104)),($D$104&gt;$D96)+($D$104=$D96)/2,0),IF(AND(EXACT($C$105,$C96),ISNUMBER($D$105)),($D$105&gt;$D96)+($D$105=$D96)/2,0),IF(AND(EXACT($C$106,$C96),ISNUMBER($D$106)),($D$106&gt;$D96)+($D$106=$D96)/2,0)))</x:f>
      </x:c>
    </x:row>
    <x:row r="97">
      <x:c r="A97" s="34" t="str">
        <x:f>IF('91_CALC_SCORES'!A97="","",'91_CALC_SCORES'!A97)</x:f>
      </x:c>
      <x:c r="B97" s="34" t="str">
        <x:f>IF($A97="","",'91_CALC_SCORES'!B97)</x:f>
      </x:c>
      <x:c r="C97" s="34" t="str">
        <x:f>IF($A97="","",'91_CALC_SCORES'!K97)</x:f>
      </x:c>
      <x:c r="D97" s="57" t="str">
        <x:f>IF(OR($A97="",NOT(OR(LEFT('91_CALC_SCORES'!AB97,4)="PASS",LEFT('91_CALC_SCORES'!AB97,5)="READY"))),"",'91_CALC_SCORES'!Y97)</x:f>
      </x:c>
      <x:c r="E97" s="34" t="str">
        <x:f>IF(COUNT(D97)=0,"",1+SUM(AN97:AO97)-1/2)</x:f>
      </x:c>
      <x:c r="F97" s="34" t="str">
        <x:f>IF($A97="","",'91_CALC_SCORES'!AB97)</x:f>
      </x:c>
      <x:c r="G97" s="34" t="str">
        <x:f>IF(A97="","","연구 베타 | 기업 백분위 아님")</x:f>
      </x:c>
      <x:c r="AN97" s="34" t="str">
        <x:f>IF(COUNT($D97)=0,"",SUM(IF(AND(EXACT($C$7,$C97),ISNUMBER($D$7)),($D$7&gt;$D97)+($D$7=$D97)/2,0),IF(AND(EXACT($C$8,$C97),ISNUMBER($D$8)),($D$8&gt;$D97)+($D$8=$D97)/2,0),IF(AND(EXACT($C$9,$C97),ISNUMBER($D$9)),($D$9&gt;$D97)+($D$9=$D97)/2,0),IF(AND(EXACT($C$10,$C97),ISNUMBER($D$10)),($D$10&gt;$D97)+($D$10=$D97)/2,0),IF(AND(EXACT($C$11,$C97),ISNUMBER($D$11)),($D$11&gt;$D97)+($D$11=$D97)/2,0),IF(AND(EXACT($C$12,$C97),ISNUMBER($D$12)),($D$12&gt;$D97)+($D$12=$D97)/2,0),IF(AND(EXACT($C$13,$C97),ISNUMBER($D$13)),($D$13&gt;$D97)+($D$13=$D97)/2,0),IF(AND(EXACT($C$14,$C97),ISNUMBER($D$14)),($D$14&gt;$D97)+($D$14=$D97)/2,0),IF(AND(EXACT($C$15,$C97),ISNUMBER($D$15)),($D$15&gt;$D97)+($D$15=$D97)/2,0),IF(AND(EXACT($C$16,$C97),ISNUMBER($D$16)),($D$16&gt;$D97)+($D$16=$D97)/2,0),IF(AND(EXACT($C$17,$C97),ISNUMBER($D$17)),($D$17&gt;$D97)+($D$17=$D97)/2,0),IF(AND(EXACT($C$18,$C97),ISNUMBER($D$18)),($D$18&gt;$D97)+($D$18=$D97)/2,0),IF(AND(EXACT($C$19,$C97),ISNUMBER($D$19)),($D$19&gt;$D97)+($D$19=$D97)/2,0),IF(AND(EXACT($C$20,$C97),ISNUMBER($D$20)),($D$20&gt;$D97)+($D$20=$D97)/2,0),IF(AND(EXACT($C$21,$C97),ISNUMBER($D$21)),($D$21&gt;$D97)+($D$21=$D97)/2,0),IF(AND(EXACT($C$22,$C97),ISNUMBER($D$22)),($D$22&gt;$D97)+($D$22=$D97)/2,0),IF(AND(EXACT($C$23,$C97),ISNUMBER($D$23)),($D$23&gt;$D97)+($D$23=$D97)/2,0),IF(AND(EXACT($C$24,$C97),ISNUMBER($D$24)),($D$24&gt;$D97)+($D$24=$D97)/2,0),IF(AND(EXACT($C$25,$C97),ISNUMBER($D$25)),($D$25&gt;$D97)+($D$25=$D97)/2,0),IF(AND(EXACT($C$26,$C97),ISNUMBER($D$26)),($D$26&gt;$D97)+($D$26=$D97)/2,0),IF(AND(EXACT($C$27,$C97),ISNUMBER($D$27)),($D$27&gt;$D97)+($D$27=$D97)/2,0),IF(AND(EXACT($C$28,$C97),ISNUMBER($D$28)),($D$28&gt;$D97)+($D$28=$D97)/2,0),IF(AND(EXACT($C$29,$C97),ISNUMBER($D$29)),($D$29&gt;$D97)+($D$29=$D97)/2,0),IF(AND(EXACT($C$30,$C97),ISNUMBER($D$30)),($D$30&gt;$D97)+($D$30=$D97)/2,0),IF(AND(EXACT($C$31,$C97),ISNUMBER($D$31)),($D$31&gt;$D97)+($D$31=$D97)/2,0),IF(AND(EXACT($C$32,$C97),ISNUMBER($D$32)),($D$32&gt;$D97)+($D$32=$D97)/2,0),IF(AND(EXACT($C$33,$C97),ISNUMBER($D$33)),($D$33&gt;$D97)+($D$33=$D97)/2,0),IF(AND(EXACT($C$34,$C97),ISNUMBER($D$34)),($D$34&gt;$D97)+($D$34=$D97)/2,0),IF(AND(EXACT($C$35,$C97),ISNUMBER($D$35)),($D$35&gt;$D97)+($D$35=$D97)/2,0),IF(AND(EXACT($C$36,$C97),ISNUMBER($D$36)),($D$36&gt;$D97)+($D$36=$D97)/2,0),IF(AND(EXACT($C$37,$C97),ISNUMBER($D$37)),($D$37&gt;$D97)+($D$37=$D97)/2,0),IF(AND(EXACT($C$38,$C97),ISNUMBER($D$38)),($D$38&gt;$D97)+($D$38=$D97)/2,0),IF(AND(EXACT($C$39,$C97),ISNUMBER($D$39)),($D$39&gt;$D97)+($D$39=$D97)/2,0),IF(AND(EXACT($C$40,$C97),ISNUMBER($D$40)),($D$40&gt;$D97)+($D$40=$D97)/2,0),IF(AND(EXACT($C$41,$C97),ISNUMBER($D$41)),($D$41&gt;$D97)+($D$41=$D97)/2,0),IF(AND(EXACT($C$42,$C97),ISNUMBER($D$42)),($D$42&gt;$D97)+($D$42=$D97)/2,0),IF(AND(EXACT($C$43,$C97),ISNUMBER($D$43)),($D$43&gt;$D97)+($D$43=$D97)/2,0),IF(AND(EXACT($C$44,$C97),ISNUMBER($D$44)),($D$44&gt;$D97)+($D$44=$D97)/2,0),IF(AND(EXACT($C$45,$C97),ISNUMBER($D$45)),($D$45&gt;$D97)+($D$45=$D97)/2,0),IF(AND(EXACT($C$46,$C97),ISNUMBER($D$46)),($D$46&gt;$D97)+($D$46=$D97)/2,0),IF(AND(EXACT($C$47,$C97),ISNUMBER($D$47)),($D$47&gt;$D97)+($D$47=$D97)/2,0),IF(AND(EXACT($C$48,$C97),ISNUMBER($D$48)),($D$48&gt;$D97)+($D$48=$D97)/2,0),IF(AND(EXACT($C$49,$C97),ISNUMBER($D$49)),($D$49&gt;$D97)+($D$49=$D97)/2,0),IF(AND(EXACT($C$50,$C97),ISNUMBER($D$50)),($D$50&gt;$D97)+($D$50=$D97)/2,0),IF(AND(EXACT($C$51,$C97),ISNUMBER($D$51)),($D$51&gt;$D97)+($D$51=$D97)/2,0),IF(AND(EXACT($C$52,$C97),ISNUMBER($D$52)),($D$52&gt;$D97)+($D$52=$D97)/2,0),IF(AND(EXACT($C$53,$C97),ISNUMBER($D$53)),($D$53&gt;$D97)+($D$53=$D97)/2,0),IF(AND(EXACT($C$54,$C97),ISNUMBER($D$54)),($D$54&gt;$D97)+($D$54=$D97)/2,0),IF(AND(EXACT($C$55,$C97),ISNUMBER($D$55)),($D$55&gt;$D97)+($D$55=$D97)/2,0),IF(AND(EXACT($C$56,$C97),ISNUMBER($D$56)),($D$56&gt;$D97)+($D$56=$D97)/2,0)))</x:f>
      </x:c>
      <x:c r="AO97" s="34" t="str">
        <x:f>IF(COUNT($D97)=0,"",SUM(IF(AND(EXACT($C$57,$C97),ISNUMBER($D$57)),($D$57&gt;$D97)+($D$57=$D97)/2,0),IF(AND(EXACT($C$58,$C97),ISNUMBER($D$58)),($D$58&gt;$D97)+($D$58=$D97)/2,0),IF(AND(EXACT($C$59,$C97),ISNUMBER($D$59)),($D$59&gt;$D97)+($D$59=$D97)/2,0),IF(AND(EXACT($C$60,$C97),ISNUMBER($D$60)),($D$60&gt;$D97)+($D$60=$D97)/2,0),IF(AND(EXACT($C$61,$C97),ISNUMBER($D$61)),($D$61&gt;$D97)+($D$61=$D97)/2,0),IF(AND(EXACT($C$62,$C97),ISNUMBER($D$62)),($D$62&gt;$D97)+($D$62=$D97)/2,0),IF(AND(EXACT($C$63,$C97),ISNUMBER($D$63)),($D$63&gt;$D97)+($D$63=$D97)/2,0),IF(AND(EXACT($C$64,$C97),ISNUMBER($D$64)),($D$64&gt;$D97)+($D$64=$D97)/2,0),IF(AND(EXACT($C$65,$C97),ISNUMBER($D$65)),($D$65&gt;$D97)+($D$65=$D97)/2,0),IF(AND(EXACT($C$66,$C97),ISNUMBER($D$66)),($D$66&gt;$D97)+($D$66=$D97)/2,0),IF(AND(EXACT($C$67,$C97),ISNUMBER($D$67)),($D$67&gt;$D97)+($D$67=$D97)/2,0),IF(AND(EXACT($C$68,$C97),ISNUMBER($D$68)),($D$68&gt;$D97)+($D$68=$D97)/2,0),IF(AND(EXACT($C$69,$C97),ISNUMBER($D$69)),($D$69&gt;$D97)+($D$69=$D97)/2,0),IF(AND(EXACT($C$70,$C97),ISNUMBER($D$70)),($D$70&gt;$D97)+($D$70=$D97)/2,0),IF(AND(EXACT($C$71,$C97),ISNUMBER($D$71)),($D$71&gt;$D97)+($D$71=$D97)/2,0),IF(AND(EXACT($C$72,$C97),ISNUMBER($D$72)),($D$72&gt;$D97)+($D$72=$D97)/2,0),IF(AND(EXACT($C$73,$C97),ISNUMBER($D$73)),($D$73&gt;$D97)+($D$73=$D97)/2,0),IF(AND(EXACT($C$74,$C97),ISNUMBER($D$74)),($D$74&gt;$D97)+($D$74=$D97)/2,0),IF(AND(EXACT($C$75,$C97),ISNUMBER($D$75)),($D$75&gt;$D97)+($D$75=$D97)/2,0),IF(AND(EXACT($C$76,$C97),ISNUMBER($D$76)),($D$76&gt;$D97)+($D$76=$D97)/2,0),IF(AND(EXACT($C$77,$C97),ISNUMBER($D$77)),($D$77&gt;$D97)+($D$77=$D97)/2,0),IF(AND(EXACT($C$78,$C97),ISNUMBER($D$78)),($D$78&gt;$D97)+($D$78=$D97)/2,0),IF(AND(EXACT($C$79,$C97),ISNUMBER($D$79)),($D$79&gt;$D97)+($D$79=$D97)/2,0),IF(AND(EXACT($C$80,$C97),ISNUMBER($D$80)),($D$80&gt;$D97)+($D$80=$D97)/2,0),IF(AND(EXACT($C$81,$C97),ISNUMBER($D$81)),($D$81&gt;$D97)+($D$81=$D97)/2,0),IF(AND(EXACT($C$82,$C97),ISNUMBER($D$82)),($D$82&gt;$D97)+($D$82=$D97)/2,0),IF(AND(EXACT($C$83,$C97),ISNUMBER($D$83)),($D$83&gt;$D97)+($D$83=$D97)/2,0),IF(AND(EXACT($C$84,$C97),ISNUMBER($D$84)),($D$84&gt;$D97)+($D$84=$D97)/2,0),IF(AND(EXACT($C$85,$C97),ISNUMBER($D$85)),($D$85&gt;$D97)+($D$85=$D97)/2,0),IF(AND(EXACT($C$86,$C97),ISNUMBER($D$86)),($D$86&gt;$D97)+($D$86=$D97)/2,0),IF(AND(EXACT($C$87,$C97),ISNUMBER($D$87)),($D$87&gt;$D97)+($D$87=$D97)/2,0),IF(AND(EXACT($C$88,$C97),ISNUMBER($D$88)),($D$88&gt;$D97)+($D$88=$D97)/2,0),IF(AND(EXACT($C$89,$C97),ISNUMBER($D$89)),($D$89&gt;$D97)+($D$89=$D97)/2,0),IF(AND(EXACT($C$90,$C97),ISNUMBER($D$90)),($D$90&gt;$D97)+($D$90=$D97)/2,0),IF(AND(EXACT($C$91,$C97),ISNUMBER($D$91)),($D$91&gt;$D97)+($D$91=$D97)/2,0),IF(AND(EXACT($C$92,$C97),ISNUMBER($D$92)),($D$92&gt;$D97)+($D$92=$D97)/2,0),IF(AND(EXACT($C$93,$C97),ISNUMBER($D$93)),($D$93&gt;$D97)+($D$93=$D97)/2,0),IF(AND(EXACT($C$94,$C97),ISNUMBER($D$94)),($D$94&gt;$D97)+($D$94=$D97)/2,0),IF(AND(EXACT($C$95,$C97),ISNUMBER($D$95)),($D$95&gt;$D97)+($D$95=$D97)/2,0),IF(AND(EXACT($C$96,$C97),ISNUMBER($D$96)),($D$96&gt;$D97)+($D$96=$D97)/2,0),IF(AND(EXACT($C$97,$C97),ISNUMBER($D$97)),($D$97&gt;$D97)+($D$97=$D97)/2,0),IF(AND(EXACT($C$98,$C97),ISNUMBER($D$98)),($D$98&gt;$D97)+($D$98=$D97)/2,0),IF(AND(EXACT($C$99,$C97),ISNUMBER($D$99)),($D$99&gt;$D97)+($D$99=$D97)/2,0),IF(AND(EXACT($C$100,$C97),ISNUMBER($D$100)),($D$100&gt;$D97)+($D$100=$D97)/2,0),IF(AND(EXACT($C$101,$C97),ISNUMBER($D$101)),($D$101&gt;$D97)+($D$101=$D97)/2,0),IF(AND(EXACT($C$102,$C97),ISNUMBER($D$102)),($D$102&gt;$D97)+($D$102=$D97)/2,0),IF(AND(EXACT($C$103,$C97),ISNUMBER($D$103)),($D$103&gt;$D97)+($D$103=$D97)/2,0),IF(AND(EXACT($C$104,$C97),ISNUMBER($D$104)),($D$104&gt;$D97)+($D$104=$D97)/2,0),IF(AND(EXACT($C$105,$C97),ISNUMBER($D$105)),($D$105&gt;$D97)+($D$105=$D97)/2,0),IF(AND(EXACT($C$106,$C97),ISNUMBER($D$106)),($D$106&gt;$D97)+($D$106=$D97)/2,0)))</x:f>
      </x:c>
    </x:row>
    <x:row r="98">
      <x:c r="A98" s="34" t="str">
        <x:f>IF('91_CALC_SCORES'!A98="","",'91_CALC_SCORES'!A98)</x:f>
      </x:c>
      <x:c r="B98" s="34" t="str">
        <x:f>IF($A98="","",'91_CALC_SCORES'!B98)</x:f>
      </x:c>
      <x:c r="C98" s="34" t="str">
        <x:f>IF($A98="","",'91_CALC_SCORES'!K98)</x:f>
      </x:c>
      <x:c r="D98" s="57" t="str">
        <x:f>IF(OR($A98="",NOT(OR(LEFT('91_CALC_SCORES'!AB98,4)="PASS",LEFT('91_CALC_SCORES'!AB98,5)="READY"))),"",'91_CALC_SCORES'!Y98)</x:f>
      </x:c>
      <x:c r="E98" s="34" t="str">
        <x:f>IF(COUNT(D98)=0,"",1+SUM(AN98:AO98)-1/2)</x:f>
      </x:c>
      <x:c r="F98" s="34" t="str">
        <x:f>IF($A98="","",'91_CALC_SCORES'!AB98)</x:f>
      </x:c>
      <x:c r="G98" s="34" t="str">
        <x:f>IF(A98="","","연구 베타 | 기업 백분위 아님")</x:f>
      </x:c>
      <x:c r="AN98" s="34" t="str">
        <x:f>IF(COUNT($D98)=0,"",SUM(IF(AND(EXACT($C$7,$C98),ISNUMBER($D$7)),($D$7&gt;$D98)+($D$7=$D98)/2,0),IF(AND(EXACT($C$8,$C98),ISNUMBER($D$8)),($D$8&gt;$D98)+($D$8=$D98)/2,0),IF(AND(EXACT($C$9,$C98),ISNUMBER($D$9)),($D$9&gt;$D98)+($D$9=$D98)/2,0),IF(AND(EXACT($C$10,$C98),ISNUMBER($D$10)),($D$10&gt;$D98)+($D$10=$D98)/2,0),IF(AND(EXACT($C$11,$C98),ISNUMBER($D$11)),($D$11&gt;$D98)+($D$11=$D98)/2,0),IF(AND(EXACT($C$12,$C98),ISNUMBER($D$12)),($D$12&gt;$D98)+($D$12=$D98)/2,0),IF(AND(EXACT($C$13,$C98),ISNUMBER($D$13)),($D$13&gt;$D98)+($D$13=$D98)/2,0),IF(AND(EXACT($C$14,$C98),ISNUMBER($D$14)),($D$14&gt;$D98)+($D$14=$D98)/2,0),IF(AND(EXACT($C$15,$C98),ISNUMBER($D$15)),($D$15&gt;$D98)+($D$15=$D98)/2,0),IF(AND(EXACT($C$16,$C98),ISNUMBER($D$16)),($D$16&gt;$D98)+($D$16=$D98)/2,0),IF(AND(EXACT($C$17,$C98),ISNUMBER($D$17)),($D$17&gt;$D98)+($D$17=$D98)/2,0),IF(AND(EXACT($C$18,$C98),ISNUMBER($D$18)),($D$18&gt;$D98)+($D$18=$D98)/2,0),IF(AND(EXACT($C$19,$C98),ISNUMBER($D$19)),($D$19&gt;$D98)+($D$19=$D98)/2,0),IF(AND(EXACT($C$20,$C98),ISNUMBER($D$20)),($D$20&gt;$D98)+($D$20=$D98)/2,0),IF(AND(EXACT($C$21,$C98),ISNUMBER($D$21)),($D$21&gt;$D98)+($D$21=$D98)/2,0),IF(AND(EXACT($C$22,$C98),ISNUMBER($D$22)),($D$22&gt;$D98)+($D$22=$D98)/2,0),IF(AND(EXACT($C$23,$C98),ISNUMBER($D$23)),($D$23&gt;$D98)+($D$23=$D98)/2,0),IF(AND(EXACT($C$24,$C98),ISNUMBER($D$24)),($D$24&gt;$D98)+($D$24=$D98)/2,0),IF(AND(EXACT($C$25,$C98),ISNUMBER($D$25)),($D$25&gt;$D98)+($D$25=$D98)/2,0),IF(AND(EXACT($C$26,$C98),ISNUMBER($D$26)),($D$26&gt;$D98)+($D$26=$D98)/2,0),IF(AND(EXACT($C$27,$C98),ISNUMBER($D$27)),($D$27&gt;$D98)+($D$27=$D98)/2,0),IF(AND(EXACT($C$28,$C98),ISNUMBER($D$28)),($D$28&gt;$D98)+($D$28=$D98)/2,0),IF(AND(EXACT($C$29,$C98),ISNUMBER($D$29)),($D$29&gt;$D98)+($D$29=$D98)/2,0),IF(AND(EXACT($C$30,$C98),ISNUMBER($D$30)),($D$30&gt;$D98)+($D$30=$D98)/2,0),IF(AND(EXACT($C$31,$C98),ISNUMBER($D$31)),($D$31&gt;$D98)+($D$31=$D98)/2,0),IF(AND(EXACT($C$32,$C98),ISNUMBER($D$32)),($D$32&gt;$D98)+($D$32=$D98)/2,0),IF(AND(EXACT($C$33,$C98),ISNUMBER($D$33)),($D$33&gt;$D98)+($D$33=$D98)/2,0),IF(AND(EXACT($C$34,$C98),ISNUMBER($D$34)),($D$34&gt;$D98)+($D$34=$D98)/2,0),IF(AND(EXACT($C$35,$C98),ISNUMBER($D$35)),($D$35&gt;$D98)+($D$35=$D98)/2,0),IF(AND(EXACT($C$36,$C98),ISNUMBER($D$36)),($D$36&gt;$D98)+($D$36=$D98)/2,0),IF(AND(EXACT($C$37,$C98),ISNUMBER($D$37)),($D$37&gt;$D98)+($D$37=$D98)/2,0),IF(AND(EXACT($C$38,$C98),ISNUMBER($D$38)),($D$38&gt;$D98)+($D$38=$D98)/2,0),IF(AND(EXACT($C$39,$C98),ISNUMBER($D$39)),($D$39&gt;$D98)+($D$39=$D98)/2,0),IF(AND(EXACT($C$40,$C98),ISNUMBER($D$40)),($D$40&gt;$D98)+($D$40=$D98)/2,0),IF(AND(EXACT($C$41,$C98),ISNUMBER($D$41)),($D$41&gt;$D98)+($D$41=$D98)/2,0),IF(AND(EXACT($C$42,$C98),ISNUMBER($D$42)),($D$42&gt;$D98)+($D$42=$D98)/2,0),IF(AND(EXACT($C$43,$C98),ISNUMBER($D$43)),($D$43&gt;$D98)+($D$43=$D98)/2,0),IF(AND(EXACT($C$44,$C98),ISNUMBER($D$44)),($D$44&gt;$D98)+($D$44=$D98)/2,0),IF(AND(EXACT($C$45,$C98),ISNUMBER($D$45)),($D$45&gt;$D98)+($D$45=$D98)/2,0),IF(AND(EXACT($C$46,$C98),ISNUMBER($D$46)),($D$46&gt;$D98)+($D$46=$D98)/2,0),IF(AND(EXACT($C$47,$C98),ISNUMBER($D$47)),($D$47&gt;$D98)+($D$47=$D98)/2,0),IF(AND(EXACT($C$48,$C98),ISNUMBER($D$48)),($D$48&gt;$D98)+($D$48=$D98)/2,0),IF(AND(EXACT($C$49,$C98),ISNUMBER($D$49)),($D$49&gt;$D98)+($D$49=$D98)/2,0),IF(AND(EXACT($C$50,$C98),ISNUMBER($D$50)),($D$50&gt;$D98)+($D$50=$D98)/2,0),IF(AND(EXACT($C$51,$C98),ISNUMBER($D$51)),($D$51&gt;$D98)+($D$51=$D98)/2,0),IF(AND(EXACT($C$52,$C98),ISNUMBER($D$52)),($D$52&gt;$D98)+($D$52=$D98)/2,0),IF(AND(EXACT($C$53,$C98),ISNUMBER($D$53)),($D$53&gt;$D98)+($D$53=$D98)/2,0),IF(AND(EXACT($C$54,$C98),ISNUMBER($D$54)),($D$54&gt;$D98)+($D$54=$D98)/2,0),IF(AND(EXACT($C$55,$C98),ISNUMBER($D$55)),($D$55&gt;$D98)+($D$55=$D98)/2,0),IF(AND(EXACT($C$56,$C98),ISNUMBER($D$56)),($D$56&gt;$D98)+($D$56=$D98)/2,0)))</x:f>
      </x:c>
      <x:c r="AO98" s="34" t="str">
        <x:f>IF(COUNT($D98)=0,"",SUM(IF(AND(EXACT($C$57,$C98),ISNUMBER($D$57)),($D$57&gt;$D98)+($D$57=$D98)/2,0),IF(AND(EXACT($C$58,$C98),ISNUMBER($D$58)),($D$58&gt;$D98)+($D$58=$D98)/2,0),IF(AND(EXACT($C$59,$C98),ISNUMBER($D$59)),($D$59&gt;$D98)+($D$59=$D98)/2,0),IF(AND(EXACT($C$60,$C98),ISNUMBER($D$60)),($D$60&gt;$D98)+($D$60=$D98)/2,0),IF(AND(EXACT($C$61,$C98),ISNUMBER($D$61)),($D$61&gt;$D98)+($D$61=$D98)/2,0),IF(AND(EXACT($C$62,$C98),ISNUMBER($D$62)),($D$62&gt;$D98)+($D$62=$D98)/2,0),IF(AND(EXACT($C$63,$C98),ISNUMBER($D$63)),($D$63&gt;$D98)+($D$63=$D98)/2,0),IF(AND(EXACT($C$64,$C98),ISNUMBER($D$64)),($D$64&gt;$D98)+($D$64=$D98)/2,0),IF(AND(EXACT($C$65,$C98),ISNUMBER($D$65)),($D$65&gt;$D98)+($D$65=$D98)/2,0),IF(AND(EXACT($C$66,$C98),ISNUMBER($D$66)),($D$66&gt;$D98)+($D$66=$D98)/2,0),IF(AND(EXACT($C$67,$C98),ISNUMBER($D$67)),($D$67&gt;$D98)+($D$67=$D98)/2,0),IF(AND(EXACT($C$68,$C98),ISNUMBER($D$68)),($D$68&gt;$D98)+($D$68=$D98)/2,0),IF(AND(EXACT($C$69,$C98),ISNUMBER($D$69)),($D$69&gt;$D98)+($D$69=$D98)/2,0),IF(AND(EXACT($C$70,$C98),ISNUMBER($D$70)),($D$70&gt;$D98)+($D$70=$D98)/2,0),IF(AND(EXACT($C$71,$C98),ISNUMBER($D$71)),($D$71&gt;$D98)+($D$71=$D98)/2,0),IF(AND(EXACT($C$72,$C98),ISNUMBER($D$72)),($D$72&gt;$D98)+($D$72=$D98)/2,0),IF(AND(EXACT($C$73,$C98),ISNUMBER($D$73)),($D$73&gt;$D98)+($D$73=$D98)/2,0),IF(AND(EXACT($C$74,$C98),ISNUMBER($D$74)),($D$74&gt;$D98)+($D$74=$D98)/2,0),IF(AND(EXACT($C$75,$C98),ISNUMBER($D$75)),($D$75&gt;$D98)+($D$75=$D98)/2,0),IF(AND(EXACT($C$76,$C98),ISNUMBER($D$76)),($D$76&gt;$D98)+($D$76=$D98)/2,0),IF(AND(EXACT($C$77,$C98),ISNUMBER($D$77)),($D$77&gt;$D98)+($D$77=$D98)/2,0),IF(AND(EXACT($C$78,$C98),ISNUMBER($D$78)),($D$78&gt;$D98)+($D$78=$D98)/2,0),IF(AND(EXACT($C$79,$C98),ISNUMBER($D$79)),($D$79&gt;$D98)+($D$79=$D98)/2,0),IF(AND(EXACT($C$80,$C98),ISNUMBER($D$80)),($D$80&gt;$D98)+($D$80=$D98)/2,0),IF(AND(EXACT($C$81,$C98),ISNUMBER($D$81)),($D$81&gt;$D98)+($D$81=$D98)/2,0),IF(AND(EXACT($C$82,$C98),ISNUMBER($D$82)),($D$82&gt;$D98)+($D$82=$D98)/2,0),IF(AND(EXACT($C$83,$C98),ISNUMBER($D$83)),($D$83&gt;$D98)+($D$83=$D98)/2,0),IF(AND(EXACT($C$84,$C98),ISNUMBER($D$84)),($D$84&gt;$D98)+($D$84=$D98)/2,0),IF(AND(EXACT($C$85,$C98),ISNUMBER($D$85)),($D$85&gt;$D98)+($D$85=$D98)/2,0),IF(AND(EXACT($C$86,$C98),ISNUMBER($D$86)),($D$86&gt;$D98)+($D$86=$D98)/2,0),IF(AND(EXACT($C$87,$C98),ISNUMBER($D$87)),($D$87&gt;$D98)+($D$87=$D98)/2,0),IF(AND(EXACT($C$88,$C98),ISNUMBER($D$88)),($D$88&gt;$D98)+($D$88=$D98)/2,0),IF(AND(EXACT($C$89,$C98),ISNUMBER($D$89)),($D$89&gt;$D98)+($D$89=$D98)/2,0),IF(AND(EXACT($C$90,$C98),ISNUMBER($D$90)),($D$90&gt;$D98)+($D$90=$D98)/2,0),IF(AND(EXACT($C$91,$C98),ISNUMBER($D$91)),($D$91&gt;$D98)+($D$91=$D98)/2,0),IF(AND(EXACT($C$92,$C98),ISNUMBER($D$92)),($D$92&gt;$D98)+($D$92=$D98)/2,0),IF(AND(EXACT($C$93,$C98),ISNUMBER($D$93)),($D$93&gt;$D98)+($D$93=$D98)/2,0),IF(AND(EXACT($C$94,$C98),ISNUMBER($D$94)),($D$94&gt;$D98)+($D$94=$D98)/2,0),IF(AND(EXACT($C$95,$C98),ISNUMBER($D$95)),($D$95&gt;$D98)+($D$95=$D98)/2,0),IF(AND(EXACT($C$96,$C98),ISNUMBER($D$96)),($D$96&gt;$D98)+($D$96=$D98)/2,0),IF(AND(EXACT($C$97,$C98),ISNUMBER($D$97)),($D$97&gt;$D98)+($D$97=$D98)/2,0),IF(AND(EXACT($C$98,$C98),ISNUMBER($D$98)),($D$98&gt;$D98)+($D$98=$D98)/2,0),IF(AND(EXACT($C$99,$C98),ISNUMBER($D$99)),($D$99&gt;$D98)+($D$99=$D98)/2,0),IF(AND(EXACT($C$100,$C98),ISNUMBER($D$100)),($D$100&gt;$D98)+($D$100=$D98)/2,0),IF(AND(EXACT($C$101,$C98),ISNUMBER($D$101)),($D$101&gt;$D98)+($D$101=$D98)/2,0),IF(AND(EXACT($C$102,$C98),ISNUMBER($D$102)),($D$102&gt;$D98)+($D$102=$D98)/2,0),IF(AND(EXACT($C$103,$C98),ISNUMBER($D$103)),($D$103&gt;$D98)+($D$103=$D98)/2,0),IF(AND(EXACT($C$104,$C98),ISNUMBER($D$104)),($D$104&gt;$D98)+($D$104=$D98)/2,0),IF(AND(EXACT($C$105,$C98),ISNUMBER($D$105)),($D$105&gt;$D98)+($D$105=$D98)/2,0),IF(AND(EXACT($C$106,$C98),ISNUMBER($D$106)),($D$106&gt;$D98)+($D$106=$D98)/2,0)))</x:f>
      </x:c>
    </x:row>
    <x:row r="99">
      <x:c r="A99" s="34" t="str">
        <x:f>IF('91_CALC_SCORES'!A99="","",'91_CALC_SCORES'!A99)</x:f>
      </x:c>
      <x:c r="B99" s="34" t="str">
        <x:f>IF($A99="","",'91_CALC_SCORES'!B99)</x:f>
      </x:c>
      <x:c r="C99" s="34" t="str">
        <x:f>IF($A99="","",'91_CALC_SCORES'!K99)</x:f>
      </x:c>
      <x:c r="D99" s="57" t="str">
        <x:f>IF(OR($A99="",NOT(OR(LEFT('91_CALC_SCORES'!AB99,4)="PASS",LEFT('91_CALC_SCORES'!AB99,5)="READY"))),"",'91_CALC_SCORES'!Y99)</x:f>
      </x:c>
      <x:c r="E99" s="34" t="str">
        <x:f>IF(COUNT(D99)=0,"",1+SUM(AN99:AO99)-1/2)</x:f>
      </x:c>
      <x:c r="F99" s="34" t="str">
        <x:f>IF($A99="","",'91_CALC_SCORES'!AB99)</x:f>
      </x:c>
      <x:c r="G99" s="34" t="str">
        <x:f>IF(A99="","","연구 베타 | 기업 백분위 아님")</x:f>
      </x:c>
      <x:c r="AN99" s="34" t="str">
        <x:f>IF(COUNT($D99)=0,"",SUM(IF(AND(EXACT($C$7,$C99),ISNUMBER($D$7)),($D$7&gt;$D99)+($D$7=$D99)/2,0),IF(AND(EXACT($C$8,$C99),ISNUMBER($D$8)),($D$8&gt;$D99)+($D$8=$D99)/2,0),IF(AND(EXACT($C$9,$C99),ISNUMBER($D$9)),($D$9&gt;$D99)+($D$9=$D99)/2,0),IF(AND(EXACT($C$10,$C99),ISNUMBER($D$10)),($D$10&gt;$D99)+($D$10=$D99)/2,0),IF(AND(EXACT($C$11,$C99),ISNUMBER($D$11)),($D$11&gt;$D99)+($D$11=$D99)/2,0),IF(AND(EXACT($C$12,$C99),ISNUMBER($D$12)),($D$12&gt;$D99)+($D$12=$D99)/2,0),IF(AND(EXACT($C$13,$C99),ISNUMBER($D$13)),($D$13&gt;$D99)+($D$13=$D99)/2,0),IF(AND(EXACT($C$14,$C99),ISNUMBER($D$14)),($D$14&gt;$D99)+($D$14=$D99)/2,0),IF(AND(EXACT($C$15,$C99),ISNUMBER($D$15)),($D$15&gt;$D99)+($D$15=$D99)/2,0),IF(AND(EXACT($C$16,$C99),ISNUMBER($D$16)),($D$16&gt;$D99)+($D$16=$D99)/2,0),IF(AND(EXACT($C$17,$C99),ISNUMBER($D$17)),($D$17&gt;$D99)+($D$17=$D99)/2,0),IF(AND(EXACT($C$18,$C99),ISNUMBER($D$18)),($D$18&gt;$D99)+($D$18=$D99)/2,0),IF(AND(EXACT($C$19,$C99),ISNUMBER($D$19)),($D$19&gt;$D99)+($D$19=$D99)/2,0),IF(AND(EXACT($C$20,$C99),ISNUMBER($D$20)),($D$20&gt;$D99)+($D$20=$D99)/2,0),IF(AND(EXACT($C$21,$C99),ISNUMBER($D$21)),($D$21&gt;$D99)+($D$21=$D99)/2,0),IF(AND(EXACT($C$22,$C99),ISNUMBER($D$22)),($D$22&gt;$D99)+($D$22=$D99)/2,0),IF(AND(EXACT($C$23,$C99),ISNUMBER($D$23)),($D$23&gt;$D99)+($D$23=$D99)/2,0),IF(AND(EXACT($C$24,$C99),ISNUMBER($D$24)),($D$24&gt;$D99)+($D$24=$D99)/2,0),IF(AND(EXACT($C$25,$C99),ISNUMBER($D$25)),($D$25&gt;$D99)+($D$25=$D99)/2,0),IF(AND(EXACT($C$26,$C99),ISNUMBER($D$26)),($D$26&gt;$D99)+($D$26=$D99)/2,0),IF(AND(EXACT($C$27,$C99),ISNUMBER($D$27)),($D$27&gt;$D99)+($D$27=$D99)/2,0),IF(AND(EXACT($C$28,$C99),ISNUMBER($D$28)),($D$28&gt;$D99)+($D$28=$D99)/2,0),IF(AND(EXACT($C$29,$C99),ISNUMBER($D$29)),($D$29&gt;$D99)+($D$29=$D99)/2,0),IF(AND(EXACT($C$30,$C99),ISNUMBER($D$30)),($D$30&gt;$D99)+($D$30=$D99)/2,0),IF(AND(EXACT($C$31,$C99),ISNUMBER($D$31)),($D$31&gt;$D99)+($D$31=$D99)/2,0),IF(AND(EXACT($C$32,$C99),ISNUMBER($D$32)),($D$32&gt;$D99)+($D$32=$D99)/2,0),IF(AND(EXACT($C$33,$C99),ISNUMBER($D$33)),($D$33&gt;$D99)+($D$33=$D99)/2,0),IF(AND(EXACT($C$34,$C99),ISNUMBER($D$34)),($D$34&gt;$D99)+($D$34=$D99)/2,0),IF(AND(EXACT($C$35,$C99),ISNUMBER($D$35)),($D$35&gt;$D99)+($D$35=$D99)/2,0),IF(AND(EXACT($C$36,$C99),ISNUMBER($D$36)),($D$36&gt;$D99)+($D$36=$D99)/2,0),IF(AND(EXACT($C$37,$C99),ISNUMBER($D$37)),($D$37&gt;$D99)+($D$37=$D99)/2,0),IF(AND(EXACT($C$38,$C99),ISNUMBER($D$38)),($D$38&gt;$D99)+($D$38=$D99)/2,0),IF(AND(EXACT($C$39,$C99),ISNUMBER($D$39)),($D$39&gt;$D99)+($D$39=$D99)/2,0),IF(AND(EXACT($C$40,$C99),ISNUMBER($D$40)),($D$40&gt;$D99)+($D$40=$D99)/2,0),IF(AND(EXACT($C$41,$C99),ISNUMBER($D$41)),($D$41&gt;$D99)+($D$41=$D99)/2,0),IF(AND(EXACT($C$42,$C99),ISNUMBER($D$42)),($D$42&gt;$D99)+($D$42=$D99)/2,0),IF(AND(EXACT($C$43,$C99),ISNUMBER($D$43)),($D$43&gt;$D99)+($D$43=$D99)/2,0),IF(AND(EXACT($C$44,$C99),ISNUMBER($D$44)),($D$44&gt;$D99)+($D$44=$D99)/2,0),IF(AND(EXACT($C$45,$C99),ISNUMBER($D$45)),($D$45&gt;$D99)+($D$45=$D99)/2,0),IF(AND(EXACT($C$46,$C99),ISNUMBER($D$46)),($D$46&gt;$D99)+($D$46=$D99)/2,0),IF(AND(EXACT($C$47,$C99),ISNUMBER($D$47)),($D$47&gt;$D99)+($D$47=$D99)/2,0),IF(AND(EXACT($C$48,$C99),ISNUMBER($D$48)),($D$48&gt;$D99)+($D$48=$D99)/2,0),IF(AND(EXACT($C$49,$C99),ISNUMBER($D$49)),($D$49&gt;$D99)+($D$49=$D99)/2,0),IF(AND(EXACT($C$50,$C99),ISNUMBER($D$50)),($D$50&gt;$D99)+($D$50=$D99)/2,0),IF(AND(EXACT($C$51,$C99),ISNUMBER($D$51)),($D$51&gt;$D99)+($D$51=$D99)/2,0),IF(AND(EXACT($C$52,$C99),ISNUMBER($D$52)),($D$52&gt;$D99)+($D$52=$D99)/2,0),IF(AND(EXACT($C$53,$C99),ISNUMBER($D$53)),($D$53&gt;$D99)+($D$53=$D99)/2,0),IF(AND(EXACT($C$54,$C99),ISNUMBER($D$54)),($D$54&gt;$D99)+($D$54=$D99)/2,0),IF(AND(EXACT($C$55,$C99),ISNUMBER($D$55)),($D$55&gt;$D99)+($D$55=$D99)/2,0),IF(AND(EXACT($C$56,$C99),ISNUMBER($D$56)),($D$56&gt;$D99)+($D$56=$D99)/2,0)))</x:f>
      </x:c>
      <x:c r="AO99" s="34" t="str">
        <x:f>IF(COUNT($D99)=0,"",SUM(IF(AND(EXACT($C$57,$C99),ISNUMBER($D$57)),($D$57&gt;$D99)+($D$57=$D99)/2,0),IF(AND(EXACT($C$58,$C99),ISNUMBER($D$58)),($D$58&gt;$D99)+($D$58=$D99)/2,0),IF(AND(EXACT($C$59,$C99),ISNUMBER($D$59)),($D$59&gt;$D99)+($D$59=$D99)/2,0),IF(AND(EXACT($C$60,$C99),ISNUMBER($D$60)),($D$60&gt;$D99)+($D$60=$D99)/2,0),IF(AND(EXACT($C$61,$C99),ISNUMBER($D$61)),($D$61&gt;$D99)+($D$61=$D99)/2,0),IF(AND(EXACT($C$62,$C99),ISNUMBER($D$62)),($D$62&gt;$D99)+($D$62=$D99)/2,0),IF(AND(EXACT($C$63,$C99),ISNUMBER($D$63)),($D$63&gt;$D99)+($D$63=$D99)/2,0),IF(AND(EXACT($C$64,$C99),ISNUMBER($D$64)),($D$64&gt;$D99)+($D$64=$D99)/2,0),IF(AND(EXACT($C$65,$C99),ISNUMBER($D$65)),($D$65&gt;$D99)+($D$65=$D99)/2,0),IF(AND(EXACT($C$66,$C99),ISNUMBER($D$66)),($D$66&gt;$D99)+($D$66=$D99)/2,0),IF(AND(EXACT($C$67,$C99),ISNUMBER($D$67)),($D$67&gt;$D99)+($D$67=$D99)/2,0),IF(AND(EXACT($C$68,$C99),ISNUMBER($D$68)),($D$68&gt;$D99)+($D$68=$D99)/2,0),IF(AND(EXACT($C$69,$C99),ISNUMBER($D$69)),($D$69&gt;$D99)+($D$69=$D99)/2,0),IF(AND(EXACT($C$70,$C99),ISNUMBER($D$70)),($D$70&gt;$D99)+($D$70=$D99)/2,0),IF(AND(EXACT($C$71,$C99),ISNUMBER($D$71)),($D$71&gt;$D99)+($D$71=$D99)/2,0),IF(AND(EXACT($C$72,$C99),ISNUMBER($D$72)),($D$72&gt;$D99)+($D$72=$D99)/2,0),IF(AND(EXACT($C$73,$C99),ISNUMBER($D$73)),($D$73&gt;$D99)+($D$73=$D99)/2,0),IF(AND(EXACT($C$74,$C99),ISNUMBER($D$74)),($D$74&gt;$D99)+($D$74=$D99)/2,0),IF(AND(EXACT($C$75,$C99),ISNUMBER($D$75)),($D$75&gt;$D99)+($D$75=$D99)/2,0),IF(AND(EXACT($C$76,$C99),ISNUMBER($D$76)),($D$76&gt;$D99)+($D$76=$D99)/2,0),IF(AND(EXACT($C$77,$C99),ISNUMBER($D$77)),($D$77&gt;$D99)+($D$77=$D99)/2,0),IF(AND(EXACT($C$78,$C99),ISNUMBER($D$78)),($D$78&gt;$D99)+($D$78=$D99)/2,0),IF(AND(EXACT($C$79,$C99),ISNUMBER($D$79)),($D$79&gt;$D99)+($D$79=$D99)/2,0),IF(AND(EXACT($C$80,$C99),ISNUMBER($D$80)),($D$80&gt;$D99)+($D$80=$D99)/2,0),IF(AND(EXACT($C$81,$C99),ISNUMBER($D$81)),($D$81&gt;$D99)+($D$81=$D99)/2,0),IF(AND(EXACT($C$82,$C99),ISNUMBER($D$82)),($D$82&gt;$D99)+($D$82=$D99)/2,0),IF(AND(EXACT($C$83,$C99),ISNUMBER($D$83)),($D$83&gt;$D99)+($D$83=$D99)/2,0),IF(AND(EXACT($C$84,$C99),ISNUMBER($D$84)),($D$84&gt;$D99)+($D$84=$D99)/2,0),IF(AND(EXACT($C$85,$C99),ISNUMBER($D$85)),($D$85&gt;$D99)+($D$85=$D99)/2,0),IF(AND(EXACT($C$86,$C99),ISNUMBER($D$86)),($D$86&gt;$D99)+($D$86=$D99)/2,0),IF(AND(EXACT($C$87,$C99),ISNUMBER($D$87)),($D$87&gt;$D99)+($D$87=$D99)/2,0),IF(AND(EXACT($C$88,$C99),ISNUMBER($D$88)),($D$88&gt;$D99)+($D$88=$D99)/2,0),IF(AND(EXACT($C$89,$C99),ISNUMBER($D$89)),($D$89&gt;$D99)+($D$89=$D99)/2,0),IF(AND(EXACT($C$90,$C99),ISNUMBER($D$90)),($D$90&gt;$D99)+($D$90=$D99)/2,0),IF(AND(EXACT($C$91,$C99),ISNUMBER($D$91)),($D$91&gt;$D99)+($D$91=$D99)/2,0),IF(AND(EXACT($C$92,$C99),ISNUMBER($D$92)),($D$92&gt;$D99)+($D$92=$D99)/2,0),IF(AND(EXACT($C$93,$C99),ISNUMBER($D$93)),($D$93&gt;$D99)+($D$93=$D99)/2,0),IF(AND(EXACT($C$94,$C99),ISNUMBER($D$94)),($D$94&gt;$D99)+($D$94=$D99)/2,0),IF(AND(EXACT($C$95,$C99),ISNUMBER($D$95)),($D$95&gt;$D99)+($D$95=$D99)/2,0),IF(AND(EXACT($C$96,$C99),ISNUMBER($D$96)),($D$96&gt;$D99)+($D$96=$D99)/2,0),IF(AND(EXACT($C$97,$C99),ISNUMBER($D$97)),($D$97&gt;$D99)+($D$97=$D99)/2,0),IF(AND(EXACT($C$98,$C99),ISNUMBER($D$98)),($D$98&gt;$D99)+($D$98=$D99)/2,0),IF(AND(EXACT($C$99,$C99),ISNUMBER($D$99)),($D$99&gt;$D99)+($D$99=$D99)/2,0),IF(AND(EXACT($C$100,$C99),ISNUMBER($D$100)),($D$100&gt;$D99)+($D$100=$D99)/2,0),IF(AND(EXACT($C$101,$C99),ISNUMBER($D$101)),($D$101&gt;$D99)+($D$101=$D99)/2,0),IF(AND(EXACT($C$102,$C99),ISNUMBER($D$102)),($D$102&gt;$D99)+($D$102=$D99)/2,0),IF(AND(EXACT($C$103,$C99),ISNUMBER($D$103)),($D$103&gt;$D99)+($D$103=$D99)/2,0),IF(AND(EXACT($C$104,$C99),ISNUMBER($D$104)),($D$104&gt;$D99)+($D$104=$D99)/2,0),IF(AND(EXACT($C$105,$C99),ISNUMBER($D$105)),($D$105&gt;$D99)+($D$105=$D99)/2,0),IF(AND(EXACT($C$106,$C99),ISNUMBER($D$106)),($D$106&gt;$D99)+($D$106=$D99)/2,0)))</x:f>
      </x:c>
    </x:row>
    <x:row r="100">
      <x:c r="A100" s="34" t="str">
        <x:f>IF('91_CALC_SCORES'!A100="","",'91_CALC_SCORES'!A100)</x:f>
      </x:c>
      <x:c r="B100" s="34" t="str">
        <x:f>IF($A100="","",'91_CALC_SCORES'!B100)</x:f>
      </x:c>
      <x:c r="C100" s="34" t="str">
        <x:f>IF($A100="","",'91_CALC_SCORES'!K100)</x:f>
      </x:c>
      <x:c r="D100" s="57" t="str">
        <x:f>IF(OR($A100="",NOT(OR(LEFT('91_CALC_SCORES'!AB100,4)="PASS",LEFT('91_CALC_SCORES'!AB100,5)="READY"))),"",'91_CALC_SCORES'!Y100)</x:f>
      </x:c>
      <x:c r="E100" s="34" t="str">
        <x:f>IF(COUNT(D100)=0,"",1+SUM(AN100:AO100)-1/2)</x:f>
      </x:c>
      <x:c r="F100" s="34" t="str">
        <x:f>IF($A100="","",'91_CALC_SCORES'!AB100)</x:f>
      </x:c>
      <x:c r="G100" s="34" t="str">
        <x:f>IF(A100="","","연구 베타 | 기업 백분위 아님")</x:f>
      </x:c>
      <x:c r="AN100" s="34" t="str">
        <x:f>IF(COUNT($D100)=0,"",SUM(IF(AND(EXACT($C$7,$C100),ISNUMBER($D$7)),($D$7&gt;$D100)+($D$7=$D100)/2,0),IF(AND(EXACT($C$8,$C100),ISNUMBER($D$8)),($D$8&gt;$D100)+($D$8=$D100)/2,0),IF(AND(EXACT($C$9,$C100),ISNUMBER($D$9)),($D$9&gt;$D100)+($D$9=$D100)/2,0),IF(AND(EXACT($C$10,$C100),ISNUMBER($D$10)),($D$10&gt;$D100)+($D$10=$D100)/2,0),IF(AND(EXACT($C$11,$C100),ISNUMBER($D$11)),($D$11&gt;$D100)+($D$11=$D100)/2,0),IF(AND(EXACT($C$12,$C100),ISNUMBER($D$12)),($D$12&gt;$D100)+($D$12=$D100)/2,0),IF(AND(EXACT($C$13,$C100),ISNUMBER($D$13)),($D$13&gt;$D100)+($D$13=$D100)/2,0),IF(AND(EXACT($C$14,$C100),ISNUMBER($D$14)),($D$14&gt;$D100)+($D$14=$D100)/2,0),IF(AND(EXACT($C$15,$C100),ISNUMBER($D$15)),($D$15&gt;$D100)+($D$15=$D100)/2,0),IF(AND(EXACT($C$16,$C100),ISNUMBER($D$16)),($D$16&gt;$D100)+($D$16=$D100)/2,0),IF(AND(EXACT($C$17,$C100),ISNUMBER($D$17)),($D$17&gt;$D100)+($D$17=$D100)/2,0),IF(AND(EXACT($C$18,$C100),ISNUMBER($D$18)),($D$18&gt;$D100)+($D$18=$D100)/2,0),IF(AND(EXACT($C$19,$C100),ISNUMBER($D$19)),($D$19&gt;$D100)+($D$19=$D100)/2,0),IF(AND(EXACT($C$20,$C100),ISNUMBER($D$20)),($D$20&gt;$D100)+($D$20=$D100)/2,0),IF(AND(EXACT($C$21,$C100),ISNUMBER($D$21)),($D$21&gt;$D100)+($D$21=$D100)/2,0),IF(AND(EXACT($C$22,$C100),ISNUMBER($D$22)),($D$22&gt;$D100)+($D$22=$D100)/2,0),IF(AND(EXACT($C$23,$C100),ISNUMBER($D$23)),($D$23&gt;$D100)+($D$23=$D100)/2,0),IF(AND(EXACT($C$24,$C100),ISNUMBER($D$24)),($D$24&gt;$D100)+($D$24=$D100)/2,0),IF(AND(EXACT($C$25,$C100),ISNUMBER($D$25)),($D$25&gt;$D100)+($D$25=$D100)/2,0),IF(AND(EXACT($C$26,$C100),ISNUMBER($D$26)),($D$26&gt;$D100)+($D$26=$D100)/2,0),IF(AND(EXACT($C$27,$C100),ISNUMBER($D$27)),($D$27&gt;$D100)+($D$27=$D100)/2,0),IF(AND(EXACT($C$28,$C100),ISNUMBER($D$28)),($D$28&gt;$D100)+($D$28=$D100)/2,0),IF(AND(EXACT($C$29,$C100),ISNUMBER($D$29)),($D$29&gt;$D100)+($D$29=$D100)/2,0),IF(AND(EXACT($C$30,$C100),ISNUMBER($D$30)),($D$30&gt;$D100)+($D$30=$D100)/2,0),IF(AND(EXACT($C$31,$C100),ISNUMBER($D$31)),($D$31&gt;$D100)+($D$31=$D100)/2,0),IF(AND(EXACT($C$32,$C100),ISNUMBER($D$32)),($D$32&gt;$D100)+($D$32=$D100)/2,0),IF(AND(EXACT($C$33,$C100),ISNUMBER($D$33)),($D$33&gt;$D100)+($D$33=$D100)/2,0),IF(AND(EXACT($C$34,$C100),ISNUMBER($D$34)),($D$34&gt;$D100)+($D$34=$D100)/2,0),IF(AND(EXACT($C$35,$C100),ISNUMBER($D$35)),($D$35&gt;$D100)+($D$35=$D100)/2,0),IF(AND(EXACT($C$36,$C100),ISNUMBER($D$36)),($D$36&gt;$D100)+($D$36=$D100)/2,0),IF(AND(EXACT($C$37,$C100),ISNUMBER($D$37)),($D$37&gt;$D100)+($D$37=$D100)/2,0),IF(AND(EXACT($C$38,$C100),ISNUMBER($D$38)),($D$38&gt;$D100)+($D$38=$D100)/2,0),IF(AND(EXACT($C$39,$C100),ISNUMBER($D$39)),($D$39&gt;$D100)+($D$39=$D100)/2,0),IF(AND(EXACT($C$40,$C100),ISNUMBER($D$40)),($D$40&gt;$D100)+($D$40=$D100)/2,0),IF(AND(EXACT($C$41,$C100),ISNUMBER($D$41)),($D$41&gt;$D100)+($D$41=$D100)/2,0),IF(AND(EXACT($C$42,$C100),ISNUMBER($D$42)),($D$42&gt;$D100)+($D$42=$D100)/2,0),IF(AND(EXACT($C$43,$C100),ISNUMBER($D$43)),($D$43&gt;$D100)+($D$43=$D100)/2,0),IF(AND(EXACT($C$44,$C100),ISNUMBER($D$44)),($D$44&gt;$D100)+($D$44=$D100)/2,0),IF(AND(EXACT($C$45,$C100),ISNUMBER($D$45)),($D$45&gt;$D100)+($D$45=$D100)/2,0),IF(AND(EXACT($C$46,$C100),ISNUMBER($D$46)),($D$46&gt;$D100)+($D$46=$D100)/2,0),IF(AND(EXACT($C$47,$C100),ISNUMBER($D$47)),($D$47&gt;$D100)+($D$47=$D100)/2,0),IF(AND(EXACT($C$48,$C100),ISNUMBER($D$48)),($D$48&gt;$D100)+($D$48=$D100)/2,0),IF(AND(EXACT($C$49,$C100),ISNUMBER($D$49)),($D$49&gt;$D100)+($D$49=$D100)/2,0),IF(AND(EXACT($C$50,$C100),ISNUMBER($D$50)),($D$50&gt;$D100)+($D$50=$D100)/2,0),IF(AND(EXACT($C$51,$C100),ISNUMBER($D$51)),($D$51&gt;$D100)+($D$51=$D100)/2,0),IF(AND(EXACT($C$52,$C100),ISNUMBER($D$52)),($D$52&gt;$D100)+($D$52=$D100)/2,0),IF(AND(EXACT($C$53,$C100),ISNUMBER($D$53)),($D$53&gt;$D100)+($D$53=$D100)/2,0),IF(AND(EXACT($C$54,$C100),ISNUMBER($D$54)),($D$54&gt;$D100)+($D$54=$D100)/2,0),IF(AND(EXACT($C$55,$C100),ISNUMBER($D$55)),($D$55&gt;$D100)+($D$55=$D100)/2,0),IF(AND(EXACT($C$56,$C100),ISNUMBER($D$56)),($D$56&gt;$D100)+($D$56=$D100)/2,0)))</x:f>
      </x:c>
      <x:c r="AO100" s="34" t="str">
        <x:f>IF(COUNT($D100)=0,"",SUM(IF(AND(EXACT($C$57,$C100),ISNUMBER($D$57)),($D$57&gt;$D100)+($D$57=$D100)/2,0),IF(AND(EXACT($C$58,$C100),ISNUMBER($D$58)),($D$58&gt;$D100)+($D$58=$D100)/2,0),IF(AND(EXACT($C$59,$C100),ISNUMBER($D$59)),($D$59&gt;$D100)+($D$59=$D100)/2,0),IF(AND(EXACT($C$60,$C100),ISNUMBER($D$60)),($D$60&gt;$D100)+($D$60=$D100)/2,0),IF(AND(EXACT($C$61,$C100),ISNUMBER($D$61)),($D$61&gt;$D100)+($D$61=$D100)/2,0),IF(AND(EXACT($C$62,$C100),ISNUMBER($D$62)),($D$62&gt;$D100)+($D$62=$D100)/2,0),IF(AND(EXACT($C$63,$C100),ISNUMBER($D$63)),($D$63&gt;$D100)+($D$63=$D100)/2,0),IF(AND(EXACT($C$64,$C100),ISNUMBER($D$64)),($D$64&gt;$D100)+($D$64=$D100)/2,0),IF(AND(EXACT($C$65,$C100),ISNUMBER($D$65)),($D$65&gt;$D100)+($D$65=$D100)/2,0),IF(AND(EXACT($C$66,$C100),ISNUMBER($D$66)),($D$66&gt;$D100)+($D$66=$D100)/2,0),IF(AND(EXACT($C$67,$C100),ISNUMBER($D$67)),($D$67&gt;$D100)+($D$67=$D100)/2,0),IF(AND(EXACT($C$68,$C100),ISNUMBER($D$68)),($D$68&gt;$D100)+($D$68=$D100)/2,0),IF(AND(EXACT($C$69,$C100),ISNUMBER($D$69)),($D$69&gt;$D100)+($D$69=$D100)/2,0),IF(AND(EXACT($C$70,$C100),ISNUMBER($D$70)),($D$70&gt;$D100)+($D$70=$D100)/2,0),IF(AND(EXACT($C$71,$C100),ISNUMBER($D$71)),($D$71&gt;$D100)+($D$71=$D100)/2,0),IF(AND(EXACT($C$72,$C100),ISNUMBER($D$72)),($D$72&gt;$D100)+($D$72=$D100)/2,0),IF(AND(EXACT($C$73,$C100),ISNUMBER($D$73)),($D$73&gt;$D100)+($D$73=$D100)/2,0),IF(AND(EXACT($C$74,$C100),ISNUMBER($D$74)),($D$74&gt;$D100)+($D$74=$D100)/2,0),IF(AND(EXACT($C$75,$C100),ISNUMBER($D$75)),($D$75&gt;$D100)+($D$75=$D100)/2,0),IF(AND(EXACT($C$76,$C100),ISNUMBER($D$76)),($D$76&gt;$D100)+($D$76=$D100)/2,0),IF(AND(EXACT($C$77,$C100),ISNUMBER($D$77)),($D$77&gt;$D100)+($D$77=$D100)/2,0),IF(AND(EXACT($C$78,$C100),ISNUMBER($D$78)),($D$78&gt;$D100)+($D$78=$D100)/2,0),IF(AND(EXACT($C$79,$C100),ISNUMBER($D$79)),($D$79&gt;$D100)+($D$79=$D100)/2,0),IF(AND(EXACT($C$80,$C100),ISNUMBER($D$80)),($D$80&gt;$D100)+($D$80=$D100)/2,0),IF(AND(EXACT($C$81,$C100),ISNUMBER($D$81)),($D$81&gt;$D100)+($D$81=$D100)/2,0),IF(AND(EXACT($C$82,$C100),ISNUMBER($D$82)),($D$82&gt;$D100)+($D$82=$D100)/2,0),IF(AND(EXACT($C$83,$C100),ISNUMBER($D$83)),($D$83&gt;$D100)+($D$83=$D100)/2,0),IF(AND(EXACT($C$84,$C100),ISNUMBER($D$84)),($D$84&gt;$D100)+($D$84=$D100)/2,0),IF(AND(EXACT($C$85,$C100),ISNUMBER($D$85)),($D$85&gt;$D100)+($D$85=$D100)/2,0),IF(AND(EXACT($C$86,$C100),ISNUMBER($D$86)),($D$86&gt;$D100)+($D$86=$D100)/2,0),IF(AND(EXACT($C$87,$C100),ISNUMBER($D$87)),($D$87&gt;$D100)+($D$87=$D100)/2,0),IF(AND(EXACT($C$88,$C100),ISNUMBER($D$88)),($D$88&gt;$D100)+($D$88=$D100)/2,0),IF(AND(EXACT($C$89,$C100),ISNUMBER($D$89)),($D$89&gt;$D100)+($D$89=$D100)/2,0),IF(AND(EXACT($C$90,$C100),ISNUMBER($D$90)),($D$90&gt;$D100)+($D$90=$D100)/2,0),IF(AND(EXACT($C$91,$C100),ISNUMBER($D$91)),($D$91&gt;$D100)+($D$91=$D100)/2,0),IF(AND(EXACT($C$92,$C100),ISNUMBER($D$92)),($D$92&gt;$D100)+($D$92=$D100)/2,0),IF(AND(EXACT($C$93,$C100),ISNUMBER($D$93)),($D$93&gt;$D100)+($D$93=$D100)/2,0),IF(AND(EXACT($C$94,$C100),ISNUMBER($D$94)),($D$94&gt;$D100)+($D$94=$D100)/2,0),IF(AND(EXACT($C$95,$C100),ISNUMBER($D$95)),($D$95&gt;$D100)+($D$95=$D100)/2,0),IF(AND(EXACT($C$96,$C100),ISNUMBER($D$96)),($D$96&gt;$D100)+($D$96=$D100)/2,0),IF(AND(EXACT($C$97,$C100),ISNUMBER($D$97)),($D$97&gt;$D100)+($D$97=$D100)/2,0),IF(AND(EXACT($C$98,$C100),ISNUMBER($D$98)),($D$98&gt;$D100)+($D$98=$D100)/2,0),IF(AND(EXACT($C$99,$C100),ISNUMBER($D$99)),($D$99&gt;$D100)+($D$99=$D100)/2,0),IF(AND(EXACT($C$100,$C100),ISNUMBER($D$100)),($D$100&gt;$D100)+($D$100=$D100)/2,0),IF(AND(EXACT($C$101,$C100),ISNUMBER($D$101)),($D$101&gt;$D100)+($D$101=$D100)/2,0),IF(AND(EXACT($C$102,$C100),ISNUMBER($D$102)),($D$102&gt;$D100)+($D$102=$D100)/2,0),IF(AND(EXACT($C$103,$C100),ISNUMBER($D$103)),($D$103&gt;$D100)+($D$103=$D100)/2,0),IF(AND(EXACT($C$104,$C100),ISNUMBER($D$104)),($D$104&gt;$D100)+($D$104=$D100)/2,0),IF(AND(EXACT($C$105,$C100),ISNUMBER($D$105)),($D$105&gt;$D100)+($D$105=$D100)/2,0),IF(AND(EXACT($C$106,$C100),ISNUMBER($D$106)),($D$106&gt;$D100)+($D$106=$D100)/2,0)))</x:f>
      </x:c>
    </x:row>
    <x:row r="101">
      <x:c r="A101" s="34" t="str">
        <x:f>IF('91_CALC_SCORES'!A101="","",'91_CALC_SCORES'!A101)</x:f>
      </x:c>
      <x:c r="B101" s="34" t="str">
        <x:f>IF($A101="","",'91_CALC_SCORES'!B101)</x:f>
      </x:c>
      <x:c r="C101" s="34" t="str">
        <x:f>IF($A101="","",'91_CALC_SCORES'!K101)</x:f>
      </x:c>
      <x:c r="D101" s="57" t="str">
        <x:f>IF(OR($A101="",NOT(OR(LEFT('91_CALC_SCORES'!AB101,4)="PASS",LEFT('91_CALC_SCORES'!AB101,5)="READY"))),"",'91_CALC_SCORES'!Y101)</x:f>
      </x:c>
      <x:c r="E101" s="34" t="str">
        <x:f>IF(COUNT(D101)=0,"",1+SUM(AN101:AO101)-1/2)</x:f>
      </x:c>
      <x:c r="F101" s="34" t="str">
        <x:f>IF($A101="","",'91_CALC_SCORES'!AB101)</x:f>
      </x:c>
      <x:c r="G101" s="34" t="str">
        <x:f>IF(A101="","","연구 베타 | 기업 백분위 아님")</x:f>
      </x:c>
      <x:c r="AN101" s="34" t="str">
        <x:f>IF(COUNT($D101)=0,"",SUM(IF(AND(EXACT($C$7,$C101),ISNUMBER($D$7)),($D$7&gt;$D101)+($D$7=$D101)/2,0),IF(AND(EXACT($C$8,$C101),ISNUMBER($D$8)),($D$8&gt;$D101)+($D$8=$D101)/2,0),IF(AND(EXACT($C$9,$C101),ISNUMBER($D$9)),($D$9&gt;$D101)+($D$9=$D101)/2,0),IF(AND(EXACT($C$10,$C101),ISNUMBER($D$10)),($D$10&gt;$D101)+($D$10=$D101)/2,0),IF(AND(EXACT($C$11,$C101),ISNUMBER($D$11)),($D$11&gt;$D101)+($D$11=$D101)/2,0),IF(AND(EXACT($C$12,$C101),ISNUMBER($D$12)),($D$12&gt;$D101)+($D$12=$D101)/2,0),IF(AND(EXACT($C$13,$C101),ISNUMBER($D$13)),($D$13&gt;$D101)+($D$13=$D101)/2,0),IF(AND(EXACT($C$14,$C101),ISNUMBER($D$14)),($D$14&gt;$D101)+($D$14=$D101)/2,0),IF(AND(EXACT($C$15,$C101),ISNUMBER($D$15)),($D$15&gt;$D101)+($D$15=$D101)/2,0),IF(AND(EXACT($C$16,$C101),ISNUMBER($D$16)),($D$16&gt;$D101)+($D$16=$D101)/2,0),IF(AND(EXACT($C$17,$C101),ISNUMBER($D$17)),($D$17&gt;$D101)+($D$17=$D101)/2,0),IF(AND(EXACT($C$18,$C101),ISNUMBER($D$18)),($D$18&gt;$D101)+($D$18=$D101)/2,0),IF(AND(EXACT($C$19,$C101),ISNUMBER($D$19)),($D$19&gt;$D101)+($D$19=$D101)/2,0),IF(AND(EXACT($C$20,$C101),ISNUMBER($D$20)),($D$20&gt;$D101)+($D$20=$D101)/2,0),IF(AND(EXACT($C$21,$C101),ISNUMBER($D$21)),($D$21&gt;$D101)+($D$21=$D101)/2,0),IF(AND(EXACT($C$22,$C101),ISNUMBER($D$22)),($D$22&gt;$D101)+($D$22=$D101)/2,0),IF(AND(EXACT($C$23,$C101),ISNUMBER($D$23)),($D$23&gt;$D101)+($D$23=$D101)/2,0),IF(AND(EXACT($C$24,$C101),ISNUMBER($D$24)),($D$24&gt;$D101)+($D$24=$D101)/2,0),IF(AND(EXACT($C$25,$C101),ISNUMBER($D$25)),($D$25&gt;$D101)+($D$25=$D101)/2,0),IF(AND(EXACT($C$26,$C101),ISNUMBER($D$26)),($D$26&gt;$D101)+($D$26=$D101)/2,0),IF(AND(EXACT($C$27,$C101),ISNUMBER($D$27)),($D$27&gt;$D101)+($D$27=$D101)/2,0),IF(AND(EXACT($C$28,$C101),ISNUMBER($D$28)),($D$28&gt;$D101)+($D$28=$D101)/2,0),IF(AND(EXACT($C$29,$C101),ISNUMBER($D$29)),($D$29&gt;$D101)+($D$29=$D101)/2,0),IF(AND(EXACT($C$30,$C101),ISNUMBER($D$30)),($D$30&gt;$D101)+($D$30=$D101)/2,0),IF(AND(EXACT($C$31,$C101),ISNUMBER($D$31)),($D$31&gt;$D101)+($D$31=$D101)/2,0),IF(AND(EXACT($C$32,$C101),ISNUMBER($D$32)),($D$32&gt;$D101)+($D$32=$D101)/2,0),IF(AND(EXACT($C$33,$C101),ISNUMBER($D$33)),($D$33&gt;$D101)+($D$33=$D101)/2,0),IF(AND(EXACT($C$34,$C101),ISNUMBER($D$34)),($D$34&gt;$D101)+($D$34=$D101)/2,0),IF(AND(EXACT($C$35,$C101),ISNUMBER($D$35)),($D$35&gt;$D101)+($D$35=$D101)/2,0),IF(AND(EXACT($C$36,$C101),ISNUMBER($D$36)),($D$36&gt;$D101)+($D$36=$D101)/2,0),IF(AND(EXACT($C$37,$C101),ISNUMBER($D$37)),($D$37&gt;$D101)+($D$37=$D101)/2,0),IF(AND(EXACT($C$38,$C101),ISNUMBER($D$38)),($D$38&gt;$D101)+($D$38=$D101)/2,0),IF(AND(EXACT($C$39,$C101),ISNUMBER($D$39)),($D$39&gt;$D101)+($D$39=$D101)/2,0),IF(AND(EXACT($C$40,$C101),ISNUMBER($D$40)),($D$40&gt;$D101)+($D$40=$D101)/2,0),IF(AND(EXACT($C$41,$C101),ISNUMBER($D$41)),($D$41&gt;$D101)+($D$41=$D101)/2,0),IF(AND(EXACT($C$42,$C101),ISNUMBER($D$42)),($D$42&gt;$D101)+($D$42=$D101)/2,0),IF(AND(EXACT($C$43,$C101),ISNUMBER($D$43)),($D$43&gt;$D101)+($D$43=$D101)/2,0),IF(AND(EXACT($C$44,$C101),ISNUMBER($D$44)),($D$44&gt;$D101)+($D$44=$D101)/2,0),IF(AND(EXACT($C$45,$C101),ISNUMBER($D$45)),($D$45&gt;$D101)+($D$45=$D101)/2,0),IF(AND(EXACT($C$46,$C101),ISNUMBER($D$46)),($D$46&gt;$D101)+($D$46=$D101)/2,0),IF(AND(EXACT($C$47,$C101),ISNUMBER($D$47)),($D$47&gt;$D101)+($D$47=$D101)/2,0),IF(AND(EXACT($C$48,$C101),ISNUMBER($D$48)),($D$48&gt;$D101)+($D$48=$D101)/2,0),IF(AND(EXACT($C$49,$C101),ISNUMBER($D$49)),($D$49&gt;$D101)+($D$49=$D101)/2,0),IF(AND(EXACT($C$50,$C101),ISNUMBER($D$50)),($D$50&gt;$D101)+($D$50=$D101)/2,0),IF(AND(EXACT($C$51,$C101),ISNUMBER($D$51)),($D$51&gt;$D101)+($D$51=$D101)/2,0),IF(AND(EXACT($C$52,$C101),ISNUMBER($D$52)),($D$52&gt;$D101)+($D$52=$D101)/2,0),IF(AND(EXACT($C$53,$C101),ISNUMBER($D$53)),($D$53&gt;$D101)+($D$53=$D101)/2,0),IF(AND(EXACT($C$54,$C101),ISNUMBER($D$54)),($D$54&gt;$D101)+($D$54=$D101)/2,0),IF(AND(EXACT($C$55,$C101),ISNUMBER($D$55)),($D$55&gt;$D101)+($D$55=$D101)/2,0),IF(AND(EXACT($C$56,$C101),ISNUMBER($D$56)),($D$56&gt;$D101)+($D$56=$D101)/2,0)))</x:f>
      </x:c>
      <x:c r="AO101" s="34" t="str">
        <x:f>IF(COUNT($D101)=0,"",SUM(IF(AND(EXACT($C$57,$C101),ISNUMBER($D$57)),($D$57&gt;$D101)+($D$57=$D101)/2,0),IF(AND(EXACT($C$58,$C101),ISNUMBER($D$58)),($D$58&gt;$D101)+($D$58=$D101)/2,0),IF(AND(EXACT($C$59,$C101),ISNUMBER($D$59)),($D$59&gt;$D101)+($D$59=$D101)/2,0),IF(AND(EXACT($C$60,$C101),ISNUMBER($D$60)),($D$60&gt;$D101)+($D$60=$D101)/2,0),IF(AND(EXACT($C$61,$C101),ISNUMBER($D$61)),($D$61&gt;$D101)+($D$61=$D101)/2,0),IF(AND(EXACT($C$62,$C101),ISNUMBER($D$62)),($D$62&gt;$D101)+($D$62=$D101)/2,0),IF(AND(EXACT($C$63,$C101),ISNUMBER($D$63)),($D$63&gt;$D101)+($D$63=$D101)/2,0),IF(AND(EXACT($C$64,$C101),ISNUMBER($D$64)),($D$64&gt;$D101)+($D$64=$D101)/2,0),IF(AND(EXACT($C$65,$C101),ISNUMBER($D$65)),($D$65&gt;$D101)+($D$65=$D101)/2,0),IF(AND(EXACT($C$66,$C101),ISNUMBER($D$66)),($D$66&gt;$D101)+($D$66=$D101)/2,0),IF(AND(EXACT($C$67,$C101),ISNUMBER($D$67)),($D$67&gt;$D101)+($D$67=$D101)/2,0),IF(AND(EXACT($C$68,$C101),ISNUMBER($D$68)),($D$68&gt;$D101)+($D$68=$D101)/2,0),IF(AND(EXACT($C$69,$C101),ISNUMBER($D$69)),($D$69&gt;$D101)+($D$69=$D101)/2,0),IF(AND(EXACT($C$70,$C101),ISNUMBER($D$70)),($D$70&gt;$D101)+($D$70=$D101)/2,0),IF(AND(EXACT($C$71,$C101),ISNUMBER($D$71)),($D$71&gt;$D101)+($D$71=$D101)/2,0),IF(AND(EXACT($C$72,$C101),ISNUMBER($D$72)),($D$72&gt;$D101)+($D$72=$D101)/2,0),IF(AND(EXACT($C$73,$C101),ISNUMBER($D$73)),($D$73&gt;$D101)+($D$73=$D101)/2,0),IF(AND(EXACT($C$74,$C101),ISNUMBER($D$74)),($D$74&gt;$D101)+($D$74=$D101)/2,0),IF(AND(EXACT($C$75,$C101),ISNUMBER($D$75)),($D$75&gt;$D101)+($D$75=$D101)/2,0),IF(AND(EXACT($C$76,$C101),ISNUMBER($D$76)),($D$76&gt;$D101)+($D$76=$D101)/2,0),IF(AND(EXACT($C$77,$C101),ISNUMBER($D$77)),($D$77&gt;$D101)+($D$77=$D101)/2,0),IF(AND(EXACT($C$78,$C101),ISNUMBER($D$78)),($D$78&gt;$D101)+($D$78=$D101)/2,0),IF(AND(EXACT($C$79,$C101),ISNUMBER($D$79)),($D$79&gt;$D101)+($D$79=$D101)/2,0),IF(AND(EXACT($C$80,$C101),ISNUMBER($D$80)),($D$80&gt;$D101)+($D$80=$D101)/2,0),IF(AND(EXACT($C$81,$C101),ISNUMBER($D$81)),($D$81&gt;$D101)+($D$81=$D101)/2,0),IF(AND(EXACT($C$82,$C101),ISNUMBER($D$82)),($D$82&gt;$D101)+($D$82=$D101)/2,0),IF(AND(EXACT($C$83,$C101),ISNUMBER($D$83)),($D$83&gt;$D101)+($D$83=$D101)/2,0),IF(AND(EXACT($C$84,$C101),ISNUMBER($D$84)),($D$84&gt;$D101)+($D$84=$D101)/2,0),IF(AND(EXACT($C$85,$C101),ISNUMBER($D$85)),($D$85&gt;$D101)+($D$85=$D101)/2,0),IF(AND(EXACT($C$86,$C101),ISNUMBER($D$86)),($D$86&gt;$D101)+($D$86=$D101)/2,0),IF(AND(EXACT($C$87,$C101),ISNUMBER($D$87)),($D$87&gt;$D101)+($D$87=$D101)/2,0),IF(AND(EXACT($C$88,$C101),ISNUMBER($D$88)),($D$88&gt;$D101)+($D$88=$D101)/2,0),IF(AND(EXACT($C$89,$C101),ISNUMBER($D$89)),($D$89&gt;$D101)+($D$89=$D101)/2,0),IF(AND(EXACT($C$90,$C101),ISNUMBER($D$90)),($D$90&gt;$D101)+($D$90=$D101)/2,0),IF(AND(EXACT($C$91,$C101),ISNUMBER($D$91)),($D$91&gt;$D101)+($D$91=$D101)/2,0),IF(AND(EXACT($C$92,$C101),ISNUMBER($D$92)),($D$92&gt;$D101)+($D$92=$D101)/2,0),IF(AND(EXACT($C$93,$C101),ISNUMBER($D$93)),($D$93&gt;$D101)+($D$93=$D101)/2,0),IF(AND(EXACT($C$94,$C101),ISNUMBER($D$94)),($D$94&gt;$D101)+($D$94=$D101)/2,0),IF(AND(EXACT($C$95,$C101),ISNUMBER($D$95)),($D$95&gt;$D101)+($D$95=$D101)/2,0),IF(AND(EXACT($C$96,$C101),ISNUMBER($D$96)),($D$96&gt;$D101)+($D$96=$D101)/2,0),IF(AND(EXACT($C$97,$C101),ISNUMBER($D$97)),($D$97&gt;$D101)+($D$97=$D101)/2,0),IF(AND(EXACT($C$98,$C101),ISNUMBER($D$98)),($D$98&gt;$D101)+($D$98=$D101)/2,0),IF(AND(EXACT($C$99,$C101),ISNUMBER($D$99)),($D$99&gt;$D101)+($D$99=$D101)/2,0),IF(AND(EXACT($C$100,$C101),ISNUMBER($D$100)),($D$100&gt;$D101)+($D$100=$D101)/2,0),IF(AND(EXACT($C$101,$C101),ISNUMBER($D$101)),($D$101&gt;$D101)+($D$101=$D101)/2,0),IF(AND(EXACT($C$102,$C101),ISNUMBER($D$102)),($D$102&gt;$D101)+($D$102=$D101)/2,0),IF(AND(EXACT($C$103,$C101),ISNUMBER($D$103)),($D$103&gt;$D101)+($D$103=$D101)/2,0),IF(AND(EXACT($C$104,$C101),ISNUMBER($D$104)),($D$104&gt;$D101)+($D$104=$D101)/2,0),IF(AND(EXACT($C$105,$C101),ISNUMBER($D$105)),($D$105&gt;$D101)+($D$105=$D101)/2,0),IF(AND(EXACT($C$106,$C101),ISNUMBER($D$106)),($D$106&gt;$D101)+($D$106=$D101)/2,0)))</x:f>
      </x:c>
    </x:row>
    <x:row r="102">
      <x:c r="A102" s="34" t="str">
        <x:f>IF('91_CALC_SCORES'!A102="","",'91_CALC_SCORES'!A102)</x:f>
      </x:c>
      <x:c r="B102" s="34" t="str">
        <x:f>IF($A102="","",'91_CALC_SCORES'!B102)</x:f>
      </x:c>
      <x:c r="C102" s="34" t="str">
        <x:f>IF($A102="","",'91_CALC_SCORES'!K102)</x:f>
      </x:c>
      <x:c r="D102" s="57" t="str">
        <x:f>IF(OR($A102="",NOT(OR(LEFT('91_CALC_SCORES'!AB102,4)="PASS",LEFT('91_CALC_SCORES'!AB102,5)="READY"))),"",'91_CALC_SCORES'!Y102)</x:f>
      </x:c>
      <x:c r="E102" s="34" t="str">
        <x:f>IF(COUNT(D102)=0,"",1+SUM(AN102:AO102)-1/2)</x:f>
      </x:c>
      <x:c r="F102" s="34" t="str">
        <x:f>IF($A102="","",'91_CALC_SCORES'!AB102)</x:f>
      </x:c>
      <x:c r="G102" s="34" t="str">
        <x:f>IF(A102="","","연구 베타 | 기업 백분위 아님")</x:f>
      </x:c>
      <x:c r="AN102" s="34" t="str">
        <x:f>IF(COUNT($D102)=0,"",SUM(IF(AND(EXACT($C$7,$C102),ISNUMBER($D$7)),($D$7&gt;$D102)+($D$7=$D102)/2,0),IF(AND(EXACT($C$8,$C102),ISNUMBER($D$8)),($D$8&gt;$D102)+($D$8=$D102)/2,0),IF(AND(EXACT($C$9,$C102),ISNUMBER($D$9)),($D$9&gt;$D102)+($D$9=$D102)/2,0),IF(AND(EXACT($C$10,$C102),ISNUMBER($D$10)),($D$10&gt;$D102)+($D$10=$D102)/2,0),IF(AND(EXACT($C$11,$C102),ISNUMBER($D$11)),($D$11&gt;$D102)+($D$11=$D102)/2,0),IF(AND(EXACT($C$12,$C102),ISNUMBER($D$12)),($D$12&gt;$D102)+($D$12=$D102)/2,0),IF(AND(EXACT($C$13,$C102),ISNUMBER($D$13)),($D$13&gt;$D102)+($D$13=$D102)/2,0),IF(AND(EXACT($C$14,$C102),ISNUMBER($D$14)),($D$14&gt;$D102)+($D$14=$D102)/2,0),IF(AND(EXACT($C$15,$C102),ISNUMBER($D$15)),($D$15&gt;$D102)+($D$15=$D102)/2,0),IF(AND(EXACT($C$16,$C102),ISNUMBER($D$16)),($D$16&gt;$D102)+($D$16=$D102)/2,0),IF(AND(EXACT($C$17,$C102),ISNUMBER($D$17)),($D$17&gt;$D102)+($D$17=$D102)/2,0),IF(AND(EXACT($C$18,$C102),ISNUMBER($D$18)),($D$18&gt;$D102)+($D$18=$D102)/2,0),IF(AND(EXACT($C$19,$C102),ISNUMBER($D$19)),($D$19&gt;$D102)+($D$19=$D102)/2,0),IF(AND(EXACT($C$20,$C102),ISNUMBER($D$20)),($D$20&gt;$D102)+($D$20=$D102)/2,0),IF(AND(EXACT($C$21,$C102),ISNUMBER($D$21)),($D$21&gt;$D102)+($D$21=$D102)/2,0),IF(AND(EXACT($C$22,$C102),ISNUMBER($D$22)),($D$22&gt;$D102)+($D$22=$D102)/2,0),IF(AND(EXACT($C$23,$C102),ISNUMBER($D$23)),($D$23&gt;$D102)+($D$23=$D102)/2,0),IF(AND(EXACT($C$24,$C102),ISNUMBER($D$24)),($D$24&gt;$D102)+($D$24=$D102)/2,0),IF(AND(EXACT($C$25,$C102),ISNUMBER($D$25)),($D$25&gt;$D102)+($D$25=$D102)/2,0),IF(AND(EXACT($C$26,$C102),ISNUMBER($D$26)),($D$26&gt;$D102)+($D$26=$D102)/2,0),IF(AND(EXACT($C$27,$C102),ISNUMBER($D$27)),($D$27&gt;$D102)+($D$27=$D102)/2,0),IF(AND(EXACT($C$28,$C102),ISNUMBER($D$28)),($D$28&gt;$D102)+($D$28=$D102)/2,0),IF(AND(EXACT($C$29,$C102),ISNUMBER($D$29)),($D$29&gt;$D102)+($D$29=$D102)/2,0),IF(AND(EXACT($C$30,$C102),ISNUMBER($D$30)),($D$30&gt;$D102)+($D$30=$D102)/2,0),IF(AND(EXACT($C$31,$C102),ISNUMBER($D$31)),($D$31&gt;$D102)+($D$31=$D102)/2,0),IF(AND(EXACT($C$32,$C102),ISNUMBER($D$32)),($D$32&gt;$D102)+($D$32=$D102)/2,0),IF(AND(EXACT($C$33,$C102),ISNUMBER($D$33)),($D$33&gt;$D102)+($D$33=$D102)/2,0),IF(AND(EXACT($C$34,$C102),ISNUMBER($D$34)),($D$34&gt;$D102)+($D$34=$D102)/2,0),IF(AND(EXACT($C$35,$C102),ISNUMBER($D$35)),($D$35&gt;$D102)+($D$35=$D102)/2,0),IF(AND(EXACT($C$36,$C102),ISNUMBER($D$36)),($D$36&gt;$D102)+($D$36=$D102)/2,0),IF(AND(EXACT($C$37,$C102),ISNUMBER($D$37)),($D$37&gt;$D102)+($D$37=$D102)/2,0),IF(AND(EXACT($C$38,$C102),ISNUMBER($D$38)),($D$38&gt;$D102)+($D$38=$D102)/2,0),IF(AND(EXACT($C$39,$C102),ISNUMBER($D$39)),($D$39&gt;$D102)+($D$39=$D102)/2,0),IF(AND(EXACT($C$40,$C102),ISNUMBER($D$40)),($D$40&gt;$D102)+($D$40=$D102)/2,0),IF(AND(EXACT($C$41,$C102),ISNUMBER($D$41)),($D$41&gt;$D102)+($D$41=$D102)/2,0),IF(AND(EXACT($C$42,$C102),ISNUMBER($D$42)),($D$42&gt;$D102)+($D$42=$D102)/2,0),IF(AND(EXACT($C$43,$C102),ISNUMBER($D$43)),($D$43&gt;$D102)+($D$43=$D102)/2,0),IF(AND(EXACT($C$44,$C102),ISNUMBER($D$44)),($D$44&gt;$D102)+($D$44=$D102)/2,0),IF(AND(EXACT($C$45,$C102),ISNUMBER($D$45)),($D$45&gt;$D102)+($D$45=$D102)/2,0),IF(AND(EXACT($C$46,$C102),ISNUMBER($D$46)),($D$46&gt;$D102)+($D$46=$D102)/2,0),IF(AND(EXACT($C$47,$C102),ISNUMBER($D$47)),($D$47&gt;$D102)+($D$47=$D102)/2,0),IF(AND(EXACT($C$48,$C102),ISNUMBER($D$48)),($D$48&gt;$D102)+($D$48=$D102)/2,0),IF(AND(EXACT($C$49,$C102),ISNUMBER($D$49)),($D$49&gt;$D102)+($D$49=$D102)/2,0),IF(AND(EXACT($C$50,$C102),ISNUMBER($D$50)),($D$50&gt;$D102)+($D$50=$D102)/2,0),IF(AND(EXACT($C$51,$C102),ISNUMBER($D$51)),($D$51&gt;$D102)+($D$51=$D102)/2,0),IF(AND(EXACT($C$52,$C102),ISNUMBER($D$52)),($D$52&gt;$D102)+($D$52=$D102)/2,0),IF(AND(EXACT($C$53,$C102),ISNUMBER($D$53)),($D$53&gt;$D102)+($D$53=$D102)/2,0),IF(AND(EXACT($C$54,$C102),ISNUMBER($D$54)),($D$54&gt;$D102)+($D$54=$D102)/2,0),IF(AND(EXACT($C$55,$C102),ISNUMBER($D$55)),($D$55&gt;$D102)+($D$55=$D102)/2,0),IF(AND(EXACT($C$56,$C102),ISNUMBER($D$56)),($D$56&gt;$D102)+($D$56=$D102)/2,0)))</x:f>
      </x:c>
      <x:c r="AO102" s="34" t="str">
        <x:f>IF(COUNT($D102)=0,"",SUM(IF(AND(EXACT($C$57,$C102),ISNUMBER($D$57)),($D$57&gt;$D102)+($D$57=$D102)/2,0),IF(AND(EXACT($C$58,$C102),ISNUMBER($D$58)),($D$58&gt;$D102)+($D$58=$D102)/2,0),IF(AND(EXACT($C$59,$C102),ISNUMBER($D$59)),($D$59&gt;$D102)+($D$59=$D102)/2,0),IF(AND(EXACT($C$60,$C102),ISNUMBER($D$60)),($D$60&gt;$D102)+($D$60=$D102)/2,0),IF(AND(EXACT($C$61,$C102),ISNUMBER($D$61)),($D$61&gt;$D102)+($D$61=$D102)/2,0),IF(AND(EXACT($C$62,$C102),ISNUMBER($D$62)),($D$62&gt;$D102)+($D$62=$D102)/2,0),IF(AND(EXACT($C$63,$C102),ISNUMBER($D$63)),($D$63&gt;$D102)+($D$63=$D102)/2,0),IF(AND(EXACT($C$64,$C102),ISNUMBER($D$64)),($D$64&gt;$D102)+($D$64=$D102)/2,0),IF(AND(EXACT($C$65,$C102),ISNUMBER($D$65)),($D$65&gt;$D102)+($D$65=$D102)/2,0),IF(AND(EXACT($C$66,$C102),ISNUMBER($D$66)),($D$66&gt;$D102)+($D$66=$D102)/2,0),IF(AND(EXACT($C$67,$C102),ISNUMBER($D$67)),($D$67&gt;$D102)+($D$67=$D102)/2,0),IF(AND(EXACT($C$68,$C102),ISNUMBER($D$68)),($D$68&gt;$D102)+($D$68=$D102)/2,0),IF(AND(EXACT($C$69,$C102),ISNUMBER($D$69)),($D$69&gt;$D102)+($D$69=$D102)/2,0),IF(AND(EXACT($C$70,$C102),ISNUMBER($D$70)),($D$70&gt;$D102)+($D$70=$D102)/2,0),IF(AND(EXACT($C$71,$C102),ISNUMBER($D$71)),($D$71&gt;$D102)+($D$71=$D102)/2,0),IF(AND(EXACT($C$72,$C102),ISNUMBER($D$72)),($D$72&gt;$D102)+($D$72=$D102)/2,0),IF(AND(EXACT($C$73,$C102),ISNUMBER($D$73)),($D$73&gt;$D102)+($D$73=$D102)/2,0),IF(AND(EXACT($C$74,$C102),ISNUMBER($D$74)),($D$74&gt;$D102)+($D$74=$D102)/2,0),IF(AND(EXACT($C$75,$C102),ISNUMBER($D$75)),($D$75&gt;$D102)+($D$75=$D102)/2,0),IF(AND(EXACT($C$76,$C102),ISNUMBER($D$76)),($D$76&gt;$D102)+($D$76=$D102)/2,0),IF(AND(EXACT($C$77,$C102),ISNUMBER($D$77)),($D$77&gt;$D102)+($D$77=$D102)/2,0),IF(AND(EXACT($C$78,$C102),ISNUMBER($D$78)),($D$78&gt;$D102)+($D$78=$D102)/2,0),IF(AND(EXACT($C$79,$C102),ISNUMBER($D$79)),($D$79&gt;$D102)+($D$79=$D102)/2,0),IF(AND(EXACT($C$80,$C102),ISNUMBER($D$80)),($D$80&gt;$D102)+($D$80=$D102)/2,0),IF(AND(EXACT($C$81,$C102),ISNUMBER($D$81)),($D$81&gt;$D102)+($D$81=$D102)/2,0),IF(AND(EXACT($C$82,$C102),ISNUMBER($D$82)),($D$82&gt;$D102)+($D$82=$D102)/2,0),IF(AND(EXACT($C$83,$C102),ISNUMBER($D$83)),($D$83&gt;$D102)+($D$83=$D102)/2,0),IF(AND(EXACT($C$84,$C102),ISNUMBER($D$84)),($D$84&gt;$D102)+($D$84=$D102)/2,0),IF(AND(EXACT($C$85,$C102),ISNUMBER($D$85)),($D$85&gt;$D102)+($D$85=$D102)/2,0),IF(AND(EXACT($C$86,$C102),ISNUMBER($D$86)),($D$86&gt;$D102)+($D$86=$D102)/2,0),IF(AND(EXACT($C$87,$C102),ISNUMBER($D$87)),($D$87&gt;$D102)+($D$87=$D102)/2,0),IF(AND(EXACT($C$88,$C102),ISNUMBER($D$88)),($D$88&gt;$D102)+($D$88=$D102)/2,0),IF(AND(EXACT($C$89,$C102),ISNUMBER($D$89)),($D$89&gt;$D102)+($D$89=$D102)/2,0),IF(AND(EXACT($C$90,$C102),ISNUMBER($D$90)),($D$90&gt;$D102)+($D$90=$D102)/2,0),IF(AND(EXACT($C$91,$C102),ISNUMBER($D$91)),($D$91&gt;$D102)+($D$91=$D102)/2,0),IF(AND(EXACT($C$92,$C102),ISNUMBER($D$92)),($D$92&gt;$D102)+($D$92=$D102)/2,0),IF(AND(EXACT($C$93,$C102),ISNUMBER($D$93)),($D$93&gt;$D102)+($D$93=$D102)/2,0),IF(AND(EXACT($C$94,$C102),ISNUMBER($D$94)),($D$94&gt;$D102)+($D$94=$D102)/2,0),IF(AND(EXACT($C$95,$C102),ISNUMBER($D$95)),($D$95&gt;$D102)+($D$95=$D102)/2,0),IF(AND(EXACT($C$96,$C102),ISNUMBER($D$96)),($D$96&gt;$D102)+($D$96=$D102)/2,0),IF(AND(EXACT($C$97,$C102),ISNUMBER($D$97)),($D$97&gt;$D102)+($D$97=$D102)/2,0),IF(AND(EXACT($C$98,$C102),ISNUMBER($D$98)),($D$98&gt;$D102)+($D$98=$D102)/2,0),IF(AND(EXACT($C$99,$C102),ISNUMBER($D$99)),($D$99&gt;$D102)+($D$99=$D102)/2,0),IF(AND(EXACT($C$100,$C102),ISNUMBER($D$100)),($D$100&gt;$D102)+($D$100=$D102)/2,0),IF(AND(EXACT($C$101,$C102),ISNUMBER($D$101)),($D$101&gt;$D102)+($D$101=$D102)/2,0),IF(AND(EXACT($C$102,$C102),ISNUMBER($D$102)),($D$102&gt;$D102)+($D$102=$D102)/2,0),IF(AND(EXACT($C$103,$C102),ISNUMBER($D$103)),($D$103&gt;$D102)+($D$103=$D102)/2,0),IF(AND(EXACT($C$104,$C102),ISNUMBER($D$104)),($D$104&gt;$D102)+($D$104=$D102)/2,0),IF(AND(EXACT($C$105,$C102),ISNUMBER($D$105)),($D$105&gt;$D102)+($D$105=$D102)/2,0),IF(AND(EXACT($C$106,$C102),ISNUMBER($D$106)),($D$106&gt;$D102)+($D$106=$D102)/2,0)))</x:f>
      </x:c>
    </x:row>
    <x:row r="103">
      <x:c r="A103" s="34" t="str">
        <x:f>IF('91_CALC_SCORES'!A103="","",'91_CALC_SCORES'!A103)</x:f>
      </x:c>
      <x:c r="B103" s="34" t="str">
        <x:f>IF($A103="","",'91_CALC_SCORES'!B103)</x:f>
      </x:c>
      <x:c r="C103" s="34" t="str">
        <x:f>IF($A103="","",'91_CALC_SCORES'!K103)</x:f>
      </x:c>
      <x:c r="D103" s="57" t="str">
        <x:f>IF(OR($A103="",NOT(OR(LEFT('91_CALC_SCORES'!AB103,4)="PASS",LEFT('91_CALC_SCORES'!AB103,5)="READY"))),"",'91_CALC_SCORES'!Y103)</x:f>
      </x:c>
      <x:c r="E103" s="34" t="str">
        <x:f>IF(COUNT(D103)=0,"",1+SUM(AN103:AO103)-1/2)</x:f>
      </x:c>
      <x:c r="F103" s="34" t="str">
        <x:f>IF($A103="","",'91_CALC_SCORES'!AB103)</x:f>
      </x:c>
      <x:c r="G103" s="34" t="str">
        <x:f>IF(A103="","","연구 베타 | 기업 백분위 아님")</x:f>
      </x:c>
      <x:c r="AN103" s="34" t="str">
        <x:f>IF(COUNT($D103)=0,"",SUM(IF(AND(EXACT($C$7,$C103),ISNUMBER($D$7)),($D$7&gt;$D103)+($D$7=$D103)/2,0),IF(AND(EXACT($C$8,$C103),ISNUMBER($D$8)),($D$8&gt;$D103)+($D$8=$D103)/2,0),IF(AND(EXACT($C$9,$C103),ISNUMBER($D$9)),($D$9&gt;$D103)+($D$9=$D103)/2,0),IF(AND(EXACT($C$10,$C103),ISNUMBER($D$10)),($D$10&gt;$D103)+($D$10=$D103)/2,0),IF(AND(EXACT($C$11,$C103),ISNUMBER($D$11)),($D$11&gt;$D103)+($D$11=$D103)/2,0),IF(AND(EXACT($C$12,$C103),ISNUMBER($D$12)),($D$12&gt;$D103)+($D$12=$D103)/2,0),IF(AND(EXACT($C$13,$C103),ISNUMBER($D$13)),($D$13&gt;$D103)+($D$13=$D103)/2,0),IF(AND(EXACT($C$14,$C103),ISNUMBER($D$14)),($D$14&gt;$D103)+($D$14=$D103)/2,0),IF(AND(EXACT($C$15,$C103),ISNUMBER($D$15)),($D$15&gt;$D103)+($D$15=$D103)/2,0),IF(AND(EXACT($C$16,$C103),ISNUMBER($D$16)),($D$16&gt;$D103)+($D$16=$D103)/2,0),IF(AND(EXACT($C$17,$C103),ISNUMBER($D$17)),($D$17&gt;$D103)+($D$17=$D103)/2,0),IF(AND(EXACT($C$18,$C103),ISNUMBER($D$18)),($D$18&gt;$D103)+($D$18=$D103)/2,0),IF(AND(EXACT($C$19,$C103),ISNUMBER($D$19)),($D$19&gt;$D103)+($D$19=$D103)/2,0),IF(AND(EXACT($C$20,$C103),ISNUMBER($D$20)),($D$20&gt;$D103)+($D$20=$D103)/2,0),IF(AND(EXACT($C$21,$C103),ISNUMBER($D$21)),($D$21&gt;$D103)+($D$21=$D103)/2,0),IF(AND(EXACT($C$22,$C103),ISNUMBER($D$22)),($D$22&gt;$D103)+($D$22=$D103)/2,0),IF(AND(EXACT($C$23,$C103),ISNUMBER($D$23)),($D$23&gt;$D103)+($D$23=$D103)/2,0),IF(AND(EXACT($C$24,$C103),ISNUMBER($D$24)),($D$24&gt;$D103)+($D$24=$D103)/2,0),IF(AND(EXACT($C$25,$C103),ISNUMBER($D$25)),($D$25&gt;$D103)+($D$25=$D103)/2,0),IF(AND(EXACT($C$26,$C103),ISNUMBER($D$26)),($D$26&gt;$D103)+($D$26=$D103)/2,0),IF(AND(EXACT($C$27,$C103),ISNUMBER($D$27)),($D$27&gt;$D103)+($D$27=$D103)/2,0),IF(AND(EXACT($C$28,$C103),ISNUMBER($D$28)),($D$28&gt;$D103)+($D$28=$D103)/2,0),IF(AND(EXACT($C$29,$C103),ISNUMBER($D$29)),($D$29&gt;$D103)+($D$29=$D103)/2,0),IF(AND(EXACT($C$30,$C103),ISNUMBER($D$30)),($D$30&gt;$D103)+($D$30=$D103)/2,0),IF(AND(EXACT($C$31,$C103),ISNUMBER($D$31)),($D$31&gt;$D103)+($D$31=$D103)/2,0),IF(AND(EXACT($C$32,$C103),ISNUMBER($D$32)),($D$32&gt;$D103)+($D$32=$D103)/2,0),IF(AND(EXACT($C$33,$C103),ISNUMBER($D$33)),($D$33&gt;$D103)+($D$33=$D103)/2,0),IF(AND(EXACT($C$34,$C103),ISNUMBER($D$34)),($D$34&gt;$D103)+($D$34=$D103)/2,0),IF(AND(EXACT($C$35,$C103),ISNUMBER($D$35)),($D$35&gt;$D103)+($D$35=$D103)/2,0),IF(AND(EXACT($C$36,$C103),ISNUMBER($D$36)),($D$36&gt;$D103)+($D$36=$D103)/2,0),IF(AND(EXACT($C$37,$C103),ISNUMBER($D$37)),($D$37&gt;$D103)+($D$37=$D103)/2,0),IF(AND(EXACT($C$38,$C103),ISNUMBER($D$38)),($D$38&gt;$D103)+($D$38=$D103)/2,0),IF(AND(EXACT($C$39,$C103),ISNUMBER($D$39)),($D$39&gt;$D103)+($D$39=$D103)/2,0),IF(AND(EXACT($C$40,$C103),ISNUMBER($D$40)),($D$40&gt;$D103)+($D$40=$D103)/2,0),IF(AND(EXACT($C$41,$C103),ISNUMBER($D$41)),($D$41&gt;$D103)+($D$41=$D103)/2,0),IF(AND(EXACT($C$42,$C103),ISNUMBER($D$42)),($D$42&gt;$D103)+($D$42=$D103)/2,0),IF(AND(EXACT($C$43,$C103),ISNUMBER($D$43)),($D$43&gt;$D103)+($D$43=$D103)/2,0),IF(AND(EXACT($C$44,$C103),ISNUMBER($D$44)),($D$44&gt;$D103)+($D$44=$D103)/2,0),IF(AND(EXACT($C$45,$C103),ISNUMBER($D$45)),($D$45&gt;$D103)+($D$45=$D103)/2,0),IF(AND(EXACT($C$46,$C103),ISNUMBER($D$46)),($D$46&gt;$D103)+($D$46=$D103)/2,0),IF(AND(EXACT($C$47,$C103),ISNUMBER($D$47)),($D$47&gt;$D103)+($D$47=$D103)/2,0),IF(AND(EXACT($C$48,$C103),ISNUMBER($D$48)),($D$48&gt;$D103)+($D$48=$D103)/2,0),IF(AND(EXACT($C$49,$C103),ISNUMBER($D$49)),($D$49&gt;$D103)+($D$49=$D103)/2,0),IF(AND(EXACT($C$50,$C103),ISNUMBER($D$50)),($D$50&gt;$D103)+($D$50=$D103)/2,0),IF(AND(EXACT($C$51,$C103),ISNUMBER($D$51)),($D$51&gt;$D103)+($D$51=$D103)/2,0),IF(AND(EXACT($C$52,$C103),ISNUMBER($D$52)),($D$52&gt;$D103)+($D$52=$D103)/2,0),IF(AND(EXACT($C$53,$C103),ISNUMBER($D$53)),($D$53&gt;$D103)+($D$53=$D103)/2,0),IF(AND(EXACT($C$54,$C103),ISNUMBER($D$54)),($D$54&gt;$D103)+($D$54=$D103)/2,0),IF(AND(EXACT($C$55,$C103),ISNUMBER($D$55)),($D$55&gt;$D103)+($D$55=$D103)/2,0),IF(AND(EXACT($C$56,$C103),ISNUMBER($D$56)),($D$56&gt;$D103)+($D$56=$D103)/2,0)))</x:f>
      </x:c>
      <x:c r="AO103" s="34" t="str">
        <x:f>IF(COUNT($D103)=0,"",SUM(IF(AND(EXACT($C$57,$C103),ISNUMBER($D$57)),($D$57&gt;$D103)+($D$57=$D103)/2,0),IF(AND(EXACT($C$58,$C103),ISNUMBER($D$58)),($D$58&gt;$D103)+($D$58=$D103)/2,0),IF(AND(EXACT($C$59,$C103),ISNUMBER($D$59)),($D$59&gt;$D103)+($D$59=$D103)/2,0),IF(AND(EXACT($C$60,$C103),ISNUMBER($D$60)),($D$60&gt;$D103)+($D$60=$D103)/2,0),IF(AND(EXACT($C$61,$C103),ISNUMBER($D$61)),($D$61&gt;$D103)+($D$61=$D103)/2,0),IF(AND(EXACT($C$62,$C103),ISNUMBER($D$62)),($D$62&gt;$D103)+($D$62=$D103)/2,0),IF(AND(EXACT($C$63,$C103),ISNUMBER($D$63)),($D$63&gt;$D103)+($D$63=$D103)/2,0),IF(AND(EXACT($C$64,$C103),ISNUMBER($D$64)),($D$64&gt;$D103)+($D$64=$D103)/2,0),IF(AND(EXACT($C$65,$C103),ISNUMBER($D$65)),($D$65&gt;$D103)+($D$65=$D103)/2,0),IF(AND(EXACT($C$66,$C103),ISNUMBER($D$66)),($D$66&gt;$D103)+($D$66=$D103)/2,0),IF(AND(EXACT($C$67,$C103),ISNUMBER($D$67)),($D$67&gt;$D103)+($D$67=$D103)/2,0),IF(AND(EXACT($C$68,$C103),ISNUMBER($D$68)),($D$68&gt;$D103)+($D$68=$D103)/2,0),IF(AND(EXACT($C$69,$C103),ISNUMBER($D$69)),($D$69&gt;$D103)+($D$69=$D103)/2,0),IF(AND(EXACT($C$70,$C103),ISNUMBER($D$70)),($D$70&gt;$D103)+($D$70=$D103)/2,0),IF(AND(EXACT($C$71,$C103),ISNUMBER($D$71)),($D$71&gt;$D103)+($D$71=$D103)/2,0),IF(AND(EXACT($C$72,$C103),ISNUMBER($D$72)),($D$72&gt;$D103)+($D$72=$D103)/2,0),IF(AND(EXACT($C$73,$C103),ISNUMBER($D$73)),($D$73&gt;$D103)+($D$73=$D103)/2,0),IF(AND(EXACT($C$74,$C103),ISNUMBER($D$74)),($D$74&gt;$D103)+($D$74=$D103)/2,0),IF(AND(EXACT($C$75,$C103),ISNUMBER($D$75)),($D$75&gt;$D103)+($D$75=$D103)/2,0),IF(AND(EXACT($C$76,$C103),ISNUMBER($D$76)),($D$76&gt;$D103)+($D$76=$D103)/2,0),IF(AND(EXACT($C$77,$C103),ISNUMBER($D$77)),($D$77&gt;$D103)+($D$77=$D103)/2,0),IF(AND(EXACT($C$78,$C103),ISNUMBER($D$78)),($D$78&gt;$D103)+($D$78=$D103)/2,0),IF(AND(EXACT($C$79,$C103),ISNUMBER($D$79)),($D$79&gt;$D103)+($D$79=$D103)/2,0),IF(AND(EXACT($C$80,$C103),ISNUMBER($D$80)),($D$80&gt;$D103)+($D$80=$D103)/2,0),IF(AND(EXACT($C$81,$C103),ISNUMBER($D$81)),($D$81&gt;$D103)+($D$81=$D103)/2,0),IF(AND(EXACT($C$82,$C103),ISNUMBER($D$82)),($D$82&gt;$D103)+($D$82=$D103)/2,0),IF(AND(EXACT($C$83,$C103),ISNUMBER($D$83)),($D$83&gt;$D103)+($D$83=$D103)/2,0),IF(AND(EXACT($C$84,$C103),ISNUMBER($D$84)),($D$84&gt;$D103)+($D$84=$D103)/2,0),IF(AND(EXACT($C$85,$C103),ISNUMBER($D$85)),($D$85&gt;$D103)+($D$85=$D103)/2,0),IF(AND(EXACT($C$86,$C103),ISNUMBER($D$86)),($D$86&gt;$D103)+($D$86=$D103)/2,0),IF(AND(EXACT($C$87,$C103),ISNUMBER($D$87)),($D$87&gt;$D103)+($D$87=$D103)/2,0),IF(AND(EXACT($C$88,$C103),ISNUMBER($D$88)),($D$88&gt;$D103)+($D$88=$D103)/2,0),IF(AND(EXACT($C$89,$C103),ISNUMBER($D$89)),($D$89&gt;$D103)+($D$89=$D103)/2,0),IF(AND(EXACT($C$90,$C103),ISNUMBER($D$90)),($D$90&gt;$D103)+($D$90=$D103)/2,0),IF(AND(EXACT($C$91,$C103),ISNUMBER($D$91)),($D$91&gt;$D103)+($D$91=$D103)/2,0),IF(AND(EXACT($C$92,$C103),ISNUMBER($D$92)),($D$92&gt;$D103)+($D$92=$D103)/2,0),IF(AND(EXACT($C$93,$C103),ISNUMBER($D$93)),($D$93&gt;$D103)+($D$93=$D103)/2,0),IF(AND(EXACT($C$94,$C103),ISNUMBER($D$94)),($D$94&gt;$D103)+($D$94=$D103)/2,0),IF(AND(EXACT($C$95,$C103),ISNUMBER($D$95)),($D$95&gt;$D103)+($D$95=$D103)/2,0),IF(AND(EXACT($C$96,$C103),ISNUMBER($D$96)),($D$96&gt;$D103)+($D$96=$D103)/2,0),IF(AND(EXACT($C$97,$C103),ISNUMBER($D$97)),($D$97&gt;$D103)+($D$97=$D103)/2,0),IF(AND(EXACT($C$98,$C103),ISNUMBER($D$98)),($D$98&gt;$D103)+($D$98=$D103)/2,0),IF(AND(EXACT($C$99,$C103),ISNUMBER($D$99)),($D$99&gt;$D103)+($D$99=$D103)/2,0),IF(AND(EXACT($C$100,$C103),ISNUMBER($D$100)),($D$100&gt;$D103)+($D$100=$D103)/2,0),IF(AND(EXACT($C$101,$C103),ISNUMBER($D$101)),($D$101&gt;$D103)+($D$101=$D103)/2,0),IF(AND(EXACT($C$102,$C103),ISNUMBER($D$102)),($D$102&gt;$D103)+($D$102=$D103)/2,0),IF(AND(EXACT($C$103,$C103),ISNUMBER($D$103)),($D$103&gt;$D103)+($D$103=$D103)/2,0),IF(AND(EXACT($C$104,$C103),ISNUMBER($D$104)),($D$104&gt;$D103)+($D$104=$D103)/2,0),IF(AND(EXACT($C$105,$C103),ISNUMBER($D$105)),($D$105&gt;$D103)+($D$105=$D103)/2,0),IF(AND(EXACT($C$106,$C103),ISNUMBER($D$106)),($D$106&gt;$D103)+($D$106=$D103)/2,0)))</x:f>
      </x:c>
    </x:row>
    <x:row r="104">
      <x:c r="A104" s="34" t="str">
        <x:f>IF('91_CALC_SCORES'!A104="","",'91_CALC_SCORES'!A104)</x:f>
      </x:c>
      <x:c r="B104" s="34" t="str">
        <x:f>IF($A104="","",'91_CALC_SCORES'!B104)</x:f>
      </x:c>
      <x:c r="C104" s="34" t="str">
        <x:f>IF($A104="","",'91_CALC_SCORES'!K104)</x:f>
      </x:c>
      <x:c r="D104" s="57" t="str">
        <x:f>IF(OR($A104="",NOT(OR(LEFT('91_CALC_SCORES'!AB104,4)="PASS",LEFT('91_CALC_SCORES'!AB104,5)="READY"))),"",'91_CALC_SCORES'!Y104)</x:f>
      </x:c>
      <x:c r="E104" s="34" t="str">
        <x:f>IF(COUNT(D104)=0,"",1+SUM(AN104:AO104)-1/2)</x:f>
      </x:c>
      <x:c r="F104" s="34" t="str">
        <x:f>IF($A104="","",'91_CALC_SCORES'!AB104)</x:f>
      </x:c>
      <x:c r="G104" s="34" t="str">
        <x:f>IF(A104="","","연구 베타 | 기업 백분위 아님")</x:f>
      </x:c>
      <x:c r="AN104" s="34" t="str">
        <x:f>IF(COUNT($D104)=0,"",SUM(IF(AND(EXACT($C$7,$C104),ISNUMBER($D$7)),($D$7&gt;$D104)+($D$7=$D104)/2,0),IF(AND(EXACT($C$8,$C104),ISNUMBER($D$8)),($D$8&gt;$D104)+($D$8=$D104)/2,0),IF(AND(EXACT($C$9,$C104),ISNUMBER($D$9)),($D$9&gt;$D104)+($D$9=$D104)/2,0),IF(AND(EXACT($C$10,$C104),ISNUMBER($D$10)),($D$10&gt;$D104)+($D$10=$D104)/2,0),IF(AND(EXACT($C$11,$C104),ISNUMBER($D$11)),($D$11&gt;$D104)+($D$11=$D104)/2,0),IF(AND(EXACT($C$12,$C104),ISNUMBER($D$12)),($D$12&gt;$D104)+($D$12=$D104)/2,0),IF(AND(EXACT($C$13,$C104),ISNUMBER($D$13)),($D$13&gt;$D104)+($D$13=$D104)/2,0),IF(AND(EXACT($C$14,$C104),ISNUMBER($D$14)),($D$14&gt;$D104)+($D$14=$D104)/2,0),IF(AND(EXACT($C$15,$C104),ISNUMBER($D$15)),($D$15&gt;$D104)+($D$15=$D104)/2,0),IF(AND(EXACT($C$16,$C104),ISNUMBER($D$16)),($D$16&gt;$D104)+($D$16=$D104)/2,0),IF(AND(EXACT($C$17,$C104),ISNUMBER($D$17)),($D$17&gt;$D104)+($D$17=$D104)/2,0),IF(AND(EXACT($C$18,$C104),ISNUMBER($D$18)),($D$18&gt;$D104)+($D$18=$D104)/2,0),IF(AND(EXACT($C$19,$C104),ISNUMBER($D$19)),($D$19&gt;$D104)+($D$19=$D104)/2,0),IF(AND(EXACT($C$20,$C104),ISNUMBER($D$20)),($D$20&gt;$D104)+($D$20=$D104)/2,0),IF(AND(EXACT($C$21,$C104),ISNUMBER($D$21)),($D$21&gt;$D104)+($D$21=$D104)/2,0),IF(AND(EXACT($C$22,$C104),ISNUMBER($D$22)),($D$22&gt;$D104)+($D$22=$D104)/2,0),IF(AND(EXACT($C$23,$C104),ISNUMBER($D$23)),($D$23&gt;$D104)+($D$23=$D104)/2,0),IF(AND(EXACT($C$24,$C104),ISNUMBER($D$24)),($D$24&gt;$D104)+($D$24=$D104)/2,0),IF(AND(EXACT($C$25,$C104),ISNUMBER($D$25)),($D$25&gt;$D104)+($D$25=$D104)/2,0),IF(AND(EXACT($C$26,$C104),ISNUMBER($D$26)),($D$26&gt;$D104)+($D$26=$D104)/2,0),IF(AND(EXACT($C$27,$C104),ISNUMBER($D$27)),($D$27&gt;$D104)+($D$27=$D104)/2,0),IF(AND(EXACT($C$28,$C104),ISNUMBER($D$28)),($D$28&gt;$D104)+($D$28=$D104)/2,0),IF(AND(EXACT($C$29,$C104),ISNUMBER($D$29)),($D$29&gt;$D104)+($D$29=$D104)/2,0),IF(AND(EXACT($C$30,$C104),ISNUMBER($D$30)),($D$30&gt;$D104)+($D$30=$D104)/2,0),IF(AND(EXACT($C$31,$C104),ISNUMBER($D$31)),($D$31&gt;$D104)+($D$31=$D104)/2,0),IF(AND(EXACT($C$32,$C104),ISNUMBER($D$32)),($D$32&gt;$D104)+($D$32=$D104)/2,0),IF(AND(EXACT($C$33,$C104),ISNUMBER($D$33)),($D$33&gt;$D104)+($D$33=$D104)/2,0),IF(AND(EXACT($C$34,$C104),ISNUMBER($D$34)),($D$34&gt;$D104)+($D$34=$D104)/2,0),IF(AND(EXACT($C$35,$C104),ISNUMBER($D$35)),($D$35&gt;$D104)+($D$35=$D104)/2,0),IF(AND(EXACT($C$36,$C104),ISNUMBER($D$36)),($D$36&gt;$D104)+($D$36=$D104)/2,0),IF(AND(EXACT($C$37,$C104),ISNUMBER($D$37)),($D$37&gt;$D104)+($D$37=$D104)/2,0),IF(AND(EXACT($C$38,$C104),ISNUMBER($D$38)),($D$38&gt;$D104)+($D$38=$D104)/2,0),IF(AND(EXACT($C$39,$C104),ISNUMBER($D$39)),($D$39&gt;$D104)+($D$39=$D104)/2,0),IF(AND(EXACT($C$40,$C104),ISNUMBER($D$40)),($D$40&gt;$D104)+($D$40=$D104)/2,0),IF(AND(EXACT($C$41,$C104),ISNUMBER($D$41)),($D$41&gt;$D104)+($D$41=$D104)/2,0),IF(AND(EXACT($C$42,$C104),ISNUMBER($D$42)),($D$42&gt;$D104)+($D$42=$D104)/2,0),IF(AND(EXACT($C$43,$C104),ISNUMBER($D$43)),($D$43&gt;$D104)+($D$43=$D104)/2,0),IF(AND(EXACT($C$44,$C104),ISNUMBER($D$44)),($D$44&gt;$D104)+($D$44=$D104)/2,0),IF(AND(EXACT($C$45,$C104),ISNUMBER($D$45)),($D$45&gt;$D104)+($D$45=$D104)/2,0),IF(AND(EXACT($C$46,$C104),ISNUMBER($D$46)),($D$46&gt;$D104)+($D$46=$D104)/2,0),IF(AND(EXACT($C$47,$C104),ISNUMBER($D$47)),($D$47&gt;$D104)+($D$47=$D104)/2,0),IF(AND(EXACT($C$48,$C104),ISNUMBER($D$48)),($D$48&gt;$D104)+($D$48=$D104)/2,0),IF(AND(EXACT($C$49,$C104),ISNUMBER($D$49)),($D$49&gt;$D104)+($D$49=$D104)/2,0),IF(AND(EXACT($C$50,$C104),ISNUMBER($D$50)),($D$50&gt;$D104)+($D$50=$D104)/2,0),IF(AND(EXACT($C$51,$C104),ISNUMBER($D$51)),($D$51&gt;$D104)+($D$51=$D104)/2,0),IF(AND(EXACT($C$52,$C104),ISNUMBER($D$52)),($D$52&gt;$D104)+($D$52=$D104)/2,0),IF(AND(EXACT($C$53,$C104),ISNUMBER($D$53)),($D$53&gt;$D104)+($D$53=$D104)/2,0),IF(AND(EXACT($C$54,$C104),ISNUMBER($D$54)),($D$54&gt;$D104)+($D$54=$D104)/2,0),IF(AND(EXACT($C$55,$C104),ISNUMBER($D$55)),($D$55&gt;$D104)+($D$55=$D104)/2,0),IF(AND(EXACT($C$56,$C104),ISNUMBER($D$56)),($D$56&gt;$D104)+($D$56=$D104)/2,0)))</x:f>
      </x:c>
      <x:c r="AO104" s="34" t="str">
        <x:f>IF(COUNT($D104)=0,"",SUM(IF(AND(EXACT($C$57,$C104),ISNUMBER($D$57)),($D$57&gt;$D104)+($D$57=$D104)/2,0),IF(AND(EXACT($C$58,$C104),ISNUMBER($D$58)),($D$58&gt;$D104)+($D$58=$D104)/2,0),IF(AND(EXACT($C$59,$C104),ISNUMBER($D$59)),($D$59&gt;$D104)+($D$59=$D104)/2,0),IF(AND(EXACT($C$60,$C104),ISNUMBER($D$60)),($D$60&gt;$D104)+($D$60=$D104)/2,0),IF(AND(EXACT($C$61,$C104),ISNUMBER($D$61)),($D$61&gt;$D104)+($D$61=$D104)/2,0),IF(AND(EXACT($C$62,$C104),ISNUMBER($D$62)),($D$62&gt;$D104)+($D$62=$D104)/2,0),IF(AND(EXACT($C$63,$C104),ISNUMBER($D$63)),($D$63&gt;$D104)+($D$63=$D104)/2,0),IF(AND(EXACT($C$64,$C104),ISNUMBER($D$64)),($D$64&gt;$D104)+($D$64=$D104)/2,0),IF(AND(EXACT($C$65,$C104),ISNUMBER($D$65)),($D$65&gt;$D104)+($D$65=$D104)/2,0),IF(AND(EXACT($C$66,$C104),ISNUMBER($D$66)),($D$66&gt;$D104)+($D$66=$D104)/2,0),IF(AND(EXACT($C$67,$C104),ISNUMBER($D$67)),($D$67&gt;$D104)+($D$67=$D104)/2,0),IF(AND(EXACT($C$68,$C104),ISNUMBER($D$68)),($D$68&gt;$D104)+($D$68=$D104)/2,0),IF(AND(EXACT($C$69,$C104),ISNUMBER($D$69)),($D$69&gt;$D104)+($D$69=$D104)/2,0),IF(AND(EXACT($C$70,$C104),ISNUMBER($D$70)),($D$70&gt;$D104)+($D$70=$D104)/2,0),IF(AND(EXACT($C$71,$C104),ISNUMBER($D$71)),($D$71&gt;$D104)+($D$71=$D104)/2,0),IF(AND(EXACT($C$72,$C104),ISNUMBER($D$72)),($D$72&gt;$D104)+($D$72=$D104)/2,0),IF(AND(EXACT($C$73,$C104),ISNUMBER($D$73)),($D$73&gt;$D104)+($D$73=$D104)/2,0),IF(AND(EXACT($C$74,$C104),ISNUMBER($D$74)),($D$74&gt;$D104)+($D$74=$D104)/2,0),IF(AND(EXACT($C$75,$C104),ISNUMBER($D$75)),($D$75&gt;$D104)+($D$75=$D104)/2,0),IF(AND(EXACT($C$76,$C104),ISNUMBER($D$76)),($D$76&gt;$D104)+($D$76=$D104)/2,0),IF(AND(EXACT($C$77,$C104),ISNUMBER($D$77)),($D$77&gt;$D104)+($D$77=$D104)/2,0),IF(AND(EXACT($C$78,$C104),ISNUMBER($D$78)),($D$78&gt;$D104)+($D$78=$D104)/2,0),IF(AND(EXACT($C$79,$C104),ISNUMBER($D$79)),($D$79&gt;$D104)+($D$79=$D104)/2,0),IF(AND(EXACT($C$80,$C104),ISNUMBER($D$80)),($D$80&gt;$D104)+($D$80=$D104)/2,0),IF(AND(EXACT($C$81,$C104),ISNUMBER($D$81)),($D$81&gt;$D104)+($D$81=$D104)/2,0),IF(AND(EXACT($C$82,$C104),ISNUMBER($D$82)),($D$82&gt;$D104)+($D$82=$D104)/2,0),IF(AND(EXACT($C$83,$C104),ISNUMBER($D$83)),($D$83&gt;$D104)+($D$83=$D104)/2,0),IF(AND(EXACT($C$84,$C104),ISNUMBER($D$84)),($D$84&gt;$D104)+($D$84=$D104)/2,0),IF(AND(EXACT($C$85,$C104),ISNUMBER($D$85)),($D$85&gt;$D104)+($D$85=$D104)/2,0),IF(AND(EXACT($C$86,$C104),ISNUMBER($D$86)),($D$86&gt;$D104)+($D$86=$D104)/2,0),IF(AND(EXACT($C$87,$C104),ISNUMBER($D$87)),($D$87&gt;$D104)+($D$87=$D104)/2,0),IF(AND(EXACT($C$88,$C104),ISNUMBER($D$88)),($D$88&gt;$D104)+($D$88=$D104)/2,0),IF(AND(EXACT($C$89,$C104),ISNUMBER($D$89)),($D$89&gt;$D104)+($D$89=$D104)/2,0),IF(AND(EXACT($C$90,$C104),ISNUMBER($D$90)),($D$90&gt;$D104)+($D$90=$D104)/2,0),IF(AND(EXACT($C$91,$C104),ISNUMBER($D$91)),($D$91&gt;$D104)+($D$91=$D104)/2,0),IF(AND(EXACT($C$92,$C104),ISNUMBER($D$92)),($D$92&gt;$D104)+($D$92=$D104)/2,0),IF(AND(EXACT($C$93,$C104),ISNUMBER($D$93)),($D$93&gt;$D104)+($D$93=$D104)/2,0),IF(AND(EXACT($C$94,$C104),ISNUMBER($D$94)),($D$94&gt;$D104)+($D$94=$D104)/2,0),IF(AND(EXACT($C$95,$C104),ISNUMBER($D$95)),($D$95&gt;$D104)+($D$95=$D104)/2,0),IF(AND(EXACT($C$96,$C104),ISNUMBER($D$96)),($D$96&gt;$D104)+($D$96=$D104)/2,0),IF(AND(EXACT($C$97,$C104),ISNUMBER($D$97)),($D$97&gt;$D104)+($D$97=$D104)/2,0),IF(AND(EXACT($C$98,$C104),ISNUMBER($D$98)),($D$98&gt;$D104)+($D$98=$D104)/2,0),IF(AND(EXACT($C$99,$C104),ISNUMBER($D$99)),($D$99&gt;$D104)+($D$99=$D104)/2,0),IF(AND(EXACT($C$100,$C104),ISNUMBER($D$100)),($D$100&gt;$D104)+($D$100=$D104)/2,0),IF(AND(EXACT($C$101,$C104),ISNUMBER($D$101)),($D$101&gt;$D104)+($D$101=$D104)/2,0),IF(AND(EXACT($C$102,$C104),ISNUMBER($D$102)),($D$102&gt;$D104)+($D$102=$D104)/2,0),IF(AND(EXACT($C$103,$C104),ISNUMBER($D$103)),($D$103&gt;$D104)+($D$103=$D104)/2,0),IF(AND(EXACT($C$104,$C104),ISNUMBER($D$104)),($D$104&gt;$D104)+($D$104=$D104)/2,0),IF(AND(EXACT($C$105,$C104),ISNUMBER($D$105)),($D$105&gt;$D104)+($D$105=$D104)/2,0),IF(AND(EXACT($C$106,$C104),ISNUMBER($D$106)),($D$106&gt;$D104)+($D$106=$D104)/2,0)))</x:f>
      </x:c>
    </x:row>
    <x:row r="105">
      <x:c r="A105" s="34" t="str">
        <x:f>IF('91_CALC_SCORES'!A105="","",'91_CALC_SCORES'!A105)</x:f>
      </x:c>
      <x:c r="B105" s="34" t="str">
        <x:f>IF($A105="","",'91_CALC_SCORES'!B105)</x:f>
      </x:c>
      <x:c r="C105" s="34" t="str">
        <x:f>IF($A105="","",'91_CALC_SCORES'!K105)</x:f>
      </x:c>
      <x:c r="D105" s="57" t="str">
        <x:f>IF(OR($A105="",NOT(OR(LEFT('91_CALC_SCORES'!AB105,4)="PASS",LEFT('91_CALC_SCORES'!AB105,5)="READY"))),"",'91_CALC_SCORES'!Y105)</x:f>
      </x:c>
      <x:c r="E105" s="34" t="str">
        <x:f>IF(COUNT(D105)=0,"",1+SUM(AN105:AO105)-1/2)</x:f>
      </x:c>
      <x:c r="F105" s="34" t="str">
        <x:f>IF($A105="","",'91_CALC_SCORES'!AB105)</x:f>
      </x:c>
      <x:c r="G105" s="34" t="str">
        <x:f>IF(A105="","","연구 베타 | 기업 백분위 아님")</x:f>
      </x:c>
      <x:c r="AN105" s="34" t="str">
        <x:f>IF(COUNT($D105)=0,"",SUM(IF(AND(EXACT($C$7,$C105),ISNUMBER($D$7)),($D$7&gt;$D105)+($D$7=$D105)/2,0),IF(AND(EXACT($C$8,$C105),ISNUMBER($D$8)),($D$8&gt;$D105)+($D$8=$D105)/2,0),IF(AND(EXACT($C$9,$C105),ISNUMBER($D$9)),($D$9&gt;$D105)+($D$9=$D105)/2,0),IF(AND(EXACT($C$10,$C105),ISNUMBER($D$10)),($D$10&gt;$D105)+($D$10=$D105)/2,0),IF(AND(EXACT($C$11,$C105),ISNUMBER($D$11)),($D$11&gt;$D105)+($D$11=$D105)/2,0),IF(AND(EXACT($C$12,$C105),ISNUMBER($D$12)),($D$12&gt;$D105)+($D$12=$D105)/2,0),IF(AND(EXACT($C$13,$C105),ISNUMBER($D$13)),($D$13&gt;$D105)+($D$13=$D105)/2,0),IF(AND(EXACT($C$14,$C105),ISNUMBER($D$14)),($D$14&gt;$D105)+($D$14=$D105)/2,0),IF(AND(EXACT($C$15,$C105),ISNUMBER($D$15)),($D$15&gt;$D105)+($D$15=$D105)/2,0),IF(AND(EXACT($C$16,$C105),ISNUMBER($D$16)),($D$16&gt;$D105)+($D$16=$D105)/2,0),IF(AND(EXACT($C$17,$C105),ISNUMBER($D$17)),($D$17&gt;$D105)+($D$17=$D105)/2,0),IF(AND(EXACT($C$18,$C105),ISNUMBER($D$18)),($D$18&gt;$D105)+($D$18=$D105)/2,0),IF(AND(EXACT($C$19,$C105),ISNUMBER($D$19)),($D$19&gt;$D105)+($D$19=$D105)/2,0),IF(AND(EXACT($C$20,$C105),ISNUMBER($D$20)),($D$20&gt;$D105)+($D$20=$D105)/2,0),IF(AND(EXACT($C$21,$C105),ISNUMBER($D$21)),($D$21&gt;$D105)+($D$21=$D105)/2,0),IF(AND(EXACT($C$22,$C105),ISNUMBER($D$22)),($D$22&gt;$D105)+($D$22=$D105)/2,0),IF(AND(EXACT($C$23,$C105),ISNUMBER($D$23)),($D$23&gt;$D105)+($D$23=$D105)/2,0),IF(AND(EXACT($C$24,$C105),ISNUMBER($D$24)),($D$24&gt;$D105)+($D$24=$D105)/2,0),IF(AND(EXACT($C$25,$C105),ISNUMBER($D$25)),($D$25&gt;$D105)+($D$25=$D105)/2,0),IF(AND(EXACT($C$26,$C105),ISNUMBER($D$26)),($D$26&gt;$D105)+($D$26=$D105)/2,0),IF(AND(EXACT($C$27,$C105),ISNUMBER($D$27)),($D$27&gt;$D105)+($D$27=$D105)/2,0),IF(AND(EXACT($C$28,$C105),ISNUMBER($D$28)),($D$28&gt;$D105)+($D$28=$D105)/2,0),IF(AND(EXACT($C$29,$C105),ISNUMBER($D$29)),($D$29&gt;$D105)+($D$29=$D105)/2,0),IF(AND(EXACT($C$30,$C105),ISNUMBER($D$30)),($D$30&gt;$D105)+($D$30=$D105)/2,0),IF(AND(EXACT($C$31,$C105),ISNUMBER($D$31)),($D$31&gt;$D105)+($D$31=$D105)/2,0),IF(AND(EXACT($C$32,$C105),ISNUMBER($D$32)),($D$32&gt;$D105)+($D$32=$D105)/2,0),IF(AND(EXACT($C$33,$C105),ISNUMBER($D$33)),($D$33&gt;$D105)+($D$33=$D105)/2,0),IF(AND(EXACT($C$34,$C105),ISNUMBER($D$34)),($D$34&gt;$D105)+($D$34=$D105)/2,0),IF(AND(EXACT($C$35,$C105),ISNUMBER($D$35)),($D$35&gt;$D105)+($D$35=$D105)/2,0),IF(AND(EXACT($C$36,$C105),ISNUMBER($D$36)),($D$36&gt;$D105)+($D$36=$D105)/2,0),IF(AND(EXACT($C$37,$C105),ISNUMBER($D$37)),($D$37&gt;$D105)+($D$37=$D105)/2,0),IF(AND(EXACT($C$38,$C105),ISNUMBER($D$38)),($D$38&gt;$D105)+($D$38=$D105)/2,0),IF(AND(EXACT($C$39,$C105),ISNUMBER($D$39)),($D$39&gt;$D105)+($D$39=$D105)/2,0),IF(AND(EXACT($C$40,$C105),ISNUMBER($D$40)),($D$40&gt;$D105)+($D$40=$D105)/2,0),IF(AND(EXACT($C$41,$C105),ISNUMBER($D$41)),($D$41&gt;$D105)+($D$41=$D105)/2,0),IF(AND(EXACT($C$42,$C105),ISNUMBER($D$42)),($D$42&gt;$D105)+($D$42=$D105)/2,0),IF(AND(EXACT($C$43,$C105),ISNUMBER($D$43)),($D$43&gt;$D105)+($D$43=$D105)/2,0),IF(AND(EXACT($C$44,$C105),ISNUMBER($D$44)),($D$44&gt;$D105)+($D$44=$D105)/2,0),IF(AND(EXACT($C$45,$C105),ISNUMBER($D$45)),($D$45&gt;$D105)+($D$45=$D105)/2,0),IF(AND(EXACT($C$46,$C105),ISNUMBER($D$46)),($D$46&gt;$D105)+($D$46=$D105)/2,0),IF(AND(EXACT($C$47,$C105),ISNUMBER($D$47)),($D$47&gt;$D105)+($D$47=$D105)/2,0),IF(AND(EXACT($C$48,$C105),ISNUMBER($D$48)),($D$48&gt;$D105)+($D$48=$D105)/2,0),IF(AND(EXACT($C$49,$C105),ISNUMBER($D$49)),($D$49&gt;$D105)+($D$49=$D105)/2,0),IF(AND(EXACT($C$50,$C105),ISNUMBER($D$50)),($D$50&gt;$D105)+($D$50=$D105)/2,0),IF(AND(EXACT($C$51,$C105),ISNUMBER($D$51)),($D$51&gt;$D105)+($D$51=$D105)/2,0),IF(AND(EXACT($C$52,$C105),ISNUMBER($D$52)),($D$52&gt;$D105)+($D$52=$D105)/2,0),IF(AND(EXACT($C$53,$C105),ISNUMBER($D$53)),($D$53&gt;$D105)+($D$53=$D105)/2,0),IF(AND(EXACT($C$54,$C105),ISNUMBER($D$54)),($D$54&gt;$D105)+($D$54=$D105)/2,0),IF(AND(EXACT($C$55,$C105),ISNUMBER($D$55)),($D$55&gt;$D105)+($D$55=$D105)/2,0),IF(AND(EXACT($C$56,$C105),ISNUMBER($D$56)),($D$56&gt;$D105)+($D$56=$D105)/2,0)))</x:f>
      </x:c>
      <x:c r="AO105" s="34" t="str">
        <x:f>IF(COUNT($D105)=0,"",SUM(IF(AND(EXACT($C$57,$C105),ISNUMBER($D$57)),($D$57&gt;$D105)+($D$57=$D105)/2,0),IF(AND(EXACT($C$58,$C105),ISNUMBER($D$58)),($D$58&gt;$D105)+($D$58=$D105)/2,0),IF(AND(EXACT($C$59,$C105),ISNUMBER($D$59)),($D$59&gt;$D105)+($D$59=$D105)/2,0),IF(AND(EXACT($C$60,$C105),ISNUMBER($D$60)),($D$60&gt;$D105)+($D$60=$D105)/2,0),IF(AND(EXACT($C$61,$C105),ISNUMBER($D$61)),($D$61&gt;$D105)+($D$61=$D105)/2,0),IF(AND(EXACT($C$62,$C105),ISNUMBER($D$62)),($D$62&gt;$D105)+($D$62=$D105)/2,0),IF(AND(EXACT($C$63,$C105),ISNUMBER($D$63)),($D$63&gt;$D105)+($D$63=$D105)/2,0),IF(AND(EXACT($C$64,$C105),ISNUMBER($D$64)),($D$64&gt;$D105)+($D$64=$D105)/2,0),IF(AND(EXACT($C$65,$C105),ISNUMBER($D$65)),($D$65&gt;$D105)+($D$65=$D105)/2,0),IF(AND(EXACT($C$66,$C105),ISNUMBER($D$66)),($D$66&gt;$D105)+($D$66=$D105)/2,0),IF(AND(EXACT($C$67,$C105),ISNUMBER($D$67)),($D$67&gt;$D105)+($D$67=$D105)/2,0),IF(AND(EXACT($C$68,$C105),ISNUMBER($D$68)),($D$68&gt;$D105)+($D$68=$D105)/2,0),IF(AND(EXACT($C$69,$C105),ISNUMBER($D$69)),($D$69&gt;$D105)+($D$69=$D105)/2,0),IF(AND(EXACT($C$70,$C105),ISNUMBER($D$70)),($D$70&gt;$D105)+($D$70=$D105)/2,0),IF(AND(EXACT($C$71,$C105),ISNUMBER($D$71)),($D$71&gt;$D105)+($D$71=$D105)/2,0),IF(AND(EXACT($C$72,$C105),ISNUMBER($D$72)),($D$72&gt;$D105)+($D$72=$D105)/2,0),IF(AND(EXACT($C$73,$C105),ISNUMBER($D$73)),($D$73&gt;$D105)+($D$73=$D105)/2,0),IF(AND(EXACT($C$74,$C105),ISNUMBER($D$74)),($D$74&gt;$D105)+($D$74=$D105)/2,0),IF(AND(EXACT($C$75,$C105),ISNUMBER($D$75)),($D$75&gt;$D105)+($D$75=$D105)/2,0),IF(AND(EXACT($C$76,$C105),ISNUMBER($D$76)),($D$76&gt;$D105)+($D$76=$D105)/2,0),IF(AND(EXACT($C$77,$C105),ISNUMBER($D$77)),($D$77&gt;$D105)+($D$77=$D105)/2,0),IF(AND(EXACT($C$78,$C105),ISNUMBER($D$78)),($D$78&gt;$D105)+($D$78=$D105)/2,0),IF(AND(EXACT($C$79,$C105),ISNUMBER($D$79)),($D$79&gt;$D105)+($D$79=$D105)/2,0),IF(AND(EXACT($C$80,$C105),ISNUMBER($D$80)),($D$80&gt;$D105)+($D$80=$D105)/2,0),IF(AND(EXACT($C$81,$C105),ISNUMBER($D$81)),($D$81&gt;$D105)+($D$81=$D105)/2,0),IF(AND(EXACT($C$82,$C105),ISNUMBER($D$82)),($D$82&gt;$D105)+($D$82=$D105)/2,0),IF(AND(EXACT($C$83,$C105),ISNUMBER($D$83)),($D$83&gt;$D105)+($D$83=$D105)/2,0),IF(AND(EXACT($C$84,$C105),ISNUMBER($D$84)),($D$84&gt;$D105)+($D$84=$D105)/2,0),IF(AND(EXACT($C$85,$C105),ISNUMBER($D$85)),($D$85&gt;$D105)+($D$85=$D105)/2,0),IF(AND(EXACT($C$86,$C105),ISNUMBER($D$86)),($D$86&gt;$D105)+($D$86=$D105)/2,0),IF(AND(EXACT($C$87,$C105),ISNUMBER($D$87)),($D$87&gt;$D105)+($D$87=$D105)/2,0),IF(AND(EXACT($C$88,$C105),ISNUMBER($D$88)),($D$88&gt;$D105)+($D$88=$D105)/2,0),IF(AND(EXACT($C$89,$C105),ISNUMBER($D$89)),($D$89&gt;$D105)+($D$89=$D105)/2,0),IF(AND(EXACT($C$90,$C105),ISNUMBER($D$90)),($D$90&gt;$D105)+($D$90=$D105)/2,0),IF(AND(EXACT($C$91,$C105),ISNUMBER($D$91)),($D$91&gt;$D105)+($D$91=$D105)/2,0),IF(AND(EXACT($C$92,$C105),ISNUMBER($D$92)),($D$92&gt;$D105)+($D$92=$D105)/2,0),IF(AND(EXACT($C$93,$C105),ISNUMBER($D$93)),($D$93&gt;$D105)+($D$93=$D105)/2,0),IF(AND(EXACT($C$94,$C105),ISNUMBER($D$94)),($D$94&gt;$D105)+($D$94=$D105)/2,0),IF(AND(EXACT($C$95,$C105),ISNUMBER($D$95)),($D$95&gt;$D105)+($D$95=$D105)/2,0),IF(AND(EXACT($C$96,$C105),ISNUMBER($D$96)),($D$96&gt;$D105)+($D$96=$D105)/2,0),IF(AND(EXACT($C$97,$C105),ISNUMBER($D$97)),($D$97&gt;$D105)+($D$97=$D105)/2,0),IF(AND(EXACT($C$98,$C105),ISNUMBER($D$98)),($D$98&gt;$D105)+($D$98=$D105)/2,0),IF(AND(EXACT($C$99,$C105),ISNUMBER($D$99)),($D$99&gt;$D105)+($D$99=$D105)/2,0),IF(AND(EXACT($C$100,$C105),ISNUMBER($D$100)),($D$100&gt;$D105)+($D$100=$D105)/2,0),IF(AND(EXACT($C$101,$C105),ISNUMBER($D$101)),($D$101&gt;$D105)+($D$101=$D105)/2,0),IF(AND(EXACT($C$102,$C105),ISNUMBER($D$102)),($D$102&gt;$D105)+($D$102=$D105)/2,0),IF(AND(EXACT($C$103,$C105),ISNUMBER($D$103)),($D$103&gt;$D105)+($D$103=$D105)/2,0),IF(AND(EXACT($C$104,$C105),ISNUMBER($D$104)),($D$104&gt;$D105)+($D$104=$D105)/2,0),IF(AND(EXACT($C$105,$C105),ISNUMBER($D$105)),($D$105&gt;$D105)+($D$105=$D105)/2,0),IF(AND(EXACT($C$106,$C105),ISNUMBER($D$106)),($D$106&gt;$D105)+($D$106=$D105)/2,0)))</x:f>
      </x:c>
    </x:row>
    <x:row r="106">
      <x:c r="A106" s="34" t="str">
        <x:f>IF('91_CALC_SCORES'!A106="","",'91_CALC_SCORES'!A106)</x:f>
      </x:c>
      <x:c r="B106" s="34" t="str">
        <x:f>IF($A106="","",'91_CALC_SCORES'!B106)</x:f>
      </x:c>
      <x:c r="C106" s="34" t="str">
        <x:f>IF($A106="","",'91_CALC_SCORES'!K106)</x:f>
      </x:c>
      <x:c r="D106" s="57" t="str">
        <x:f>IF(OR($A106="",NOT(OR(LEFT('91_CALC_SCORES'!AB106,4)="PASS",LEFT('91_CALC_SCORES'!AB106,5)="READY"))),"",'91_CALC_SCORES'!Y106)</x:f>
      </x:c>
      <x:c r="E106" s="34" t="str">
        <x:f>IF(COUNT(D106)=0,"",1+SUM(AN106:AO106)-1/2)</x:f>
      </x:c>
      <x:c r="F106" s="34" t="str">
        <x:f>IF($A106="","",'91_CALC_SCORES'!AB106)</x:f>
      </x:c>
      <x:c r="G106" s="34" t="str">
        <x:f>IF(A106="","","연구 베타 | 기업 백분위 아님")</x:f>
      </x:c>
      <x:c r="AN106" s="34" t="str">
        <x:f>IF(COUNT($D106)=0,"",SUM(IF(AND(EXACT($C$7,$C106),ISNUMBER($D$7)),($D$7&gt;$D106)+($D$7=$D106)/2,0),IF(AND(EXACT($C$8,$C106),ISNUMBER($D$8)),($D$8&gt;$D106)+($D$8=$D106)/2,0),IF(AND(EXACT($C$9,$C106),ISNUMBER($D$9)),($D$9&gt;$D106)+($D$9=$D106)/2,0),IF(AND(EXACT($C$10,$C106),ISNUMBER($D$10)),($D$10&gt;$D106)+($D$10=$D106)/2,0),IF(AND(EXACT($C$11,$C106),ISNUMBER($D$11)),($D$11&gt;$D106)+($D$11=$D106)/2,0),IF(AND(EXACT($C$12,$C106),ISNUMBER($D$12)),($D$12&gt;$D106)+($D$12=$D106)/2,0),IF(AND(EXACT($C$13,$C106),ISNUMBER($D$13)),($D$13&gt;$D106)+($D$13=$D106)/2,0),IF(AND(EXACT($C$14,$C106),ISNUMBER($D$14)),($D$14&gt;$D106)+($D$14=$D106)/2,0),IF(AND(EXACT($C$15,$C106),ISNUMBER($D$15)),($D$15&gt;$D106)+($D$15=$D106)/2,0),IF(AND(EXACT($C$16,$C106),ISNUMBER($D$16)),($D$16&gt;$D106)+($D$16=$D106)/2,0),IF(AND(EXACT($C$17,$C106),ISNUMBER($D$17)),($D$17&gt;$D106)+($D$17=$D106)/2,0),IF(AND(EXACT($C$18,$C106),ISNUMBER($D$18)),($D$18&gt;$D106)+($D$18=$D106)/2,0),IF(AND(EXACT($C$19,$C106),ISNUMBER($D$19)),($D$19&gt;$D106)+($D$19=$D106)/2,0),IF(AND(EXACT($C$20,$C106),ISNUMBER($D$20)),($D$20&gt;$D106)+($D$20=$D106)/2,0),IF(AND(EXACT($C$21,$C106),ISNUMBER($D$21)),($D$21&gt;$D106)+($D$21=$D106)/2,0),IF(AND(EXACT($C$22,$C106),ISNUMBER($D$22)),($D$22&gt;$D106)+($D$22=$D106)/2,0),IF(AND(EXACT($C$23,$C106),ISNUMBER($D$23)),($D$23&gt;$D106)+($D$23=$D106)/2,0),IF(AND(EXACT($C$24,$C106),ISNUMBER($D$24)),($D$24&gt;$D106)+($D$24=$D106)/2,0),IF(AND(EXACT($C$25,$C106),ISNUMBER($D$25)),($D$25&gt;$D106)+($D$25=$D106)/2,0),IF(AND(EXACT($C$26,$C106),ISNUMBER($D$26)),($D$26&gt;$D106)+($D$26=$D106)/2,0),IF(AND(EXACT($C$27,$C106),ISNUMBER($D$27)),($D$27&gt;$D106)+($D$27=$D106)/2,0),IF(AND(EXACT($C$28,$C106),ISNUMBER($D$28)),($D$28&gt;$D106)+($D$28=$D106)/2,0),IF(AND(EXACT($C$29,$C106),ISNUMBER($D$29)),($D$29&gt;$D106)+($D$29=$D106)/2,0),IF(AND(EXACT($C$30,$C106),ISNUMBER($D$30)),($D$30&gt;$D106)+($D$30=$D106)/2,0),IF(AND(EXACT($C$31,$C106),ISNUMBER($D$31)),($D$31&gt;$D106)+($D$31=$D106)/2,0),IF(AND(EXACT($C$32,$C106),ISNUMBER($D$32)),($D$32&gt;$D106)+($D$32=$D106)/2,0),IF(AND(EXACT($C$33,$C106),ISNUMBER($D$33)),($D$33&gt;$D106)+($D$33=$D106)/2,0),IF(AND(EXACT($C$34,$C106),ISNUMBER($D$34)),($D$34&gt;$D106)+($D$34=$D106)/2,0),IF(AND(EXACT($C$35,$C106),ISNUMBER($D$35)),($D$35&gt;$D106)+($D$35=$D106)/2,0),IF(AND(EXACT($C$36,$C106),ISNUMBER($D$36)),($D$36&gt;$D106)+($D$36=$D106)/2,0),IF(AND(EXACT($C$37,$C106),ISNUMBER($D$37)),($D$37&gt;$D106)+($D$37=$D106)/2,0),IF(AND(EXACT($C$38,$C106),ISNUMBER($D$38)),($D$38&gt;$D106)+($D$38=$D106)/2,0),IF(AND(EXACT($C$39,$C106),ISNUMBER($D$39)),($D$39&gt;$D106)+($D$39=$D106)/2,0),IF(AND(EXACT($C$40,$C106),ISNUMBER($D$40)),($D$40&gt;$D106)+($D$40=$D106)/2,0),IF(AND(EXACT($C$41,$C106),ISNUMBER($D$41)),($D$41&gt;$D106)+($D$41=$D106)/2,0),IF(AND(EXACT($C$42,$C106),ISNUMBER($D$42)),($D$42&gt;$D106)+($D$42=$D106)/2,0),IF(AND(EXACT($C$43,$C106),ISNUMBER($D$43)),($D$43&gt;$D106)+($D$43=$D106)/2,0),IF(AND(EXACT($C$44,$C106),ISNUMBER($D$44)),($D$44&gt;$D106)+($D$44=$D106)/2,0),IF(AND(EXACT($C$45,$C106),ISNUMBER($D$45)),($D$45&gt;$D106)+($D$45=$D106)/2,0),IF(AND(EXACT($C$46,$C106),ISNUMBER($D$46)),($D$46&gt;$D106)+($D$46=$D106)/2,0),IF(AND(EXACT($C$47,$C106),ISNUMBER($D$47)),($D$47&gt;$D106)+($D$47=$D106)/2,0),IF(AND(EXACT($C$48,$C106),ISNUMBER($D$48)),($D$48&gt;$D106)+($D$48=$D106)/2,0),IF(AND(EXACT($C$49,$C106),ISNUMBER($D$49)),($D$49&gt;$D106)+($D$49=$D106)/2,0),IF(AND(EXACT($C$50,$C106),ISNUMBER($D$50)),($D$50&gt;$D106)+($D$50=$D106)/2,0),IF(AND(EXACT($C$51,$C106),ISNUMBER($D$51)),($D$51&gt;$D106)+($D$51=$D106)/2,0),IF(AND(EXACT($C$52,$C106),ISNUMBER($D$52)),($D$52&gt;$D106)+($D$52=$D106)/2,0),IF(AND(EXACT($C$53,$C106),ISNUMBER($D$53)),($D$53&gt;$D106)+($D$53=$D106)/2,0),IF(AND(EXACT($C$54,$C106),ISNUMBER($D$54)),($D$54&gt;$D106)+($D$54=$D106)/2,0),IF(AND(EXACT($C$55,$C106),ISNUMBER($D$55)),($D$55&gt;$D106)+($D$55=$D106)/2,0),IF(AND(EXACT($C$56,$C106),ISNUMBER($D$56)),($D$56&gt;$D106)+($D$56=$D106)/2,0)))</x:f>
      </x:c>
      <x:c r="AO106" s="34" t="str">
        <x:f>IF(COUNT($D106)=0,"",SUM(IF(AND(EXACT($C$57,$C106),ISNUMBER($D$57)),($D$57&gt;$D106)+($D$57=$D106)/2,0),IF(AND(EXACT($C$58,$C106),ISNUMBER($D$58)),($D$58&gt;$D106)+($D$58=$D106)/2,0),IF(AND(EXACT($C$59,$C106),ISNUMBER($D$59)),($D$59&gt;$D106)+($D$59=$D106)/2,0),IF(AND(EXACT($C$60,$C106),ISNUMBER($D$60)),($D$60&gt;$D106)+($D$60=$D106)/2,0),IF(AND(EXACT($C$61,$C106),ISNUMBER($D$61)),($D$61&gt;$D106)+($D$61=$D106)/2,0),IF(AND(EXACT($C$62,$C106),ISNUMBER($D$62)),($D$62&gt;$D106)+($D$62=$D106)/2,0),IF(AND(EXACT($C$63,$C106),ISNUMBER($D$63)),($D$63&gt;$D106)+($D$63=$D106)/2,0),IF(AND(EXACT($C$64,$C106),ISNUMBER($D$64)),($D$64&gt;$D106)+($D$64=$D106)/2,0),IF(AND(EXACT($C$65,$C106),ISNUMBER($D$65)),($D$65&gt;$D106)+($D$65=$D106)/2,0),IF(AND(EXACT($C$66,$C106),ISNUMBER($D$66)),($D$66&gt;$D106)+($D$66=$D106)/2,0),IF(AND(EXACT($C$67,$C106),ISNUMBER($D$67)),($D$67&gt;$D106)+($D$67=$D106)/2,0),IF(AND(EXACT($C$68,$C106),ISNUMBER($D$68)),($D$68&gt;$D106)+($D$68=$D106)/2,0),IF(AND(EXACT($C$69,$C106),ISNUMBER($D$69)),($D$69&gt;$D106)+($D$69=$D106)/2,0),IF(AND(EXACT($C$70,$C106),ISNUMBER($D$70)),($D$70&gt;$D106)+($D$70=$D106)/2,0),IF(AND(EXACT($C$71,$C106),ISNUMBER($D$71)),($D$71&gt;$D106)+($D$71=$D106)/2,0),IF(AND(EXACT($C$72,$C106),ISNUMBER($D$72)),($D$72&gt;$D106)+($D$72=$D106)/2,0),IF(AND(EXACT($C$73,$C106),ISNUMBER($D$73)),($D$73&gt;$D106)+($D$73=$D106)/2,0),IF(AND(EXACT($C$74,$C106),ISNUMBER($D$74)),($D$74&gt;$D106)+($D$74=$D106)/2,0),IF(AND(EXACT($C$75,$C106),ISNUMBER($D$75)),($D$75&gt;$D106)+($D$75=$D106)/2,0),IF(AND(EXACT($C$76,$C106),ISNUMBER($D$76)),($D$76&gt;$D106)+($D$76=$D106)/2,0),IF(AND(EXACT($C$77,$C106),ISNUMBER($D$77)),($D$77&gt;$D106)+($D$77=$D106)/2,0),IF(AND(EXACT($C$78,$C106),ISNUMBER($D$78)),($D$78&gt;$D106)+($D$78=$D106)/2,0),IF(AND(EXACT($C$79,$C106),ISNUMBER($D$79)),($D$79&gt;$D106)+($D$79=$D106)/2,0),IF(AND(EXACT($C$80,$C106),ISNUMBER($D$80)),($D$80&gt;$D106)+($D$80=$D106)/2,0),IF(AND(EXACT($C$81,$C106),ISNUMBER($D$81)),($D$81&gt;$D106)+($D$81=$D106)/2,0),IF(AND(EXACT($C$82,$C106),ISNUMBER($D$82)),($D$82&gt;$D106)+($D$82=$D106)/2,0),IF(AND(EXACT($C$83,$C106),ISNUMBER($D$83)),($D$83&gt;$D106)+($D$83=$D106)/2,0),IF(AND(EXACT($C$84,$C106),ISNUMBER($D$84)),($D$84&gt;$D106)+($D$84=$D106)/2,0),IF(AND(EXACT($C$85,$C106),ISNUMBER($D$85)),($D$85&gt;$D106)+($D$85=$D106)/2,0),IF(AND(EXACT($C$86,$C106),ISNUMBER($D$86)),($D$86&gt;$D106)+($D$86=$D106)/2,0),IF(AND(EXACT($C$87,$C106),ISNUMBER($D$87)),($D$87&gt;$D106)+($D$87=$D106)/2,0),IF(AND(EXACT($C$88,$C106),ISNUMBER($D$88)),($D$88&gt;$D106)+($D$88=$D106)/2,0),IF(AND(EXACT($C$89,$C106),ISNUMBER($D$89)),($D$89&gt;$D106)+($D$89=$D106)/2,0),IF(AND(EXACT($C$90,$C106),ISNUMBER($D$90)),($D$90&gt;$D106)+($D$90=$D106)/2,0),IF(AND(EXACT($C$91,$C106),ISNUMBER($D$91)),($D$91&gt;$D106)+($D$91=$D106)/2,0),IF(AND(EXACT($C$92,$C106),ISNUMBER($D$92)),($D$92&gt;$D106)+($D$92=$D106)/2,0),IF(AND(EXACT($C$93,$C106),ISNUMBER($D$93)),($D$93&gt;$D106)+($D$93=$D106)/2,0),IF(AND(EXACT($C$94,$C106),ISNUMBER($D$94)),($D$94&gt;$D106)+($D$94=$D106)/2,0),IF(AND(EXACT($C$95,$C106),ISNUMBER($D$95)),($D$95&gt;$D106)+($D$95=$D106)/2,0),IF(AND(EXACT($C$96,$C106),ISNUMBER($D$96)),($D$96&gt;$D106)+($D$96=$D106)/2,0),IF(AND(EXACT($C$97,$C106),ISNUMBER($D$97)),($D$97&gt;$D106)+($D$97=$D106)/2,0),IF(AND(EXACT($C$98,$C106),ISNUMBER($D$98)),($D$98&gt;$D106)+($D$98=$D106)/2,0),IF(AND(EXACT($C$99,$C106),ISNUMBER($D$99)),($D$99&gt;$D106)+($D$99=$D106)/2,0),IF(AND(EXACT($C$100,$C106),ISNUMBER($D$100)),($D$100&gt;$D106)+($D$100=$D106)/2,0),IF(AND(EXACT($C$101,$C106),ISNUMBER($D$101)),($D$101&gt;$D106)+($D$101=$D106)/2,0),IF(AND(EXACT($C$102,$C106),ISNUMBER($D$102)),($D$102&gt;$D106)+($D$102=$D106)/2,0),IF(AND(EXACT($C$103,$C106),ISNUMBER($D$103)),($D$103&gt;$D106)+($D$103=$D106)/2,0),IF(AND(EXACT($C$104,$C106),ISNUMBER($D$104)),($D$104&gt;$D106)+($D$104=$D106)/2,0),IF(AND(EXACT($C$105,$C106),ISNUMBER($D$105)),($D$105&gt;$D106)+($D$105=$D106)/2,0),IF(AND(EXACT($C$106,$C106),ISNUMBER($D$106)),($D$106&gt;$D106)+($D$106=$D106)/2,0)))</x:f>
      </x:c>
    </x:row>
  </x:sheetData>
  <x:mergeCells>
    <x:mergeCell ref="A1:AM1"/>
    <x:mergeCell ref="A2:AM3"/>
    <x:mergeCell ref="I5:AM5"/>
  </x:mergeCells>
  <x:conditionalFormatting sqref="A6:G106">
    <x:cfRule type="containsText" dxfId="17" priority="1" operator="containsText" text="CHECK"/>
  </x:conditionalFormatting>
  <x:conditionalFormatting sqref="J7:AM36">
    <x:cfRule type="colorScale" priority="2">
      <x:colorScale>
        <x:cfvo type="min"/>
        <x:cfvo type="num" val="0"/>
        <x:cfvo type="max"/>
        <x:color rgb="FF2563EB"/>
        <x:color rgb="FFFFFFFF"/>
        <x:color rgb="FFDC2626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36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31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</x:cols>
  <x:sheetData>
    <x:row r="1" ht="30" customHeight="1">
      <x:c r="A1" s="3" t="str">
        <x:v>05 | 점수차의 경제적 해석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" customHeight="1">
      <x:c r="A2" s="7" t="str">
        <x:v>점수당 보편 원화계수는 없습니다. 비교·노출 검증을 통과한 채널별 조건부 상당액/시나리오만 표시하며 합계를 제공하지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</x:row>
    <x:row r="4">
      <x:c r="A4" s="9" t="str">
        <x:v>회사 A</x:v>
      </x:c>
      <x:c r="B4" s="60" t="str">
        <x:f>'03_COMPARE_2'!B4</x:f>
        <x:v>SYN-A</x:v>
      </x:c>
      <x:c r="C4" s="9" t="str">
        <x:v>회사 통화/연도</x:v>
      </x:c>
      <x:c r="D4" s="34" t="str">
        <x:f>IF($B4="","",IFERROR(IF(INDEX('01_INPUT_COMPANIES'!$I$7:$I$106,MATCH($B4,'01_INPUT_COMPANIES'!$A$7:$A$106,0))="","",INDEX('01_INPUT_COMPANIES'!$I$7:$I$106,MATCH($B4,'01_INPUT_COMPANIES'!$A$7:$A$106,0))),"")&amp;"/"&amp;IFERROR(IF(INDEX('01_INPUT_COMPANIES'!$J$7:$J$106,MATCH($B4,'01_INPUT_COMPANIES'!$A$7:$A$106,0))="","",INDEX('01_INPUT_COMPANIES'!$J$7:$J$106,MATCH($B4,'01_INPUT_COMPANIES'!$A$7:$A$106,0))),""))</x:f>
        <x:v>KRW/2025</x:v>
      </x:c>
      <x:c r="E4" s="9" t="str">
        <x:v>노출 기간/계수</x:v>
      </x:c>
      <x:c r="F4" s="34" t="str">
        <x:f>IF(COUNTIF('02_INPUT_ECON_BASES'!$A$7:$A$106,$B4)&lt;&gt;1,"",IFERROR(IF(INDEX('02_INPUT_ECON_BASES'!$D$7:$D$106,MATCH($B4,'02_INPUT_ECON_BASES'!$A$7:$A$106,0))="","",INDEX('02_INPUT_ECON_BASES'!$D$7:$D$106,MATCH($B4,'02_INPUT_ECON_BASES'!$A$7:$A$106,0))),"")&amp;" / "&amp;IFERROR(IF(COUNT(INDEX('02_INPUT_ECON_BASES'!$E$7:$E$106,MATCH($B4,'02_INPUT_ECON_BASES'!$A$7:$A$106,0)))=0,"",INDEX('02_INPUT_ECON_BASES'!$E$7:$E$106,MATCH($B4,'02_INPUT_ECON_BASES'!$A$7:$A$106,0))),""))</x:f>
        <x:v>2025 / 1</x:v>
      </x:c>
      <x:c r="G4" s="9" t="str">
        <x:v>노출행 검증</x:v>
      </x:c>
      <x:c r="H4" s="34" t="str">
        <x:f>IF($B4="","",IF(COUNTIF('02_INPUT_ECON_BASES'!$A$7:$A$106,$B4)=0,"MISSING",IF(COUNTIF('02_INPUT_ECON_BASES'!$A$7:$A$106,$B4)&gt;1,"DUPLICATE",IFERROR(IF(INDEX('02_INPUT_ECON_BASES'!$AA$7:$AA$106,MATCH($B4,'02_INPUT_ECON_BASES'!$A$7:$A$106,0))="","",INDEX('02_INPUT_ECON_BASES'!$AA$7:$AA$106,MATCH($B4,'02_INPUT_ECON_BASES'!$A$7:$A$106,0))),""))))</x:f>
        <x:v>READY</x:v>
      </x:c>
      <x:c r="I4" s="9" t="str">
        <x:v>Pair 상태</x:v>
      </x:c>
      <x:c r="J4" s="34" t="str">
        <x:f>'03_COMPARE_2'!A14</x:f>
        <x:v>비교 가능</x:v>
      </x:c>
      <x:c r="K4" s="34"/>
      <x:c r="L4" s="34"/>
      <x:c r="M4" s="34"/>
      <x:c r="N4" s="34"/>
      <x:c r="O4" s="34"/>
      <x:c r="P4" s="34"/>
      <x:c r="Q4" s="34"/>
      <x:c r="R4" s="34"/>
      <x:c r="S4" s="34"/>
    </x:row>
    <x:row r="5">
      <x:c r="A5" s="9" t="str">
        <x:v>회사 B</x:v>
      </x:c>
      <x:c r="B5" s="60" t="str">
        <x:f>'03_COMPARE_2'!B5</x:f>
        <x:v>SYN-B</x:v>
      </x:c>
      <x:c r="C5" s="9" t="str">
        <x:v>회사 통화/연도</x:v>
      </x:c>
      <x:c r="D5" s="34" t="str">
        <x:f>IF($B5="","",IFERROR(IF(INDEX('01_INPUT_COMPANIES'!$I$7:$I$106,MATCH($B5,'01_INPUT_COMPANIES'!$A$7:$A$106,0))="","",INDEX('01_INPUT_COMPANIES'!$I$7:$I$106,MATCH($B5,'01_INPUT_COMPANIES'!$A$7:$A$106,0))),"")&amp;"/"&amp;IFERROR(IF(INDEX('01_INPUT_COMPANIES'!$J$7:$J$106,MATCH($B5,'01_INPUT_COMPANIES'!$A$7:$A$106,0))="","",INDEX('01_INPUT_COMPANIES'!$J$7:$J$106,MATCH($B5,'01_INPUT_COMPANIES'!$A$7:$A$106,0))),""))</x:f>
        <x:v>KRW/2025</x:v>
      </x:c>
      <x:c r="E5" s="9" t="str">
        <x:v>노출 기간/계수</x:v>
      </x:c>
      <x:c r="F5" s="34" t="str">
        <x:f>IF(COUNTIF('02_INPUT_ECON_BASES'!$A$7:$A$106,$B5)&lt;&gt;1,"",IFERROR(IF(INDEX('02_INPUT_ECON_BASES'!$D$7:$D$106,MATCH($B5,'02_INPUT_ECON_BASES'!$A$7:$A$106,0))="","",INDEX('02_INPUT_ECON_BASES'!$D$7:$D$106,MATCH($B5,'02_INPUT_ECON_BASES'!$A$7:$A$106,0))),"")&amp;" / "&amp;IFERROR(IF(COUNT(INDEX('02_INPUT_ECON_BASES'!$E$7:$E$106,MATCH($B5,'02_INPUT_ECON_BASES'!$A$7:$A$106,0)))=0,"",INDEX('02_INPUT_ECON_BASES'!$E$7:$E$106,MATCH($B5,'02_INPUT_ECON_BASES'!$A$7:$A$106,0))),""))</x:f>
        <x:v>2025 / 1</x:v>
      </x:c>
      <x:c r="G5" s="9" t="str">
        <x:v>노출행 검증</x:v>
      </x:c>
      <x:c r="H5" s="34" t="str">
        <x:f>IF($B5="","",IF(COUNTIF('02_INPUT_ECON_BASES'!$A$7:$A$106,$B5)=0,"MISSING",IF(COUNTIF('02_INPUT_ECON_BASES'!$A$7:$A$106,$B5)&gt;1,"DUPLICATE",IFERROR(IF(INDEX('02_INPUT_ECON_BASES'!$AA$7:$AA$106,MATCH($B5,'02_INPUT_ECON_BASES'!$A$7:$A$106,0))="","",INDEX('02_INPUT_ECON_BASES'!$AA$7:$AA$106,MATCH($B5,'02_INPUT_ECON_BASES'!$A$7:$A$106,0))),""))))</x:f>
        <x:v>READY</x:v>
      </x:c>
      <x:c r="J5" s="34"/>
      <x:c r="K5" s="34"/>
      <x:c r="L5" s="34"/>
      <x:c r="M5" s="34"/>
      <x:c r="N5" s="34"/>
      <x:c r="O5" s="34"/>
      <x:c r="P5" s="34"/>
      <x:c r="Q5" s="34"/>
      <x:c r="R5" s="34"/>
      <x:c r="S5" s="34"/>
    </x:row>
    <x:row r="7" ht="42" customHeight="1">
      <x:c r="A7" s="13" t="str">
        <x:v>Feature</x:v>
      </x:c>
      <x:c r="B7" s="13" t="str">
        <x:v>CPII 기여점</x:v>
      </x:c>
      <x:c r="C7" s="13" t="str">
        <x:v>해석유형</x:v>
      </x:c>
      <x:c r="D7" s="13" t="str">
        <x:v>중복군</x:v>
      </x:c>
      <x:c r="E7" s="13" t="str">
        <x:v>경제기준</x:v>
      </x:c>
      <x:c r="F7" s="13" t="str">
        <x:v>원값차 A-B</x:v>
      </x:c>
      <x:c r="G7" s="13" t="str">
        <x:v>부담방향 차이</x:v>
      </x:c>
      <x:c r="H7" s="13" t="str">
        <x:v>통화</x:v>
      </x:c>
      <x:c r="I7" s="13" t="str">
        <x:v>가용상태</x:v>
      </x:c>
      <x:c r="J7" s="13" t="str">
        <x:v>공통노출 Low</x:v>
      </x:c>
      <x:c r="K7" s="13" t="str">
        <x:v>Base</x:v>
      </x:c>
      <x:c r="L7" s="13" t="str">
        <x:v>High</x:v>
      </x:c>
      <x:c r="M7" s="13" t="str">
        <x:v>공통규모 금액 Low</x:v>
      </x:c>
      <x:c r="N7" s="13" t="str">
        <x:v>Base</x:v>
      </x:c>
      <x:c r="O7" s="13" t="str">
        <x:v>High</x:v>
      </x:c>
      <x:c r="P7" s="13" t="str">
        <x:v>실제규모 차이 Low</x:v>
      </x:c>
      <x:c r="Q7" s="13" t="str">
        <x:v>Base</x:v>
      </x:c>
      <x:c r="R7" s="13" t="str">
        <x:v>High</x:v>
      </x:c>
      <x:c r="S7" s="13" t="str">
        <x:v>주의</x:v>
      </x:c>
    </x:row>
    <x:row r="8" ht="15" hidden="0" customHeight="1">
      <x:c r="A8" s="63" t="str">
        <x:f>'92_REF_VARIABLES'!$B$7</x:f>
        <x:v>유효세율 격차</x:v>
      </x:c>
      <x:c r="B8" s="64" t="n">
        <x:f>'03_COMPARE_2'!$H$17</x:f>
        <x:v>1.6742770167427703</x:v>
      </x:c>
      <x:c r="C8" s="63" t="str">
        <x:f>'92_REF_VARIABLES'!$K$7</x:f>
        <x:v>conditional_accounting_equivalent</x:v>
      </x:c>
      <x:c r="D8" s="63" t="str">
        <x:f>'92_REF_VARIABLES'!$N$7</x:f>
        <x:v>tax_burden</x:v>
      </x:c>
      <x:c r="E8" s="63" t="str">
        <x:f>'92_REF_VARIABLES'!$M$7</x:f>
        <x:v>positive_pretax_income</x:v>
      </x:c>
      <x:c r="F8" s="61" t="n">
        <x:f>IF('03_COMPARE_2'!$A$14&lt;&gt;"비교 가능","",(SUMIFS('90_CALC_FEATURES'!$E$7:$E$1006,'90_CALC_FEATURES'!$B$7:$B$1006,$B$4,'90_CALC_FEATURES'!$D$7:$D$1006,'92_REF_VARIABLES'!$A$7))-(SUMIFS('90_CALC_FEATURES'!$E$7:$E$1006,'90_CALC_FEATURES'!$B$7:$B$1006,$B$5,'90_CALC_FEATURES'!$D$7:$D$1006,'92_REF_VARIABLES'!$A$7)))</x:f>
        <x:v>0.035</x:v>
      </x:c>
      <x:c r="G8" s="61" t="n">
        <x:f>IF(COUNT(F8)=0,"",1*F8)</x:f>
        <x:v>0.035</x:v>
      </x:c>
      <x:c r="H8" s="17" t="str">
        <x:f>IFERROR(IF(INDEX('02_INPUT_ECON_BASES'!$B$7:$B$106,MATCH($B$4,'02_INPUT_ECON_BASES'!$A$7:$A$106,0))="","",INDEX('02_INPUT_ECON_BASES'!$B$7:$B$106,MATCH($B$4,'02_INPUT_ECON_BASES'!$A$7:$A$106,0))),"")</x:f>
        <x:v>KRW</x:v>
      </x:c>
      <x:c r="I8" s="63" t="str">
        <x:f>IF('03_COMPARE_2'!$A$14&lt;&gt;"비교 가능","PAIR NOT COMPARABLE",IF(OR(COUNTIF('02_INPUT_ECON_BASES'!$A$7:$A$106,$B$4)=0,COUNTIF('02_INPUT_ECON_BASES'!$A$7:$A$106,$B$5)=0),"MISSING EXPOSURE",IF(OR(COUNTIF('02_INPUT_ECON_BASES'!$A$7:$A$106,$B$4)&lt;&gt;1,COUNTIF('02_INPUT_ECON_BASES'!$A$7:$A$106,$B$5)&lt;&gt;1),"DUPLICATE EXPOSURE ID",IF(OR($H$4&lt;&gt;"READY",$H$5&lt;&gt;"READY"),"EXPOSURE INPUT ERROR",IF($D$4&lt;&gt;$D$5,"CURRENCY/YEAR MISMATCH",IF($F$4&lt;&gt;$F$5,"TIME BASIS MISMATCH",IF(OR(COUNT(IFERROR(IF(COUNT(INDEX('02_INPUT_ECON_BASES'!$I$7:$I$106,MATCH($B$4,'02_INPUT_ECON_BASES'!$A$7:$A$106,0)))=0,"",INDEX('02_INPUT_ECON_BASES'!$I$7:$I$106,MATCH($B$4,'02_INPUT_ECON_BASES'!$A$7:$A$106,0))),""))=0,COUNT(IFERROR(IF(COUNT(INDEX('02_INPUT_ECON_BASES'!$I$7:$I$106,MATCH($B$5,'02_INPUT_ECON_BASES'!$A$7:$A$106,0)))=0,"",INDEX('02_INPUT_ECON_BASES'!$I$7:$I$106,MATCH($B$5,'02_INPUT_ECON_BASES'!$A$7:$A$106,0))),""))=0,COUNT(IFERROR(IF(COUNT(INDEX('02_INPUT_ECON_BASES'!$J$7:$J$106,MATCH($B$4,'02_INPUT_ECON_BASES'!$A$7:$A$106,0)))=0,"",INDEX('02_INPUT_ECON_BASES'!$J$7:$J$106,MATCH($B$4,'02_INPUT_ECON_BASES'!$A$7:$A$106,0))),""))=0,COUNT(IFERROR(IF(COUNT(INDEX('02_INPUT_ECON_BASES'!$J$7:$J$106,MATCH($B$5,'02_INPUT_ECON_BASES'!$A$7:$A$106,0)))=0,"",INDEX('02_INPUT_ECON_BASES'!$J$7:$J$106,MATCH($B$5,'02_INPUT_ECON_BASES'!$A$7:$A$106,0))),""))=0,COUNT(IFERROR(IF(COUNT(INDEX('02_INPUT_ECON_BASES'!$K$7:$K$106,MATCH($B$4,'02_INPUT_ECON_BASES'!$A$7:$A$106,0)))=0,"",INDEX('02_INPUT_ECON_BASES'!$K$7:$K$106,MATCH($B$4,'02_INPUT_ECON_BASES'!$A$7:$A$106,0))),""))=0,COUNT(IFERROR(IF(COUNT(INDEX('02_INPUT_ECON_BASES'!$K$7:$K$106,MATCH($B$5,'02_INPUT_ECON_BASES'!$A$7:$A$106,0)))=0,"",INDEX('02_INPUT_ECON_BASES'!$K$7:$K$106,MATCH($B$5,'02_INPUT_ECON_BASES'!$A$7:$A$106,0))),""))=0),"MISSING EXPOSURE",IF(FALSE,"MISSING ASSUMPTION",IF(ABS(B8)&lt;=0.000000000001,"AVAILABLE - CONTEXT ONLY","AVAILABLE - DO NOT SUM")))))))))</x:f>
        <x:v>AVAILABLE - DO NOT SUM</x:v>
      </x:c>
      <x:c r="J8" s="62" t="n">
        <x:f>IF(LEFT(I8,9)&lt;&gt;"AVAILABLE","",(IFERROR(IF(COUNT(INDEX('02_INPUT_ECON_BASES'!$I$7:$I$106,MATCH($B$4,'02_INPUT_ECON_BASES'!$A$7:$A$106,0)))=0,"",INDEX('02_INPUT_ECON_BASES'!$I$7:$I$106,MATCH($B$4,'02_INPUT_ECON_BASES'!$A$7:$A$106,0))),"")+IFERROR(IF(COUNT(INDEX('02_INPUT_ECON_BASES'!$I$7:$I$106,MATCH($B$5,'02_INPUT_ECON_BASES'!$A$7:$A$106,0)))=0,"",INDEX('02_INPUT_ECON_BASES'!$I$7:$I$106,MATCH($B$5,'02_INPUT_ECON_BASES'!$A$7:$A$106,0))),""))/2)</x:f>
        <x:v>99000000000</x:v>
      </x:c>
      <x:c r="K8" s="62" t="n">
        <x:f>IF(LEFT(I8,9)&lt;&gt;"AVAILABLE","",(IFERROR(IF(COUNT(INDEX('02_INPUT_ECON_BASES'!$J$7:$J$106,MATCH($B$4,'02_INPUT_ECON_BASES'!$A$7:$A$106,0)))=0,"",INDEX('02_INPUT_ECON_BASES'!$J$7:$J$106,MATCH($B$4,'02_INPUT_ECON_BASES'!$A$7:$A$106,0))),"")+IFERROR(IF(COUNT(INDEX('02_INPUT_ECON_BASES'!$J$7:$J$106,MATCH($B$5,'02_INPUT_ECON_BASES'!$A$7:$A$106,0)))=0,"",INDEX('02_INPUT_ECON_BASES'!$J$7:$J$106,MATCH($B$5,'02_INPUT_ECON_BASES'!$A$7:$A$106,0))),""))/2)</x:f>
        <x:v>110000000000</x:v>
      </x:c>
      <x:c r="L8" s="62" t="n">
        <x:f>IF(LEFT(I8,9)&lt;&gt;"AVAILABLE","",(IFERROR(IF(COUNT(INDEX('02_INPUT_ECON_BASES'!$K$7:$K$106,MATCH($B$4,'02_INPUT_ECON_BASES'!$A$7:$A$106,0)))=0,"",INDEX('02_INPUT_ECON_BASES'!$K$7:$K$106,MATCH($B$4,'02_INPUT_ECON_BASES'!$A$7:$A$106,0))),"")+IFERROR(IF(COUNT(INDEX('02_INPUT_ECON_BASES'!$K$7:$K$106,MATCH($B$5,'02_INPUT_ECON_BASES'!$A$7:$A$106,0)))=0,"",INDEX('02_INPUT_ECON_BASES'!$K$7:$K$106,MATCH($B$5,'02_INPUT_ECON_BASES'!$A$7:$A$106,0))),""))/2)</x:f>
        <x:v>121000000000</x:v>
      </x:c>
      <x:c r="M8" s="62" t="n">
        <x:f>IF(LEFT(I8,9)&lt;&gt;"AVAILABLE","",G8*(IFERROR(IF(COUNT(INDEX('02_INPUT_ECON_BASES'!$I$7:$I$106,MATCH($B$4,'02_INPUT_ECON_BASES'!$A$7:$A$106,0)))=0,"",INDEX('02_INPUT_ECON_BASES'!$I$7:$I$106,MATCH($B$4,'02_INPUT_ECON_BASES'!$A$7:$A$106,0))),"")+IFERROR(IF(COUNT(INDEX('02_INPUT_ECON_BASES'!$I$7:$I$106,MATCH($B$5,'02_INPUT_ECON_BASES'!$A$7:$A$106,0)))=0,"",INDEX('02_INPUT_ECON_BASES'!$I$7:$I$106,MATCH($B$5,'02_INPUT_ECON_BASES'!$A$7:$A$106,0))),""))/2)</x:f>
        <x:v>3465000000.0000005</x:v>
      </x:c>
      <x:c r="N8" s="62" t="n">
        <x:f>IF(LEFT(I8,9)&lt;&gt;"AVAILABLE","",G8*(IFERROR(IF(COUNT(INDEX('02_INPUT_ECON_BASES'!$J$7:$J$106,MATCH($B$4,'02_INPUT_ECON_BASES'!$A$7:$A$106,0)))=0,"",INDEX('02_INPUT_ECON_BASES'!$J$7:$J$106,MATCH($B$4,'02_INPUT_ECON_BASES'!$A$7:$A$106,0))),"")+IFERROR(IF(COUNT(INDEX('02_INPUT_ECON_BASES'!$J$7:$J$106,MATCH($B$5,'02_INPUT_ECON_BASES'!$A$7:$A$106,0)))=0,"",INDEX('02_INPUT_ECON_BASES'!$J$7:$J$106,MATCH($B$5,'02_INPUT_ECON_BASES'!$A$7:$A$106,0))),""))/2)</x:f>
        <x:v>3850000000.0000005</x:v>
      </x:c>
      <x:c r="O8" s="62" t="n">
        <x:f>IF(LEFT(I8,9)&lt;&gt;"AVAILABLE","",G8*(IFERROR(IF(COUNT(INDEX('02_INPUT_ECON_BASES'!$K$7:$K$106,MATCH($B$4,'02_INPUT_ECON_BASES'!$A$7:$A$106,0)))=0,"",INDEX('02_INPUT_ECON_BASES'!$K$7:$K$106,MATCH($B$4,'02_INPUT_ECON_BASES'!$A$7:$A$106,0))),"")+IFERROR(IF(COUNT(INDEX('02_INPUT_ECON_BASES'!$K$7:$K$106,MATCH($B$5,'02_INPUT_ECON_BASES'!$A$7:$A$106,0)))=0,"",INDEX('02_INPUT_ECON_BASES'!$K$7:$K$106,MATCH($B$5,'02_INPUT_ECON_BASES'!$A$7:$A$106,0))),""))/2)</x:f>
        <x:v>4235000000.0000005</x:v>
      </x:c>
      <x:c r="P8" s="62" t="n">
        <x:f>IF(LEFT(I8,9)&lt;&gt;"AVAILABLE","",1*((SUMIFS('90_CALC_FEATURES'!$E$7:$E$1006,'90_CALC_FEATURES'!$B$7:$B$1006,$B$4,'90_CALC_FEATURES'!$D$7:$D$1006,'92_REF_VARIABLES'!$A$7))*IFERROR(IF(COUNT(INDEX('02_INPUT_ECON_BASES'!$I$7:$I$106,MATCH($B$4,'02_INPUT_ECON_BASES'!$A$7:$A$106,0)))=0,"",INDEX('02_INPUT_ECON_BASES'!$I$7:$I$106,MATCH($B$4,'02_INPUT_ECON_BASES'!$A$7:$A$106,0))),"")-(SUMIFS('90_CALC_FEATURES'!$E$7:$E$1006,'90_CALC_FEATURES'!$B$7:$B$1006,$B$5,'90_CALC_FEATURES'!$D$7:$D$1006,'92_REF_VARIABLES'!$A$7))*IFERROR(IF(COUNT(INDEX('02_INPUT_ECON_BASES'!$I$7:$I$106,MATCH($B$5,'02_INPUT_ECON_BASES'!$A$7:$A$106,0)))=0,"",INDEX('02_INPUT_ECON_BASES'!$I$7:$I$106,MATCH($B$5,'02_INPUT_ECON_BASES'!$A$7:$A$106,0))),"")))</x:f>
        <x:v>5490000000</x:v>
      </x:c>
      <x:c r="Q8" s="62" t="n">
        <x:f>IF(LEFT(I8,9)&lt;&gt;"AVAILABLE","",1*((SUMIFS('90_CALC_FEATURES'!$E$7:$E$1006,'90_CALC_FEATURES'!$B$7:$B$1006,$B$4,'90_CALC_FEATURES'!$D$7:$D$1006,'92_REF_VARIABLES'!$A$7))*IFERROR(IF(COUNT(INDEX('02_INPUT_ECON_BASES'!$J$7:$J$106,MATCH($B$4,'02_INPUT_ECON_BASES'!$A$7:$A$106,0)))=0,"",INDEX('02_INPUT_ECON_BASES'!$J$7:$J$106,MATCH($B$4,'02_INPUT_ECON_BASES'!$A$7:$A$106,0))),"")-(SUMIFS('90_CALC_FEATURES'!$E$7:$E$1006,'90_CALC_FEATURES'!$B$7:$B$1006,$B$5,'90_CALC_FEATURES'!$D$7:$D$1006,'92_REF_VARIABLES'!$A$7))*IFERROR(IF(COUNT(INDEX('02_INPUT_ECON_BASES'!$J$7:$J$106,MATCH($B$5,'02_INPUT_ECON_BASES'!$A$7:$A$106,0)))=0,"",INDEX('02_INPUT_ECON_BASES'!$J$7:$J$106,MATCH($B$5,'02_INPUT_ECON_BASES'!$A$7:$A$106,0))),"")))</x:f>
        <x:v>6100000000</x:v>
      </x:c>
      <x:c r="R8" s="62" t="n">
        <x:f>IF(LEFT(I8,9)&lt;&gt;"AVAILABLE","",1*((SUMIFS('90_CALC_FEATURES'!$E$7:$E$1006,'90_CALC_FEATURES'!$B$7:$B$1006,$B$4,'90_CALC_FEATURES'!$D$7:$D$1006,'92_REF_VARIABLES'!$A$7))*IFERROR(IF(COUNT(INDEX('02_INPUT_ECON_BASES'!$K$7:$K$106,MATCH($B$4,'02_INPUT_ECON_BASES'!$A$7:$A$106,0)))=0,"",INDEX('02_INPUT_ECON_BASES'!$K$7:$K$106,MATCH($B$4,'02_INPUT_ECON_BASES'!$A$7:$A$106,0))),"")-(SUMIFS('90_CALC_FEATURES'!$E$7:$E$1006,'90_CALC_FEATURES'!$B$7:$B$1006,$B$5,'90_CALC_FEATURES'!$D$7:$D$1006,'92_REF_VARIABLES'!$A$7))*IFERROR(IF(COUNT(INDEX('02_INPUT_ECON_BASES'!$K$7:$K$106,MATCH($B$5,'02_INPUT_ECON_BASES'!$A$7:$A$106,0)))=0,"",INDEX('02_INPUT_ECON_BASES'!$K$7:$K$106,MATCH($B$5,'02_INPUT_ECON_BASES'!$A$7:$A$106,0))),"")))</x:f>
        <x:v>6710000000</x:v>
      </x:c>
      <x:c r="S8" s="63" t="str">
        <x:f>IF('03_COMPARE_2'!$A$14&lt;&gt;"비교 가능","비교 불가",IF(ABS(B8)&lt;=0.000000000001,"선택된 ΔCPII 기여점 0: 원단위 맥락만 제공 | ","")&amp;'92_REF_VARIABLES'!$P$7&amp;"")</x:f>
        <x:v>세전이익 기준의 조건부 세부담 상당액</x:v>
      </x:c>
    </x:row>
    <x:row r="9" ht="15" hidden="0" customHeight="1">
      <x:c r="A9" s="63" t="str">
        <x:f>'92_REF_VARIABLES'!$B$8</x:f>
        <x:v>인프라 비용·해외의존 결합비율</x:v>
      </x:c>
      <x:c r="B9" s="64" t="n">
        <x:f>'03_COMPARE_2'!$H$18</x:f>
        <x:v>0.5291005291005291</x:v>
      </x:c>
      <x:c r="C9" s="63" t="str">
        <x:f>'92_REF_VARIABLES'!$K$8</x:f>
        <x:v>non_monetizable</x:v>
      </x:c>
      <x:c r="D9" s="63" t="str">
        <x:f>'92_REF_VARIABLES'!$N$8</x:f>
        <x:v>network_infrastructure</x:v>
      </x:c>
      <x:c r="E9" s="63" t="str">
        <x:f>'92_REF_VARIABLES'!$M$8</x:f>
        <x:v>none</x:v>
      </x:c>
      <x:c r="F9" s="61" t="n">
        <x:f>IF('03_COMPARE_2'!$A$14&lt;&gt;"비교 가능","",(SUMIFS('90_CALC_FEATURES'!$E$7:$E$1006,'90_CALC_FEATURES'!$B$7:$B$1006,$B$4,'90_CALC_FEATURES'!$D$7:$D$1006,'92_REF_VARIABLES'!$A$8))-(SUMIFS('90_CALC_FEATURES'!$E$7:$E$1006,'90_CALC_FEATURES'!$B$7:$B$1006,$B$5,'90_CALC_FEATURES'!$D$7:$D$1006,'92_REF_VARIABLES'!$A$8)))</x:f>
        <x:v>0.06915000000000002</x:v>
      </x:c>
      <x:c r="G9" s="61" t="n">
        <x:f>IF(COUNT(F9)=0,"",1*F9)</x:f>
        <x:v>0.06915000000000002</x:v>
      </x:c>
      <x:c r="H9" s="17" t="str">
        <x:f>""</x:f>
      </x:c>
      <x:c r="I9" s="63" t="str">
        <x:f>IF('03_COMPARE_2'!$A$14&lt;&gt;"비교 가능","PAIR NOT COMPARABLE","NON-MONETIZABLE")</x:f>
        <x:v>NON-MONETIZABLE</x:v>
      </x:c>
      <x:c r="J9" s="62" t="str">
        <x:f>""</x:f>
      </x:c>
      <x:c r="K9" s="62" t="str">
        <x:f>""</x:f>
      </x:c>
      <x:c r="L9" s="62" t="str">
        <x:f>""</x:f>
      </x:c>
      <x:c r="M9" s="62" t="str">
        <x:f>""</x:f>
      </x:c>
      <x:c r="N9" s="62" t="str">
        <x:f>""</x:f>
      </x:c>
      <x:c r="O9" s="62" t="str">
        <x:f>""</x:f>
      </x:c>
      <x:c r="P9" s="62" t="str">
        <x:f>""</x:f>
      </x:c>
      <x:c r="Q9" s="62" t="str">
        <x:f>""</x:f>
      </x:c>
      <x:c r="R9" s="62" t="str">
        <x:f>""</x:f>
      </x:c>
      <x:c r="S9" s="63" t="str">
        <x:f>IF('03_COMPARE_2'!$A$14&lt;&gt;"비교 가능","비교 불가",IF(ABS(B9)&lt;=0.000000000001,"선택된 ΔCPII 기여점 0: 원단위 맥락만 제공 | ","")&amp;'92_REF_VARIABLES'!$P$8&amp;"")</x:f>
        <x:v>독립적 가격·비용 계수가 없고 네트워크 비용과 중복될 수 있음</x:v>
      </x:c>
    </x:row>
    <x:row r="10" ht="15" hidden="0" customHeight="1">
      <x:c r="A10" s="63" t="str">
        <x:f>'92_REF_VARIABLES'!$B$9</x:f>
        <x:v>네트워크 비용률</x:v>
      </x:c>
      <x:c r="B10" s="64" t="n">
        <x:f>'03_COMPARE_2'!$H$19</x:f>
        <x:v>0.34722222222222215</x:v>
      </x:c>
      <x:c r="C10" s="63" t="str">
        <x:f>'92_REF_VARIABLES'!$K$9</x:f>
        <x:v>conditional_accounting_equivalent</x:v>
      </x:c>
      <x:c r="D10" s="63" t="str">
        <x:f>'92_REF_VARIABLES'!$N$9</x:f>
        <x:v>network_infrastructure</x:v>
      </x:c>
      <x:c r="E10" s="63" t="str">
        <x:f>'92_REF_VARIABLES'!$M$9</x:f>
        <x:v>revenue</x:v>
      </x:c>
      <x:c r="F10" s="61" t="n">
        <x:f>IF('03_COMPARE_2'!$A$14&lt;&gt;"비교 가능","",(SUMIFS('90_CALC_FEATURES'!$E$7:$E$1006,'90_CALC_FEATURES'!$B$7:$B$1006,$B$4,'90_CALC_FEATURES'!$D$7:$D$1006,'92_REF_VARIABLES'!$A$9))-(SUMIFS('90_CALC_FEATURES'!$E$7:$E$1006,'90_CALC_FEATURES'!$B$7:$B$1006,$B$5,'90_CALC_FEATURES'!$D$7:$D$1006,'92_REF_VARIABLES'!$A$9)))</x:f>
        <x:v>0.075</x:v>
      </x:c>
      <x:c r="G10" s="61" t="n">
        <x:f>IF(COUNT(F10)=0,"",1*F10)</x:f>
        <x:v>0.075</x:v>
      </x:c>
      <x:c r="H10" s="17" t="str">
        <x:f>IFERROR(IF(INDEX('02_INPUT_ECON_BASES'!$B$7:$B$106,MATCH($B$4,'02_INPUT_ECON_BASES'!$A$7:$A$106,0))="","",INDEX('02_INPUT_ECON_BASES'!$B$7:$B$106,MATCH($B$4,'02_INPUT_ECON_BASES'!$A$7:$A$106,0))),"")</x:f>
        <x:v>KRW</x:v>
      </x:c>
      <x:c r="I10" s="63" t="str">
        <x:f>IF('03_COMPARE_2'!$A$14&lt;&gt;"비교 가능","PAIR NOT COMPARABLE",IF(OR(COUNTIF('02_INPUT_ECON_BASES'!$A$7:$A$106,$B$4)=0,COUNTIF('02_INPUT_ECON_BASES'!$A$7:$A$106,$B$5)=0),"MISSING EXPOSURE",IF(OR(COUNTIF('02_INPUT_ECON_BASES'!$A$7:$A$106,$B$4)&lt;&gt;1,COUNTIF('02_INPUT_ECON_BASES'!$A$7:$A$106,$B$5)&lt;&gt;1),"DUPLICATE EXPOSURE ID",IF(OR($H$4&lt;&gt;"READY",$H$5&lt;&gt;"READY"),"EXPOSURE INPUT ERROR",IF($D$4&lt;&gt;$D$5,"CURRENCY/YEAR MISMATCH",IF($F$4&lt;&gt;$F$5,"TIME BASIS MISMATCH",IF(OR(COUNT(IFERROR(IF(COUNT(INDEX('02_INPUT_ECON_BASES'!$F$7:$F$106,MATCH($B$4,'02_INPUT_ECON_BASES'!$A$7:$A$106,0)))=0,"",INDEX('02_INPUT_ECON_BASES'!$F$7:$F$106,MATCH($B$4,'02_INPUT_ECON_BASES'!$A$7:$A$106,0))),""))=0,COUNT(IFERROR(IF(COUNT(INDEX('02_INPUT_ECON_BASES'!$F$7:$F$106,MATCH($B$5,'02_INPUT_ECON_BASES'!$A$7:$A$106,0)))=0,"",INDEX('02_INPUT_ECON_BASES'!$F$7:$F$106,MATCH($B$5,'02_INPUT_ECON_BASES'!$A$7:$A$106,0))),""))=0,COUNT(IFERROR(IF(COUNT(INDEX('02_INPUT_ECON_BASES'!$G$7:$G$106,MATCH($B$4,'02_INPUT_ECON_BASES'!$A$7:$A$106,0)))=0,"",INDEX('02_INPUT_ECON_BASES'!$G$7:$G$106,MATCH($B$4,'02_INPUT_ECON_BASES'!$A$7:$A$106,0))),""))=0,COUNT(IFERROR(IF(COUNT(INDEX('02_INPUT_ECON_BASES'!$G$7:$G$106,MATCH($B$5,'02_INPUT_ECON_BASES'!$A$7:$A$106,0)))=0,"",INDEX('02_INPUT_ECON_BASES'!$G$7:$G$106,MATCH($B$5,'02_INPUT_ECON_BASES'!$A$7:$A$106,0))),""))=0,COUNT(IFERROR(IF(COUNT(INDEX('02_INPUT_ECON_BASES'!$H$7:$H$106,MATCH($B$4,'02_INPUT_ECON_BASES'!$A$7:$A$106,0)))=0,"",INDEX('02_INPUT_ECON_BASES'!$H$7:$H$106,MATCH($B$4,'02_INPUT_ECON_BASES'!$A$7:$A$106,0))),""))=0,COUNT(IFERROR(IF(COUNT(INDEX('02_INPUT_ECON_BASES'!$H$7:$H$106,MATCH($B$5,'02_INPUT_ECON_BASES'!$A$7:$A$106,0)))=0,"",INDEX('02_INPUT_ECON_BASES'!$H$7:$H$106,MATCH($B$5,'02_INPUT_ECON_BASES'!$A$7:$A$106,0))),""))=0),"MISSING EXPOSURE",IF(FALSE,"MISSING ASSUMPTION",IF(ABS(B10)&lt;=0.000000000001,"AVAILABLE - CONTEXT ONLY","AVAILABLE - DO NOT SUM")))))))))</x:f>
        <x:v>AVAILABLE - DO NOT SUM</x:v>
      </x:c>
      <x:c r="J10" s="62" t="n">
        <x:f>IF(LEFT(I10,9)&lt;&gt;"AVAILABLE","",(IFERROR(IF(COUNT(INDEX('02_INPUT_ECON_BASES'!$F$7:$F$106,MATCH($B$4,'02_INPUT_ECON_BASES'!$A$7:$A$106,0)))=0,"",INDEX('02_INPUT_ECON_BASES'!$F$7:$F$106,MATCH($B$4,'02_INPUT_ECON_BASES'!$A$7:$A$106,0))),"")+IFERROR(IF(COUNT(INDEX('02_INPUT_ECON_BASES'!$F$7:$F$106,MATCH($B$5,'02_INPUT_ECON_BASES'!$A$7:$A$106,0)))=0,"",INDEX('02_INPUT_ECON_BASES'!$F$7:$F$106,MATCH($B$5,'02_INPUT_ECON_BASES'!$A$7:$A$106,0))),""))/2)</x:f>
        <x:v>1080000000000</x:v>
      </x:c>
      <x:c r="K10" s="62" t="n">
        <x:f>IF(LEFT(I10,9)&lt;&gt;"AVAILABLE","",(IFERROR(IF(COUNT(INDEX('02_INPUT_ECON_BASES'!$G$7:$G$106,MATCH($B$4,'02_INPUT_ECON_BASES'!$A$7:$A$106,0)))=0,"",INDEX('02_INPUT_ECON_BASES'!$G$7:$G$106,MATCH($B$4,'02_INPUT_ECON_BASES'!$A$7:$A$106,0))),"")+IFERROR(IF(COUNT(INDEX('02_INPUT_ECON_BASES'!$G$7:$G$106,MATCH($B$5,'02_INPUT_ECON_BASES'!$A$7:$A$106,0)))=0,"",INDEX('02_INPUT_ECON_BASES'!$G$7:$G$106,MATCH($B$5,'02_INPUT_ECON_BASES'!$A$7:$A$106,0))),""))/2)</x:f>
        <x:v>1200000000000</x:v>
      </x:c>
      <x:c r="L10" s="62" t="n">
        <x:f>IF(LEFT(I10,9)&lt;&gt;"AVAILABLE","",(IFERROR(IF(COUNT(INDEX('02_INPUT_ECON_BASES'!$H$7:$H$106,MATCH($B$4,'02_INPUT_ECON_BASES'!$A$7:$A$106,0)))=0,"",INDEX('02_INPUT_ECON_BASES'!$H$7:$H$106,MATCH($B$4,'02_INPUT_ECON_BASES'!$A$7:$A$106,0))),"")+IFERROR(IF(COUNT(INDEX('02_INPUT_ECON_BASES'!$H$7:$H$106,MATCH($B$5,'02_INPUT_ECON_BASES'!$A$7:$A$106,0)))=0,"",INDEX('02_INPUT_ECON_BASES'!$H$7:$H$106,MATCH($B$5,'02_INPUT_ECON_BASES'!$A$7:$A$106,0))),""))/2)</x:f>
        <x:v>1320000000000</x:v>
      </x:c>
      <x:c r="M10" s="62" t="n">
        <x:f>IF(LEFT(I10,9)&lt;&gt;"AVAILABLE","",G10*(IFERROR(IF(COUNT(INDEX('02_INPUT_ECON_BASES'!$F$7:$F$106,MATCH($B$4,'02_INPUT_ECON_BASES'!$A$7:$A$106,0)))=0,"",INDEX('02_INPUT_ECON_BASES'!$F$7:$F$106,MATCH($B$4,'02_INPUT_ECON_BASES'!$A$7:$A$106,0))),"")+IFERROR(IF(COUNT(INDEX('02_INPUT_ECON_BASES'!$F$7:$F$106,MATCH($B$5,'02_INPUT_ECON_BASES'!$A$7:$A$106,0)))=0,"",INDEX('02_INPUT_ECON_BASES'!$F$7:$F$106,MATCH($B$5,'02_INPUT_ECON_BASES'!$A$7:$A$106,0))),""))/2)</x:f>
        <x:v>81000000000</x:v>
      </x:c>
      <x:c r="N10" s="62" t="n">
        <x:f>IF(LEFT(I10,9)&lt;&gt;"AVAILABLE","",G10*(IFERROR(IF(COUNT(INDEX('02_INPUT_ECON_BASES'!$G$7:$G$106,MATCH($B$4,'02_INPUT_ECON_BASES'!$A$7:$A$106,0)))=0,"",INDEX('02_INPUT_ECON_BASES'!$G$7:$G$106,MATCH($B$4,'02_INPUT_ECON_BASES'!$A$7:$A$106,0))),"")+IFERROR(IF(COUNT(INDEX('02_INPUT_ECON_BASES'!$G$7:$G$106,MATCH($B$5,'02_INPUT_ECON_BASES'!$A$7:$A$106,0)))=0,"",INDEX('02_INPUT_ECON_BASES'!$G$7:$G$106,MATCH($B$5,'02_INPUT_ECON_BASES'!$A$7:$A$106,0))),""))/2)</x:f>
        <x:v>90000000000</x:v>
      </x:c>
      <x:c r="O10" s="62" t="n">
        <x:f>IF(LEFT(I10,9)&lt;&gt;"AVAILABLE","",G10*(IFERROR(IF(COUNT(INDEX('02_INPUT_ECON_BASES'!$H$7:$H$106,MATCH($B$4,'02_INPUT_ECON_BASES'!$A$7:$A$106,0)))=0,"",INDEX('02_INPUT_ECON_BASES'!$H$7:$H$106,MATCH($B$4,'02_INPUT_ECON_BASES'!$A$7:$A$106,0))),"")+IFERROR(IF(COUNT(INDEX('02_INPUT_ECON_BASES'!$H$7:$H$106,MATCH($B$5,'02_INPUT_ECON_BASES'!$A$7:$A$106,0)))=0,"",INDEX('02_INPUT_ECON_BASES'!$H$7:$H$106,MATCH($B$5,'02_INPUT_ECON_BASES'!$A$7:$A$106,0))),""))/2)</x:f>
        <x:v>99000000000</x:v>
      </x:c>
      <x:c r="P10" s="62" t="n">
        <x:f>IF(LEFT(I10,9)&lt;&gt;"AVAILABLE","",1*((SUMIFS('90_CALC_FEATURES'!$E$7:$E$1006,'90_CALC_FEATURES'!$B$7:$B$1006,$B$4,'90_CALC_FEATURES'!$D$7:$D$1006,'92_REF_VARIABLES'!$A$9))*IFERROR(IF(COUNT(INDEX('02_INPUT_ECON_BASES'!$F$7:$F$106,MATCH($B$4,'02_INPUT_ECON_BASES'!$A$7:$A$106,0)))=0,"",INDEX('02_INPUT_ECON_BASES'!$F$7:$F$106,MATCH($B$4,'02_INPUT_ECON_BASES'!$A$7:$A$106,0))),"")-(SUMIFS('90_CALC_FEATURES'!$E$7:$E$1006,'90_CALC_FEATURES'!$B$7:$B$1006,$B$5,'90_CALC_FEATURES'!$D$7:$D$1006,'92_REF_VARIABLES'!$A$9))*IFERROR(IF(COUNT(INDEX('02_INPUT_ECON_BASES'!$F$7:$F$106,MATCH($B$5,'02_INPUT_ECON_BASES'!$A$7:$A$106,0)))=0,"",INDEX('02_INPUT_ECON_BASES'!$F$7:$F$106,MATCH($B$5,'02_INPUT_ECON_BASES'!$A$7:$A$106,0))),"")))</x:f>
        <x:v>29700000000</x:v>
      </x:c>
      <x:c r="Q10" s="62" t="n">
        <x:f>IF(LEFT(I10,9)&lt;&gt;"AVAILABLE","",1*((SUMIFS('90_CALC_FEATURES'!$E$7:$E$1006,'90_CALC_FEATURES'!$B$7:$B$1006,$B$4,'90_CALC_FEATURES'!$D$7:$D$1006,'92_REF_VARIABLES'!$A$9))*IFERROR(IF(COUNT(INDEX('02_INPUT_ECON_BASES'!$G$7:$G$106,MATCH($B$4,'02_INPUT_ECON_BASES'!$A$7:$A$106,0)))=0,"",INDEX('02_INPUT_ECON_BASES'!$G$7:$G$106,MATCH($B$4,'02_INPUT_ECON_BASES'!$A$7:$A$106,0))),"")-(SUMIFS('90_CALC_FEATURES'!$E$7:$E$1006,'90_CALC_FEATURES'!$B$7:$B$1006,$B$5,'90_CALC_FEATURES'!$D$7:$D$1006,'92_REF_VARIABLES'!$A$9))*IFERROR(IF(COUNT(INDEX('02_INPUT_ECON_BASES'!$G$7:$G$106,MATCH($B$5,'02_INPUT_ECON_BASES'!$A$7:$A$106,0)))=0,"",INDEX('02_INPUT_ECON_BASES'!$G$7:$G$106,MATCH($B$5,'02_INPUT_ECON_BASES'!$A$7:$A$106,0))),"")))</x:f>
        <x:v>33000000000</x:v>
      </x:c>
      <x:c r="R10" s="62" t="n">
        <x:f>IF(LEFT(I10,9)&lt;&gt;"AVAILABLE","",1*((SUMIFS('90_CALC_FEATURES'!$E$7:$E$1006,'90_CALC_FEATURES'!$B$7:$B$1006,$B$4,'90_CALC_FEATURES'!$D$7:$D$1006,'92_REF_VARIABLES'!$A$9))*IFERROR(IF(COUNT(INDEX('02_INPUT_ECON_BASES'!$H$7:$H$106,MATCH($B$4,'02_INPUT_ECON_BASES'!$A$7:$A$106,0)))=0,"",INDEX('02_INPUT_ECON_BASES'!$H$7:$H$106,MATCH($B$4,'02_INPUT_ECON_BASES'!$A$7:$A$106,0))),"")-(SUMIFS('90_CALC_FEATURES'!$E$7:$E$1006,'90_CALC_FEATURES'!$B$7:$B$1006,$B$5,'90_CALC_FEATURES'!$D$7:$D$1006,'92_REF_VARIABLES'!$A$9))*IFERROR(IF(COUNT(INDEX('02_INPUT_ECON_BASES'!$H$7:$H$106,MATCH($B$5,'02_INPUT_ECON_BASES'!$A$7:$A$106,0)))=0,"",INDEX('02_INPUT_ECON_BASES'!$H$7:$H$106,MATCH($B$5,'02_INPUT_ECON_BASES'!$A$7:$A$106,0))),"")))</x:f>
        <x:v>36299999999.99997</x:v>
      </x:c>
      <x:c r="S10" s="63" t="str">
        <x:f>IF('03_COMPARE_2'!$A$14&lt;&gt;"비교 가능","비교 불가",IF(ABS(B10)&lt;=0.000000000001,"선택된 ΔCPII 기여점 0: 원단위 맥락만 제공 | ","")&amp;'92_REF_VARIABLES'!$P$9&amp;"")</x:f>
        <x:v>매출 기준의 네트워크 비용 차이 상당액</x:v>
      </x:c>
    </x:row>
    <x:row r="11" ht="15" hidden="0" customHeight="1">
      <x:c r="A11" s="63" t="str">
        <x:f>'92_REF_VARIABLES'!$B$10</x:f>
        <x:v>세전이익 기반 회수 대리값</x:v>
      </x:c>
      <x:c r="B11" s="64" t="n">
        <x:f>'03_COMPARE_2'!$H$20</x:f>
        <x:v>1.5957446808510631</x:v>
      </x:c>
      <x:c r="C11" s="63" t="str">
        <x:f>'92_REF_VARIABLES'!$K$10</x:f>
        <x:v>conditional_performance_equivalent</x:v>
      </x:c>
      <x:c r="D11" s="63" t="str">
        <x:f>'92_REF_VARIABLES'!$N$10</x:f>
        <x:v>recovery</x:v>
      </x:c>
      <x:c r="E11" s="63" t="str">
        <x:f>'92_REF_VARIABLES'!$M$10</x:f>
        <x:v>content_investment</x:v>
      </x:c>
      <x:c r="F11" s="61" t="n">
        <x:f>IF('03_COMPARE_2'!$A$14&lt;&gt;"비교 가능","",(SUMIFS('90_CALC_FEATURES'!$E$7:$E$1006,'90_CALC_FEATURES'!$B$7:$B$1006,$B$4,'90_CALC_FEATURES'!$D$7:$D$1006,'92_REF_VARIABLES'!$A$10))-(SUMIFS('90_CALC_FEATURES'!$E$7:$E$1006,'90_CALC_FEATURES'!$B$7:$B$1006,$B$5,'90_CALC_FEATURES'!$D$7:$D$1006,'92_REF_VARIABLES'!$A$10)))</x:f>
        <x:v>-0.31</x:v>
      </x:c>
      <x:c r="G11" s="61" t="n">
        <x:f>IF(COUNT(F11)=0,"",-1*F11)</x:f>
        <x:v>0.31</x:v>
      </x:c>
      <x:c r="H11" s="17" t="str">
        <x:f>IFERROR(IF(INDEX('02_INPUT_ECON_BASES'!$B$7:$B$106,MATCH($B$4,'02_INPUT_ECON_BASES'!$A$7:$A$106,0))="","",INDEX('02_INPUT_ECON_BASES'!$B$7:$B$106,MATCH($B$4,'02_INPUT_ECON_BASES'!$A$7:$A$106,0))),"")</x:f>
        <x:v>KRW</x:v>
      </x:c>
      <x:c r="I11" s="63" t="str">
        <x:f>IF('03_COMPARE_2'!$A$14&lt;&gt;"비교 가능","PAIR NOT COMPARABLE",IF(OR(COUNTIF('02_INPUT_ECON_BASES'!$A$7:$A$106,$B$4)=0,COUNTIF('02_INPUT_ECON_BASES'!$A$7:$A$106,$B$5)=0),"MISSING EXPOSURE",IF(OR(COUNTIF('02_INPUT_ECON_BASES'!$A$7:$A$106,$B$4)&lt;&gt;1,COUNTIF('02_INPUT_ECON_BASES'!$A$7:$A$106,$B$5)&lt;&gt;1),"DUPLICATE EXPOSURE ID",IF(OR($H$4&lt;&gt;"READY",$H$5&lt;&gt;"READY"),"EXPOSURE INPUT ERROR",IF($D$4&lt;&gt;$D$5,"CURRENCY/YEAR MISMATCH",IF($F$4&lt;&gt;$F$5,"TIME BASIS MISMATCH",IF(OR(COUNT(IFERROR(IF(COUNT(INDEX('02_INPUT_ECON_BASES'!$O$7:$O$106,MATCH($B$4,'02_INPUT_ECON_BASES'!$A$7:$A$106,0)))=0,"",INDEX('02_INPUT_ECON_BASES'!$O$7:$O$106,MATCH($B$4,'02_INPUT_ECON_BASES'!$A$7:$A$106,0))),""))=0,COUNT(IFERROR(IF(COUNT(INDEX('02_INPUT_ECON_BASES'!$O$7:$O$106,MATCH($B$5,'02_INPUT_ECON_BASES'!$A$7:$A$106,0)))=0,"",INDEX('02_INPUT_ECON_BASES'!$O$7:$O$106,MATCH($B$5,'02_INPUT_ECON_BASES'!$A$7:$A$106,0))),""))=0,COUNT(IFERROR(IF(COUNT(INDEX('02_INPUT_ECON_BASES'!$P$7:$P$106,MATCH($B$4,'02_INPUT_ECON_BASES'!$A$7:$A$106,0)))=0,"",INDEX('02_INPUT_ECON_BASES'!$P$7:$P$106,MATCH($B$4,'02_INPUT_ECON_BASES'!$A$7:$A$106,0))),""))=0,COUNT(IFERROR(IF(COUNT(INDEX('02_INPUT_ECON_BASES'!$P$7:$P$106,MATCH($B$5,'02_INPUT_ECON_BASES'!$A$7:$A$106,0)))=0,"",INDEX('02_INPUT_ECON_BASES'!$P$7:$P$106,MATCH($B$5,'02_INPUT_ECON_BASES'!$A$7:$A$106,0))),""))=0,COUNT(IFERROR(IF(COUNT(INDEX('02_INPUT_ECON_BASES'!$Q$7:$Q$106,MATCH($B$4,'02_INPUT_ECON_BASES'!$A$7:$A$106,0)))=0,"",INDEX('02_INPUT_ECON_BASES'!$Q$7:$Q$106,MATCH($B$4,'02_INPUT_ECON_BASES'!$A$7:$A$106,0))),""))=0,COUNT(IFERROR(IF(COUNT(INDEX('02_INPUT_ECON_BASES'!$Q$7:$Q$106,MATCH($B$5,'02_INPUT_ECON_BASES'!$A$7:$A$106,0)))=0,"",INDEX('02_INPUT_ECON_BASES'!$Q$7:$Q$106,MATCH($B$5,'02_INPUT_ECON_BASES'!$A$7:$A$106,0))),""))=0),"MISSING EXPOSURE",IF(FALSE,"MISSING ASSUMPTION",IF(ABS(B11)&lt;=0.000000000001,"AVAILABLE - CONTEXT ONLY","AVAILABLE - DO NOT SUM")))))))))</x:f>
        <x:v>AVAILABLE - DO NOT SUM</x:v>
      </x:c>
      <x:c r="J11" s="62" t="n">
        <x:f>IF(LEFT(I11,9)&lt;&gt;"AVAILABLE","",(IFERROR(IF(COUNT(INDEX('02_INPUT_ECON_BASES'!$O$7:$O$106,MATCH($B$4,'02_INPUT_ECON_BASES'!$A$7:$A$106,0)))=0,"",INDEX('02_INPUT_ECON_BASES'!$O$7:$O$106,MATCH($B$4,'02_INPUT_ECON_BASES'!$A$7:$A$106,0))),"")+IFERROR(IF(COUNT(INDEX('02_INPUT_ECON_BASES'!$O$7:$O$106,MATCH($B$5,'02_INPUT_ECON_BASES'!$A$7:$A$106,0)))=0,"",INDEX('02_INPUT_ECON_BASES'!$O$7:$O$106,MATCH($B$5,'02_INPUT_ECON_BASES'!$A$7:$A$106,0))),""))/2)</x:f>
        <x:v>180000000000</x:v>
      </x:c>
      <x:c r="K11" s="62" t="n">
        <x:f>IF(LEFT(I11,9)&lt;&gt;"AVAILABLE","",(IFERROR(IF(COUNT(INDEX('02_INPUT_ECON_BASES'!$P$7:$P$106,MATCH($B$4,'02_INPUT_ECON_BASES'!$A$7:$A$106,0)))=0,"",INDEX('02_INPUT_ECON_BASES'!$P$7:$P$106,MATCH($B$4,'02_INPUT_ECON_BASES'!$A$7:$A$106,0))),"")+IFERROR(IF(COUNT(INDEX('02_INPUT_ECON_BASES'!$P$7:$P$106,MATCH($B$5,'02_INPUT_ECON_BASES'!$A$7:$A$106,0)))=0,"",INDEX('02_INPUT_ECON_BASES'!$P$7:$P$106,MATCH($B$5,'02_INPUT_ECON_BASES'!$A$7:$A$106,0))),""))/2)</x:f>
        <x:v>200000000000</x:v>
      </x:c>
      <x:c r="L11" s="62" t="n">
        <x:f>IF(LEFT(I11,9)&lt;&gt;"AVAILABLE","",(IFERROR(IF(COUNT(INDEX('02_INPUT_ECON_BASES'!$Q$7:$Q$106,MATCH($B$4,'02_INPUT_ECON_BASES'!$A$7:$A$106,0)))=0,"",INDEX('02_INPUT_ECON_BASES'!$Q$7:$Q$106,MATCH($B$4,'02_INPUT_ECON_BASES'!$A$7:$A$106,0))),"")+IFERROR(IF(COUNT(INDEX('02_INPUT_ECON_BASES'!$Q$7:$Q$106,MATCH($B$5,'02_INPUT_ECON_BASES'!$A$7:$A$106,0)))=0,"",INDEX('02_INPUT_ECON_BASES'!$Q$7:$Q$106,MATCH($B$5,'02_INPUT_ECON_BASES'!$A$7:$A$106,0))),""))/2)</x:f>
        <x:v>220000000000.00003</x:v>
      </x:c>
      <x:c r="M11" s="62" t="n">
        <x:f>IF(LEFT(I11,9)&lt;&gt;"AVAILABLE","",G11*(IFERROR(IF(COUNT(INDEX('02_INPUT_ECON_BASES'!$O$7:$O$106,MATCH($B$4,'02_INPUT_ECON_BASES'!$A$7:$A$106,0)))=0,"",INDEX('02_INPUT_ECON_BASES'!$O$7:$O$106,MATCH($B$4,'02_INPUT_ECON_BASES'!$A$7:$A$106,0))),"")+IFERROR(IF(COUNT(INDEX('02_INPUT_ECON_BASES'!$O$7:$O$106,MATCH($B$5,'02_INPUT_ECON_BASES'!$A$7:$A$106,0)))=0,"",INDEX('02_INPUT_ECON_BASES'!$O$7:$O$106,MATCH($B$5,'02_INPUT_ECON_BASES'!$A$7:$A$106,0))),""))/2)</x:f>
        <x:v>55800000000</x:v>
      </x:c>
      <x:c r="N11" s="62" t="n">
        <x:f>IF(LEFT(I11,9)&lt;&gt;"AVAILABLE","",G11*(IFERROR(IF(COUNT(INDEX('02_INPUT_ECON_BASES'!$P$7:$P$106,MATCH($B$4,'02_INPUT_ECON_BASES'!$A$7:$A$106,0)))=0,"",INDEX('02_INPUT_ECON_BASES'!$P$7:$P$106,MATCH($B$4,'02_INPUT_ECON_BASES'!$A$7:$A$106,0))),"")+IFERROR(IF(COUNT(INDEX('02_INPUT_ECON_BASES'!$P$7:$P$106,MATCH($B$5,'02_INPUT_ECON_BASES'!$A$7:$A$106,0)))=0,"",INDEX('02_INPUT_ECON_BASES'!$P$7:$P$106,MATCH($B$5,'02_INPUT_ECON_BASES'!$A$7:$A$106,0))),""))/2)</x:f>
        <x:v>62000000000</x:v>
      </x:c>
      <x:c r="O11" s="62" t="n">
        <x:f>IF(LEFT(I11,9)&lt;&gt;"AVAILABLE","",G11*(IFERROR(IF(COUNT(INDEX('02_INPUT_ECON_BASES'!$Q$7:$Q$106,MATCH($B$4,'02_INPUT_ECON_BASES'!$A$7:$A$106,0)))=0,"",INDEX('02_INPUT_ECON_BASES'!$Q$7:$Q$106,MATCH($B$4,'02_INPUT_ECON_BASES'!$A$7:$A$106,0))),"")+IFERROR(IF(COUNT(INDEX('02_INPUT_ECON_BASES'!$Q$7:$Q$106,MATCH($B$5,'02_INPUT_ECON_BASES'!$A$7:$A$106,0)))=0,"",INDEX('02_INPUT_ECON_BASES'!$Q$7:$Q$106,MATCH($B$5,'02_INPUT_ECON_BASES'!$A$7:$A$106,0))),""))/2)</x:f>
        <x:v>68200000000.00001</x:v>
      </x:c>
      <x:c r="P11" s="62" t="n">
        <x:f>IF(LEFT(I11,9)&lt;&gt;"AVAILABLE","",-1*((SUMIFS('90_CALC_FEATURES'!$E$7:$E$1006,'90_CALC_FEATURES'!$B$7:$B$1006,$B$4,'90_CALC_FEATURES'!$D$7:$D$1006,'92_REF_VARIABLES'!$A$10))*IFERROR(IF(COUNT(INDEX('02_INPUT_ECON_BASES'!$O$7:$O$106,MATCH($B$4,'02_INPUT_ECON_BASES'!$A$7:$A$106,0)))=0,"",INDEX('02_INPUT_ECON_BASES'!$O$7:$O$106,MATCH($B$4,'02_INPUT_ECON_BASES'!$A$7:$A$106,0))),"")-(SUMIFS('90_CALC_FEATURES'!$E$7:$E$1006,'90_CALC_FEATURES'!$B$7:$B$1006,$B$5,'90_CALC_FEATURES'!$D$7:$D$1006,'92_REF_VARIABLES'!$A$10))*IFERROR(IF(COUNT(INDEX('02_INPUT_ECON_BASES'!$O$7:$O$106,MATCH($B$5,'02_INPUT_ECON_BASES'!$A$7:$A$106,0)))=0,"",INDEX('02_INPUT_ECON_BASES'!$O$7:$O$106,MATCH($B$5,'02_INPUT_ECON_BASES'!$A$7:$A$106,0))),"")))</x:f>
        <x:v>35100000000</x:v>
      </x:c>
      <x:c r="Q11" s="62" t="n">
        <x:f>IF(LEFT(I11,9)&lt;&gt;"AVAILABLE","",-1*((SUMIFS('90_CALC_FEATURES'!$E$7:$E$1006,'90_CALC_FEATURES'!$B$7:$B$1006,$B$4,'90_CALC_FEATURES'!$D$7:$D$1006,'92_REF_VARIABLES'!$A$10))*IFERROR(IF(COUNT(INDEX('02_INPUT_ECON_BASES'!$P$7:$P$106,MATCH($B$4,'02_INPUT_ECON_BASES'!$A$7:$A$106,0)))=0,"",INDEX('02_INPUT_ECON_BASES'!$P$7:$P$106,MATCH($B$4,'02_INPUT_ECON_BASES'!$A$7:$A$106,0))),"")-(SUMIFS('90_CALC_FEATURES'!$E$7:$E$1006,'90_CALC_FEATURES'!$B$7:$B$1006,$B$5,'90_CALC_FEATURES'!$D$7:$D$1006,'92_REF_VARIABLES'!$A$10))*IFERROR(IF(COUNT(INDEX('02_INPUT_ECON_BASES'!$P$7:$P$106,MATCH($B$5,'02_INPUT_ECON_BASES'!$A$7:$A$106,0)))=0,"",INDEX('02_INPUT_ECON_BASES'!$P$7:$P$106,MATCH($B$5,'02_INPUT_ECON_BASES'!$A$7:$A$106,0))),"")))</x:f>
        <x:v>39000000000</x:v>
      </x:c>
      <x:c r="R11" s="62" t="n">
        <x:f>IF(LEFT(I11,9)&lt;&gt;"AVAILABLE","",-1*((SUMIFS('90_CALC_FEATURES'!$E$7:$E$1006,'90_CALC_FEATURES'!$B$7:$B$1006,$B$4,'90_CALC_FEATURES'!$D$7:$D$1006,'92_REF_VARIABLES'!$A$10))*IFERROR(IF(COUNT(INDEX('02_INPUT_ECON_BASES'!$Q$7:$Q$106,MATCH($B$4,'02_INPUT_ECON_BASES'!$A$7:$A$106,0)))=0,"",INDEX('02_INPUT_ECON_BASES'!$Q$7:$Q$106,MATCH($B$4,'02_INPUT_ECON_BASES'!$A$7:$A$106,0))),"")-(SUMIFS('90_CALC_FEATURES'!$E$7:$E$1006,'90_CALC_FEATURES'!$B$7:$B$1006,$B$5,'90_CALC_FEATURES'!$D$7:$D$1006,'92_REF_VARIABLES'!$A$10))*IFERROR(IF(COUNT(INDEX('02_INPUT_ECON_BASES'!$Q$7:$Q$106,MATCH($B$5,'02_INPUT_ECON_BASES'!$A$7:$A$106,0)))=0,"",INDEX('02_INPUT_ECON_BASES'!$Q$7:$Q$106,MATCH($B$5,'02_INPUT_ECON_BASES'!$A$7:$A$106,0))),"")))</x:f>
        <x:v>42900000000.000015</x:v>
      </x:c>
      <x:c r="S11" s="63" t="str">
        <x:f>IF('03_COMPARE_2'!$A$14&lt;&gt;"비교 가능","비교 불가",IF(ABS(B11)&lt;=0.000000000001,"선택된 ΔCPII 기여점 0: 원단위 맥락만 제공 | ","")&amp;'92_REF_VARIABLES'!$P$10&amp;"")</x:f>
        <x:v>콘텐츠투자액 기준 세전이익 회수 차이 상당액</x:v>
      </x:c>
    </x:row>
    <x:row r="12" ht="15" hidden="0" customHeight="1">
      <x:c r="A12" s="63" t="str">
        <x:f>'92_REF_VARIABLES'!$B$11</x:f>
        <x:v>자금조달비용 스프레드</x:v>
      </x:c>
      <x:c r="B12" s="64" t="n">
        <x:f>'03_COMPARE_2'!$H$21</x:f>
        <x:v>1.1695906432748535</x:v>
      </x:c>
      <x:c r="C12" s="63" t="str">
        <x:f>'92_REF_VARIABLES'!$K$11</x:f>
        <x:v>conditional_accounting_equivalent</x:v>
      </x:c>
      <x:c r="D12" s="63" t="str">
        <x:f>'92_REF_VARIABLES'!$N$11</x:f>
        <x:v>financing_ip</x:v>
      </x:c>
      <x:c r="E12" s="63" t="str">
        <x:f>'92_REF_VARIABLES'!$M$11</x:f>
        <x:v>average_interest_bearing_debt</x:v>
      </x:c>
      <x:c r="F12" s="61" t="n">
        <x:f>IF('03_COMPARE_2'!$A$14&lt;&gt;"비교 가능","",(SUMIFS('90_CALC_FEATURES'!$E$7:$E$1006,'90_CALC_FEATURES'!$B$7:$B$1006,$B$4,'90_CALC_FEATURES'!$D$7:$D$1006,'92_REF_VARIABLES'!$A$11))-(SUMIFS('90_CALC_FEATURES'!$E$7:$E$1006,'90_CALC_FEATURES'!$B$7:$B$1006,$B$5,'90_CALC_FEATURES'!$D$7:$D$1006,'92_REF_VARIABLES'!$A$11)))</x:f>
        <x:v>0.008</x:v>
      </x:c>
      <x:c r="G12" s="61" t="n">
        <x:f>IF(COUNT(F12)=0,"",1*F12)</x:f>
        <x:v>0.008</x:v>
      </x:c>
      <x:c r="H12" s="17" t="str">
        <x:f>IFERROR(IF(INDEX('02_INPUT_ECON_BASES'!$B$7:$B$106,MATCH($B$4,'02_INPUT_ECON_BASES'!$A$7:$A$106,0))="","",INDEX('02_INPUT_ECON_BASES'!$B$7:$B$106,MATCH($B$4,'02_INPUT_ECON_BASES'!$A$7:$A$106,0))),"")</x:f>
        <x:v>KRW</x:v>
      </x:c>
      <x:c r="I12" s="63" t="str">
        <x:f>IF('03_COMPARE_2'!$A$14&lt;&gt;"비교 가능","PAIR NOT COMPARABLE",IF(OR(COUNTIF('02_INPUT_ECON_BASES'!$A$7:$A$106,$B$4)=0,COUNTIF('02_INPUT_ECON_BASES'!$A$7:$A$106,$B$5)=0),"MISSING EXPOSURE",IF(OR(COUNTIF('02_INPUT_ECON_BASES'!$A$7:$A$106,$B$4)&lt;&gt;1,COUNTIF('02_INPUT_ECON_BASES'!$A$7:$A$106,$B$5)&lt;&gt;1),"DUPLICATE EXPOSURE ID",IF(OR($H$4&lt;&gt;"READY",$H$5&lt;&gt;"READY"),"EXPOSURE INPUT ERROR",IF($D$4&lt;&gt;$D$5,"CURRENCY/YEAR MISMATCH",IF($F$4&lt;&gt;$F$5,"TIME BASIS MISMATCH",IF(OR(COUNT(IFERROR(IF(COUNT(INDEX('02_INPUT_ECON_BASES'!$L$7:$L$106,MATCH($B$4,'02_INPUT_ECON_BASES'!$A$7:$A$106,0)))=0,"",INDEX('02_INPUT_ECON_BASES'!$L$7:$L$106,MATCH($B$4,'02_INPUT_ECON_BASES'!$A$7:$A$106,0))),""))=0,COUNT(IFERROR(IF(COUNT(INDEX('02_INPUT_ECON_BASES'!$L$7:$L$106,MATCH($B$5,'02_INPUT_ECON_BASES'!$A$7:$A$106,0)))=0,"",INDEX('02_INPUT_ECON_BASES'!$L$7:$L$106,MATCH($B$5,'02_INPUT_ECON_BASES'!$A$7:$A$106,0))),""))=0,COUNT(IFERROR(IF(COUNT(INDEX('02_INPUT_ECON_BASES'!$M$7:$M$106,MATCH($B$4,'02_INPUT_ECON_BASES'!$A$7:$A$106,0)))=0,"",INDEX('02_INPUT_ECON_BASES'!$M$7:$M$106,MATCH($B$4,'02_INPUT_ECON_BASES'!$A$7:$A$106,0))),""))=0,COUNT(IFERROR(IF(COUNT(INDEX('02_INPUT_ECON_BASES'!$M$7:$M$106,MATCH($B$5,'02_INPUT_ECON_BASES'!$A$7:$A$106,0)))=0,"",INDEX('02_INPUT_ECON_BASES'!$M$7:$M$106,MATCH($B$5,'02_INPUT_ECON_BASES'!$A$7:$A$106,0))),""))=0,COUNT(IFERROR(IF(COUNT(INDEX('02_INPUT_ECON_BASES'!$N$7:$N$106,MATCH($B$4,'02_INPUT_ECON_BASES'!$A$7:$A$106,0)))=0,"",INDEX('02_INPUT_ECON_BASES'!$N$7:$N$106,MATCH($B$4,'02_INPUT_ECON_BASES'!$A$7:$A$106,0))),""))=0,COUNT(IFERROR(IF(COUNT(INDEX('02_INPUT_ECON_BASES'!$N$7:$N$106,MATCH($B$5,'02_INPUT_ECON_BASES'!$A$7:$A$106,0)))=0,"",INDEX('02_INPUT_ECON_BASES'!$N$7:$N$106,MATCH($B$5,'02_INPUT_ECON_BASES'!$A$7:$A$106,0))),""))=0),"MISSING EXPOSURE",IF(FALSE,"MISSING ASSUMPTION",IF(ABS(B12)&lt;=0.000000000001,"AVAILABLE - CONTEXT ONLY","AVAILABLE - DO NOT SUM")))))))))</x:f>
        <x:v>AVAILABLE - DO NOT SUM</x:v>
      </x:c>
      <x:c r="J12" s="62" t="n">
        <x:f>IF(LEFT(I12,9)&lt;&gt;"AVAILABLE","",(IFERROR(IF(COUNT(INDEX('02_INPUT_ECON_BASES'!$L$7:$L$106,MATCH($B$4,'02_INPUT_ECON_BASES'!$A$7:$A$106,0)))=0,"",INDEX('02_INPUT_ECON_BASES'!$L$7:$L$106,MATCH($B$4,'02_INPUT_ECON_BASES'!$A$7:$A$106,0))),"")+IFERROR(IF(COUNT(INDEX('02_INPUT_ECON_BASES'!$L$7:$L$106,MATCH($B$5,'02_INPUT_ECON_BASES'!$A$7:$A$106,0)))=0,"",INDEX('02_INPUT_ECON_BASES'!$L$7:$L$106,MATCH($B$5,'02_INPUT_ECON_BASES'!$A$7:$A$106,0))),""))/2)</x:f>
        <x:v>234000000000</x:v>
      </x:c>
      <x:c r="K12" s="62" t="n">
        <x:f>IF(LEFT(I12,9)&lt;&gt;"AVAILABLE","",(IFERROR(IF(COUNT(INDEX('02_INPUT_ECON_BASES'!$M$7:$M$106,MATCH($B$4,'02_INPUT_ECON_BASES'!$A$7:$A$106,0)))=0,"",INDEX('02_INPUT_ECON_BASES'!$M$7:$M$106,MATCH($B$4,'02_INPUT_ECON_BASES'!$A$7:$A$106,0))),"")+IFERROR(IF(COUNT(INDEX('02_INPUT_ECON_BASES'!$M$7:$M$106,MATCH($B$5,'02_INPUT_ECON_BASES'!$A$7:$A$106,0)))=0,"",INDEX('02_INPUT_ECON_BASES'!$M$7:$M$106,MATCH($B$5,'02_INPUT_ECON_BASES'!$A$7:$A$106,0))),""))/2)</x:f>
        <x:v>260000000000</x:v>
      </x:c>
      <x:c r="L12" s="62" t="n">
        <x:f>IF(LEFT(I12,9)&lt;&gt;"AVAILABLE","",(IFERROR(IF(COUNT(INDEX('02_INPUT_ECON_BASES'!$N$7:$N$106,MATCH($B$4,'02_INPUT_ECON_BASES'!$A$7:$A$106,0)))=0,"",INDEX('02_INPUT_ECON_BASES'!$N$7:$N$106,MATCH($B$4,'02_INPUT_ECON_BASES'!$A$7:$A$106,0))),"")+IFERROR(IF(COUNT(INDEX('02_INPUT_ECON_BASES'!$N$7:$N$106,MATCH($B$5,'02_INPUT_ECON_BASES'!$A$7:$A$106,0)))=0,"",INDEX('02_INPUT_ECON_BASES'!$N$7:$N$106,MATCH($B$5,'02_INPUT_ECON_BASES'!$A$7:$A$106,0))),""))/2)</x:f>
        <x:v>286000000000</x:v>
      </x:c>
      <x:c r="M12" s="62" t="n">
        <x:f>IF(LEFT(I12,9)&lt;&gt;"AVAILABLE","",G12*(IFERROR(IF(COUNT(INDEX('02_INPUT_ECON_BASES'!$L$7:$L$106,MATCH($B$4,'02_INPUT_ECON_BASES'!$A$7:$A$106,0)))=0,"",INDEX('02_INPUT_ECON_BASES'!$L$7:$L$106,MATCH($B$4,'02_INPUT_ECON_BASES'!$A$7:$A$106,0))),"")+IFERROR(IF(COUNT(INDEX('02_INPUT_ECON_BASES'!$L$7:$L$106,MATCH($B$5,'02_INPUT_ECON_BASES'!$A$7:$A$106,0)))=0,"",INDEX('02_INPUT_ECON_BASES'!$L$7:$L$106,MATCH($B$5,'02_INPUT_ECON_BASES'!$A$7:$A$106,0))),""))/2*(IFERROR(IF(COUNT(INDEX('02_INPUT_ECON_BASES'!$E$7:$E$106,MATCH($B$4,'02_INPUT_ECON_BASES'!$A$7:$A$106,0)))=0,"",INDEX('02_INPUT_ECON_BASES'!$E$7:$E$106,MATCH($B$4,'02_INPUT_ECON_BASES'!$A$7:$A$106,0))),"")+IFERROR(IF(COUNT(INDEX('02_INPUT_ECON_BASES'!$E$7:$E$106,MATCH($B$5,'02_INPUT_ECON_BASES'!$A$7:$A$106,0)))=0,"",INDEX('02_INPUT_ECON_BASES'!$E$7:$E$106,MATCH($B$5,'02_INPUT_ECON_BASES'!$A$7:$A$106,0))),""))/2)</x:f>
        <x:v>1872000000</x:v>
      </x:c>
      <x:c r="N12" s="62" t="n">
        <x:f>IF(LEFT(I12,9)&lt;&gt;"AVAILABLE","",G12*(IFERROR(IF(COUNT(INDEX('02_INPUT_ECON_BASES'!$M$7:$M$106,MATCH($B$4,'02_INPUT_ECON_BASES'!$A$7:$A$106,0)))=0,"",INDEX('02_INPUT_ECON_BASES'!$M$7:$M$106,MATCH($B$4,'02_INPUT_ECON_BASES'!$A$7:$A$106,0))),"")+IFERROR(IF(COUNT(INDEX('02_INPUT_ECON_BASES'!$M$7:$M$106,MATCH($B$5,'02_INPUT_ECON_BASES'!$A$7:$A$106,0)))=0,"",INDEX('02_INPUT_ECON_BASES'!$M$7:$M$106,MATCH($B$5,'02_INPUT_ECON_BASES'!$A$7:$A$106,0))),""))/2*(IFERROR(IF(COUNT(INDEX('02_INPUT_ECON_BASES'!$E$7:$E$106,MATCH($B$4,'02_INPUT_ECON_BASES'!$A$7:$A$106,0)))=0,"",INDEX('02_INPUT_ECON_BASES'!$E$7:$E$106,MATCH($B$4,'02_INPUT_ECON_BASES'!$A$7:$A$106,0))),"")+IFERROR(IF(COUNT(INDEX('02_INPUT_ECON_BASES'!$E$7:$E$106,MATCH($B$5,'02_INPUT_ECON_BASES'!$A$7:$A$106,0)))=0,"",INDEX('02_INPUT_ECON_BASES'!$E$7:$E$106,MATCH($B$5,'02_INPUT_ECON_BASES'!$A$7:$A$106,0))),""))/2)</x:f>
        <x:v>2080000000</x:v>
      </x:c>
      <x:c r="O12" s="62" t="n">
        <x:f>IF(LEFT(I12,9)&lt;&gt;"AVAILABLE","",G12*(IFERROR(IF(COUNT(INDEX('02_INPUT_ECON_BASES'!$N$7:$N$106,MATCH($B$4,'02_INPUT_ECON_BASES'!$A$7:$A$106,0)))=0,"",INDEX('02_INPUT_ECON_BASES'!$N$7:$N$106,MATCH($B$4,'02_INPUT_ECON_BASES'!$A$7:$A$106,0))),"")+IFERROR(IF(COUNT(INDEX('02_INPUT_ECON_BASES'!$N$7:$N$106,MATCH($B$5,'02_INPUT_ECON_BASES'!$A$7:$A$106,0)))=0,"",INDEX('02_INPUT_ECON_BASES'!$N$7:$N$106,MATCH($B$5,'02_INPUT_ECON_BASES'!$A$7:$A$106,0))),""))/2*(IFERROR(IF(COUNT(INDEX('02_INPUT_ECON_BASES'!$E$7:$E$106,MATCH($B$4,'02_INPUT_ECON_BASES'!$A$7:$A$106,0)))=0,"",INDEX('02_INPUT_ECON_BASES'!$E$7:$E$106,MATCH($B$4,'02_INPUT_ECON_BASES'!$A$7:$A$106,0))),"")+IFERROR(IF(COUNT(INDEX('02_INPUT_ECON_BASES'!$E$7:$E$106,MATCH($B$5,'02_INPUT_ECON_BASES'!$A$7:$A$106,0)))=0,"",INDEX('02_INPUT_ECON_BASES'!$E$7:$E$106,MATCH($B$5,'02_INPUT_ECON_BASES'!$A$7:$A$106,0))),""))/2)</x:f>
        <x:v>2288000000</x:v>
      </x:c>
      <x:c r="P12" s="62" t="n">
        <x:f>IF(LEFT(I12,9)&lt;&gt;"AVAILABLE","",1*((SUMIFS('90_CALC_FEATURES'!$E$7:$E$1006,'90_CALC_FEATURES'!$B$7:$B$1006,$B$4,'90_CALC_FEATURES'!$D$7:$D$1006,'92_REF_VARIABLES'!$A$11))*IFERROR(IF(COUNT(INDEX('02_INPUT_ECON_BASES'!$L$7:$L$106,MATCH($B$4,'02_INPUT_ECON_BASES'!$A$7:$A$106,0)))=0,"",INDEX('02_INPUT_ECON_BASES'!$L$7:$L$106,MATCH($B$4,'02_INPUT_ECON_BASES'!$A$7:$A$106,0))),"")*IFERROR(IF(COUNT(INDEX('02_INPUT_ECON_BASES'!$E$7:$E$106,MATCH($B$4,'02_INPUT_ECON_BASES'!$A$7:$A$106,0)))=0,"",INDEX('02_INPUT_ECON_BASES'!$E$7:$E$106,MATCH($B$4,'02_INPUT_ECON_BASES'!$A$7:$A$106,0))),"")-(SUMIFS('90_CALC_FEATURES'!$E$7:$E$1006,'90_CALC_FEATURES'!$B$7:$B$1006,$B$5,'90_CALC_FEATURES'!$D$7:$D$1006,'92_REF_VARIABLES'!$A$11))*IFERROR(IF(COUNT(INDEX('02_INPUT_ECON_BASES'!$L$7:$L$106,MATCH($B$5,'02_INPUT_ECON_BASES'!$A$7:$A$106,0)))=0,"",INDEX('02_INPUT_ECON_BASES'!$L$7:$L$106,MATCH($B$5,'02_INPUT_ECON_BASES'!$A$7:$A$106,0))),"")*IFERROR(IF(COUNT(INDEX('02_INPUT_ECON_BASES'!$E$7:$E$106,MATCH($B$5,'02_INPUT_ECON_BASES'!$A$7:$A$106,0)))=0,"",INDEX('02_INPUT_ECON_BASES'!$E$7:$E$106,MATCH($B$5,'02_INPUT_ECON_BASES'!$A$7:$A$106,0))),"")))</x:f>
        <x:v>2448000000</x:v>
      </x:c>
      <x:c r="Q12" s="62" t="n">
        <x:f>IF(LEFT(I12,9)&lt;&gt;"AVAILABLE","",1*((SUMIFS('90_CALC_FEATURES'!$E$7:$E$1006,'90_CALC_FEATURES'!$B$7:$B$1006,$B$4,'90_CALC_FEATURES'!$D$7:$D$1006,'92_REF_VARIABLES'!$A$11))*IFERROR(IF(COUNT(INDEX('02_INPUT_ECON_BASES'!$M$7:$M$106,MATCH($B$4,'02_INPUT_ECON_BASES'!$A$7:$A$106,0)))=0,"",INDEX('02_INPUT_ECON_BASES'!$M$7:$M$106,MATCH($B$4,'02_INPUT_ECON_BASES'!$A$7:$A$106,0))),"")*IFERROR(IF(COUNT(INDEX('02_INPUT_ECON_BASES'!$E$7:$E$106,MATCH($B$4,'02_INPUT_ECON_BASES'!$A$7:$A$106,0)))=0,"",INDEX('02_INPUT_ECON_BASES'!$E$7:$E$106,MATCH($B$4,'02_INPUT_ECON_BASES'!$A$7:$A$106,0))),"")-(SUMIFS('90_CALC_FEATURES'!$E$7:$E$1006,'90_CALC_FEATURES'!$B$7:$B$1006,$B$5,'90_CALC_FEATURES'!$D$7:$D$1006,'92_REF_VARIABLES'!$A$11))*IFERROR(IF(COUNT(INDEX('02_INPUT_ECON_BASES'!$M$7:$M$106,MATCH($B$5,'02_INPUT_ECON_BASES'!$A$7:$A$106,0)))=0,"",INDEX('02_INPUT_ECON_BASES'!$M$7:$M$106,MATCH($B$5,'02_INPUT_ECON_BASES'!$A$7:$A$106,0))),"")*IFERROR(IF(COUNT(INDEX('02_INPUT_ECON_BASES'!$E$7:$E$106,MATCH($B$5,'02_INPUT_ECON_BASES'!$A$7:$A$106,0)))=0,"",INDEX('02_INPUT_ECON_BASES'!$E$7:$E$106,MATCH($B$5,'02_INPUT_ECON_BASES'!$A$7:$A$106,0))),"")))</x:f>
        <x:v>2720000000</x:v>
      </x:c>
      <x:c r="R12" s="62" t="n">
        <x:f>IF(LEFT(I12,9)&lt;&gt;"AVAILABLE","",1*((SUMIFS('90_CALC_FEATURES'!$E$7:$E$1006,'90_CALC_FEATURES'!$B$7:$B$1006,$B$4,'90_CALC_FEATURES'!$D$7:$D$1006,'92_REF_VARIABLES'!$A$11))*IFERROR(IF(COUNT(INDEX('02_INPUT_ECON_BASES'!$N$7:$N$106,MATCH($B$4,'02_INPUT_ECON_BASES'!$A$7:$A$106,0)))=0,"",INDEX('02_INPUT_ECON_BASES'!$N$7:$N$106,MATCH($B$4,'02_INPUT_ECON_BASES'!$A$7:$A$106,0))),"")*IFERROR(IF(COUNT(INDEX('02_INPUT_ECON_BASES'!$E$7:$E$106,MATCH($B$4,'02_INPUT_ECON_BASES'!$A$7:$A$106,0)))=0,"",INDEX('02_INPUT_ECON_BASES'!$E$7:$E$106,MATCH($B$4,'02_INPUT_ECON_BASES'!$A$7:$A$106,0))),"")-(SUMIFS('90_CALC_FEATURES'!$E$7:$E$1006,'90_CALC_FEATURES'!$B$7:$B$1006,$B$5,'90_CALC_FEATURES'!$D$7:$D$1006,'92_REF_VARIABLES'!$A$11))*IFERROR(IF(COUNT(INDEX('02_INPUT_ECON_BASES'!$N$7:$N$106,MATCH($B$5,'02_INPUT_ECON_BASES'!$A$7:$A$106,0)))=0,"",INDEX('02_INPUT_ECON_BASES'!$N$7:$N$106,MATCH($B$5,'02_INPUT_ECON_BASES'!$A$7:$A$106,0))),"")*IFERROR(IF(COUNT(INDEX('02_INPUT_ECON_BASES'!$E$7:$E$106,MATCH($B$5,'02_INPUT_ECON_BASES'!$A$7:$A$106,0)))=0,"",INDEX('02_INPUT_ECON_BASES'!$E$7:$E$106,MATCH($B$5,'02_INPUT_ECON_BASES'!$A$7:$A$106,0))),"")))</x:f>
        <x:v>2992000000</x:v>
      </x:c>
      <x:c r="S12" s="63" t="str">
        <x:f>IF('03_COMPARE_2'!$A$14&lt;&gt;"비교 가능","비교 불가",IF(ABS(B12)&lt;=0.000000000001,"선택된 ΔCPII 기여점 0: 원단위 맥락만 제공 | ","")&amp;'92_REF_VARIABLES'!$P$11&amp;" | 동일 기간·연환산계수 필요")</x:f>
        <x:v>평균 이자부부채와 기간을 반영한 조달비용 상당액 | 동일 기간·연환산계수 필요</x:v>
      </x:c>
    </x:row>
    <x:row r="13" ht="15" hidden="0" customHeight="1">
      <x:c r="A13" s="63" t="str">
        <x:f>'92_REF_VARIABLES'!$B$12</x:f>
        <x:v>투자 회수율</x:v>
      </x:c>
      <x:c r="B13" s="64" t="n">
        <x:f>'03_COMPARE_2'!$H$22</x:f>
        <x:v>0</x:v>
      </x:c>
      <x:c r="C13" s="63" t="str">
        <x:f>'92_REF_VARIABLES'!$K$12</x:f>
        <x:v>conditional_performance_equivalent</x:v>
      </x:c>
      <x:c r="D13" s="63" t="str">
        <x:f>'92_REF_VARIABLES'!$N$12</x:f>
        <x:v>recovery</x:v>
      </x:c>
      <x:c r="E13" s="63" t="str">
        <x:f>'92_REF_VARIABLES'!$M$12</x:f>
        <x:v>content_investment</x:v>
      </x:c>
      <x:c r="F13" s="61" t="n">
        <x:f>IF('03_COMPARE_2'!$A$14&lt;&gt;"비교 가능","",(SUMIFS('90_CALC_FEATURES'!$E$7:$E$1006,'90_CALC_FEATURES'!$B$7:$B$1006,$B$4,'90_CALC_FEATURES'!$D$7:$D$1006,'92_REF_VARIABLES'!$A$12))-(SUMIFS('90_CALC_FEATURES'!$E$7:$E$1006,'90_CALC_FEATURES'!$B$7:$B$1006,$B$5,'90_CALC_FEATURES'!$D$7:$D$1006,'92_REF_VARIABLES'!$A$12)))</x:f>
        <x:v>-0.8999999999999995</x:v>
      </x:c>
      <x:c r="G13" s="61" t="n">
        <x:f>IF(COUNT(F13)=0,"",-1*F13)</x:f>
        <x:v>0.8999999999999995</x:v>
      </x:c>
      <x:c r="H13" s="17" t="str">
        <x:f>IFERROR(IF(INDEX('02_INPUT_ECON_BASES'!$B$7:$B$106,MATCH($B$4,'02_INPUT_ECON_BASES'!$A$7:$A$106,0))="","",INDEX('02_INPUT_ECON_BASES'!$B$7:$B$106,MATCH($B$4,'02_INPUT_ECON_BASES'!$A$7:$A$106,0))),"")</x:f>
        <x:v>KRW</x:v>
      </x:c>
      <x:c r="I13" s="63" t="str">
        <x:f>IF('03_COMPARE_2'!$A$14&lt;&gt;"비교 가능","PAIR NOT COMPARABLE",IF(OR(COUNTIF('02_INPUT_ECON_BASES'!$A$7:$A$106,$B$4)=0,COUNTIF('02_INPUT_ECON_BASES'!$A$7:$A$106,$B$5)=0),"MISSING EXPOSURE",IF(OR(COUNTIF('02_INPUT_ECON_BASES'!$A$7:$A$106,$B$4)&lt;&gt;1,COUNTIF('02_INPUT_ECON_BASES'!$A$7:$A$106,$B$5)&lt;&gt;1),"DUPLICATE EXPOSURE ID",IF(OR($H$4&lt;&gt;"READY",$H$5&lt;&gt;"READY"),"EXPOSURE INPUT ERROR",IF($D$4&lt;&gt;$D$5,"CURRENCY/YEAR MISMATCH",IF($F$4&lt;&gt;$F$5,"TIME BASIS MISMATCH",IF(OR(COUNT(IFERROR(IF(COUNT(INDEX('02_INPUT_ECON_BASES'!$O$7:$O$106,MATCH($B$4,'02_INPUT_ECON_BASES'!$A$7:$A$106,0)))=0,"",INDEX('02_INPUT_ECON_BASES'!$O$7:$O$106,MATCH($B$4,'02_INPUT_ECON_BASES'!$A$7:$A$106,0))),""))=0,COUNT(IFERROR(IF(COUNT(INDEX('02_INPUT_ECON_BASES'!$O$7:$O$106,MATCH($B$5,'02_INPUT_ECON_BASES'!$A$7:$A$106,0)))=0,"",INDEX('02_INPUT_ECON_BASES'!$O$7:$O$106,MATCH($B$5,'02_INPUT_ECON_BASES'!$A$7:$A$106,0))),""))=0,COUNT(IFERROR(IF(COUNT(INDEX('02_INPUT_ECON_BASES'!$P$7:$P$106,MATCH($B$4,'02_INPUT_ECON_BASES'!$A$7:$A$106,0)))=0,"",INDEX('02_INPUT_ECON_BASES'!$P$7:$P$106,MATCH($B$4,'02_INPUT_ECON_BASES'!$A$7:$A$106,0))),""))=0,COUNT(IFERROR(IF(COUNT(INDEX('02_INPUT_ECON_BASES'!$P$7:$P$106,MATCH($B$5,'02_INPUT_ECON_BASES'!$A$7:$A$106,0)))=0,"",INDEX('02_INPUT_ECON_BASES'!$P$7:$P$106,MATCH($B$5,'02_INPUT_ECON_BASES'!$A$7:$A$106,0))),""))=0,COUNT(IFERROR(IF(COUNT(INDEX('02_INPUT_ECON_BASES'!$Q$7:$Q$106,MATCH($B$4,'02_INPUT_ECON_BASES'!$A$7:$A$106,0)))=0,"",INDEX('02_INPUT_ECON_BASES'!$Q$7:$Q$106,MATCH($B$4,'02_INPUT_ECON_BASES'!$A$7:$A$106,0))),""))=0,COUNT(IFERROR(IF(COUNT(INDEX('02_INPUT_ECON_BASES'!$Q$7:$Q$106,MATCH($B$5,'02_INPUT_ECON_BASES'!$A$7:$A$106,0)))=0,"",INDEX('02_INPUT_ECON_BASES'!$Q$7:$Q$106,MATCH($B$5,'02_INPUT_ECON_BASES'!$A$7:$A$106,0))),""))=0),"MISSING EXPOSURE",IF(FALSE,"MISSING ASSUMPTION",IF(ABS(B13)&lt;=0.000000000001,"AVAILABLE - CONTEXT ONLY","AVAILABLE - DO NOT SUM")))))))))</x:f>
        <x:v>AVAILABLE - CONTEXT ONLY</x:v>
      </x:c>
      <x:c r="J13" s="62" t="n">
        <x:f>IF(LEFT(I13,9)&lt;&gt;"AVAILABLE","",(IFERROR(IF(COUNT(INDEX('02_INPUT_ECON_BASES'!$O$7:$O$106,MATCH($B$4,'02_INPUT_ECON_BASES'!$A$7:$A$106,0)))=0,"",INDEX('02_INPUT_ECON_BASES'!$O$7:$O$106,MATCH($B$4,'02_INPUT_ECON_BASES'!$A$7:$A$106,0))),"")+IFERROR(IF(COUNT(INDEX('02_INPUT_ECON_BASES'!$O$7:$O$106,MATCH($B$5,'02_INPUT_ECON_BASES'!$A$7:$A$106,0)))=0,"",INDEX('02_INPUT_ECON_BASES'!$O$7:$O$106,MATCH($B$5,'02_INPUT_ECON_BASES'!$A$7:$A$106,0))),""))/2)</x:f>
        <x:v>180000000000</x:v>
      </x:c>
      <x:c r="K13" s="62" t="n">
        <x:f>IF(LEFT(I13,9)&lt;&gt;"AVAILABLE","",(IFERROR(IF(COUNT(INDEX('02_INPUT_ECON_BASES'!$P$7:$P$106,MATCH($B$4,'02_INPUT_ECON_BASES'!$A$7:$A$106,0)))=0,"",INDEX('02_INPUT_ECON_BASES'!$P$7:$P$106,MATCH($B$4,'02_INPUT_ECON_BASES'!$A$7:$A$106,0))),"")+IFERROR(IF(COUNT(INDEX('02_INPUT_ECON_BASES'!$P$7:$P$106,MATCH($B$5,'02_INPUT_ECON_BASES'!$A$7:$A$106,0)))=0,"",INDEX('02_INPUT_ECON_BASES'!$P$7:$P$106,MATCH($B$5,'02_INPUT_ECON_BASES'!$A$7:$A$106,0))),""))/2)</x:f>
        <x:v>200000000000</x:v>
      </x:c>
      <x:c r="L13" s="62" t="n">
        <x:f>IF(LEFT(I13,9)&lt;&gt;"AVAILABLE","",(IFERROR(IF(COUNT(INDEX('02_INPUT_ECON_BASES'!$Q$7:$Q$106,MATCH($B$4,'02_INPUT_ECON_BASES'!$A$7:$A$106,0)))=0,"",INDEX('02_INPUT_ECON_BASES'!$Q$7:$Q$106,MATCH($B$4,'02_INPUT_ECON_BASES'!$A$7:$A$106,0))),"")+IFERROR(IF(COUNT(INDEX('02_INPUT_ECON_BASES'!$Q$7:$Q$106,MATCH($B$5,'02_INPUT_ECON_BASES'!$A$7:$A$106,0)))=0,"",INDEX('02_INPUT_ECON_BASES'!$Q$7:$Q$106,MATCH($B$5,'02_INPUT_ECON_BASES'!$A$7:$A$106,0))),""))/2)</x:f>
        <x:v>220000000000.00003</x:v>
      </x:c>
      <x:c r="M13" s="62" t="n">
        <x:f>IF(LEFT(I13,9)&lt;&gt;"AVAILABLE","",G13*(IFERROR(IF(COUNT(INDEX('02_INPUT_ECON_BASES'!$O$7:$O$106,MATCH($B$4,'02_INPUT_ECON_BASES'!$A$7:$A$106,0)))=0,"",INDEX('02_INPUT_ECON_BASES'!$O$7:$O$106,MATCH($B$4,'02_INPUT_ECON_BASES'!$A$7:$A$106,0))),"")+IFERROR(IF(COUNT(INDEX('02_INPUT_ECON_BASES'!$O$7:$O$106,MATCH($B$5,'02_INPUT_ECON_BASES'!$A$7:$A$106,0)))=0,"",INDEX('02_INPUT_ECON_BASES'!$O$7:$O$106,MATCH($B$5,'02_INPUT_ECON_BASES'!$A$7:$A$106,0))),""))/2)</x:f>
        <x:v>161999999999.9999</x:v>
      </x:c>
      <x:c r="N13" s="62" t="n">
        <x:f>IF(LEFT(I13,9)&lt;&gt;"AVAILABLE","",G13*(IFERROR(IF(COUNT(INDEX('02_INPUT_ECON_BASES'!$P$7:$P$106,MATCH($B$4,'02_INPUT_ECON_BASES'!$A$7:$A$106,0)))=0,"",INDEX('02_INPUT_ECON_BASES'!$P$7:$P$106,MATCH($B$4,'02_INPUT_ECON_BASES'!$A$7:$A$106,0))),"")+IFERROR(IF(COUNT(INDEX('02_INPUT_ECON_BASES'!$P$7:$P$106,MATCH($B$5,'02_INPUT_ECON_BASES'!$A$7:$A$106,0)))=0,"",INDEX('02_INPUT_ECON_BASES'!$P$7:$P$106,MATCH($B$5,'02_INPUT_ECON_BASES'!$A$7:$A$106,0))),""))/2)</x:f>
        <x:v>179999999999.9999</x:v>
      </x:c>
      <x:c r="O13" s="62" t="n">
        <x:f>IF(LEFT(I13,9)&lt;&gt;"AVAILABLE","",G13*(IFERROR(IF(COUNT(INDEX('02_INPUT_ECON_BASES'!$Q$7:$Q$106,MATCH($B$4,'02_INPUT_ECON_BASES'!$A$7:$A$106,0)))=0,"",INDEX('02_INPUT_ECON_BASES'!$Q$7:$Q$106,MATCH($B$4,'02_INPUT_ECON_BASES'!$A$7:$A$106,0))),"")+IFERROR(IF(COUNT(INDEX('02_INPUT_ECON_BASES'!$Q$7:$Q$106,MATCH($B$5,'02_INPUT_ECON_BASES'!$A$7:$A$106,0)))=0,"",INDEX('02_INPUT_ECON_BASES'!$Q$7:$Q$106,MATCH($B$5,'02_INPUT_ECON_BASES'!$A$7:$A$106,0))),""))/2)</x:f>
        <x:v>197999999999.9999</x:v>
      </x:c>
      <x:c r="P13" s="62" t="n">
        <x:f>IF(LEFT(I13,9)&lt;&gt;"AVAILABLE","",-1*((SUMIFS('90_CALC_FEATURES'!$E$7:$E$1006,'90_CALC_FEATURES'!$B$7:$B$1006,$B$4,'90_CALC_FEATURES'!$D$7:$D$1006,'92_REF_VARIABLES'!$A$12))*IFERROR(IF(COUNT(INDEX('02_INPUT_ECON_BASES'!$O$7:$O$106,MATCH($B$4,'02_INPUT_ECON_BASES'!$A$7:$A$106,0)))=0,"",INDEX('02_INPUT_ECON_BASES'!$O$7:$O$106,MATCH($B$4,'02_INPUT_ECON_BASES'!$A$7:$A$106,0))),"")-(SUMIFS('90_CALC_FEATURES'!$E$7:$E$1006,'90_CALC_FEATURES'!$B$7:$B$1006,$B$5,'90_CALC_FEATURES'!$D$7:$D$1006,'92_REF_VARIABLES'!$A$12))*IFERROR(IF(COUNT(INDEX('02_INPUT_ECON_BASES'!$O$7:$O$106,MATCH($B$5,'02_INPUT_ECON_BASES'!$A$7:$A$106,0)))=0,"",INDEX('02_INPUT_ECON_BASES'!$O$7:$O$106,MATCH($B$5,'02_INPUT_ECON_BASES'!$A$7:$A$106,0))),"")))</x:f>
        <x:v>30600000000</x:v>
      </x:c>
      <x:c r="Q13" s="62" t="n">
        <x:f>IF(LEFT(I13,9)&lt;&gt;"AVAILABLE","",-1*((SUMIFS('90_CALC_FEATURES'!$E$7:$E$1006,'90_CALC_FEATURES'!$B$7:$B$1006,$B$4,'90_CALC_FEATURES'!$D$7:$D$1006,'92_REF_VARIABLES'!$A$12))*IFERROR(IF(COUNT(INDEX('02_INPUT_ECON_BASES'!$P$7:$P$106,MATCH($B$4,'02_INPUT_ECON_BASES'!$A$7:$A$106,0)))=0,"",INDEX('02_INPUT_ECON_BASES'!$P$7:$P$106,MATCH($B$4,'02_INPUT_ECON_BASES'!$A$7:$A$106,0))),"")-(SUMIFS('90_CALC_FEATURES'!$E$7:$E$1006,'90_CALC_FEATURES'!$B$7:$B$1006,$B$5,'90_CALC_FEATURES'!$D$7:$D$1006,'92_REF_VARIABLES'!$A$12))*IFERROR(IF(COUNT(INDEX('02_INPUT_ECON_BASES'!$P$7:$P$106,MATCH($B$5,'02_INPUT_ECON_BASES'!$A$7:$A$106,0)))=0,"",INDEX('02_INPUT_ECON_BASES'!$P$7:$P$106,MATCH($B$5,'02_INPUT_ECON_BASES'!$A$7:$A$106,0))),"")))</x:f>
        <x:v>33999999999.999878</x:v>
      </x:c>
      <x:c r="R13" s="62" t="n">
        <x:f>IF(LEFT(I13,9)&lt;&gt;"AVAILABLE","",-1*((SUMIFS('90_CALC_FEATURES'!$E$7:$E$1006,'90_CALC_FEATURES'!$B$7:$B$1006,$B$4,'90_CALC_FEATURES'!$D$7:$D$1006,'92_REF_VARIABLES'!$A$12))*IFERROR(IF(COUNT(INDEX('02_INPUT_ECON_BASES'!$Q$7:$Q$106,MATCH($B$4,'02_INPUT_ECON_BASES'!$A$7:$A$106,0)))=0,"",INDEX('02_INPUT_ECON_BASES'!$Q$7:$Q$106,MATCH($B$4,'02_INPUT_ECON_BASES'!$A$7:$A$106,0))),"")-(SUMIFS('90_CALC_FEATURES'!$E$7:$E$1006,'90_CALC_FEATURES'!$B$7:$B$1006,$B$5,'90_CALC_FEATURES'!$D$7:$D$1006,'92_REF_VARIABLES'!$A$12))*IFERROR(IF(COUNT(INDEX('02_INPUT_ECON_BASES'!$Q$7:$Q$106,MATCH($B$5,'02_INPUT_ECON_BASES'!$A$7:$A$106,0)))=0,"",INDEX('02_INPUT_ECON_BASES'!$Q$7:$Q$106,MATCH($B$5,'02_INPUT_ECON_BASES'!$A$7:$A$106,0))),"")))</x:f>
        <x:v>37399999999.99988</x:v>
      </x:c>
      <x:c r="S13" s="63" t="str">
        <x:f>IF('03_COMPARE_2'!$A$14&lt;&gt;"비교 가능","비교 불가",IF(ABS(B13)&lt;=0.000000000001,"선택된 ΔCPII 기여점 0: 원단위 맥락만 제공 | ","")&amp;'92_REF_VARIABLES'!$P$12&amp;"")</x:f>
        <x:v>선택된 ΔCPII 기여점 0: 원단위 맥락만 제공 | 콘텐츠투자액 기준 매출 회수성 차이 상당액</x:v>
      </x:c>
    </x:row>
    <x:row r="14" ht="15" hidden="0" customHeight="1">
      <x:c r="A14" s="63" t="str">
        <x:f>'92_REF_VARIABLES'!$B$13</x:f>
        <x:v>IP 자산화 결손</x:v>
      </x:c>
      <x:c r="B14" s="64" t="n">
        <x:f>'03_COMPARE_2'!$H$23</x:f>
        <x:v>0</x:v>
      </x:c>
      <x:c r="C14" s="63" t="str">
        <x:f>'92_REF_VARIABLES'!$K$13</x:f>
        <x:v>scenario_only</x:v>
      </x:c>
      <x:c r="D14" s="63" t="str">
        <x:f>'92_REF_VARIABLES'!$N$13</x:f>
        <x:v>financing_ip</x:v>
      </x:c>
      <x:c r="E14" s="63" t="str">
        <x:f>'92_REF_VARIABLES'!$M$13</x:f>
        <x:v>revenue</x:v>
      </x:c>
      <x:c r="F14" s="61" t="n">
        <x:f>IF('03_COMPARE_2'!$A$14&lt;&gt;"비교 가능","",(SUMIFS('90_CALC_FEATURES'!$E$7:$E$1006,'90_CALC_FEATURES'!$B$7:$B$1006,$B$4,'90_CALC_FEATURES'!$D$7:$D$1006,'92_REF_VARIABLES'!$A$13))-(SUMIFS('90_CALC_FEATURES'!$E$7:$E$1006,'90_CALC_FEATURES'!$B$7:$B$1006,$B$5,'90_CALC_FEATURES'!$D$7:$D$1006,'92_REF_VARIABLES'!$A$13)))</x:f>
        <x:v>0.055</x:v>
      </x:c>
      <x:c r="G14" s="61" t="n">
        <x:f>IF(COUNT(F14)=0,"",1*F14)</x:f>
        <x:v>0.055</x:v>
      </x:c>
      <x:c r="H14" s="17" t="str">
        <x:f>IFERROR(IF(INDEX('02_INPUT_ECON_BASES'!$B$7:$B$106,MATCH($B$4,'02_INPUT_ECON_BASES'!$A$7:$A$106,0))="","",INDEX('02_INPUT_ECON_BASES'!$B$7:$B$106,MATCH($B$4,'02_INPUT_ECON_BASES'!$A$7:$A$106,0))),"")</x:f>
        <x:v>KRW</x:v>
      </x:c>
      <x:c r="I14" s="63" t="str">
        <x:f>IF('03_COMPARE_2'!$A$14&lt;&gt;"비교 가능","PAIR NOT COMPARABLE",IF(OR(COUNTIF('02_INPUT_ECON_BASES'!$A$7:$A$106,$B$4)=0,COUNTIF('02_INPUT_ECON_BASES'!$A$7:$A$106,$B$5)=0),"MISSING EXPOSURE",IF(OR(COUNTIF('02_INPUT_ECON_BASES'!$A$7:$A$106,$B$4)&lt;&gt;1,COUNTIF('02_INPUT_ECON_BASES'!$A$7:$A$106,$B$5)&lt;&gt;1),"DUPLICATE EXPOSURE ID",IF(OR($H$4&lt;&gt;"READY",$H$5&lt;&gt;"READY"),"EXPOSURE INPUT ERROR",IF($D$4&lt;&gt;$D$5,"CURRENCY/YEAR MISMATCH",IF($F$4&lt;&gt;$F$5,"TIME BASIS MISMATCH",IF(OR(COUNT(IFERROR(IF(COUNT(INDEX('02_INPUT_ECON_BASES'!$F$7:$F$106,MATCH($B$4,'02_INPUT_ECON_BASES'!$A$7:$A$106,0)))=0,"",INDEX('02_INPUT_ECON_BASES'!$F$7:$F$106,MATCH($B$4,'02_INPUT_ECON_BASES'!$A$7:$A$106,0))),""))=0,COUNT(IFERROR(IF(COUNT(INDEX('02_INPUT_ECON_BASES'!$F$7:$F$106,MATCH($B$5,'02_INPUT_ECON_BASES'!$A$7:$A$106,0)))=0,"",INDEX('02_INPUT_ECON_BASES'!$F$7:$F$106,MATCH($B$5,'02_INPUT_ECON_BASES'!$A$7:$A$106,0))),""))=0,COUNT(IFERROR(IF(COUNT(INDEX('02_INPUT_ECON_BASES'!$G$7:$G$106,MATCH($B$4,'02_INPUT_ECON_BASES'!$A$7:$A$106,0)))=0,"",INDEX('02_INPUT_ECON_BASES'!$G$7:$G$106,MATCH($B$4,'02_INPUT_ECON_BASES'!$A$7:$A$106,0))),""))=0,COUNT(IFERROR(IF(COUNT(INDEX('02_INPUT_ECON_BASES'!$G$7:$G$106,MATCH($B$5,'02_INPUT_ECON_BASES'!$A$7:$A$106,0)))=0,"",INDEX('02_INPUT_ECON_BASES'!$G$7:$G$106,MATCH($B$5,'02_INPUT_ECON_BASES'!$A$7:$A$106,0))),""))=0,COUNT(IFERROR(IF(COUNT(INDEX('02_INPUT_ECON_BASES'!$H$7:$H$106,MATCH($B$4,'02_INPUT_ECON_BASES'!$A$7:$A$106,0)))=0,"",INDEX('02_INPUT_ECON_BASES'!$H$7:$H$106,MATCH($B$4,'02_INPUT_ECON_BASES'!$A$7:$A$106,0))),""))=0,COUNT(IFERROR(IF(COUNT(INDEX('02_INPUT_ECON_BASES'!$H$7:$H$106,MATCH($B$5,'02_INPUT_ECON_BASES'!$A$7:$A$106,0)))=0,"",INDEX('02_INPUT_ECON_BASES'!$H$7:$H$106,MATCH($B$5,'02_INPUT_ECON_BASES'!$A$7:$A$106,0))),""))=0),"MISSING EXPOSURE",IF(FALSE,"MISSING ASSUMPTION",IF(ABS(B14)&lt;=0.000000000001,"AVAILABLE - CONTEXT ONLY","AVAILABLE - DO NOT SUM")))))))))</x:f>
        <x:v>AVAILABLE - CONTEXT ONLY</x:v>
      </x:c>
      <x:c r="J14" s="62" t="n">
        <x:f>IF(LEFT(I14,9)&lt;&gt;"AVAILABLE","",(IFERROR(IF(COUNT(INDEX('02_INPUT_ECON_BASES'!$F$7:$F$106,MATCH($B$4,'02_INPUT_ECON_BASES'!$A$7:$A$106,0)))=0,"",INDEX('02_INPUT_ECON_BASES'!$F$7:$F$106,MATCH($B$4,'02_INPUT_ECON_BASES'!$A$7:$A$106,0))),"")+IFERROR(IF(COUNT(INDEX('02_INPUT_ECON_BASES'!$F$7:$F$106,MATCH($B$5,'02_INPUT_ECON_BASES'!$A$7:$A$106,0)))=0,"",INDEX('02_INPUT_ECON_BASES'!$F$7:$F$106,MATCH($B$5,'02_INPUT_ECON_BASES'!$A$7:$A$106,0))),""))/2)</x:f>
        <x:v>1080000000000</x:v>
      </x:c>
      <x:c r="K14" s="62" t="n">
        <x:f>IF(LEFT(I14,9)&lt;&gt;"AVAILABLE","",(IFERROR(IF(COUNT(INDEX('02_INPUT_ECON_BASES'!$G$7:$G$106,MATCH($B$4,'02_INPUT_ECON_BASES'!$A$7:$A$106,0)))=0,"",INDEX('02_INPUT_ECON_BASES'!$G$7:$G$106,MATCH($B$4,'02_INPUT_ECON_BASES'!$A$7:$A$106,0))),"")+IFERROR(IF(COUNT(INDEX('02_INPUT_ECON_BASES'!$G$7:$G$106,MATCH($B$5,'02_INPUT_ECON_BASES'!$A$7:$A$106,0)))=0,"",INDEX('02_INPUT_ECON_BASES'!$G$7:$G$106,MATCH($B$5,'02_INPUT_ECON_BASES'!$A$7:$A$106,0))),""))/2)</x:f>
        <x:v>1200000000000</x:v>
      </x:c>
      <x:c r="L14" s="62" t="n">
        <x:f>IF(LEFT(I14,9)&lt;&gt;"AVAILABLE","",(IFERROR(IF(COUNT(INDEX('02_INPUT_ECON_BASES'!$H$7:$H$106,MATCH($B$4,'02_INPUT_ECON_BASES'!$A$7:$A$106,0)))=0,"",INDEX('02_INPUT_ECON_BASES'!$H$7:$H$106,MATCH($B$4,'02_INPUT_ECON_BASES'!$A$7:$A$106,0))),"")+IFERROR(IF(COUNT(INDEX('02_INPUT_ECON_BASES'!$H$7:$H$106,MATCH($B$5,'02_INPUT_ECON_BASES'!$A$7:$A$106,0)))=0,"",INDEX('02_INPUT_ECON_BASES'!$H$7:$H$106,MATCH($B$5,'02_INPUT_ECON_BASES'!$A$7:$A$106,0))),""))/2)</x:f>
        <x:v>1320000000000</x:v>
      </x:c>
      <x:c r="M14" s="62" t="n">
        <x:f>IF(LEFT(I14,9)&lt;&gt;"AVAILABLE","",G14*(IFERROR(IF(COUNT(INDEX('02_INPUT_ECON_BASES'!$F$7:$F$106,MATCH($B$4,'02_INPUT_ECON_BASES'!$A$7:$A$106,0)))=0,"",INDEX('02_INPUT_ECON_BASES'!$F$7:$F$106,MATCH($B$4,'02_INPUT_ECON_BASES'!$A$7:$A$106,0))),"")+IFERROR(IF(COUNT(INDEX('02_INPUT_ECON_BASES'!$F$7:$F$106,MATCH($B$5,'02_INPUT_ECON_BASES'!$A$7:$A$106,0)))=0,"",INDEX('02_INPUT_ECON_BASES'!$F$7:$F$106,MATCH($B$5,'02_INPUT_ECON_BASES'!$A$7:$A$106,0))),""))/2)</x:f>
        <x:v>59400000000</x:v>
      </x:c>
      <x:c r="N14" s="62" t="n">
        <x:f>IF(LEFT(I14,9)&lt;&gt;"AVAILABLE","",G14*(IFERROR(IF(COUNT(INDEX('02_INPUT_ECON_BASES'!$G$7:$G$106,MATCH($B$4,'02_INPUT_ECON_BASES'!$A$7:$A$106,0)))=0,"",INDEX('02_INPUT_ECON_BASES'!$G$7:$G$106,MATCH($B$4,'02_INPUT_ECON_BASES'!$A$7:$A$106,0))),"")+IFERROR(IF(COUNT(INDEX('02_INPUT_ECON_BASES'!$G$7:$G$106,MATCH($B$5,'02_INPUT_ECON_BASES'!$A$7:$A$106,0)))=0,"",INDEX('02_INPUT_ECON_BASES'!$G$7:$G$106,MATCH($B$5,'02_INPUT_ECON_BASES'!$A$7:$A$106,0))),""))/2)</x:f>
        <x:v>66000000000</x:v>
      </x:c>
      <x:c r="O14" s="62" t="n">
        <x:f>IF(LEFT(I14,9)&lt;&gt;"AVAILABLE","",G14*(IFERROR(IF(COUNT(INDEX('02_INPUT_ECON_BASES'!$H$7:$H$106,MATCH($B$4,'02_INPUT_ECON_BASES'!$A$7:$A$106,0)))=0,"",INDEX('02_INPUT_ECON_BASES'!$H$7:$H$106,MATCH($B$4,'02_INPUT_ECON_BASES'!$A$7:$A$106,0))),"")+IFERROR(IF(COUNT(INDEX('02_INPUT_ECON_BASES'!$H$7:$H$106,MATCH($B$5,'02_INPUT_ECON_BASES'!$A$7:$A$106,0)))=0,"",INDEX('02_INPUT_ECON_BASES'!$H$7:$H$106,MATCH($B$5,'02_INPUT_ECON_BASES'!$A$7:$A$106,0))),""))/2)</x:f>
        <x:v>72600000000</x:v>
      </x:c>
      <x:c r="P14" s="62" t="n">
        <x:f>IF(LEFT(I14,9)&lt;&gt;"AVAILABLE","",1*((SUMIFS('90_CALC_FEATURES'!$E$7:$E$1006,'90_CALC_FEATURES'!$B$7:$B$1006,$B$4,'90_CALC_FEATURES'!$D$7:$D$1006,'92_REF_VARIABLES'!$A$13))*IFERROR(IF(COUNT(INDEX('02_INPUT_ECON_BASES'!$F$7:$F$106,MATCH($B$4,'02_INPUT_ECON_BASES'!$A$7:$A$106,0)))=0,"",INDEX('02_INPUT_ECON_BASES'!$F$7:$F$106,MATCH($B$4,'02_INPUT_ECON_BASES'!$A$7:$A$106,0))),"")-(SUMIFS('90_CALC_FEATURES'!$E$7:$E$1006,'90_CALC_FEATURES'!$B$7:$B$1006,$B$5,'90_CALC_FEATURES'!$D$7:$D$1006,'92_REF_VARIABLES'!$A$13))*IFERROR(IF(COUNT(INDEX('02_INPUT_ECON_BASES'!$F$7:$F$106,MATCH($B$5,'02_INPUT_ECON_BASES'!$A$7:$A$106,0)))=0,"",INDEX('02_INPUT_ECON_BASES'!$F$7:$F$106,MATCH($B$5,'02_INPUT_ECON_BASES'!$A$7:$A$106,0))),"")))</x:f>
        <x:v>40500000000</x:v>
      </x:c>
      <x:c r="Q14" s="62" t="n">
        <x:f>IF(LEFT(I14,9)&lt;&gt;"AVAILABLE","",1*((SUMIFS('90_CALC_FEATURES'!$E$7:$E$1006,'90_CALC_FEATURES'!$B$7:$B$1006,$B$4,'90_CALC_FEATURES'!$D$7:$D$1006,'92_REF_VARIABLES'!$A$13))*IFERROR(IF(COUNT(INDEX('02_INPUT_ECON_BASES'!$G$7:$G$106,MATCH($B$4,'02_INPUT_ECON_BASES'!$A$7:$A$106,0)))=0,"",INDEX('02_INPUT_ECON_BASES'!$G$7:$G$106,MATCH($B$4,'02_INPUT_ECON_BASES'!$A$7:$A$106,0))),"")-(SUMIFS('90_CALC_FEATURES'!$E$7:$E$1006,'90_CALC_FEATURES'!$B$7:$B$1006,$B$5,'90_CALC_FEATURES'!$D$7:$D$1006,'92_REF_VARIABLES'!$A$13))*IFERROR(IF(COUNT(INDEX('02_INPUT_ECON_BASES'!$G$7:$G$106,MATCH($B$5,'02_INPUT_ECON_BASES'!$A$7:$A$106,0)))=0,"",INDEX('02_INPUT_ECON_BASES'!$G$7:$G$106,MATCH($B$5,'02_INPUT_ECON_BASES'!$A$7:$A$106,0))),"")))</x:f>
        <x:v>45000000000</x:v>
      </x:c>
      <x:c r="R14" s="62" t="n">
        <x:f>IF(LEFT(I14,9)&lt;&gt;"AVAILABLE","",1*((SUMIFS('90_CALC_FEATURES'!$E$7:$E$1006,'90_CALC_FEATURES'!$B$7:$B$1006,$B$4,'90_CALC_FEATURES'!$D$7:$D$1006,'92_REF_VARIABLES'!$A$13))*IFERROR(IF(COUNT(INDEX('02_INPUT_ECON_BASES'!$H$7:$H$106,MATCH($B$4,'02_INPUT_ECON_BASES'!$A$7:$A$106,0)))=0,"",INDEX('02_INPUT_ECON_BASES'!$H$7:$H$106,MATCH($B$4,'02_INPUT_ECON_BASES'!$A$7:$A$106,0))),"")-(SUMIFS('90_CALC_FEATURES'!$E$7:$E$1006,'90_CALC_FEATURES'!$B$7:$B$1006,$B$5,'90_CALC_FEATURES'!$D$7:$D$1006,'92_REF_VARIABLES'!$A$13))*IFERROR(IF(COUNT(INDEX('02_INPUT_ECON_BASES'!$H$7:$H$106,MATCH($B$5,'02_INPUT_ECON_BASES'!$A$7:$A$106,0)))=0,"",INDEX('02_INPUT_ECON_BASES'!$H$7:$H$106,MATCH($B$5,'02_INPUT_ECON_BASES'!$A$7:$A$106,0))),"")))</x:f>
        <x:v>49499999999.99999</x:v>
      </x:c>
      <x:c r="S14" s="63" t="str">
        <x:f>IF('03_COMPARE_2'!$A$14&lt;&gt;"비교 가능","비교 불가",IF(ABS(B14)&lt;=0.000000000001,"선택된 ΔCPII 기여점 0: 원단위 맥락만 제공 | ","")&amp;'92_REF_VARIABLES'!$P$13&amp;"")</x:f>
        <x:v>선택된 ΔCPII 기여점 0: 원단위 맥락만 제공 | 매출 기준 IP 자산화 결손 시나리오 금액</x:v>
      </x:c>
    </x:row>
    <x:row r="15" ht="26.399999618530273" hidden="0" customHeight="1">
      <x:c r="A15" s="63" t="str">
        <x:f>'92_REF_VARIABLES'!$B$14</x:f>
        <x:v>시장간 전이 대리지수</x:v>
      </x:c>
      <x:c r="B15" s="64" t="n">
        <x:f>'03_COMPARE_2'!$H$24</x:f>
        <x:v>0</x:v>
      </x:c>
      <x:c r="C15" s="63" t="str">
        <x:f>'92_REF_VARIABLES'!$K$14</x:f>
        <x:v>scenario_only</x:v>
      </x:c>
      <x:c r="D15" s="63" t="str">
        <x:f>'92_REF_VARIABLES'!$N$14</x:f>
        <x:v>market_transfer</x:v>
      </x:c>
      <x:c r="E15" s="63" t="str">
        <x:f>'92_REF_VARIABLES'!$M$14</x:f>
        <x:v>eligible_market_revenue</x:v>
      </x:c>
      <x:c r="F15" s="61" t="n">
        <x:f>IF('03_COMPARE_2'!$A$14&lt;&gt;"비교 가능","",(SUMIFS('90_CALC_FEATURES'!$E$7:$E$1006,'90_CALC_FEATURES'!$B$7:$B$1006,$B$4,'90_CALC_FEATURES'!$D$7:$D$1006,'92_REF_VARIABLES'!$A$14))-(SUMIFS('90_CALC_FEATURES'!$E$7:$E$1006,'90_CALC_FEATURES'!$B$7:$B$1006,$B$5,'90_CALC_FEATURES'!$D$7:$D$1006,'92_REF_VARIABLES'!$A$14)))</x:f>
        <x:v>0.12000000000000002</x:v>
      </x:c>
      <x:c r="G15" s="61" t="n">
        <x:f>IF(COUNT(F15)=0,"",1*F15)</x:f>
        <x:v>0.12000000000000002</x:v>
      </x:c>
      <x:c r="H15" s="17" t="str">
        <x:f>IFERROR(IF(INDEX('02_INPUT_ECON_BASES'!$B$7:$B$106,MATCH($B$4,'02_INPUT_ECON_BASES'!$A$7:$A$106,0))="","",INDEX('02_INPUT_ECON_BASES'!$B$7:$B$106,MATCH($B$4,'02_INPUT_ECON_BASES'!$A$7:$A$106,0))),"")</x:f>
        <x:v>KRW</x:v>
      </x:c>
      <x:c r="I15" s="63" t="str">
        <x:f>IF('03_COMPARE_2'!$A$14&lt;&gt;"비교 가능","PAIR NOT COMPARABLE",IF(OR(COUNTIF('02_INPUT_ECON_BASES'!$A$7:$A$106,$B$4)=0,COUNTIF('02_INPUT_ECON_BASES'!$A$7:$A$106,$B$5)=0),"MISSING EXPOSURE",IF(OR(COUNTIF('02_INPUT_ECON_BASES'!$A$7:$A$106,$B$4)&lt;&gt;1,COUNTIF('02_INPUT_ECON_BASES'!$A$7:$A$106,$B$5)&lt;&gt;1),"DUPLICATE EXPOSURE ID",IF(OR($H$4&lt;&gt;"READY",$H$5&lt;&gt;"READY"),"EXPOSURE INPUT ERROR",IF($D$4&lt;&gt;$D$5,"CURRENCY/YEAR MISMATCH",IF($F$4&lt;&gt;$F$5,"TIME BASIS MISMATCH",IF(OR(COUNT(IFERROR(IF(COUNT(INDEX('02_INPUT_ECON_BASES'!$R$7:$R$106,MATCH($B$4,'02_INPUT_ECON_BASES'!$A$7:$A$106,0)))=0,"",INDEX('02_INPUT_ECON_BASES'!$R$7:$R$106,MATCH($B$4,'02_INPUT_ECON_BASES'!$A$7:$A$106,0))),""))=0,COUNT(IFERROR(IF(COUNT(INDEX('02_INPUT_ECON_BASES'!$R$7:$R$106,MATCH($B$5,'02_INPUT_ECON_BASES'!$A$7:$A$106,0)))=0,"",INDEX('02_INPUT_ECON_BASES'!$R$7:$R$106,MATCH($B$5,'02_INPUT_ECON_BASES'!$A$7:$A$106,0))),""))=0,COUNT(IFERROR(IF(COUNT(INDEX('02_INPUT_ECON_BASES'!$S$7:$S$106,MATCH($B$4,'02_INPUT_ECON_BASES'!$A$7:$A$106,0)))=0,"",INDEX('02_INPUT_ECON_BASES'!$S$7:$S$106,MATCH($B$4,'02_INPUT_ECON_BASES'!$A$7:$A$106,0))),""))=0,COUNT(IFERROR(IF(COUNT(INDEX('02_INPUT_ECON_BASES'!$S$7:$S$106,MATCH($B$5,'02_INPUT_ECON_BASES'!$A$7:$A$106,0)))=0,"",INDEX('02_INPUT_ECON_BASES'!$S$7:$S$106,MATCH($B$5,'02_INPUT_ECON_BASES'!$A$7:$A$106,0))),""))=0,COUNT(IFERROR(IF(COUNT(INDEX('02_INPUT_ECON_BASES'!$T$7:$T$106,MATCH($B$4,'02_INPUT_ECON_BASES'!$A$7:$A$106,0)))=0,"",INDEX('02_INPUT_ECON_BASES'!$T$7:$T$106,MATCH($B$4,'02_INPUT_ECON_BASES'!$A$7:$A$106,0))),""))=0,COUNT(IFERROR(IF(COUNT(INDEX('02_INPUT_ECON_BASES'!$T$7:$T$106,MATCH($B$5,'02_INPUT_ECON_BASES'!$A$7:$A$106,0)))=0,"",INDEX('02_INPUT_ECON_BASES'!$T$7:$T$106,MATCH($B$5,'02_INPUT_ECON_BASES'!$A$7:$A$106,0))),""))=0),"MISSING EXPOSURE",IF(OR(COUNT(IFERROR(IF(COUNT(INDEX('02_INPUT_ECON_BASES'!$U$7:$U$106,MATCH($B$4,'02_INPUT_ECON_BASES'!$A$7:$A$106,0)))=0,"",INDEX('02_INPUT_ECON_BASES'!$U$7:$U$106,MATCH($B$4,'02_INPUT_ECON_BASES'!$A$7:$A$106,0))),""))=0,COUNT(IFERROR(IF(COUNT(INDEX('02_INPUT_ECON_BASES'!$U$7:$U$106,MATCH($B$5,'02_INPUT_ECON_BASES'!$A$7:$A$106,0)))=0,"",INDEX('02_INPUT_ECON_BASES'!$U$7:$U$106,MATCH($B$5,'02_INPUT_ECON_BASES'!$A$7:$A$106,0))),""))=0,COUNT(IFERROR(IF(COUNT(INDEX('02_INPUT_ECON_BASES'!$V$7:$V$106,MATCH($B$4,'02_INPUT_ECON_BASES'!$A$7:$A$106,0)))=0,"",INDEX('02_INPUT_ECON_BASES'!$V$7:$V$106,MATCH($B$4,'02_INPUT_ECON_BASES'!$A$7:$A$106,0))),""))=0,COUNT(IFERROR(IF(COUNT(INDEX('02_INPUT_ECON_BASES'!$V$7:$V$106,MATCH($B$5,'02_INPUT_ECON_BASES'!$A$7:$A$106,0)))=0,"",INDEX('02_INPUT_ECON_BASES'!$V$7:$V$106,MATCH($B$5,'02_INPUT_ECON_BASES'!$A$7:$A$106,0))),""))=0,COUNT(IFERROR(IF(COUNT(INDEX('02_INPUT_ECON_BASES'!$W$7:$W$106,MATCH($B$4,'02_INPUT_ECON_BASES'!$A$7:$A$106,0)))=0,"",INDEX('02_INPUT_ECON_BASES'!$W$7:$W$106,MATCH($B$4,'02_INPUT_ECON_BASES'!$A$7:$A$106,0))),""))=0,COUNT(IFERROR(IF(COUNT(INDEX('02_INPUT_ECON_BASES'!$W$7:$W$106,MATCH($B$5,'02_INPUT_ECON_BASES'!$A$7:$A$106,0)))=0,"",INDEX('02_INPUT_ECON_BASES'!$W$7:$W$106,MATCH($B$5,'02_INPUT_ECON_BASES'!$A$7:$A$106,0))),""))=0),"MISSING ASSUMPTION",IF(ABS(B15)&lt;=0.000000000001,"AVAILABLE - CONTEXT ONLY","AVAILABLE - DO NOT SUM")))))))))</x:f>
        <x:v>AVAILABLE - CONTEXT ONLY</x:v>
      </x:c>
      <x:c r="J15" s="62" t="n">
        <x:f>IF(LEFT(I15,9)&lt;&gt;"AVAILABLE","",(IFERROR(IF(COUNT(INDEX('02_INPUT_ECON_BASES'!$R$7:$R$106,MATCH($B$4,'02_INPUT_ECON_BASES'!$A$7:$A$106,0)))=0,"",INDEX('02_INPUT_ECON_BASES'!$R$7:$R$106,MATCH($B$4,'02_INPUT_ECON_BASES'!$A$7:$A$106,0))),"")+IFERROR(IF(COUNT(INDEX('02_INPUT_ECON_BASES'!$R$7:$R$106,MATCH($B$5,'02_INPUT_ECON_BASES'!$A$7:$A$106,0)))=0,"",INDEX('02_INPUT_ECON_BASES'!$R$7:$R$106,MATCH($B$5,'02_INPUT_ECON_BASES'!$A$7:$A$106,0))),""))/2)</x:f>
        <x:v>270000000000</x:v>
      </x:c>
      <x:c r="K15" s="62" t="n">
        <x:f>IF(LEFT(I15,9)&lt;&gt;"AVAILABLE","",(IFERROR(IF(COUNT(INDEX('02_INPUT_ECON_BASES'!$S$7:$S$106,MATCH($B$4,'02_INPUT_ECON_BASES'!$A$7:$A$106,0)))=0,"",INDEX('02_INPUT_ECON_BASES'!$S$7:$S$106,MATCH($B$4,'02_INPUT_ECON_BASES'!$A$7:$A$106,0))),"")+IFERROR(IF(COUNT(INDEX('02_INPUT_ECON_BASES'!$S$7:$S$106,MATCH($B$5,'02_INPUT_ECON_BASES'!$A$7:$A$106,0)))=0,"",INDEX('02_INPUT_ECON_BASES'!$S$7:$S$106,MATCH($B$5,'02_INPUT_ECON_BASES'!$A$7:$A$106,0))),""))/2)</x:f>
        <x:v>300000000000</x:v>
      </x:c>
      <x:c r="L15" s="62" t="n">
        <x:f>IF(LEFT(I15,9)&lt;&gt;"AVAILABLE","",(IFERROR(IF(COUNT(INDEX('02_INPUT_ECON_BASES'!$T$7:$T$106,MATCH($B$4,'02_INPUT_ECON_BASES'!$A$7:$A$106,0)))=0,"",INDEX('02_INPUT_ECON_BASES'!$T$7:$T$106,MATCH($B$4,'02_INPUT_ECON_BASES'!$A$7:$A$106,0))),"")+IFERROR(IF(COUNT(INDEX('02_INPUT_ECON_BASES'!$T$7:$T$106,MATCH($B$5,'02_INPUT_ECON_BASES'!$A$7:$A$106,0)))=0,"",INDEX('02_INPUT_ECON_BASES'!$T$7:$T$106,MATCH($B$5,'02_INPUT_ECON_BASES'!$A$7:$A$106,0))),""))/2)</x:f>
        <x:v>330000000000</x:v>
      </x:c>
      <x:c r="M15" s="62" t="n">
        <x:f>IF(LEFT(I15,9)&lt;&gt;"AVAILABLE","",G15*(IFERROR(IF(COUNT(INDEX('02_INPUT_ECON_BASES'!$R$7:$R$106,MATCH($B$4,'02_INPUT_ECON_BASES'!$A$7:$A$106,0)))=0,"",INDEX('02_INPUT_ECON_BASES'!$R$7:$R$106,MATCH($B$4,'02_INPUT_ECON_BASES'!$A$7:$A$106,0))),"")+IFERROR(IF(COUNT(INDEX('02_INPUT_ECON_BASES'!$R$7:$R$106,MATCH($B$5,'02_INPUT_ECON_BASES'!$A$7:$A$106,0)))=0,"",INDEX('02_INPUT_ECON_BASES'!$R$7:$R$106,MATCH($B$5,'02_INPUT_ECON_BASES'!$A$7:$A$106,0))),""))/2*(IFERROR(IF(COUNT(INDEX('02_INPUT_ECON_BASES'!$U$7:$U$106,MATCH($B$4,'02_INPUT_ECON_BASES'!$A$7:$A$106,0)))=0,"",INDEX('02_INPUT_ECON_BASES'!$U$7:$U$106,MATCH($B$4,'02_INPUT_ECON_BASES'!$A$7:$A$106,0))),"")+IFERROR(IF(COUNT(INDEX('02_INPUT_ECON_BASES'!$U$7:$U$106,MATCH($B$5,'02_INPUT_ECON_BASES'!$A$7:$A$106,0)))=0,"",INDEX('02_INPUT_ECON_BASES'!$U$7:$U$106,MATCH($B$5,'02_INPUT_ECON_BASES'!$A$7:$A$106,0))),""))/2)</x:f>
        <x:v>842400000.0000002</x:v>
      </x:c>
      <x:c r="N15" s="62" t="n">
        <x:f>IF(LEFT(I15,9)&lt;&gt;"AVAILABLE","",G15*(IFERROR(IF(COUNT(INDEX('02_INPUT_ECON_BASES'!$S$7:$S$106,MATCH($B$4,'02_INPUT_ECON_BASES'!$A$7:$A$106,0)))=0,"",INDEX('02_INPUT_ECON_BASES'!$S$7:$S$106,MATCH($B$4,'02_INPUT_ECON_BASES'!$A$7:$A$106,0))),"")+IFERROR(IF(COUNT(INDEX('02_INPUT_ECON_BASES'!$S$7:$S$106,MATCH($B$5,'02_INPUT_ECON_BASES'!$A$7:$A$106,0)))=0,"",INDEX('02_INPUT_ECON_BASES'!$S$7:$S$106,MATCH($B$5,'02_INPUT_ECON_BASES'!$A$7:$A$106,0))),""))/2*(IFERROR(IF(COUNT(INDEX('02_INPUT_ECON_BASES'!$V$7:$V$106,MATCH($B$4,'02_INPUT_ECON_BASES'!$A$7:$A$106,0)))=0,"",INDEX('02_INPUT_ECON_BASES'!$V$7:$V$106,MATCH($B$4,'02_INPUT_ECON_BASES'!$A$7:$A$106,0))),"")+IFERROR(IF(COUNT(INDEX('02_INPUT_ECON_BASES'!$V$7:$V$106,MATCH($B$5,'02_INPUT_ECON_BASES'!$A$7:$A$106,0)))=0,"",INDEX('02_INPUT_ECON_BASES'!$V$7:$V$106,MATCH($B$5,'02_INPUT_ECON_BASES'!$A$7:$A$106,0))),""))/2)</x:f>
        <x:v>1170000000.0000002</x:v>
      </x:c>
      <x:c r="O15" s="62" t="n">
        <x:f>IF(LEFT(I15,9)&lt;&gt;"AVAILABLE","",G15*(IFERROR(IF(COUNT(INDEX('02_INPUT_ECON_BASES'!$T$7:$T$106,MATCH($B$4,'02_INPUT_ECON_BASES'!$A$7:$A$106,0)))=0,"",INDEX('02_INPUT_ECON_BASES'!$T$7:$T$106,MATCH($B$4,'02_INPUT_ECON_BASES'!$A$7:$A$106,0))),"")+IFERROR(IF(COUNT(INDEX('02_INPUT_ECON_BASES'!$T$7:$T$106,MATCH($B$5,'02_INPUT_ECON_BASES'!$A$7:$A$106,0)))=0,"",INDEX('02_INPUT_ECON_BASES'!$T$7:$T$106,MATCH($B$5,'02_INPUT_ECON_BASES'!$A$7:$A$106,0))),""))/2*(IFERROR(IF(COUNT(INDEX('02_INPUT_ECON_BASES'!$W$7:$W$106,MATCH($B$4,'02_INPUT_ECON_BASES'!$A$7:$A$106,0)))=0,"",INDEX('02_INPUT_ECON_BASES'!$W$7:$W$106,MATCH($B$4,'02_INPUT_ECON_BASES'!$A$7:$A$106,0))),"")+IFERROR(IF(COUNT(INDEX('02_INPUT_ECON_BASES'!$W$7:$W$106,MATCH($B$5,'02_INPUT_ECON_BASES'!$A$7:$A$106,0)))=0,"",INDEX('02_INPUT_ECON_BASES'!$W$7:$W$106,MATCH($B$5,'02_INPUT_ECON_BASES'!$A$7:$A$106,0))),""))/2)</x:f>
        <x:v>1544400000.0000002</x:v>
      </x:c>
      <x:c r="P15" s="62" t="n">
        <x:f>IF(LEFT(I15,9)&lt;&gt;"AVAILABLE","",1*((SUMIFS('90_CALC_FEATURES'!$E$7:$E$1006,'90_CALC_FEATURES'!$B$7:$B$1006,$B$4,'90_CALC_FEATURES'!$D$7:$D$1006,'92_REF_VARIABLES'!$A$14))*IFERROR(IF(COUNT(INDEX('02_INPUT_ECON_BASES'!$R$7:$R$106,MATCH($B$4,'02_INPUT_ECON_BASES'!$A$7:$A$106,0)))=0,"",INDEX('02_INPUT_ECON_BASES'!$R$7:$R$106,MATCH($B$4,'02_INPUT_ECON_BASES'!$A$7:$A$106,0))),"")*IFERROR(IF(COUNT(INDEX('02_INPUT_ECON_BASES'!$U$7:$U$106,MATCH($B$4,'02_INPUT_ECON_BASES'!$A$7:$A$106,0)))=0,"",INDEX('02_INPUT_ECON_BASES'!$U$7:$U$106,MATCH($B$4,'02_INPUT_ECON_BASES'!$A$7:$A$106,0))),"")-(SUMIFS('90_CALC_FEATURES'!$E$7:$E$1006,'90_CALC_FEATURES'!$B$7:$B$1006,$B$5,'90_CALC_FEATURES'!$D$7:$D$1006,'92_REF_VARIABLES'!$A$14))*IFERROR(IF(COUNT(INDEX('02_INPUT_ECON_BASES'!$R$7:$R$106,MATCH($B$5,'02_INPUT_ECON_BASES'!$A$7:$A$106,0)))=0,"",INDEX('02_INPUT_ECON_BASES'!$R$7:$R$106,MATCH($B$5,'02_INPUT_ECON_BASES'!$A$7:$A$106,0))),"")*IFERROR(IF(COUNT(INDEX('02_INPUT_ECON_BASES'!$U$7:$U$106,MATCH($B$5,'02_INPUT_ECON_BASES'!$A$7:$A$106,0)))=0,"",INDEX('02_INPUT_ECON_BASES'!$U$7:$U$106,MATCH($B$5,'02_INPUT_ECON_BASES'!$A$7:$A$106,0))),"")))</x:f>
        <x:v>1008000000</x:v>
      </x:c>
      <x:c r="Q15" s="62" t="n">
        <x:f>IF(LEFT(I15,9)&lt;&gt;"AVAILABLE","",1*((SUMIFS('90_CALC_FEATURES'!$E$7:$E$1006,'90_CALC_FEATURES'!$B$7:$B$1006,$B$4,'90_CALC_FEATURES'!$D$7:$D$1006,'92_REF_VARIABLES'!$A$14))*IFERROR(IF(COUNT(INDEX('02_INPUT_ECON_BASES'!$S$7:$S$106,MATCH($B$4,'02_INPUT_ECON_BASES'!$A$7:$A$106,0)))=0,"",INDEX('02_INPUT_ECON_BASES'!$S$7:$S$106,MATCH($B$4,'02_INPUT_ECON_BASES'!$A$7:$A$106,0))),"")*IFERROR(IF(COUNT(INDEX('02_INPUT_ECON_BASES'!$V$7:$V$106,MATCH($B$4,'02_INPUT_ECON_BASES'!$A$7:$A$106,0)))=0,"",INDEX('02_INPUT_ECON_BASES'!$V$7:$V$106,MATCH($B$4,'02_INPUT_ECON_BASES'!$A$7:$A$106,0))),"")-(SUMIFS('90_CALC_FEATURES'!$E$7:$E$1006,'90_CALC_FEATURES'!$B$7:$B$1006,$B$5,'90_CALC_FEATURES'!$D$7:$D$1006,'92_REF_VARIABLES'!$A$14))*IFERROR(IF(COUNT(INDEX('02_INPUT_ECON_BASES'!$S$7:$S$106,MATCH($B$5,'02_INPUT_ECON_BASES'!$A$7:$A$106,0)))=0,"",INDEX('02_INPUT_ECON_BASES'!$S$7:$S$106,MATCH($B$5,'02_INPUT_ECON_BASES'!$A$7:$A$106,0))),"")*IFERROR(IF(COUNT(INDEX('02_INPUT_ECON_BASES'!$V$7:$V$106,MATCH($B$5,'02_INPUT_ECON_BASES'!$A$7:$A$106,0)))=0,"",INDEX('02_INPUT_ECON_BASES'!$V$7:$V$106,MATCH($B$5,'02_INPUT_ECON_BASES'!$A$7:$A$106,0))),"")))</x:f>
        <x:v>1400000000</x:v>
      </x:c>
      <x:c r="R15" s="62" t="n">
        <x:f>IF(LEFT(I15,9)&lt;&gt;"AVAILABLE","",1*((SUMIFS('90_CALC_FEATURES'!$E$7:$E$1006,'90_CALC_FEATURES'!$B$7:$B$1006,$B$4,'90_CALC_FEATURES'!$D$7:$D$1006,'92_REF_VARIABLES'!$A$14))*IFERROR(IF(COUNT(INDEX('02_INPUT_ECON_BASES'!$T$7:$T$106,MATCH($B$4,'02_INPUT_ECON_BASES'!$A$7:$A$106,0)))=0,"",INDEX('02_INPUT_ECON_BASES'!$T$7:$T$106,MATCH($B$4,'02_INPUT_ECON_BASES'!$A$7:$A$106,0))),"")*IFERROR(IF(COUNT(INDEX('02_INPUT_ECON_BASES'!$W$7:$W$106,MATCH($B$4,'02_INPUT_ECON_BASES'!$A$7:$A$106,0)))=0,"",INDEX('02_INPUT_ECON_BASES'!$W$7:$W$106,MATCH($B$4,'02_INPUT_ECON_BASES'!$A$7:$A$106,0))),"")-(SUMIFS('90_CALC_FEATURES'!$E$7:$E$1006,'90_CALC_FEATURES'!$B$7:$B$1006,$B$5,'90_CALC_FEATURES'!$D$7:$D$1006,'92_REF_VARIABLES'!$A$14))*IFERROR(IF(COUNT(INDEX('02_INPUT_ECON_BASES'!$T$7:$T$106,MATCH($B$5,'02_INPUT_ECON_BASES'!$A$7:$A$106,0)))=0,"",INDEX('02_INPUT_ECON_BASES'!$T$7:$T$106,MATCH($B$5,'02_INPUT_ECON_BASES'!$A$7:$A$106,0))),"")*IFERROR(IF(COUNT(INDEX('02_INPUT_ECON_BASES'!$W$7:$W$106,MATCH($B$5,'02_INPUT_ECON_BASES'!$A$7:$A$106,0)))=0,"",INDEX('02_INPUT_ECON_BASES'!$W$7:$W$106,MATCH($B$5,'02_INPUT_ECON_BASES'!$A$7:$A$106,0))),"")))</x:f>
        <x:v>1847999999.9999998</x:v>
      </x:c>
      <x:c r="S15" s="63" t="str">
        <x:f>IF('03_COMPARE_2'!$A$14&lt;&gt;"비교 가능","비교 불가",IF(ABS(B15)&lt;=0.000000000001,"선택된 ΔCPII 기여점 0: 원단위 맥락만 제공 | ","")&amp;'92_REF_VARIABLES'!$P$14&amp;" | 명시적 전환율 가정 필요")</x:f>
        <x:v>선택된 ΔCPII 기여점 0: 원단위 맥락만 제공 | 대상매출과 가정 전환율을 적용한 시장전이 시나리오 | 명시적 전환율 가정 필요</x:v>
      </x:c>
    </x:row>
    <x:row r="16" ht="15" hidden="0" customHeight="1">
      <x:c r="A16" s="63" t="str">
        <x:f>'92_REF_VARIABLES'!$B$15</x:f>
        <x:v>해외의존비율</x:v>
      </x:c>
      <x:c r="B16" s="64" t="n">
        <x:f>'03_COMPARE_2'!$H$25</x:f>
        <x:v>1.2048192771084338</x:v>
      </x:c>
      <x:c r="C16" s="63" t="str">
        <x:f>'92_REF_VARIABLES'!$K$15</x:f>
        <x:v>non_monetizable</x:v>
      </x:c>
      <x:c r="D16" s="63" t="str">
        <x:f>'92_REF_VARIABLES'!$N$15</x:f>
        <x:v>network_infrastructure</x:v>
      </x:c>
      <x:c r="E16" s="63" t="str">
        <x:f>'92_REF_VARIABLES'!$M$15</x:f>
        <x:v>none</x:v>
      </x:c>
      <x:c r="F16" s="61" t="n">
        <x:f>IF('03_COMPARE_2'!$A$14&lt;&gt;"비교 가능","",(SUMIFS('90_CALC_FEATURES'!$E$7:$E$1006,'90_CALC_FEATURES'!$B$7:$B$1006,$B$4,'90_CALC_FEATURES'!$D$7:$D$1006,'92_REF_VARIABLES'!$A$15))-(SUMIFS('90_CALC_FEATURES'!$E$7:$E$1006,'90_CALC_FEATURES'!$B$7:$B$1006,$B$5,'90_CALC_FEATURES'!$D$7:$D$1006,'92_REF_VARIABLES'!$A$15)))</x:f>
        <x:v>0.13</x:v>
      </x:c>
      <x:c r="G16" s="61" t="n">
        <x:f>IF(COUNT(F16)=0,"",1*F16)</x:f>
        <x:v>0.13</x:v>
      </x:c>
      <x:c r="H16" s="17" t="str">
        <x:f>""</x:f>
      </x:c>
      <x:c r="I16" s="63" t="str">
        <x:f>IF('03_COMPARE_2'!$A$14&lt;&gt;"비교 가능","PAIR NOT COMPARABLE","NON-MONETIZABLE")</x:f>
        <x:v>NON-MONETIZABLE</x:v>
      </x:c>
      <x:c r="J16" s="62" t="str">
        <x:f>""</x:f>
      </x:c>
      <x:c r="K16" s="62" t="str">
        <x:f>""</x:f>
      </x:c>
      <x:c r="L16" s="62" t="str">
        <x:f>""</x:f>
      </x:c>
      <x:c r="M16" s="62" t="str">
        <x:f>""</x:f>
      </x:c>
      <x:c r="N16" s="62" t="str">
        <x:f>""</x:f>
      </x:c>
      <x:c r="O16" s="62" t="str">
        <x:f>""</x:f>
      </x:c>
      <x:c r="P16" s="62" t="str">
        <x:f>""</x:f>
      </x:c>
      <x:c r="Q16" s="62" t="str">
        <x:f>""</x:f>
      </x:c>
      <x:c r="R16" s="62" t="str">
        <x:f>""</x:f>
      </x:c>
      <x:c r="S16" s="63" t="str">
        <x:f>IF('03_COMPARE_2'!$A$14&lt;&gt;"비교 가능","비교 불가",IF(ABS(B16)&lt;=0.000000000001,"선택된 ΔCPII 기여점 0: 원단위 맥락만 제공 | ","")&amp;'92_REF_VARIABLES'!$P$15&amp;"")</x:f>
        <x:v>독립적 가격·비용 계수가 없으므로 지수 위치로만 해석</x:v>
      </x:c>
    </x:row>
    <x:row r="17" ht="15" hidden="0" customHeight="1">
      <x:c r="A17" s="63" t="str">
        <x:f>'92_REF_VARIABLES'!$B$16</x:f>
        <x:v>비용 대비 설비투자 압박률</x:v>
      </x:c>
      <x:c r="B17" s="64" t="n">
        <x:f>'03_COMPARE_2'!$H$26</x:f>
        <x:v>1.1574074074074072</x:v>
      </x:c>
      <x:c r="C17" s="63" t="str">
        <x:f>'92_REF_VARIABLES'!$K$16</x:f>
        <x:v>non_monetizable</x:v>
      </x:c>
      <x:c r="D17" s="63" t="str">
        <x:f>'92_REF_VARIABLES'!$N$16</x:f>
        <x:v>network_infrastructure</x:v>
      </x:c>
      <x:c r="E17" s="63" t="str">
        <x:f>'92_REF_VARIABLES'!$M$16</x:f>
        <x:v>none</x:v>
      </x:c>
      <x:c r="F17" s="61" t="n">
        <x:f>IF('03_COMPARE_2'!$A$14&lt;&gt;"비교 가능","",(SUMIFS('90_CALC_FEATURES'!$E$7:$E$1006,'90_CALC_FEATURES'!$B$7:$B$1006,$B$4,'90_CALC_FEATURES'!$D$7:$D$1006,'92_REF_VARIABLES'!$A$16))-(SUMIFS('90_CALC_FEATURES'!$E$7:$E$1006,'90_CALC_FEATURES'!$B$7:$B$1006,$B$5,'90_CALC_FEATURES'!$D$7:$D$1006,'92_REF_VARIABLES'!$A$16)))</x:f>
        <x:v>4.5</x:v>
      </x:c>
      <x:c r="G17" s="61" t="n">
        <x:f>IF(COUNT(F17)=0,"",1*F17)</x:f>
        <x:v>4.5</x:v>
      </x:c>
      <x:c r="H17" s="17" t="str">
        <x:f>""</x:f>
      </x:c>
      <x:c r="I17" s="63" t="str">
        <x:f>IF('03_COMPARE_2'!$A$14&lt;&gt;"비교 가능","PAIR NOT COMPARABLE","NON-MONETIZABLE")</x:f>
        <x:v>NON-MONETIZABLE</x:v>
      </x:c>
      <x:c r="J17" s="62" t="str">
        <x:f>""</x:f>
      </x:c>
      <x:c r="K17" s="62" t="str">
        <x:f>""</x:f>
      </x:c>
      <x:c r="L17" s="62" t="str">
        <x:f>""</x:f>
      </x:c>
      <x:c r="M17" s="62" t="str">
        <x:f>""</x:f>
      </x:c>
      <x:c r="N17" s="62" t="str">
        <x:f>""</x:f>
      </x:c>
      <x:c r="O17" s="62" t="str">
        <x:f>""</x:f>
      </x:c>
      <x:c r="P17" s="62" t="str">
        <x:f>""</x:f>
      </x:c>
      <x:c r="Q17" s="62" t="str">
        <x:f>""</x:f>
      </x:c>
      <x:c r="R17" s="62" t="str">
        <x:f>""</x:f>
      </x:c>
      <x:c r="S17" s="63" t="str">
        <x:f>IF('03_COMPARE_2'!$A$14&lt;&gt;"비교 가능","비교 불가",IF(ABS(B17)&lt;=0.000000000001,"선택된 ΔCPII 기여점 0: 원단위 맥락만 제공 | ","")&amp;'92_REF_VARIABLES'!$P$16&amp;"")</x:f>
        <x:v>실제 국외유출액이 아닌 비용·CAPEX 프록시이며 네트워크 비용과 중복 가능</x:v>
      </x:c>
    </x:row>
    <x:row r="20">
      <x:c r="A20" s="24" t="str">
        <x:v>합계 미제공: network/infra/outflow, funding/IP, 두 recovery 변수는 원천 또는 경제 의미가 겹칠 수 있고, 조건부 회계·성과 상당액과 시나리오가 혼재합니다. 실제규모 A-B는 구조적 rate 차이뿐 아니라 회사규모 차이도 포함합니다.</x:v>
      </x:c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</x:row>
  </x:sheetData>
  <x:mergeCells>
    <x:mergeCell ref="A1:S1"/>
    <x:mergeCell ref="A2:S3"/>
    <x:mergeCell ref="J4:S5"/>
    <x:mergeCell ref="A20:S23"/>
  </x:mergeCells>
  <x:conditionalFormatting sqref="I8:I17">
    <x:cfRule type="containsText" dxfId="18" priority="1" operator="containsText" text="AVAILABLE"/>
    <x:cfRule type="containsText" dxfId="19" priority="2" operator="containsText" text="MISMATCH"/>
    <x:cfRule type="containsText" dxfId="20" priority="3" operator="containsText" text="ERROR"/>
    <x:cfRule type="containsText" dxfId="21" priority="4" operator="containsText" text="PAIR NOT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06 | 방법론 사양 민감도 (입력범위 미포함)</x:v>
      </x:c>
      <x:c r="B1" s="3"/>
      <x:c r="C1" s="3"/>
      <x:c r="D1" s="3"/>
      <x:c r="E1" s="3"/>
      <x:c r="F1" s="3"/>
      <x:c r="G1" s="3"/>
      <x:c r="H1" s="3"/>
    </x:row>
    <x:row r="2" ht="24" customHeight="1">
      <x:c r="A2" s="7" t="str">
        <x:v>이 시트는 4개 방법론 사양만 비교합니다. feature low/base/high 입력 불확실성은 평가하지 않으므로 종합 안정성 결론으로 사용하지 마십시오.</x:v>
      </x:c>
      <x:c r="B2" s="7"/>
      <x:c r="C2" s="7"/>
      <x:c r="D2" s="7"/>
      <x:c r="E2" s="7"/>
      <x:c r="F2" s="7"/>
      <x:c r="G2" s="7"/>
      <x:c r="H2" s="7"/>
    </x:row>
    <x:row r="3" ht="24" customHeight="1">
      <x:c r="A3" s="7"/>
      <x:c r="B3" s="7"/>
      <x:c r="C3" s="7"/>
      <x:c r="D3" s="7"/>
      <x:c r="E3" s="7"/>
      <x:c r="F3" s="7"/>
      <x:c r="G3" s="7"/>
      <x:c r="H3" s="7"/>
    </x:row>
    <x:row r="4">
      <x:c r="A4" s="9" t="str">
        <x:v>회사 A</x:v>
      </x:c>
      <x:c r="B4" s="34" t="str">
        <x:f>'03_COMPARE_2'!B4</x:f>
        <x:v>SYN-A</x:v>
      </x:c>
    </x:row>
    <x:row r="5">
      <x:c r="A5" s="9" t="str">
        <x:v>회사 B</x:v>
      </x:c>
      <x:c r="B5" s="34" t="str">
        <x:f>'03_COMPARE_2'!B5</x:f>
        <x:v>SYN-B</x:v>
      </x:c>
    </x:row>
    <x:row r="7">
      <x:c r="A7" s="13" t="str">
        <x:v>사양</x:v>
      </x:c>
      <x:c r="B7" s="13" t="str">
        <x:v>A 점수</x:v>
      </x:c>
      <x:c r="C7" s="13" t="str">
        <x:v>B 점수</x:v>
      </x:c>
      <x:c r="D7" s="13" t="str">
        <x:v>ΔCPII(A-B)</x:v>
      </x:c>
      <x:c r="E7" s="13" t="str">
        <x:v>의미</x:v>
      </x:c>
    </x:row>
    <x:row r="8">
      <x:c r="A8" s="17" t="str">
        <x:v>Baseline full research beta</x:v>
      </x:c>
      <x:c r="B8" s="49" t="n">
        <x:f>IF('03_COMPARE_2'!$A$14&lt;&gt;"비교 가능","",IFERROR(IF(COUNT(INDEX('91_CALC_SCORES'!$Y$7:$Y$106,MATCH($B$4,'91_CALC_SCORES'!$A$7:$A$106,0)))=0,"",INDEX('91_CALC_SCORES'!$Y$7:$Y$106,MATCH($B$4,'91_CALC_SCORES'!$A$7:$A$106,0))),""))</x:f>
        <x:v>39.89561107334345</x:v>
      </x:c>
      <x:c r="C8" s="49" t="n">
        <x:f>IF('03_COMPARE_2'!$A$14&lt;&gt;"비교 가능","",IFERROR(IF(COUNT(INDEX('91_CALC_SCORES'!$Y$7:$Y$106,MATCH($B$5,'91_CALC_SCORES'!$A$7:$A$106,0)))=0,"",INDEX('91_CALC_SCORES'!$Y$7:$Y$106,MATCH($B$5,'91_CALC_SCORES'!$A$7:$A$106,0))),""))</x:f>
        <x:v>32.21744929663617</x:v>
      </x:c>
      <x:c r="D8" s="49" t="n">
        <x:f>IF(COUNT(B8:C8)&lt;&gt;2,"",B8-C8)</x:f>
        <x:v>7.6781617767072845</x:v>
      </x:c>
      <x:c r="E8" s="17" t="str">
        <x:f>"현행 10개 feature; 저지원 22.22%"</x:f>
        <x:v>현행 10개 feature; 저지원 22.22%</x:v>
      </x:c>
    </x:row>
    <x:row r="9">
      <x:c r="A9" s="17" t="str">
        <x:v>Top weights 40/40/20</x:v>
      </x:c>
      <x:c r="B9" s="49" t="n">
        <x:f>IF('03_COMPARE_2'!$A$14&lt;&gt;"비교 가능","",0.4*IFERROR(IF(COUNT(INDEX('91_CALC_SCORES'!$V$7:$V$106,MATCH($B$4,'91_CALC_SCORES'!$A$7:$A$106,0)))=0,"",INDEX('91_CALC_SCORES'!$V$7:$V$106,MATCH($B$4,'91_CALC_SCORES'!$A$7:$A$106,0))),"")+0.4*IFERROR(IF(COUNT(INDEX('91_CALC_SCORES'!$W$7:$W$106,MATCH($B$4,'91_CALC_SCORES'!$A$7:$A$106,0)))=0,"",INDEX('91_CALC_SCORES'!$W$7:$W$106,MATCH($B$4,'91_CALC_SCORES'!$A$7:$A$106,0))),"")+0.2*IFERROR(IF(COUNT(INDEX('91_CALC_SCORES'!$X$7:$X$106,MATCH($B$4,'91_CALC_SCORES'!$A$7:$A$106,0)))=0,"",INDEX('91_CALC_SCORES'!$X$7:$X$106,MATCH($B$4,'91_CALC_SCORES'!$A$7:$A$106,0))),""))</x:f>
        <x:v>41.156610798052306</x:v>
      </x:c>
      <x:c r="C9" s="49" t="n">
        <x:f>IF('03_COMPARE_2'!$A$14&lt;&gt;"비교 가능","",0.4*IFERROR(IF(COUNT(INDEX('91_CALC_SCORES'!$V$7:$V$106,MATCH($B$5,'91_CALC_SCORES'!$A$7:$A$106,0)))=0,"",INDEX('91_CALC_SCORES'!$V$7:$V$106,MATCH($B$5,'91_CALC_SCORES'!$A$7:$A$106,0))),"")+0.4*IFERROR(IF(COUNT(INDEX('91_CALC_SCORES'!$W$7:$W$106,MATCH($B$5,'91_CALC_SCORES'!$A$7:$A$106,0)))=0,"",INDEX('91_CALC_SCORES'!$W$7:$W$106,MATCH($B$5,'91_CALC_SCORES'!$A$7:$A$106,0))),"")+0.2*IFERROR(IF(COUNT(INDEX('91_CALC_SCORES'!$X$7:$X$106,MATCH($B$5,'91_CALC_SCORES'!$A$7:$A$106,0)))=0,"",INDEX('91_CALC_SCORES'!$X$7:$X$106,MATCH($B$5,'91_CALC_SCORES'!$A$7:$A$106,0))),""))</x:f>
        <x:v>33.36015267671307</x:v>
      </x:c>
      <x:c r="D9" s="49" t="n">
        <x:f>IF(COUNT(B9:C9)&lt;&gt;2,"",B9-C9)</x:f>
        <x:v>7.796458121339235</x:v>
      </x:c>
      <x:c r="E9" s="17" t="str">
        <x:f>"상위축 가중치 변경"</x:f>
        <x:v>상위축 가중치 변경</x:v>
      </x:c>
    </x:row>
    <x:row r="10">
      <x:c r="A10" s="17" t="str">
        <x:v>저지원 feature 제외</x:v>
      </x:c>
      <x:c r="B10" s="49" t="n">
        <x:f>IF('03_COMPARE_2'!$A$14&lt;&gt;"비교 가능","",(100*AVERAGE(IFERROR(IF(COUNT(INDEX('91_CALC_SCORES'!$L$7:$L$106,MATCH($B$4,'91_CALC_SCORES'!$A$7:$A$106,0)))=0,"",INDEX('91_CALC_SCORES'!$L$7:$L$106,MATCH($B$4,'91_CALC_SCORES'!$A$7:$A$106,0))),""),IFERROR(IF(COUNT(INDEX('91_CALC_SCORES'!$M$7:$M$106,MATCH($B$4,'91_CALC_SCORES'!$A$7:$A$106,0)))=0,"",INDEX('91_CALC_SCORES'!$M$7:$M$106,MATCH($B$4,'91_CALC_SCORES'!$A$7:$A$106,0))),""),IFERROR(IF(COUNT(INDEX('91_CALC_SCORES'!$N$7:$N$106,MATCH($B$4,'91_CALC_SCORES'!$A$7:$A$106,0)))=0,"",INDEX('91_CALC_SCORES'!$N$7:$N$106,MATCH($B$4,'91_CALC_SCORES'!$A$7:$A$106,0))),""))+100*AVERAGE(IFERROR(IF(COUNT(INDEX('91_CALC_SCORES'!$O$7:$O$106,MATCH($B$4,'91_CALC_SCORES'!$A$7:$A$106,0)))=0,"",INDEX('91_CALC_SCORES'!$O$7:$O$106,MATCH($B$4,'91_CALC_SCORES'!$A$7:$A$106,0))),""),IFERROR(IF(COUNT(INDEX('91_CALC_SCORES'!$P$7:$P$106,MATCH($B$4,'91_CALC_SCORES'!$A$7:$A$106,0)))=0,"",INDEX('91_CALC_SCORES'!$P$7:$P$106,MATCH($B$4,'91_CALC_SCORES'!$A$7:$A$106,0))),""),IFERROR(IF(COUNT(INDEX('91_CALC_SCORES'!$Q$7:$Q$106,MATCH($B$4,'91_CALC_SCORES'!$A$7:$A$106,0)))=0,"",INDEX('91_CALC_SCORES'!$Q$7:$Q$106,MATCH($B$4,'91_CALC_SCORES'!$A$7:$A$106,0))),""),IFERROR(IF(COUNT(INDEX('91_CALC_SCORES'!$R$7:$R$106,MATCH($B$4,'91_CALC_SCORES'!$A$7:$A$106,0)))=0,"",INDEX('91_CALC_SCORES'!$R$7:$R$106,MATCH($B$4,'91_CALC_SCORES'!$A$7:$A$106,0))),""))+100*IFERROR(IF(COUNT(INDEX('91_CALC_SCORES'!$U$7:$U$106,MATCH($B$4,'91_CALC_SCORES'!$A$7:$A$106,0)))=0,"",INDEX('91_CALC_SCORES'!$U$7:$U$106,MATCH($B$4,'91_CALC_SCORES'!$A$7:$A$106,0))),""))/3)</x:f>
        <x:v>38.594573590077054</x:v>
      </x:c>
      <x:c r="C10" s="49" t="n">
        <x:f>IF('03_COMPARE_2'!$A$14&lt;&gt;"비교 가능","",(100*AVERAGE(IFERROR(IF(COUNT(INDEX('91_CALC_SCORES'!$L$7:$L$106,MATCH($B$5,'91_CALC_SCORES'!$A$7:$A$106,0)))=0,"",INDEX('91_CALC_SCORES'!$L$7:$L$106,MATCH($B$5,'91_CALC_SCORES'!$A$7:$A$106,0))),""),IFERROR(IF(COUNT(INDEX('91_CALC_SCORES'!$M$7:$M$106,MATCH($B$5,'91_CALC_SCORES'!$A$7:$A$106,0)))=0,"",INDEX('91_CALC_SCORES'!$M$7:$M$106,MATCH($B$5,'91_CALC_SCORES'!$A$7:$A$106,0))),""),IFERROR(IF(COUNT(INDEX('91_CALC_SCORES'!$N$7:$N$106,MATCH($B$5,'91_CALC_SCORES'!$A$7:$A$106,0)))=0,"",INDEX('91_CALC_SCORES'!$N$7:$N$106,MATCH($B$5,'91_CALC_SCORES'!$A$7:$A$106,0))),""))+100*AVERAGE(IFERROR(IF(COUNT(INDEX('91_CALC_SCORES'!$O$7:$O$106,MATCH($B$5,'91_CALC_SCORES'!$A$7:$A$106,0)))=0,"",INDEX('91_CALC_SCORES'!$O$7:$O$106,MATCH($B$5,'91_CALC_SCORES'!$A$7:$A$106,0))),""),IFERROR(IF(COUNT(INDEX('91_CALC_SCORES'!$P$7:$P$106,MATCH($B$5,'91_CALC_SCORES'!$A$7:$A$106,0)))=0,"",INDEX('91_CALC_SCORES'!$P$7:$P$106,MATCH($B$5,'91_CALC_SCORES'!$A$7:$A$106,0))),""),IFERROR(IF(COUNT(INDEX('91_CALC_SCORES'!$Q$7:$Q$106,MATCH($B$5,'91_CALC_SCORES'!$A$7:$A$106,0)))=0,"",INDEX('91_CALC_SCORES'!$Q$7:$Q$106,MATCH($B$5,'91_CALC_SCORES'!$A$7:$A$106,0))),""),IFERROR(IF(COUNT(INDEX('91_CALC_SCORES'!$R$7:$R$106,MATCH($B$5,'91_CALC_SCORES'!$A$7:$A$106,0)))=0,"",INDEX('91_CALC_SCORES'!$R$7:$R$106,MATCH($B$5,'91_CALC_SCORES'!$A$7:$A$106,0))),""))+100*IFERROR(IF(COUNT(INDEX('91_CALC_SCORES'!$U$7:$U$106,MATCH($B$5,'91_CALC_SCORES'!$A$7:$A$106,0)))=0,"",INDEX('91_CALC_SCORES'!$U$7:$U$106,MATCH($B$5,'91_CALC_SCORES'!$A$7:$A$106,0))),""))/3)</x:f>
        <x:v>29.806416275663384</x:v>
      </x:c>
      <x:c r="D10" s="49" t="n">
        <x:f>IF(COUNT(B10:C10)&lt;&gt;2,"",B10-C10)</x:f>
        <x:v>8.78815731441367</x:v>
      </x:c>
      <x:c r="E10" s="17" t="str">
        <x:f>"cross-market·foreign dependency 제외"</x:f>
        <x:v>cross-market·foreign dependency 제외</x:v>
      </x:c>
    </x:row>
    <x:row r="11">
      <x:c r="A11" s="17" t="str">
        <x:v>중복채널 축소</x:v>
      </x:c>
      <x:c r="B11" s="49" t="n">
        <x:f>IF('03_COMPARE_2'!$A$14&lt;&gt;"비교 가능","",(100*AVERAGE(IFERROR(IF(COUNT(INDEX('91_CALC_SCORES'!$L$7:$L$106,MATCH($B$4,'91_CALC_SCORES'!$A$7:$A$106,0)))=0,"",INDEX('91_CALC_SCORES'!$L$7:$L$106,MATCH($B$4,'91_CALC_SCORES'!$A$7:$A$106,0))),""),IFERROR(IF(COUNT(INDEX('91_CALC_SCORES'!$N$7:$N$106,MATCH($B$4,'91_CALC_SCORES'!$A$7:$A$106,0)))=0,"",INDEX('91_CALC_SCORES'!$N$7:$N$106,MATCH($B$4,'91_CALC_SCORES'!$A$7:$A$106,0))),""))+100*AVERAGE(IFERROR(IF(COUNT(INDEX('91_CALC_SCORES'!$P$7:$P$106,MATCH($B$4,'91_CALC_SCORES'!$A$7:$A$106,0)))=0,"",INDEX('91_CALC_SCORES'!$P$7:$P$106,MATCH($B$4,'91_CALC_SCORES'!$A$7:$A$106,0))),""),IFERROR(IF(COUNT(INDEX('91_CALC_SCORES'!$Q$7:$Q$106,MATCH($B$4,'91_CALC_SCORES'!$A$7:$A$106,0)))=0,"",INDEX('91_CALC_SCORES'!$Q$7:$Q$106,MATCH($B$4,'91_CALC_SCORES'!$A$7:$A$106,0))),""),IFERROR(IF(COUNT(INDEX('91_CALC_SCORES'!$R$7:$R$106,MATCH($B$4,'91_CALC_SCORES'!$A$7:$A$106,0)))=0,"",INDEX('91_CALC_SCORES'!$R$7:$R$106,MATCH($B$4,'91_CALC_SCORES'!$A$7:$A$106,0))),""))+100*AVERAGE(IFERROR(IF(COUNT(INDEX('91_CALC_SCORES'!$S$7:$S$106,MATCH($B$4,'91_CALC_SCORES'!$A$7:$A$106,0)))=0,"",INDEX('91_CALC_SCORES'!$S$7:$S$106,MATCH($B$4,'91_CALC_SCORES'!$A$7:$A$106,0))),""),IFERROR(IF(COUNT(INDEX('91_CALC_SCORES'!$T$7:$T$106,MATCH($B$4,'91_CALC_SCORES'!$A$7:$A$106,0)))=0,"",INDEX('91_CALC_SCORES'!$T$7:$T$106,MATCH($B$4,'91_CALC_SCORES'!$A$7:$A$106,0))),"")) )/3)</x:f>
        <x:v>42.123665943910915</x:v>
      </x:c>
      <x:c r="C11" s="49" t="n">
        <x:f>IF('03_COMPARE_2'!$A$14&lt;&gt;"비교 가능","",(100*AVERAGE(IFERROR(IF(COUNT(INDEX('91_CALC_SCORES'!$L$7:$L$106,MATCH($B$5,'91_CALC_SCORES'!$A$7:$A$106,0)))=0,"",INDEX('91_CALC_SCORES'!$L$7:$L$106,MATCH($B$5,'91_CALC_SCORES'!$A$7:$A$106,0))),""),IFERROR(IF(COUNT(INDEX('91_CALC_SCORES'!$N$7:$N$106,MATCH($B$5,'91_CALC_SCORES'!$A$7:$A$106,0)))=0,"",INDEX('91_CALC_SCORES'!$N$7:$N$106,MATCH($B$5,'91_CALC_SCORES'!$A$7:$A$106,0))),""))+100*AVERAGE(IFERROR(IF(COUNT(INDEX('91_CALC_SCORES'!$P$7:$P$106,MATCH($B$5,'91_CALC_SCORES'!$A$7:$A$106,0)))=0,"",INDEX('91_CALC_SCORES'!$P$7:$P$106,MATCH($B$5,'91_CALC_SCORES'!$A$7:$A$106,0))),""),IFERROR(IF(COUNT(INDEX('91_CALC_SCORES'!$Q$7:$Q$106,MATCH($B$5,'91_CALC_SCORES'!$A$7:$A$106,0)))=0,"",INDEX('91_CALC_SCORES'!$Q$7:$Q$106,MATCH($B$5,'91_CALC_SCORES'!$A$7:$A$106,0))),""),IFERROR(IF(COUNT(INDEX('91_CALC_SCORES'!$R$7:$R$106,MATCH($B$5,'91_CALC_SCORES'!$A$7:$A$106,0)))=0,"",INDEX('91_CALC_SCORES'!$R$7:$R$106,MATCH($B$5,'91_CALC_SCORES'!$A$7:$A$106,0))),""))+100*AVERAGE(IFERROR(IF(COUNT(INDEX('91_CALC_SCORES'!$S$7:$S$106,MATCH($B$5,'91_CALC_SCORES'!$A$7:$A$106,0)))=0,"",INDEX('91_CALC_SCORES'!$S$7:$S$106,MATCH($B$5,'91_CALC_SCORES'!$A$7:$A$106,0))),""),IFERROR(IF(COUNT(INDEX('91_CALC_SCORES'!$T$7:$T$106,MATCH($B$5,'91_CALC_SCORES'!$A$7:$A$106,0)))=0,"",INDEX('91_CALC_SCORES'!$T$7:$T$106,MATCH($B$5,'91_CALC_SCORES'!$A$7:$A$106,0))),"")) )/3)</x:f>
        <x:v>35.724733978767645</x:v>
      </x:c>
      <x:c r="D11" s="49" t="n">
        <x:f>IF(COUNT(B11:C11)&lt;&gt;2,"",B11-C11)</x:f>
        <x:v>6.3989319651432695</x:v>
      </x:c>
      <x:c r="E11" s="17" t="str">
        <x:f>"infra·outflow·cashflow recovery 제외"</x:f>
        <x:v>infra·outflow·cashflow recovery 제외</x:v>
      </x:c>
    </x:row>
    <x:row r="13">
      <x:c r="A13" s="13" t="str">
        <x:v>판정 항목</x:v>
      </x:c>
      <x:c r="B13" s="13" t="str">
        <x:v>결과</x:v>
      </x:c>
      <x:c r="D13" s="66" t="str">
        <x:v>주의: 이 workbook의 최소·최대는 4개 방법론 사양만 반영합니다. 입력·측정 불확실성은 별도 feature range CSV와 Python --feature-ranges로 평가하십시오. 두 범위 모두 결정론적 민감도이며 확률, 신뢰구간, 통계적 유의성 또는 경험적 pair-gap 백분위가 아닙니다.</x:v>
      </x:c>
      <x:c r="E13" s="66"/>
      <x:c r="F13" s="66"/>
      <x:c r="G13" s="66"/>
      <x:c r="H13" s="66"/>
    </x:row>
    <x:row r="14">
      <x:c r="A14" s="34" t="str">
        <x:v>방법론 사양 최소</x:v>
      </x:c>
      <x:c r="B14" s="58" t="n">
        <x:f>IF(COUNT(D8:D11)=4,MIN(D8:D11),"")</x:f>
        <x:v>6.3989319651432695</x:v>
      </x:c>
      <x:c r="D14" s="66"/>
      <x:c r="E14" s="66"/>
      <x:c r="F14" s="66"/>
      <x:c r="G14" s="66"/>
      <x:c r="H14" s="66"/>
    </x:row>
    <x:row r="15">
      <x:c r="A15" s="34" t="str">
        <x:v>방법론 사양 최대</x:v>
      </x:c>
      <x:c r="B15" s="58" t="n">
        <x:f>IF(COUNT(D8:D11)=4,MAX(D8:D11),"")</x:f>
        <x:v>8.78815731441367</x:v>
      </x:c>
      <x:c r="D15" s="66"/>
      <x:c r="E15" s="66"/>
      <x:c r="F15" s="66"/>
      <x:c r="G15" s="66"/>
      <x:c r="H15" s="66"/>
    </x:row>
    <x:row r="16">
      <x:c r="A16" s="34" t="str">
        <x:v>방법론 사양 내 부호</x:v>
      </x:c>
      <x:c r="B16" s="34" t="str">
        <x:f>IF(COUNT(B14:B15)&lt;&gt;2,"비교 불가",IF(AND(B14&gt;0.000000000001,B15&gt;0.000000000001),"양(+) 안정",IF(AND(B14&lt;-0.000000000001,B15&lt;-0.000000000001),"음(-) 안정","부호 불안정")))</x:f>
        <x:v>양(+) 안정</x:v>
      </x:c>
      <x:c r="D16" s="66"/>
      <x:c r="E16" s="66"/>
      <x:c r="F16" s="66"/>
      <x:c r="G16" s="66"/>
      <x:c r="H16" s="66"/>
    </x:row>
    <x:row r="17">
      <x:c r="A17" s="34" t="str">
        <x:v>방법론 사양 해석</x:v>
      </x:c>
      <x:c r="B17" s="34" t="str">
        <x:f>IF(COUNT(B14:B15)&lt;&gt;2,"비교 불가",IF(OR(AND(B14&gt;0.000000000001,B15&gt;0.000000000001),AND(B14&lt;-0.000000000001,B15&lt;-0.000000000001)),"방법 사양 내 방향 유지(종합판정 아님)","방법 사양 내 차이 불명확"))</x:f>
        <x:v>방법 사양 내 방향 유지(종합판정 아님)</x:v>
      </x:c>
      <x:c r="D17" s="66"/>
      <x:c r="E17" s="66"/>
      <x:c r="F17" s="66"/>
      <x:c r="G17" s="66"/>
      <x:c r="H17" s="66"/>
    </x:row>
    <x:row r="18">
      <x:c r="A18" s="34" t="str">
        <x:v>입력범위 민감도</x:v>
      </x:c>
      <x:c r="B18" s="34" t="str">
        <x:v>미평가 — 이 시트에는 feature low/base/high 없음</x:v>
      </x:c>
      <x:c r="D18" s="66"/>
      <x:c r="E18" s="66"/>
      <x:c r="F18" s="66"/>
      <x:c r="G18" s="66"/>
      <x:c r="H18" s="66"/>
    </x:row>
    <x:row r="19">
      <x:c r="A19" s="34" t="str">
        <x:v>종합 안정성 결론</x:v>
      </x:c>
      <x:c r="B19" s="34" t="str">
        <x:v>제공하지 않음 — Python --feature-ranges 분석 필요</x:v>
      </x:c>
      <x:c r="D19" s="66"/>
      <x:c r="E19" s="66"/>
      <x:c r="F19" s="66"/>
      <x:c r="G19" s="66"/>
      <x:c r="H19" s="66"/>
    </x:row>
    <x:row r="20">
      <x:c r="A20" s="34" t="str">
        <x:v>기존 대체사양 중앙 절대차</x:v>
      </x:c>
      <x:c r="B20" s="34" t="n">
        <x:v>1.0985372963</x:v>
      </x:c>
      <x:c r="D20" s="66"/>
      <x:c r="E20" s="66"/>
      <x:c r="F20" s="66"/>
      <x:c r="G20" s="66"/>
      <x:c r="H20" s="66"/>
    </x:row>
    <x:row r="21">
      <x:c r="A21" s="34" t="str">
        <x:v>기존 대체사양 평균 절대차</x:v>
      </x:c>
      <x:c r="B21" s="34" t="n">
        <x:v>2.0659532773</x:v>
      </x:c>
      <x:c r="D21" s="66"/>
      <x:c r="E21" s="66"/>
      <x:c r="F21" s="66"/>
      <x:c r="G21" s="66"/>
      <x:c r="H21" s="66"/>
    </x:row>
  </x:sheetData>
  <x:mergeCells>
    <x:mergeCell ref="A1:H1"/>
    <x:mergeCell ref="A2:H3"/>
    <x:mergeCell ref="D13:H21"/>
  </x:mergeCells>
  <x:conditionalFormatting sqref="B17:B17">
    <x:cfRule type="containsText" dxfId="22" priority="1" operator="containsText" text="불명확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54" hidden="0" customWidth="1"/>
    <x:col min="10" max="10" width="12" hidden="0" customWidth="1"/>
  </x:cols>
  <x:sheetData>
    <x:row r="1" ht="30" customHeight="1">
      <x:c r="A1" s="3" t="str">
        <x:v>07 | Feature별 Provenance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7" t="str">
        <x:v>각 회사×feature마다 출처·시점·구축방식을 보존합니다. 행 수준 요약만으로 서로 다른 변수의 근거를 대체할 수 없습니다.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</x:row>
    <x:row r="6" ht="36" customHeight="1">
      <x:c r="A6" s="13" t="str">
        <x:v>관측 ID</x:v>
      </x:c>
      <x:c r="B6" s="13" t="str">
        <x:v>변수</x:v>
      </x:c>
      <x:c r="C6" s="13" t="str">
        <x:v>출처 ID</x:v>
      </x:c>
      <x:c r="D6" s="13" t="str">
        <x:v>기준일</x:v>
      </x:c>
      <x:c r="E6" s="13" t="str">
        <x:v>품질</x:v>
      </x:c>
      <x:c r="F6" s="13" t="str">
        <x:v>구축방식</x:v>
      </x:c>
      <x:c r="G6" s="13" t="str">
        <x:v>이월분기</x:v>
      </x:c>
      <x:c r="H6" s="13" t="str">
        <x:v>Benchmark ID</x:v>
      </x:c>
      <x:c r="I6" s="13" t="str">
        <x:v>산식·가정</x:v>
      </x:c>
      <x:c r="J6" s="13" t="str">
        <x:v>합성</x:v>
      </x:c>
    </x:row>
    <x:row r="7" ht="15" hidden="0" customHeight="1">
      <x:c r="A7" s="30" t="str">
        <x:v>SYN-A</x:v>
      </x:c>
      <x:c r="B7" s="30" t="str">
        <x:v>effective_tax_rate_gap</x:v>
      </x:c>
      <x:c r="C7" s="35" t="str">
        <x:v>SYNTHETIC-SYN-A-effective_tax_rate_gap</x:v>
      </x:c>
      <x:c r="D7" s="30" t="str">
        <x:v>2025-12-31</x:v>
      </x:c>
      <x:c r="E7" s="30" t="str">
        <x:v>SYNTHETIC</x:v>
      </x:c>
      <x:c r="F7" s="30" t="str">
        <x:v>derived</x:v>
      </x:c>
      <x:c r="G7" s="30" t="str">
        <x:v>0</x:v>
      </x:c>
      <x:c r="H7" s="35" t="str">
        <x:v>BM-DIGITAL-CONTENT-2025Q4</x:v>
      </x:c>
      <x:c r="I7" s="35" t="str">
        <x:v>방법론 설명용 통제 입력; 실제 공시·추정값이 아님</x:v>
      </x:c>
      <x:c r="J7" s="30" t="str">
        <x:v>yes</x:v>
      </x:c>
    </x:row>
    <x:row r="8" ht="15" hidden="0" customHeight="1">
      <x:c r="A8" s="30" t="str">
        <x:v>SYN-A</x:v>
      </x:c>
      <x:c r="B8" s="30" t="str">
        <x:v>network_cost_ratio</x:v>
      </x:c>
      <x:c r="C8" s="35" t="str">
        <x:v>SYNTHETIC-SYN-A-network_cost_ratio</x:v>
      </x:c>
      <x:c r="D8" s="30" t="str">
        <x:v>2025-12-31</x:v>
      </x:c>
      <x:c r="E8" s="30" t="str">
        <x:v>SYNTHETIC</x:v>
      </x:c>
      <x:c r="F8" s="30" t="str">
        <x:v>direct</x:v>
      </x:c>
      <x:c r="G8" s="30" t="str">
        <x:v>0</x:v>
      </x:c>
      <x:c r="H8" s="35" t="str"/>
      <x:c r="I8" s="35" t="str">
        <x:v>방법론 설명용 통제 입력; 실제 공시·추정값이 아님</x:v>
      </x:c>
      <x:c r="J8" s="30" t="str">
        <x:v>yes</x:v>
      </x:c>
    </x:row>
    <x:row r="9" ht="15" hidden="0" customHeight="1">
      <x:c r="A9" s="30" t="str">
        <x:v>SYN-A</x:v>
      </x:c>
      <x:c r="B9" s="30" t="str">
        <x:v>infra_dependency_ratio</x:v>
      </x:c>
      <x:c r="C9" s="35" t="str">
        <x:v>SYNTHETIC-SYN-A-infra_dependency_ratio</x:v>
      </x:c>
      <x:c r="D9" s="30" t="str">
        <x:v>2025-12-31</x:v>
      </x:c>
      <x:c r="E9" s="30" t="str">
        <x:v>SYNTHETIC</x:v>
      </x:c>
      <x:c r="F9" s="30" t="str">
        <x:v>derived</x:v>
      </x:c>
      <x:c r="G9" s="30" t="str">
        <x:v>0</x:v>
      </x:c>
      <x:c r="H9" s="35" t="str"/>
      <x:c r="I9" s="35" t="str">
        <x:v>방법론 설명용 통제 입력; 실제 공시·추정값이 아님</x:v>
      </x:c>
      <x:c r="J9" s="30" t="str">
        <x:v>yes</x:v>
      </x:c>
    </x:row>
    <x:row r="10" ht="15" hidden="0" customHeight="1">
      <x:c r="A10" s="30" t="str">
        <x:v>SYN-A</x:v>
      </x:c>
      <x:c r="B10" s="30" t="str">
        <x:v>funding_cost_spread</x:v>
      </x:c>
      <x:c r="C10" s="35" t="str">
        <x:v>SYNTHETIC-SYN-A-funding_cost_spread</x:v>
      </x:c>
      <x:c r="D10" s="30" t="str">
        <x:v>2025-12-31</x:v>
      </x:c>
      <x:c r="E10" s="30" t="str">
        <x:v>SYNTHETIC</x:v>
      </x:c>
      <x:c r="F10" s="30" t="str">
        <x:v>derived</x:v>
      </x:c>
      <x:c r="G10" s="30" t="str">
        <x:v>0</x:v>
      </x:c>
      <x:c r="H10" s="35" t="str">
        <x:v>BM-DIGITAL-CONTENT-2025Q4</x:v>
      </x:c>
      <x:c r="I10" s="35" t="str">
        <x:v>방법론 설명용 통제 입력; 실제 공시·추정값이 아님</x:v>
      </x:c>
      <x:c r="J10" s="30" t="str">
        <x:v>yes</x:v>
      </x:c>
    </x:row>
    <x:row r="11" ht="15" hidden="0" customHeight="1">
      <x:c r="A11" s="30" t="str">
        <x:v>SYN-A</x:v>
      </x:c>
      <x:c r="B11" s="30" t="str">
        <x:v>ip_assetization_gap</x:v>
      </x:c>
      <x:c r="C11" s="35" t="str">
        <x:v>SYNTHETIC-SYN-A-ip_assetization_gap</x:v>
      </x:c>
      <x:c r="D11" s="30" t="str">
        <x:v>2025-12-31</x:v>
      </x:c>
      <x:c r="E11" s="30" t="str">
        <x:v>SYNTHETIC</x:v>
      </x:c>
      <x:c r="F11" s="30" t="str">
        <x:v>derived</x:v>
      </x:c>
      <x:c r="G11" s="30" t="str">
        <x:v>0</x:v>
      </x:c>
      <x:c r="H11" s="35" t="str">
        <x:v>BM-DIGITAL-CONTENT-2025Q4</x:v>
      </x:c>
      <x:c r="I11" s="35" t="str">
        <x:v>방법론 설명용 통제 입력; 실제 공시·추정값이 아님</x:v>
      </x:c>
      <x:c r="J11" s="30" t="str">
        <x:v>yes</x:v>
      </x:c>
    </x:row>
    <x:row r="12" ht="15" hidden="0" customHeight="1">
      <x:c r="A12" s="30" t="str">
        <x:v>SYN-A</x:v>
      </x:c>
      <x:c r="B12" s="30" t="str">
        <x:v>investment_recovery_ratio</x:v>
      </x:c>
      <x:c r="C12" s="35" t="str">
        <x:v>SYNTHETIC-SYN-A-investment_recovery_ratio</x:v>
      </x:c>
      <x:c r="D12" s="30" t="str">
        <x:v>2025-12-31</x:v>
      </x:c>
      <x:c r="E12" s="30" t="str">
        <x:v>SYNTHETIC</x:v>
      </x:c>
      <x:c r="F12" s="30" t="str">
        <x:v>direct</x:v>
      </x:c>
      <x:c r="G12" s="30" t="str">
        <x:v>0</x:v>
      </x:c>
      <x:c r="H12" s="35" t="str"/>
      <x:c r="I12" s="35" t="str">
        <x:v>방법론 설명용 통제 입력; 실제 공시·추정값이 아님</x:v>
      </x:c>
      <x:c r="J12" s="30" t="str">
        <x:v>yes</x:v>
      </x:c>
    </x:row>
    <x:row r="13" ht="15" hidden="0" customHeight="1">
      <x:c r="A13" s="30" t="str">
        <x:v>SYN-A</x:v>
      </x:c>
      <x:c r="B13" s="30" t="str">
        <x:v>cashflow_recovery_ratio</x:v>
      </x:c>
      <x:c r="C13" s="35" t="str">
        <x:v>SYNTHETIC-SYN-A-cashflow_recovery_ratio</x:v>
      </x:c>
      <x:c r="D13" s="30" t="str">
        <x:v>2025-12-31</x:v>
      </x:c>
      <x:c r="E13" s="30" t="str">
        <x:v>SYNTHETIC</x:v>
      </x:c>
      <x:c r="F13" s="30" t="str">
        <x:v>direct</x:v>
      </x:c>
      <x:c r="G13" s="30" t="str">
        <x:v>0</x:v>
      </x:c>
      <x:c r="H13" s="35" t="str"/>
      <x:c r="I13" s="35" t="str">
        <x:v>방법론 설명용 통제 입력; 실제 공시·추정값이 아님</x:v>
      </x:c>
      <x:c r="J13" s="30" t="str">
        <x:v>yes</x:v>
      </x:c>
    </x:row>
    <x:row r="14" ht="15" hidden="0" customHeight="1">
      <x:c r="A14" s="30" t="str">
        <x:v>SYN-A</x:v>
      </x:c>
      <x:c r="B14" s="30" t="str">
        <x:v>cross_market_transfer_index</x:v>
      </x:c>
      <x:c r="C14" s="35" t="str">
        <x:v>SYNTHETIC-SYN-A-cross_market_transfer_index</x:v>
      </x:c>
      <x:c r="D14" s="30" t="str">
        <x:v>2025-12-31</x:v>
      </x:c>
      <x:c r="E14" s="30" t="str">
        <x:v>SYNTHETIC</x:v>
      </x:c>
      <x:c r="F14" s="30" t="str">
        <x:v>derived</x:v>
      </x:c>
      <x:c r="G14" s="30" t="str">
        <x:v>0</x:v>
      </x:c>
      <x:c r="H14" s="35" t="str"/>
      <x:c r="I14" s="35" t="str">
        <x:v>방법론 설명용 통제 입력; 실제 공시·추정값이 아님</x:v>
      </x:c>
      <x:c r="J14" s="30" t="str">
        <x:v>yes</x:v>
      </x:c>
    </x:row>
    <x:row r="15" ht="15" hidden="0" customHeight="1">
      <x:c r="A15" s="30" t="str">
        <x:v>SYN-A</x:v>
      </x:c>
      <x:c r="B15" s="30" t="str">
        <x:v>foreign_dependency_ratio</x:v>
      </x:c>
      <x:c r="C15" s="35" t="str">
        <x:v>SYNTHETIC-SYN-A-foreign_dependency_ratio</x:v>
      </x:c>
      <x:c r="D15" s="30" t="str">
        <x:v>2025-12-31</x:v>
      </x:c>
      <x:c r="E15" s="30" t="str">
        <x:v>SYNTHETIC</x:v>
      </x:c>
      <x:c r="F15" s="30" t="str">
        <x:v>direct</x:v>
      </x:c>
      <x:c r="G15" s="30" t="str">
        <x:v>0</x:v>
      </x:c>
      <x:c r="H15" s="35" t="str"/>
      <x:c r="I15" s="35" t="str">
        <x:v>방법론 설명용 통제 입력; 실제 공시·추정값이 아님</x:v>
      </x:c>
      <x:c r="J15" s="30" t="str">
        <x:v>yes</x:v>
      </x:c>
    </x:row>
    <x:row r="16" ht="15" hidden="0" customHeight="1">
      <x:c r="A16" s="30" t="str">
        <x:v>SYN-A</x:v>
      </x:c>
      <x:c r="B16" s="30" t="str">
        <x:v>outflow_to_capex_ratio</x:v>
      </x:c>
      <x:c r="C16" s="35" t="str">
        <x:v>SYNTHETIC-SYN-A-outflow_to_capex_ratio</x:v>
      </x:c>
      <x:c r="D16" s="30" t="str">
        <x:v>2025-12-31</x:v>
      </x:c>
      <x:c r="E16" s="30" t="str">
        <x:v>SYNTHETIC</x:v>
      </x:c>
      <x:c r="F16" s="30" t="str">
        <x:v>derived</x:v>
      </x:c>
      <x:c r="G16" s="30" t="str">
        <x:v>0</x:v>
      </x:c>
      <x:c r="H16" s="35" t="str"/>
      <x:c r="I16" s="35" t="str">
        <x:v>방법론 설명용 통제 입력; 실제 공시·추정값이 아님</x:v>
      </x:c>
      <x:c r="J16" s="30" t="str">
        <x:v>yes</x:v>
      </x:c>
    </x:row>
    <x:row r="17" ht="15" hidden="0" customHeight="1">
      <x:c r="A17" s="30" t="str">
        <x:v>SYN-B</x:v>
      </x:c>
      <x:c r="B17" s="30" t="str">
        <x:v>effective_tax_rate_gap</x:v>
      </x:c>
      <x:c r="C17" s="35" t="str">
        <x:v>SYNTHETIC-SYN-B-effective_tax_rate_gap</x:v>
      </x:c>
      <x:c r="D17" s="30" t="str">
        <x:v>2025-12-31</x:v>
      </x:c>
      <x:c r="E17" s="30" t="str">
        <x:v>SYNTHETIC</x:v>
      </x:c>
      <x:c r="F17" s="30" t="str">
        <x:v>derived</x:v>
      </x:c>
      <x:c r="G17" s="30" t="str">
        <x:v>0</x:v>
      </x:c>
      <x:c r="H17" s="35" t="str">
        <x:v>BM-DIGITAL-CONTENT-2025Q4</x:v>
      </x:c>
      <x:c r="I17" s="35" t="str">
        <x:v>방법론 설명용 통제 입력; 실제 공시·추정값이 아님</x:v>
      </x:c>
      <x:c r="J17" s="30" t="str">
        <x:v>yes</x:v>
      </x:c>
    </x:row>
    <x:row r="18" ht="15" hidden="0" customHeight="1">
      <x:c r="A18" s="30" t="str">
        <x:v>SYN-B</x:v>
      </x:c>
      <x:c r="B18" s="30" t="str">
        <x:v>network_cost_ratio</x:v>
      </x:c>
      <x:c r="C18" s="35" t="str">
        <x:v>SYNTHETIC-SYN-B-network_cost_ratio</x:v>
      </x:c>
      <x:c r="D18" s="30" t="str">
        <x:v>2025-12-31</x:v>
      </x:c>
      <x:c r="E18" s="30" t="str">
        <x:v>SYNTHETIC</x:v>
      </x:c>
      <x:c r="F18" s="30" t="str">
        <x:v>direct</x:v>
      </x:c>
      <x:c r="G18" s="30" t="str">
        <x:v>0</x:v>
      </x:c>
      <x:c r="H18" s="35" t="str"/>
      <x:c r="I18" s="35" t="str">
        <x:v>방법론 설명용 통제 입력; 실제 공시·추정값이 아님</x:v>
      </x:c>
      <x:c r="J18" s="30" t="str">
        <x:v>yes</x:v>
      </x:c>
    </x:row>
    <x:row r="19" ht="15" hidden="0" customHeight="1">
      <x:c r="A19" s="30" t="str">
        <x:v>SYN-B</x:v>
      </x:c>
      <x:c r="B19" s="30" t="str">
        <x:v>infra_dependency_ratio</x:v>
      </x:c>
      <x:c r="C19" s="35" t="str">
        <x:v>SYNTHETIC-SYN-B-infra_dependency_ratio</x:v>
      </x:c>
      <x:c r="D19" s="30" t="str">
        <x:v>2025-12-31</x:v>
      </x:c>
      <x:c r="E19" s="30" t="str">
        <x:v>SYNTHETIC</x:v>
      </x:c>
      <x:c r="F19" s="30" t="str">
        <x:v>derived</x:v>
      </x:c>
      <x:c r="G19" s="30" t="str">
        <x:v>0</x:v>
      </x:c>
      <x:c r="H19" s="35" t="str"/>
      <x:c r="I19" s="35" t="str">
        <x:v>방법론 설명용 통제 입력; 실제 공시·추정값이 아님</x:v>
      </x:c>
      <x:c r="J19" s="30" t="str">
        <x:v>yes</x:v>
      </x:c>
    </x:row>
    <x:row r="20" ht="15" hidden="0" customHeight="1">
      <x:c r="A20" s="30" t="str">
        <x:v>SYN-B</x:v>
      </x:c>
      <x:c r="B20" s="30" t="str">
        <x:v>funding_cost_spread</x:v>
      </x:c>
      <x:c r="C20" s="35" t="str">
        <x:v>SYNTHETIC-SYN-B-funding_cost_spread</x:v>
      </x:c>
      <x:c r="D20" s="30" t="str">
        <x:v>2025-12-31</x:v>
      </x:c>
      <x:c r="E20" s="30" t="str">
        <x:v>SYNTHETIC</x:v>
      </x:c>
      <x:c r="F20" s="30" t="str">
        <x:v>derived</x:v>
      </x:c>
      <x:c r="G20" s="30" t="str">
        <x:v>0</x:v>
      </x:c>
      <x:c r="H20" s="35" t="str">
        <x:v>BM-DIGITAL-CONTENT-2025Q4</x:v>
      </x:c>
      <x:c r="I20" s="35" t="str">
        <x:v>방법론 설명용 통제 입력; 실제 공시·추정값이 아님</x:v>
      </x:c>
      <x:c r="J20" s="30" t="str">
        <x:v>yes</x:v>
      </x:c>
    </x:row>
    <x:row r="21" ht="15" hidden="0" customHeight="1">
      <x:c r="A21" s="30" t="str">
        <x:v>SYN-B</x:v>
      </x:c>
      <x:c r="B21" s="30" t="str">
        <x:v>ip_assetization_gap</x:v>
      </x:c>
      <x:c r="C21" s="35" t="str">
        <x:v>SYNTHETIC-SYN-B-ip_assetization_gap</x:v>
      </x:c>
      <x:c r="D21" s="30" t="str">
        <x:v>2025-12-31</x:v>
      </x:c>
      <x:c r="E21" s="30" t="str">
        <x:v>SYNTHETIC</x:v>
      </x:c>
      <x:c r="F21" s="30" t="str">
        <x:v>derived</x:v>
      </x:c>
      <x:c r="G21" s="30" t="str">
        <x:v>0</x:v>
      </x:c>
      <x:c r="H21" s="35" t="str">
        <x:v>BM-DIGITAL-CONTENT-2025Q4</x:v>
      </x:c>
      <x:c r="I21" s="35" t="str">
        <x:v>방법론 설명용 통제 입력; 실제 공시·추정값이 아님</x:v>
      </x:c>
      <x:c r="J21" s="30" t="str">
        <x:v>yes</x:v>
      </x:c>
    </x:row>
    <x:row r="22" ht="15" hidden="0" customHeight="1">
      <x:c r="A22" s="30" t="str">
        <x:v>SYN-B</x:v>
      </x:c>
      <x:c r="B22" s="30" t="str">
        <x:v>investment_recovery_ratio</x:v>
      </x:c>
      <x:c r="C22" s="35" t="str">
        <x:v>SYNTHETIC-SYN-B-investment_recovery_ratio</x:v>
      </x:c>
      <x:c r="D22" s="30" t="str">
        <x:v>2025-12-31</x:v>
      </x:c>
      <x:c r="E22" s="30" t="str">
        <x:v>SYNTHETIC</x:v>
      </x:c>
      <x:c r="F22" s="30" t="str">
        <x:v>direct</x:v>
      </x:c>
      <x:c r="G22" s="30" t="str">
        <x:v>0</x:v>
      </x:c>
      <x:c r="H22" s="35" t="str"/>
      <x:c r="I22" s="35" t="str">
        <x:v>방법론 설명용 통제 입력; 실제 공시·추정값이 아님</x:v>
      </x:c>
      <x:c r="J22" s="30" t="str">
        <x:v>yes</x:v>
      </x:c>
    </x:row>
    <x:row r="23" ht="15" hidden="0" customHeight="1">
      <x:c r="A23" s="30" t="str">
        <x:v>SYN-B</x:v>
      </x:c>
      <x:c r="B23" s="30" t="str">
        <x:v>cashflow_recovery_ratio</x:v>
      </x:c>
      <x:c r="C23" s="35" t="str">
        <x:v>SYNTHETIC-SYN-B-cashflow_recovery_ratio</x:v>
      </x:c>
      <x:c r="D23" s="30" t="str">
        <x:v>2025-12-31</x:v>
      </x:c>
      <x:c r="E23" s="30" t="str">
        <x:v>SYNTHETIC</x:v>
      </x:c>
      <x:c r="F23" s="30" t="str">
        <x:v>direct</x:v>
      </x:c>
      <x:c r="G23" s="30" t="str">
        <x:v>0</x:v>
      </x:c>
      <x:c r="H23" s="35" t="str"/>
      <x:c r="I23" s="35" t="str">
        <x:v>방법론 설명용 통제 입력; 실제 공시·추정값이 아님</x:v>
      </x:c>
      <x:c r="J23" s="30" t="str">
        <x:v>yes</x:v>
      </x:c>
    </x:row>
    <x:row r="24" ht="15" hidden="0" customHeight="1">
      <x:c r="A24" s="30" t="str">
        <x:v>SYN-B</x:v>
      </x:c>
      <x:c r="B24" s="30" t="str">
        <x:v>cross_market_transfer_index</x:v>
      </x:c>
      <x:c r="C24" s="35" t="str">
        <x:v>SYNTHETIC-SYN-B-cross_market_transfer_index</x:v>
      </x:c>
      <x:c r="D24" s="30" t="str">
        <x:v>2025-12-31</x:v>
      </x:c>
      <x:c r="E24" s="30" t="str">
        <x:v>SYNTHETIC</x:v>
      </x:c>
      <x:c r="F24" s="30" t="str">
        <x:v>derived</x:v>
      </x:c>
      <x:c r="G24" s="30" t="str">
        <x:v>0</x:v>
      </x:c>
      <x:c r="H24" s="35" t="str"/>
      <x:c r="I24" s="35" t="str">
        <x:v>방법론 설명용 통제 입력; 실제 공시·추정값이 아님</x:v>
      </x:c>
      <x:c r="J24" s="30" t="str">
        <x:v>yes</x:v>
      </x:c>
    </x:row>
    <x:row r="25" ht="15" hidden="0" customHeight="1">
      <x:c r="A25" s="30" t="str">
        <x:v>SYN-B</x:v>
      </x:c>
      <x:c r="B25" s="30" t="str">
        <x:v>foreign_dependency_ratio</x:v>
      </x:c>
      <x:c r="C25" s="35" t="str">
        <x:v>SYNTHETIC-SYN-B-foreign_dependency_ratio</x:v>
      </x:c>
      <x:c r="D25" s="30" t="str">
        <x:v>2025-12-31</x:v>
      </x:c>
      <x:c r="E25" s="30" t="str">
        <x:v>SYNTHETIC</x:v>
      </x:c>
      <x:c r="F25" s="30" t="str">
        <x:v>direct</x:v>
      </x:c>
      <x:c r="G25" s="30" t="str">
        <x:v>0</x:v>
      </x:c>
      <x:c r="H25" s="35" t="str"/>
      <x:c r="I25" s="35" t="str">
        <x:v>방법론 설명용 통제 입력; 실제 공시·추정값이 아님</x:v>
      </x:c>
      <x:c r="J25" s="30" t="str">
        <x:v>yes</x:v>
      </x:c>
    </x:row>
    <x:row r="26" ht="15" hidden="0" customHeight="1">
      <x:c r="A26" s="30" t="str">
        <x:v>SYN-B</x:v>
      </x:c>
      <x:c r="B26" s="30" t="str">
        <x:v>outflow_to_capex_ratio</x:v>
      </x:c>
      <x:c r="C26" s="35" t="str">
        <x:v>SYNTHETIC-SYN-B-outflow_to_capex_ratio</x:v>
      </x:c>
      <x:c r="D26" s="30" t="str">
        <x:v>2025-12-31</x:v>
      </x:c>
      <x:c r="E26" s="30" t="str">
        <x:v>SYNTHETIC</x:v>
      </x:c>
      <x:c r="F26" s="30" t="str">
        <x:v>derived</x:v>
      </x:c>
      <x:c r="G26" s="30" t="str">
        <x:v>0</x:v>
      </x:c>
      <x:c r="H26" s="35" t="str"/>
      <x:c r="I26" s="35" t="str">
        <x:v>방법론 설명용 통제 입력; 실제 공시·추정값이 아님</x:v>
      </x:c>
      <x:c r="J26" s="30" t="str">
        <x:v>yes</x:v>
      </x:c>
    </x:row>
    <x:row r="27" ht="15" hidden="0" customHeight="1">
      <x:c r="A27" s="30" t="str">
        <x:v>SYN-C</x:v>
      </x:c>
      <x:c r="B27" s="30" t="str">
        <x:v>effective_tax_rate_gap</x:v>
      </x:c>
      <x:c r="C27" s="35" t="str">
        <x:v>SYNTHETIC-SYN-C-effective_tax_rate_gap</x:v>
      </x:c>
      <x:c r="D27" s="30" t="str">
        <x:v>2025-12-31</x:v>
      </x:c>
      <x:c r="E27" s="30" t="str">
        <x:v>SYNTHETIC</x:v>
      </x:c>
      <x:c r="F27" s="30" t="str">
        <x:v>derived</x:v>
      </x:c>
      <x:c r="G27" s="30" t="str">
        <x:v>0</x:v>
      </x:c>
      <x:c r="H27" s="35" t="str">
        <x:v>BM-DIGITAL-CONTENT-2025Q4</x:v>
      </x:c>
      <x:c r="I27" s="35" t="str">
        <x:v>방법론 설명용 통제 입력; 실제 공시·추정값이 아님</x:v>
      </x:c>
      <x:c r="J27" s="30" t="str">
        <x:v>yes</x:v>
      </x:c>
    </x:row>
    <x:row r="28" ht="15" hidden="0" customHeight="1">
      <x:c r="A28" s="30" t="str">
        <x:v>SYN-C</x:v>
      </x:c>
      <x:c r="B28" s="30" t="str">
        <x:v>network_cost_ratio</x:v>
      </x:c>
      <x:c r="C28" s="35" t="str">
        <x:v>SYNTHETIC-SYN-C-network_cost_ratio</x:v>
      </x:c>
      <x:c r="D28" s="30" t="str">
        <x:v>2025-12-31</x:v>
      </x:c>
      <x:c r="E28" s="30" t="str">
        <x:v>SYNTHETIC</x:v>
      </x:c>
      <x:c r="F28" s="30" t="str">
        <x:v>direct</x:v>
      </x:c>
      <x:c r="G28" s="30" t="str">
        <x:v>0</x:v>
      </x:c>
      <x:c r="H28" s="35" t="str"/>
      <x:c r="I28" s="35" t="str">
        <x:v>방법론 설명용 통제 입력; 실제 공시·추정값이 아님</x:v>
      </x:c>
      <x:c r="J28" s="30" t="str">
        <x:v>yes</x:v>
      </x:c>
    </x:row>
    <x:row r="29" ht="15" hidden="0" customHeight="1">
      <x:c r="A29" s="30" t="str">
        <x:v>SYN-C</x:v>
      </x:c>
      <x:c r="B29" s="30" t="str">
        <x:v>infra_dependency_ratio</x:v>
      </x:c>
      <x:c r="C29" s="35" t="str">
        <x:v>SYNTHETIC-SYN-C-infra_dependency_ratio</x:v>
      </x:c>
      <x:c r="D29" s="30" t="str">
        <x:v>2025-12-31</x:v>
      </x:c>
      <x:c r="E29" s="30" t="str">
        <x:v>SYNTHETIC</x:v>
      </x:c>
      <x:c r="F29" s="30" t="str">
        <x:v>derived</x:v>
      </x:c>
      <x:c r="G29" s="30" t="str">
        <x:v>0</x:v>
      </x:c>
      <x:c r="H29" s="35" t="str"/>
      <x:c r="I29" s="35" t="str">
        <x:v>방법론 설명용 통제 입력; 실제 공시·추정값이 아님</x:v>
      </x:c>
      <x:c r="J29" s="30" t="str">
        <x:v>yes</x:v>
      </x:c>
    </x:row>
    <x:row r="30" ht="15" hidden="0" customHeight="1">
      <x:c r="A30" s="30" t="str">
        <x:v>SYN-C</x:v>
      </x:c>
      <x:c r="B30" s="30" t="str">
        <x:v>funding_cost_spread</x:v>
      </x:c>
      <x:c r="C30" s="35" t="str">
        <x:v>SYNTHETIC-SYN-C-funding_cost_spread</x:v>
      </x:c>
      <x:c r="D30" s="30" t="str">
        <x:v>2025-12-31</x:v>
      </x:c>
      <x:c r="E30" s="30" t="str">
        <x:v>SYNTHETIC</x:v>
      </x:c>
      <x:c r="F30" s="30" t="str">
        <x:v>derived</x:v>
      </x:c>
      <x:c r="G30" s="30" t="str">
        <x:v>0</x:v>
      </x:c>
      <x:c r="H30" s="35" t="str">
        <x:v>BM-DIGITAL-CONTENT-2025Q4</x:v>
      </x:c>
      <x:c r="I30" s="35" t="str">
        <x:v>방법론 설명용 통제 입력; 실제 공시·추정값이 아님</x:v>
      </x:c>
      <x:c r="J30" s="30" t="str">
        <x:v>yes</x:v>
      </x:c>
    </x:row>
    <x:row r="31" ht="15" hidden="0" customHeight="1">
      <x:c r="A31" s="30" t="str">
        <x:v>SYN-C</x:v>
      </x:c>
      <x:c r="B31" s="30" t="str">
        <x:v>ip_assetization_gap</x:v>
      </x:c>
      <x:c r="C31" s="35" t="str">
        <x:v>SYNTHETIC-SYN-C-ip_assetization_gap</x:v>
      </x:c>
      <x:c r="D31" s="30" t="str">
        <x:v>2025-12-31</x:v>
      </x:c>
      <x:c r="E31" s="30" t="str">
        <x:v>SYNTHETIC</x:v>
      </x:c>
      <x:c r="F31" s="30" t="str">
        <x:v>derived</x:v>
      </x:c>
      <x:c r="G31" s="30" t="str">
        <x:v>0</x:v>
      </x:c>
      <x:c r="H31" s="35" t="str">
        <x:v>BM-DIGITAL-CONTENT-2025Q4</x:v>
      </x:c>
      <x:c r="I31" s="35" t="str">
        <x:v>방법론 설명용 통제 입력; 실제 공시·추정값이 아님</x:v>
      </x:c>
      <x:c r="J31" s="30" t="str">
        <x:v>yes</x:v>
      </x:c>
    </x:row>
    <x:row r="32" ht="15" hidden="0" customHeight="1">
      <x:c r="A32" s="30" t="str">
        <x:v>SYN-C</x:v>
      </x:c>
      <x:c r="B32" s="30" t="str">
        <x:v>investment_recovery_ratio</x:v>
      </x:c>
      <x:c r="C32" s="35" t="str">
        <x:v>SYNTHETIC-SYN-C-investment_recovery_ratio</x:v>
      </x:c>
      <x:c r="D32" s="30" t="str">
        <x:v>2025-12-31</x:v>
      </x:c>
      <x:c r="E32" s="30" t="str">
        <x:v>SYNTHETIC</x:v>
      </x:c>
      <x:c r="F32" s="30" t="str">
        <x:v>direct</x:v>
      </x:c>
      <x:c r="G32" s="30" t="str">
        <x:v>0</x:v>
      </x:c>
      <x:c r="H32" s="35" t="str"/>
      <x:c r="I32" s="35" t="str">
        <x:v>방법론 설명용 통제 입력; 실제 공시·추정값이 아님</x:v>
      </x:c>
      <x:c r="J32" s="30" t="str">
        <x:v>yes</x:v>
      </x:c>
    </x:row>
    <x:row r="33" ht="15" hidden="0" customHeight="1">
      <x:c r="A33" s="30" t="str">
        <x:v>SYN-C</x:v>
      </x:c>
      <x:c r="B33" s="30" t="str">
        <x:v>cashflow_recovery_ratio</x:v>
      </x:c>
      <x:c r="C33" s="35" t="str">
        <x:v>SYNTHETIC-SYN-C-cashflow_recovery_ratio</x:v>
      </x:c>
      <x:c r="D33" s="30" t="str">
        <x:v>2025-12-31</x:v>
      </x:c>
      <x:c r="E33" s="30" t="str">
        <x:v>SYNTHETIC</x:v>
      </x:c>
      <x:c r="F33" s="30" t="str">
        <x:v>direct</x:v>
      </x:c>
      <x:c r="G33" s="30" t="str">
        <x:v>0</x:v>
      </x:c>
      <x:c r="H33" s="35" t="str"/>
      <x:c r="I33" s="35" t="str">
        <x:v>방법론 설명용 통제 입력; 실제 공시·추정값이 아님</x:v>
      </x:c>
      <x:c r="J33" s="30" t="str">
        <x:v>yes</x:v>
      </x:c>
    </x:row>
    <x:row r="34" ht="15" hidden="0" customHeight="1">
      <x:c r="A34" s="30" t="str">
        <x:v>SYN-C</x:v>
      </x:c>
      <x:c r="B34" s="30" t="str">
        <x:v>cross_market_transfer_index</x:v>
      </x:c>
      <x:c r="C34" s="35" t="str">
        <x:v>SYNTHETIC-SYN-C-cross_market_transfer_index</x:v>
      </x:c>
      <x:c r="D34" s="30" t="str">
        <x:v>2025-12-31</x:v>
      </x:c>
      <x:c r="E34" s="30" t="str">
        <x:v>SYNTHETIC</x:v>
      </x:c>
      <x:c r="F34" s="30" t="str">
        <x:v>derived</x:v>
      </x:c>
      <x:c r="G34" s="30" t="str">
        <x:v>0</x:v>
      </x:c>
      <x:c r="H34" s="35" t="str"/>
      <x:c r="I34" s="35" t="str">
        <x:v>방법론 설명용 통제 입력; 실제 공시·추정값이 아님</x:v>
      </x:c>
      <x:c r="J34" s="30" t="str">
        <x:v>yes</x:v>
      </x:c>
    </x:row>
    <x:row r="35" ht="15" hidden="0" customHeight="1">
      <x:c r="A35" s="30" t="str">
        <x:v>SYN-C</x:v>
      </x:c>
      <x:c r="B35" s="30" t="str">
        <x:v>foreign_dependency_ratio</x:v>
      </x:c>
      <x:c r="C35" s="35" t="str">
        <x:v>SYNTHETIC-SYN-C-foreign_dependency_ratio</x:v>
      </x:c>
      <x:c r="D35" s="30" t="str">
        <x:v>2025-12-31</x:v>
      </x:c>
      <x:c r="E35" s="30" t="str">
        <x:v>SYNTHETIC</x:v>
      </x:c>
      <x:c r="F35" s="30" t="str">
        <x:v>direct</x:v>
      </x:c>
      <x:c r="G35" s="30" t="str">
        <x:v>0</x:v>
      </x:c>
      <x:c r="H35" s="35" t="str"/>
      <x:c r="I35" s="35" t="str">
        <x:v>방법론 설명용 통제 입력; 실제 공시·추정값이 아님</x:v>
      </x:c>
      <x:c r="J35" s="30" t="str">
        <x:v>yes</x:v>
      </x:c>
    </x:row>
    <x:row r="36" ht="15" hidden="0" customHeight="1">
      <x:c r="A36" s="30" t="str">
        <x:v>SYN-C</x:v>
      </x:c>
      <x:c r="B36" s="30" t="str">
        <x:v>outflow_to_capex_ratio</x:v>
      </x:c>
      <x:c r="C36" s="35" t="str">
        <x:v>SYNTHETIC-SYN-C-outflow_to_capex_ratio</x:v>
      </x:c>
      <x:c r="D36" s="30" t="str">
        <x:v>2025-12-31</x:v>
      </x:c>
      <x:c r="E36" s="30" t="str">
        <x:v>SYNTHETIC</x:v>
      </x:c>
      <x:c r="F36" s="30" t="str">
        <x:v>derived</x:v>
      </x:c>
      <x:c r="G36" s="30" t="str">
        <x:v>0</x:v>
      </x:c>
      <x:c r="H36" s="35" t="str"/>
      <x:c r="I36" s="35" t="str">
        <x:v>방법론 설명용 통제 입력; 실제 공시·추정값이 아님</x:v>
      </x:c>
      <x:c r="J36" s="30" t="str">
        <x:v>yes</x:v>
      </x:c>
    </x:row>
    <x:row r="37" ht="15" hidden="0" customHeight="1">
      <x:c r="A37" s="30" t="str">
        <x:v>SYN-D</x:v>
      </x:c>
      <x:c r="B37" s="30" t="str">
        <x:v>effective_tax_rate_gap</x:v>
      </x:c>
      <x:c r="C37" s="35" t="str">
        <x:v>SYNTHETIC-SYN-D-effective_tax_rate_gap</x:v>
      </x:c>
      <x:c r="D37" s="30" t="str">
        <x:v>2025-12-31</x:v>
      </x:c>
      <x:c r="E37" s="30" t="str">
        <x:v>SYNTHETIC</x:v>
      </x:c>
      <x:c r="F37" s="30" t="str">
        <x:v>derived</x:v>
      </x:c>
      <x:c r="G37" s="30" t="str">
        <x:v>0</x:v>
      </x:c>
      <x:c r="H37" s="35" t="str">
        <x:v>BM-DIGITAL-CONTENT-2025Q4</x:v>
      </x:c>
      <x:c r="I37" s="35" t="str">
        <x:v>방법론 설명용 통제 입력; 실제 공시·추정값이 아님</x:v>
      </x:c>
      <x:c r="J37" s="30" t="str">
        <x:v>yes</x:v>
      </x:c>
    </x:row>
    <x:row r="38" ht="15" hidden="0" customHeight="1">
      <x:c r="A38" s="30" t="str">
        <x:v>SYN-D</x:v>
      </x:c>
      <x:c r="B38" s="30" t="str">
        <x:v>network_cost_ratio</x:v>
      </x:c>
      <x:c r="C38" s="35" t="str">
        <x:v>SYNTHETIC-SYN-D-network_cost_ratio</x:v>
      </x:c>
      <x:c r="D38" s="30" t="str">
        <x:v>2025-12-31</x:v>
      </x:c>
      <x:c r="E38" s="30" t="str">
        <x:v>SYNTHETIC</x:v>
      </x:c>
      <x:c r="F38" s="30" t="str">
        <x:v>direct</x:v>
      </x:c>
      <x:c r="G38" s="30" t="str">
        <x:v>0</x:v>
      </x:c>
      <x:c r="H38" s="35" t="str"/>
      <x:c r="I38" s="35" t="str">
        <x:v>방법론 설명용 통제 입력; 실제 공시·추정값이 아님</x:v>
      </x:c>
      <x:c r="J38" s="30" t="str">
        <x:v>yes</x:v>
      </x:c>
    </x:row>
    <x:row r="39" ht="15" hidden="0" customHeight="1">
      <x:c r="A39" s="30" t="str">
        <x:v>SYN-D</x:v>
      </x:c>
      <x:c r="B39" s="30" t="str">
        <x:v>infra_dependency_ratio</x:v>
      </x:c>
      <x:c r="C39" s="35" t="str">
        <x:v>SYNTHETIC-SYN-D-infra_dependency_ratio</x:v>
      </x:c>
      <x:c r="D39" s="30" t="str">
        <x:v>2025-12-31</x:v>
      </x:c>
      <x:c r="E39" s="30" t="str">
        <x:v>SYNTHETIC</x:v>
      </x:c>
      <x:c r="F39" s="30" t="str">
        <x:v>derived</x:v>
      </x:c>
      <x:c r="G39" s="30" t="str">
        <x:v>0</x:v>
      </x:c>
      <x:c r="H39" s="35" t="str"/>
      <x:c r="I39" s="35" t="str">
        <x:v>방법론 설명용 통제 입력; 실제 공시·추정값이 아님</x:v>
      </x:c>
      <x:c r="J39" s="30" t="str">
        <x:v>yes</x:v>
      </x:c>
    </x:row>
    <x:row r="40" ht="15" hidden="0" customHeight="1">
      <x:c r="A40" s="30" t="str">
        <x:v>SYN-D</x:v>
      </x:c>
      <x:c r="B40" s="30" t="str">
        <x:v>funding_cost_spread</x:v>
      </x:c>
      <x:c r="C40" s="35" t="str">
        <x:v>SYNTHETIC-SYN-D-funding_cost_spread</x:v>
      </x:c>
      <x:c r="D40" s="30" t="str">
        <x:v>2025-12-31</x:v>
      </x:c>
      <x:c r="E40" s="30" t="str">
        <x:v>SYNTHETIC</x:v>
      </x:c>
      <x:c r="F40" s="30" t="str">
        <x:v>derived</x:v>
      </x:c>
      <x:c r="G40" s="30" t="str">
        <x:v>0</x:v>
      </x:c>
      <x:c r="H40" s="35" t="str">
        <x:v>BM-DIGITAL-CONTENT-2025Q4</x:v>
      </x:c>
      <x:c r="I40" s="35" t="str">
        <x:v>방법론 설명용 통제 입력; 실제 공시·추정값이 아님</x:v>
      </x:c>
      <x:c r="J40" s="30" t="str">
        <x:v>yes</x:v>
      </x:c>
    </x:row>
    <x:row r="41" ht="15" hidden="0" customHeight="1">
      <x:c r="A41" s="30" t="str">
        <x:v>SYN-D</x:v>
      </x:c>
      <x:c r="B41" s="30" t="str">
        <x:v>ip_assetization_gap</x:v>
      </x:c>
      <x:c r="C41" s="35" t="str">
        <x:v>SYNTHETIC-SYN-D-ip_assetization_gap</x:v>
      </x:c>
      <x:c r="D41" s="30" t="str">
        <x:v>2025-12-31</x:v>
      </x:c>
      <x:c r="E41" s="30" t="str">
        <x:v>SYNTHETIC</x:v>
      </x:c>
      <x:c r="F41" s="30" t="str">
        <x:v>derived</x:v>
      </x:c>
      <x:c r="G41" s="30" t="str">
        <x:v>0</x:v>
      </x:c>
      <x:c r="H41" s="35" t="str">
        <x:v>BM-DIGITAL-CONTENT-2025Q4</x:v>
      </x:c>
      <x:c r="I41" s="35" t="str">
        <x:v>방법론 설명용 통제 입력; 실제 공시·추정값이 아님</x:v>
      </x:c>
      <x:c r="J41" s="30" t="str">
        <x:v>yes</x:v>
      </x:c>
    </x:row>
    <x:row r="42" ht="15" hidden="0" customHeight="1">
      <x:c r="A42" s="30" t="str">
        <x:v>SYN-D</x:v>
      </x:c>
      <x:c r="B42" s="30" t="str">
        <x:v>investment_recovery_ratio</x:v>
      </x:c>
      <x:c r="C42" s="35" t="str">
        <x:v>SYNTHETIC-SYN-D-investment_recovery_ratio</x:v>
      </x:c>
      <x:c r="D42" s="30" t="str">
        <x:v>2025-12-31</x:v>
      </x:c>
      <x:c r="E42" s="30" t="str">
        <x:v>SYNTHETIC</x:v>
      </x:c>
      <x:c r="F42" s="30" t="str">
        <x:v>direct</x:v>
      </x:c>
      <x:c r="G42" s="30" t="str">
        <x:v>0</x:v>
      </x:c>
      <x:c r="H42" s="35" t="str"/>
      <x:c r="I42" s="35" t="str">
        <x:v>방법론 설명용 통제 입력; 실제 공시·추정값이 아님</x:v>
      </x:c>
      <x:c r="J42" s="30" t="str">
        <x:v>yes</x:v>
      </x:c>
    </x:row>
    <x:row r="43" ht="15" hidden="0" customHeight="1">
      <x:c r="A43" s="30" t="str">
        <x:v>SYN-D</x:v>
      </x:c>
      <x:c r="B43" s="30" t="str">
        <x:v>cashflow_recovery_ratio</x:v>
      </x:c>
      <x:c r="C43" s="35" t="str">
        <x:v>SYNTHETIC-SYN-D-cashflow_recovery_ratio</x:v>
      </x:c>
      <x:c r="D43" s="30" t="str">
        <x:v>2025-12-31</x:v>
      </x:c>
      <x:c r="E43" s="30" t="str">
        <x:v>SYNTHETIC</x:v>
      </x:c>
      <x:c r="F43" s="30" t="str">
        <x:v>direct</x:v>
      </x:c>
      <x:c r="G43" s="30" t="str">
        <x:v>0</x:v>
      </x:c>
      <x:c r="H43" s="35" t="str"/>
      <x:c r="I43" s="35" t="str">
        <x:v>방법론 설명용 통제 입력; 실제 공시·추정값이 아님</x:v>
      </x:c>
      <x:c r="J43" s="30" t="str">
        <x:v>yes</x:v>
      </x:c>
    </x:row>
    <x:row r="44" ht="15" hidden="0" customHeight="1">
      <x:c r="A44" s="30" t="str">
        <x:v>SYN-D</x:v>
      </x:c>
      <x:c r="B44" s="30" t="str">
        <x:v>cross_market_transfer_index</x:v>
      </x:c>
      <x:c r="C44" s="35" t="str">
        <x:v>SYNTHETIC-SYN-D-cross_market_transfer_index</x:v>
      </x:c>
      <x:c r="D44" s="30" t="str">
        <x:v>2025-12-31</x:v>
      </x:c>
      <x:c r="E44" s="30" t="str">
        <x:v>SYNTHETIC</x:v>
      </x:c>
      <x:c r="F44" s="30" t="str">
        <x:v>derived</x:v>
      </x:c>
      <x:c r="G44" s="30" t="str">
        <x:v>0</x:v>
      </x:c>
      <x:c r="H44" s="35" t="str"/>
      <x:c r="I44" s="35" t="str">
        <x:v>방법론 설명용 통제 입력; 실제 공시·추정값이 아님</x:v>
      </x:c>
      <x:c r="J44" s="30" t="str">
        <x:v>yes</x:v>
      </x:c>
    </x:row>
    <x:row r="45" ht="15" hidden="0" customHeight="1">
      <x:c r="A45" s="30" t="str">
        <x:v>SYN-D</x:v>
      </x:c>
      <x:c r="B45" s="30" t="str">
        <x:v>foreign_dependency_ratio</x:v>
      </x:c>
      <x:c r="C45" s="35" t="str">
        <x:v>SYNTHETIC-SYN-D-foreign_dependency_ratio</x:v>
      </x:c>
      <x:c r="D45" s="30" t="str">
        <x:v>2025-12-31</x:v>
      </x:c>
      <x:c r="E45" s="30" t="str">
        <x:v>SYNTHETIC</x:v>
      </x:c>
      <x:c r="F45" s="30" t="str">
        <x:v>direct</x:v>
      </x:c>
      <x:c r="G45" s="30" t="str">
        <x:v>0</x:v>
      </x:c>
      <x:c r="H45" s="35" t="str"/>
      <x:c r="I45" s="35" t="str">
        <x:v>방법론 설명용 통제 입력; 실제 공시·추정값이 아님</x:v>
      </x:c>
      <x:c r="J45" s="30" t="str">
        <x:v>yes</x:v>
      </x:c>
    </x:row>
    <x:row r="46" ht="15" hidden="0" customHeight="1">
      <x:c r="A46" s="30" t="str">
        <x:v>SYN-D</x:v>
      </x:c>
      <x:c r="B46" s="30" t="str">
        <x:v>outflow_to_capex_ratio</x:v>
      </x:c>
      <x:c r="C46" s="35" t="str">
        <x:v>SYNTHETIC-SYN-D-outflow_to_capex_ratio</x:v>
      </x:c>
      <x:c r="D46" s="30" t="str">
        <x:v>2025-12-31</x:v>
      </x:c>
      <x:c r="E46" s="30" t="str">
        <x:v>SYNTHETIC</x:v>
      </x:c>
      <x:c r="F46" s="30" t="str">
        <x:v>derived</x:v>
      </x:c>
      <x:c r="G46" s="30" t="str">
        <x:v>0</x:v>
      </x:c>
      <x:c r="H46" s="35" t="str"/>
      <x:c r="I46" s="35" t="str">
        <x:v>방법론 설명용 통제 입력; 실제 공시·추정값이 아님</x:v>
      </x:c>
      <x:c r="J46" s="30" t="str">
        <x:v>yes</x:v>
      </x:c>
    </x:row>
    <x:row r="47">
      <x:c r="A47" s="30"/>
      <x:c r="B47" s="30"/>
      <x:c r="C47" s="35"/>
      <x:c r="D47" s="30"/>
      <x:c r="E47" s="30"/>
      <x:c r="F47" s="30"/>
      <x:c r="G47" s="30"/>
      <x:c r="H47" s="35"/>
      <x:c r="I47" s="35"/>
      <x:c r="J47" s="30"/>
    </x:row>
    <x:row r="48">
      <x:c r="A48" s="30"/>
      <x:c r="B48" s="30"/>
      <x:c r="C48" s="35"/>
      <x:c r="D48" s="30"/>
      <x:c r="E48" s="30"/>
      <x:c r="F48" s="30"/>
      <x:c r="G48" s="30"/>
      <x:c r="H48" s="35"/>
      <x:c r="I48" s="35"/>
      <x:c r="J48" s="30"/>
    </x:row>
    <x:row r="49">
      <x:c r="A49" s="30"/>
      <x:c r="B49" s="30"/>
      <x:c r="C49" s="35"/>
      <x:c r="D49" s="30"/>
      <x:c r="E49" s="30"/>
      <x:c r="F49" s="30"/>
      <x:c r="G49" s="30"/>
      <x:c r="H49" s="35"/>
      <x:c r="I49" s="35"/>
      <x:c r="J49" s="30"/>
    </x:row>
    <x:row r="50">
      <x:c r="A50" s="30"/>
      <x:c r="B50" s="30"/>
      <x:c r="C50" s="35"/>
      <x:c r="D50" s="30"/>
      <x:c r="E50" s="30"/>
      <x:c r="F50" s="30"/>
      <x:c r="G50" s="30"/>
      <x:c r="H50" s="35"/>
      <x:c r="I50" s="35"/>
      <x:c r="J50" s="30"/>
    </x:row>
    <x:row r="51">
      <x:c r="A51" s="30"/>
      <x:c r="B51" s="30"/>
      <x:c r="C51" s="35"/>
      <x:c r="D51" s="30"/>
      <x:c r="E51" s="30"/>
      <x:c r="F51" s="30"/>
      <x:c r="G51" s="30"/>
      <x:c r="H51" s="35"/>
      <x:c r="I51" s="35"/>
      <x:c r="J51" s="30"/>
    </x:row>
    <x:row r="52">
      <x:c r="A52" s="30"/>
      <x:c r="B52" s="30"/>
      <x:c r="C52" s="35"/>
      <x:c r="D52" s="30"/>
      <x:c r="E52" s="30"/>
      <x:c r="F52" s="30"/>
      <x:c r="G52" s="30"/>
      <x:c r="H52" s="35"/>
      <x:c r="I52" s="35"/>
      <x:c r="J52" s="30"/>
    </x:row>
    <x:row r="53">
      <x:c r="A53" s="30"/>
      <x:c r="B53" s="30"/>
      <x:c r="C53" s="35"/>
      <x:c r="D53" s="30"/>
      <x:c r="E53" s="30"/>
      <x:c r="F53" s="30"/>
      <x:c r="G53" s="30"/>
      <x:c r="H53" s="35"/>
      <x:c r="I53" s="35"/>
      <x:c r="J53" s="30"/>
    </x:row>
    <x:row r="54">
      <x:c r="A54" s="30"/>
      <x:c r="B54" s="30"/>
      <x:c r="C54" s="35"/>
      <x:c r="D54" s="30"/>
      <x:c r="E54" s="30"/>
      <x:c r="F54" s="30"/>
      <x:c r="G54" s="30"/>
      <x:c r="H54" s="35"/>
      <x:c r="I54" s="35"/>
      <x:c r="J54" s="30"/>
    </x:row>
    <x:row r="55">
      <x:c r="A55" s="30"/>
      <x:c r="B55" s="30"/>
      <x:c r="C55" s="35"/>
      <x:c r="D55" s="30"/>
      <x:c r="E55" s="30"/>
      <x:c r="F55" s="30"/>
      <x:c r="G55" s="30"/>
      <x:c r="H55" s="35"/>
      <x:c r="I55" s="35"/>
      <x:c r="J55" s="30"/>
    </x:row>
    <x:row r="56">
      <x:c r="A56" s="30"/>
      <x:c r="B56" s="30"/>
      <x:c r="C56" s="35"/>
      <x:c r="D56" s="30"/>
      <x:c r="E56" s="30"/>
      <x:c r="F56" s="30"/>
      <x:c r="G56" s="30"/>
      <x:c r="H56" s="35"/>
      <x:c r="I56" s="35"/>
      <x:c r="J56" s="30"/>
    </x:row>
    <x:row r="57">
      <x:c r="A57" s="30"/>
      <x:c r="B57" s="30"/>
      <x:c r="C57" s="35"/>
      <x:c r="D57" s="30"/>
      <x:c r="E57" s="30"/>
      <x:c r="F57" s="30"/>
      <x:c r="G57" s="30"/>
      <x:c r="H57" s="35"/>
      <x:c r="I57" s="35"/>
      <x:c r="J57" s="30"/>
    </x:row>
    <x:row r="58">
      <x:c r="A58" s="30"/>
      <x:c r="B58" s="30"/>
      <x:c r="C58" s="35"/>
      <x:c r="D58" s="30"/>
      <x:c r="E58" s="30"/>
      <x:c r="F58" s="30"/>
      <x:c r="G58" s="30"/>
      <x:c r="H58" s="35"/>
      <x:c r="I58" s="35"/>
      <x:c r="J58" s="30"/>
    </x:row>
    <x:row r="59">
      <x:c r="A59" s="30"/>
      <x:c r="B59" s="30"/>
      <x:c r="C59" s="35"/>
      <x:c r="D59" s="30"/>
      <x:c r="E59" s="30"/>
      <x:c r="F59" s="30"/>
      <x:c r="G59" s="30"/>
      <x:c r="H59" s="35"/>
      <x:c r="I59" s="35"/>
      <x:c r="J59" s="30"/>
    </x:row>
    <x:row r="60">
      <x:c r="A60" s="30"/>
      <x:c r="B60" s="30"/>
      <x:c r="C60" s="35"/>
      <x:c r="D60" s="30"/>
      <x:c r="E60" s="30"/>
      <x:c r="F60" s="30"/>
      <x:c r="G60" s="30"/>
      <x:c r="H60" s="35"/>
      <x:c r="I60" s="35"/>
      <x:c r="J60" s="30"/>
    </x:row>
    <x:row r="61">
      <x:c r="A61" s="30"/>
      <x:c r="B61" s="30"/>
      <x:c r="C61" s="35"/>
      <x:c r="D61" s="30"/>
      <x:c r="E61" s="30"/>
      <x:c r="F61" s="30"/>
      <x:c r="G61" s="30"/>
      <x:c r="H61" s="35"/>
      <x:c r="I61" s="35"/>
      <x:c r="J61" s="30"/>
    </x:row>
    <x:row r="62">
      <x:c r="A62" s="30"/>
      <x:c r="B62" s="30"/>
      <x:c r="C62" s="35"/>
      <x:c r="D62" s="30"/>
      <x:c r="E62" s="30"/>
      <x:c r="F62" s="30"/>
      <x:c r="G62" s="30"/>
      <x:c r="H62" s="35"/>
      <x:c r="I62" s="35"/>
      <x:c r="J62" s="30"/>
    </x:row>
    <x:row r="63">
      <x:c r="A63" s="30"/>
      <x:c r="B63" s="30"/>
      <x:c r="C63" s="35"/>
      <x:c r="D63" s="30"/>
      <x:c r="E63" s="30"/>
      <x:c r="F63" s="30"/>
      <x:c r="G63" s="30"/>
      <x:c r="H63" s="35"/>
      <x:c r="I63" s="35"/>
      <x:c r="J63" s="30"/>
    </x:row>
    <x:row r="64">
      <x:c r="A64" s="30"/>
      <x:c r="B64" s="30"/>
      <x:c r="C64" s="35"/>
      <x:c r="D64" s="30"/>
      <x:c r="E64" s="30"/>
      <x:c r="F64" s="30"/>
      <x:c r="G64" s="30"/>
      <x:c r="H64" s="35"/>
      <x:c r="I64" s="35"/>
      <x:c r="J64" s="30"/>
    </x:row>
    <x:row r="65">
      <x:c r="A65" s="30"/>
      <x:c r="B65" s="30"/>
      <x:c r="C65" s="35"/>
      <x:c r="D65" s="30"/>
      <x:c r="E65" s="30"/>
      <x:c r="F65" s="30"/>
      <x:c r="G65" s="30"/>
      <x:c r="H65" s="35"/>
      <x:c r="I65" s="35"/>
      <x:c r="J65" s="30"/>
    </x:row>
    <x:row r="66">
      <x:c r="A66" s="30"/>
      <x:c r="B66" s="30"/>
      <x:c r="C66" s="35"/>
      <x:c r="D66" s="30"/>
      <x:c r="E66" s="30"/>
      <x:c r="F66" s="30"/>
      <x:c r="G66" s="30"/>
      <x:c r="H66" s="35"/>
      <x:c r="I66" s="35"/>
      <x:c r="J66" s="30"/>
    </x:row>
    <x:row r="67">
      <x:c r="A67" s="30"/>
      <x:c r="B67" s="30"/>
      <x:c r="C67" s="35"/>
      <x:c r="D67" s="30"/>
      <x:c r="E67" s="30"/>
      <x:c r="F67" s="30"/>
      <x:c r="G67" s="30"/>
      <x:c r="H67" s="35"/>
      <x:c r="I67" s="35"/>
      <x:c r="J67" s="30"/>
    </x:row>
    <x:row r="68">
      <x:c r="A68" s="30"/>
      <x:c r="B68" s="30"/>
      <x:c r="C68" s="35"/>
      <x:c r="D68" s="30"/>
      <x:c r="E68" s="30"/>
      <x:c r="F68" s="30"/>
      <x:c r="G68" s="30"/>
      <x:c r="H68" s="35"/>
      <x:c r="I68" s="35"/>
      <x:c r="J68" s="30"/>
    </x:row>
    <x:row r="69">
      <x:c r="A69" s="30"/>
      <x:c r="B69" s="30"/>
      <x:c r="C69" s="35"/>
      <x:c r="D69" s="30"/>
      <x:c r="E69" s="30"/>
      <x:c r="F69" s="30"/>
      <x:c r="G69" s="30"/>
      <x:c r="H69" s="35"/>
      <x:c r="I69" s="35"/>
      <x:c r="J69" s="30"/>
    </x:row>
    <x:row r="70">
      <x:c r="A70" s="30"/>
      <x:c r="B70" s="30"/>
      <x:c r="C70" s="35"/>
      <x:c r="D70" s="30"/>
      <x:c r="E70" s="30"/>
      <x:c r="F70" s="30"/>
      <x:c r="G70" s="30"/>
      <x:c r="H70" s="35"/>
      <x:c r="I70" s="35"/>
      <x:c r="J70" s="30"/>
    </x:row>
    <x:row r="71">
      <x:c r="A71" s="30"/>
      <x:c r="B71" s="30"/>
      <x:c r="C71" s="35"/>
      <x:c r="D71" s="30"/>
      <x:c r="E71" s="30"/>
      <x:c r="F71" s="30"/>
      <x:c r="G71" s="30"/>
      <x:c r="H71" s="35"/>
      <x:c r="I71" s="35"/>
      <x:c r="J71" s="30"/>
    </x:row>
    <x:row r="72">
      <x:c r="A72" s="30"/>
      <x:c r="B72" s="30"/>
      <x:c r="C72" s="35"/>
      <x:c r="D72" s="30"/>
      <x:c r="E72" s="30"/>
      <x:c r="F72" s="30"/>
      <x:c r="G72" s="30"/>
      <x:c r="H72" s="35"/>
      <x:c r="I72" s="35"/>
      <x:c r="J72" s="30"/>
    </x:row>
    <x:row r="73">
      <x:c r="A73" s="30"/>
      <x:c r="B73" s="30"/>
      <x:c r="C73" s="35"/>
      <x:c r="D73" s="30"/>
      <x:c r="E73" s="30"/>
      <x:c r="F73" s="30"/>
      <x:c r="G73" s="30"/>
      <x:c r="H73" s="35"/>
      <x:c r="I73" s="35"/>
      <x:c r="J73" s="30"/>
    </x:row>
    <x:row r="74">
      <x:c r="A74" s="30"/>
      <x:c r="B74" s="30"/>
      <x:c r="C74" s="35"/>
      <x:c r="D74" s="30"/>
      <x:c r="E74" s="30"/>
      <x:c r="F74" s="30"/>
      <x:c r="G74" s="30"/>
      <x:c r="H74" s="35"/>
      <x:c r="I74" s="35"/>
      <x:c r="J74" s="30"/>
    </x:row>
    <x:row r="75">
      <x:c r="A75" s="30"/>
      <x:c r="B75" s="30"/>
      <x:c r="C75" s="35"/>
      <x:c r="D75" s="30"/>
      <x:c r="E75" s="30"/>
      <x:c r="F75" s="30"/>
      <x:c r="G75" s="30"/>
      <x:c r="H75" s="35"/>
      <x:c r="I75" s="35"/>
      <x:c r="J75" s="30"/>
    </x:row>
    <x:row r="76">
      <x:c r="A76" s="30"/>
      <x:c r="B76" s="30"/>
      <x:c r="C76" s="35"/>
      <x:c r="D76" s="30"/>
      <x:c r="E76" s="30"/>
      <x:c r="F76" s="30"/>
      <x:c r="G76" s="30"/>
      <x:c r="H76" s="35"/>
      <x:c r="I76" s="35"/>
      <x:c r="J76" s="30"/>
    </x:row>
    <x:row r="77">
      <x:c r="A77" s="30"/>
      <x:c r="B77" s="30"/>
      <x:c r="C77" s="35"/>
      <x:c r="D77" s="30"/>
      <x:c r="E77" s="30"/>
      <x:c r="F77" s="30"/>
      <x:c r="G77" s="30"/>
      <x:c r="H77" s="35"/>
      <x:c r="I77" s="35"/>
      <x:c r="J77" s="30"/>
    </x:row>
    <x:row r="78">
      <x:c r="A78" s="30"/>
      <x:c r="B78" s="30"/>
      <x:c r="C78" s="35"/>
      <x:c r="D78" s="30"/>
      <x:c r="E78" s="30"/>
      <x:c r="F78" s="30"/>
      <x:c r="G78" s="30"/>
      <x:c r="H78" s="35"/>
      <x:c r="I78" s="35"/>
      <x:c r="J78" s="30"/>
    </x:row>
    <x:row r="79">
      <x:c r="A79" s="30"/>
      <x:c r="B79" s="30"/>
      <x:c r="C79" s="35"/>
      <x:c r="D79" s="30"/>
      <x:c r="E79" s="30"/>
      <x:c r="F79" s="30"/>
      <x:c r="G79" s="30"/>
      <x:c r="H79" s="35"/>
      <x:c r="I79" s="35"/>
      <x:c r="J79" s="30"/>
    </x:row>
    <x:row r="80">
      <x:c r="A80" s="30"/>
      <x:c r="B80" s="30"/>
      <x:c r="C80" s="35"/>
      <x:c r="D80" s="30"/>
      <x:c r="E80" s="30"/>
      <x:c r="F80" s="30"/>
      <x:c r="G80" s="30"/>
      <x:c r="H80" s="35"/>
      <x:c r="I80" s="35"/>
      <x:c r="J80" s="30"/>
    </x:row>
    <x:row r="81">
      <x:c r="A81" s="30"/>
      <x:c r="B81" s="30"/>
      <x:c r="C81" s="35"/>
      <x:c r="D81" s="30"/>
      <x:c r="E81" s="30"/>
      <x:c r="F81" s="30"/>
      <x:c r="G81" s="30"/>
      <x:c r="H81" s="35"/>
      <x:c r="I81" s="35"/>
      <x:c r="J81" s="30"/>
    </x:row>
    <x:row r="82">
      <x:c r="A82" s="30"/>
      <x:c r="B82" s="30"/>
      <x:c r="C82" s="35"/>
      <x:c r="D82" s="30"/>
      <x:c r="E82" s="30"/>
      <x:c r="F82" s="30"/>
      <x:c r="G82" s="30"/>
      <x:c r="H82" s="35"/>
      <x:c r="I82" s="35"/>
      <x:c r="J82" s="30"/>
    </x:row>
    <x:row r="83">
      <x:c r="A83" s="30"/>
      <x:c r="B83" s="30"/>
      <x:c r="C83" s="35"/>
      <x:c r="D83" s="30"/>
      <x:c r="E83" s="30"/>
      <x:c r="F83" s="30"/>
      <x:c r="G83" s="30"/>
      <x:c r="H83" s="35"/>
      <x:c r="I83" s="35"/>
      <x:c r="J83" s="30"/>
    </x:row>
    <x:row r="84">
      <x:c r="A84" s="30"/>
      <x:c r="B84" s="30"/>
      <x:c r="C84" s="35"/>
      <x:c r="D84" s="30"/>
      <x:c r="E84" s="30"/>
      <x:c r="F84" s="30"/>
      <x:c r="G84" s="30"/>
      <x:c r="H84" s="35"/>
      <x:c r="I84" s="35"/>
      <x:c r="J84" s="30"/>
    </x:row>
    <x:row r="85">
      <x:c r="A85" s="30"/>
      <x:c r="B85" s="30"/>
      <x:c r="C85" s="35"/>
      <x:c r="D85" s="30"/>
      <x:c r="E85" s="30"/>
      <x:c r="F85" s="30"/>
      <x:c r="G85" s="30"/>
      <x:c r="H85" s="35"/>
      <x:c r="I85" s="35"/>
      <x:c r="J85" s="30"/>
    </x:row>
    <x:row r="86">
      <x:c r="A86" s="30"/>
      <x:c r="B86" s="30"/>
      <x:c r="C86" s="35"/>
      <x:c r="D86" s="30"/>
      <x:c r="E86" s="30"/>
      <x:c r="F86" s="30"/>
      <x:c r="G86" s="30"/>
      <x:c r="H86" s="35"/>
      <x:c r="I86" s="35"/>
      <x:c r="J86" s="30"/>
    </x:row>
    <x:row r="87">
      <x:c r="A87" s="30"/>
      <x:c r="B87" s="30"/>
      <x:c r="C87" s="35"/>
      <x:c r="D87" s="30"/>
      <x:c r="E87" s="30"/>
      <x:c r="F87" s="30"/>
      <x:c r="G87" s="30"/>
      <x:c r="H87" s="35"/>
      <x:c r="I87" s="35"/>
      <x:c r="J87" s="30"/>
    </x:row>
    <x:row r="88">
      <x:c r="A88" s="30"/>
      <x:c r="B88" s="30"/>
      <x:c r="C88" s="35"/>
      <x:c r="D88" s="30"/>
      <x:c r="E88" s="30"/>
      <x:c r="F88" s="30"/>
      <x:c r="G88" s="30"/>
      <x:c r="H88" s="35"/>
      <x:c r="I88" s="35"/>
      <x:c r="J88" s="30"/>
    </x:row>
    <x:row r="89">
      <x:c r="A89" s="30"/>
      <x:c r="B89" s="30"/>
      <x:c r="C89" s="35"/>
      <x:c r="D89" s="30"/>
      <x:c r="E89" s="30"/>
      <x:c r="F89" s="30"/>
      <x:c r="G89" s="30"/>
      <x:c r="H89" s="35"/>
      <x:c r="I89" s="35"/>
      <x:c r="J89" s="30"/>
    </x:row>
    <x:row r="90">
      <x:c r="A90" s="30"/>
      <x:c r="B90" s="30"/>
      <x:c r="C90" s="35"/>
      <x:c r="D90" s="30"/>
      <x:c r="E90" s="30"/>
      <x:c r="F90" s="30"/>
      <x:c r="G90" s="30"/>
      <x:c r="H90" s="35"/>
      <x:c r="I90" s="35"/>
      <x:c r="J90" s="30"/>
    </x:row>
    <x:row r="91">
      <x:c r="A91" s="30"/>
      <x:c r="B91" s="30"/>
      <x:c r="C91" s="35"/>
      <x:c r="D91" s="30"/>
      <x:c r="E91" s="30"/>
      <x:c r="F91" s="30"/>
      <x:c r="G91" s="30"/>
      <x:c r="H91" s="35"/>
      <x:c r="I91" s="35"/>
      <x:c r="J91" s="30"/>
    </x:row>
    <x:row r="92">
      <x:c r="A92" s="30"/>
      <x:c r="B92" s="30"/>
      <x:c r="C92" s="35"/>
      <x:c r="D92" s="30"/>
      <x:c r="E92" s="30"/>
      <x:c r="F92" s="30"/>
      <x:c r="G92" s="30"/>
      <x:c r="H92" s="35"/>
      <x:c r="I92" s="35"/>
      <x:c r="J92" s="30"/>
    </x:row>
    <x:row r="93">
      <x:c r="A93" s="30"/>
      <x:c r="B93" s="30"/>
      <x:c r="C93" s="35"/>
      <x:c r="D93" s="30"/>
      <x:c r="E93" s="30"/>
      <x:c r="F93" s="30"/>
      <x:c r="G93" s="30"/>
      <x:c r="H93" s="35"/>
      <x:c r="I93" s="35"/>
      <x:c r="J93" s="30"/>
    </x:row>
    <x:row r="94">
      <x:c r="A94" s="30"/>
      <x:c r="B94" s="30"/>
      <x:c r="C94" s="35"/>
      <x:c r="D94" s="30"/>
      <x:c r="E94" s="30"/>
      <x:c r="F94" s="30"/>
      <x:c r="G94" s="30"/>
      <x:c r="H94" s="35"/>
      <x:c r="I94" s="35"/>
      <x:c r="J94" s="30"/>
    </x:row>
    <x:row r="95">
      <x:c r="A95" s="30"/>
      <x:c r="B95" s="30"/>
      <x:c r="C95" s="35"/>
      <x:c r="D95" s="30"/>
      <x:c r="E95" s="30"/>
      <x:c r="F95" s="30"/>
      <x:c r="G95" s="30"/>
      <x:c r="H95" s="35"/>
      <x:c r="I95" s="35"/>
      <x:c r="J95" s="30"/>
    </x:row>
    <x:row r="96">
      <x:c r="A96" s="30"/>
      <x:c r="B96" s="30"/>
      <x:c r="C96" s="35"/>
      <x:c r="D96" s="30"/>
      <x:c r="E96" s="30"/>
      <x:c r="F96" s="30"/>
      <x:c r="G96" s="30"/>
      <x:c r="H96" s="35"/>
      <x:c r="I96" s="35"/>
      <x:c r="J96" s="30"/>
    </x:row>
    <x:row r="97">
      <x:c r="A97" s="30"/>
      <x:c r="B97" s="30"/>
      <x:c r="C97" s="35"/>
      <x:c r="D97" s="30"/>
      <x:c r="E97" s="30"/>
      <x:c r="F97" s="30"/>
      <x:c r="G97" s="30"/>
      <x:c r="H97" s="35"/>
      <x:c r="I97" s="35"/>
      <x:c r="J97" s="30"/>
    </x:row>
    <x:row r="98">
      <x:c r="A98" s="30"/>
      <x:c r="B98" s="30"/>
      <x:c r="C98" s="35"/>
      <x:c r="D98" s="30"/>
      <x:c r="E98" s="30"/>
      <x:c r="F98" s="30"/>
      <x:c r="G98" s="30"/>
      <x:c r="H98" s="35"/>
      <x:c r="I98" s="35"/>
      <x:c r="J98" s="30"/>
    </x:row>
    <x:row r="99">
      <x:c r="A99" s="30"/>
      <x:c r="B99" s="30"/>
      <x:c r="C99" s="35"/>
      <x:c r="D99" s="30"/>
      <x:c r="E99" s="30"/>
      <x:c r="F99" s="30"/>
      <x:c r="G99" s="30"/>
      <x:c r="H99" s="35"/>
      <x:c r="I99" s="35"/>
      <x:c r="J99" s="30"/>
    </x:row>
    <x:row r="100">
      <x:c r="A100" s="30"/>
      <x:c r="B100" s="30"/>
      <x:c r="C100" s="35"/>
      <x:c r="D100" s="30"/>
      <x:c r="E100" s="30"/>
      <x:c r="F100" s="30"/>
      <x:c r="G100" s="30"/>
      <x:c r="H100" s="35"/>
      <x:c r="I100" s="35"/>
      <x:c r="J100" s="30"/>
    </x:row>
    <x:row r="101">
      <x:c r="A101" s="30"/>
      <x:c r="B101" s="30"/>
      <x:c r="C101" s="35"/>
      <x:c r="D101" s="30"/>
      <x:c r="E101" s="30"/>
      <x:c r="F101" s="30"/>
      <x:c r="G101" s="30"/>
      <x:c r="H101" s="35"/>
      <x:c r="I101" s="35"/>
      <x:c r="J101" s="30"/>
    </x:row>
    <x:row r="102">
      <x:c r="A102" s="30"/>
      <x:c r="B102" s="30"/>
      <x:c r="C102" s="35"/>
      <x:c r="D102" s="30"/>
      <x:c r="E102" s="30"/>
      <x:c r="F102" s="30"/>
      <x:c r="G102" s="30"/>
      <x:c r="H102" s="35"/>
      <x:c r="I102" s="35"/>
      <x:c r="J102" s="30"/>
    </x:row>
    <x:row r="103">
      <x:c r="A103" s="30"/>
      <x:c r="B103" s="30"/>
      <x:c r="C103" s="35"/>
      <x:c r="D103" s="30"/>
      <x:c r="E103" s="30"/>
      <x:c r="F103" s="30"/>
      <x:c r="G103" s="30"/>
      <x:c r="H103" s="35"/>
      <x:c r="I103" s="35"/>
      <x:c r="J103" s="30"/>
    </x:row>
    <x:row r="104">
      <x:c r="A104" s="30"/>
      <x:c r="B104" s="30"/>
      <x:c r="C104" s="35"/>
      <x:c r="D104" s="30"/>
      <x:c r="E104" s="30"/>
      <x:c r="F104" s="30"/>
      <x:c r="G104" s="30"/>
      <x:c r="H104" s="35"/>
      <x:c r="I104" s="35"/>
      <x:c r="J104" s="30"/>
    </x:row>
    <x:row r="105">
      <x:c r="A105" s="30"/>
      <x:c r="B105" s="30"/>
      <x:c r="C105" s="35"/>
      <x:c r="D105" s="30"/>
      <x:c r="E105" s="30"/>
      <x:c r="F105" s="30"/>
      <x:c r="G105" s="30"/>
      <x:c r="H105" s="35"/>
      <x:c r="I105" s="35"/>
      <x:c r="J105" s="30"/>
    </x:row>
    <x:row r="106">
      <x:c r="A106" s="30"/>
      <x:c r="B106" s="30"/>
      <x:c r="C106" s="35"/>
      <x:c r="D106" s="30"/>
      <x:c r="E106" s="30"/>
      <x:c r="F106" s="30"/>
      <x:c r="G106" s="30"/>
      <x:c r="H106" s="35"/>
      <x:c r="I106" s="35"/>
      <x:c r="J106" s="30"/>
    </x:row>
    <x:row r="107">
      <x:c r="A107" s="30"/>
      <x:c r="B107" s="30"/>
      <x:c r="C107" s="35"/>
      <x:c r="D107" s="30"/>
      <x:c r="E107" s="30"/>
      <x:c r="F107" s="30"/>
      <x:c r="G107" s="30"/>
      <x:c r="H107" s="35"/>
      <x:c r="I107" s="35"/>
      <x:c r="J107" s="30"/>
    </x:row>
    <x:row r="108">
      <x:c r="A108" s="30"/>
      <x:c r="B108" s="30"/>
      <x:c r="C108" s="35"/>
      <x:c r="D108" s="30"/>
      <x:c r="E108" s="30"/>
      <x:c r="F108" s="30"/>
      <x:c r="G108" s="30"/>
      <x:c r="H108" s="35"/>
      <x:c r="I108" s="35"/>
      <x:c r="J108" s="30"/>
    </x:row>
    <x:row r="109">
      <x:c r="A109" s="30"/>
      <x:c r="B109" s="30"/>
      <x:c r="C109" s="35"/>
      <x:c r="D109" s="30"/>
      <x:c r="E109" s="30"/>
      <x:c r="F109" s="30"/>
      <x:c r="G109" s="30"/>
      <x:c r="H109" s="35"/>
      <x:c r="I109" s="35"/>
      <x:c r="J109" s="30"/>
    </x:row>
    <x:row r="110">
      <x:c r="A110" s="30"/>
      <x:c r="B110" s="30"/>
      <x:c r="C110" s="35"/>
      <x:c r="D110" s="30"/>
      <x:c r="E110" s="30"/>
      <x:c r="F110" s="30"/>
      <x:c r="G110" s="30"/>
      <x:c r="H110" s="35"/>
      <x:c r="I110" s="35"/>
      <x:c r="J110" s="30"/>
    </x:row>
    <x:row r="111">
      <x:c r="A111" s="30"/>
      <x:c r="B111" s="30"/>
      <x:c r="C111" s="35"/>
      <x:c r="D111" s="30"/>
      <x:c r="E111" s="30"/>
      <x:c r="F111" s="30"/>
      <x:c r="G111" s="30"/>
      <x:c r="H111" s="35"/>
      <x:c r="I111" s="35"/>
      <x:c r="J111" s="30"/>
    </x:row>
    <x:row r="112">
      <x:c r="A112" s="30"/>
      <x:c r="B112" s="30"/>
      <x:c r="C112" s="35"/>
      <x:c r="D112" s="30"/>
      <x:c r="E112" s="30"/>
      <x:c r="F112" s="30"/>
      <x:c r="G112" s="30"/>
      <x:c r="H112" s="35"/>
      <x:c r="I112" s="35"/>
      <x:c r="J112" s="30"/>
    </x:row>
    <x:row r="113">
      <x:c r="A113" s="30"/>
      <x:c r="B113" s="30"/>
      <x:c r="C113" s="35"/>
      <x:c r="D113" s="30"/>
      <x:c r="E113" s="30"/>
      <x:c r="F113" s="30"/>
      <x:c r="G113" s="30"/>
      <x:c r="H113" s="35"/>
      <x:c r="I113" s="35"/>
      <x:c r="J113" s="30"/>
    </x:row>
    <x:row r="114">
      <x:c r="A114" s="30"/>
      <x:c r="B114" s="30"/>
      <x:c r="C114" s="35"/>
      <x:c r="D114" s="30"/>
      <x:c r="E114" s="30"/>
      <x:c r="F114" s="30"/>
      <x:c r="G114" s="30"/>
      <x:c r="H114" s="35"/>
      <x:c r="I114" s="35"/>
      <x:c r="J114" s="30"/>
    </x:row>
    <x:row r="115">
      <x:c r="A115" s="30"/>
      <x:c r="B115" s="30"/>
      <x:c r="C115" s="35"/>
      <x:c r="D115" s="30"/>
      <x:c r="E115" s="30"/>
      <x:c r="F115" s="30"/>
      <x:c r="G115" s="30"/>
      <x:c r="H115" s="35"/>
      <x:c r="I115" s="35"/>
      <x:c r="J115" s="30"/>
    </x:row>
    <x:row r="116">
      <x:c r="A116" s="30"/>
      <x:c r="B116" s="30"/>
      <x:c r="C116" s="35"/>
      <x:c r="D116" s="30"/>
      <x:c r="E116" s="30"/>
      <x:c r="F116" s="30"/>
      <x:c r="G116" s="30"/>
      <x:c r="H116" s="35"/>
      <x:c r="I116" s="35"/>
      <x:c r="J116" s="30"/>
    </x:row>
    <x:row r="117">
      <x:c r="A117" s="30"/>
      <x:c r="B117" s="30"/>
      <x:c r="C117" s="35"/>
      <x:c r="D117" s="30"/>
      <x:c r="E117" s="30"/>
      <x:c r="F117" s="30"/>
      <x:c r="G117" s="30"/>
      <x:c r="H117" s="35"/>
      <x:c r="I117" s="35"/>
      <x:c r="J117" s="30"/>
    </x:row>
    <x:row r="118">
      <x:c r="A118" s="30"/>
      <x:c r="B118" s="30"/>
      <x:c r="C118" s="35"/>
      <x:c r="D118" s="30"/>
      <x:c r="E118" s="30"/>
      <x:c r="F118" s="30"/>
      <x:c r="G118" s="30"/>
      <x:c r="H118" s="35"/>
      <x:c r="I118" s="35"/>
      <x:c r="J118" s="30"/>
    </x:row>
    <x:row r="119">
      <x:c r="A119" s="30"/>
      <x:c r="B119" s="30"/>
      <x:c r="C119" s="35"/>
      <x:c r="D119" s="30"/>
      <x:c r="E119" s="30"/>
      <x:c r="F119" s="30"/>
      <x:c r="G119" s="30"/>
      <x:c r="H119" s="35"/>
      <x:c r="I119" s="35"/>
      <x:c r="J119" s="30"/>
    </x:row>
    <x:row r="120">
      <x:c r="A120" s="30"/>
      <x:c r="B120" s="30"/>
      <x:c r="C120" s="35"/>
      <x:c r="D120" s="30"/>
      <x:c r="E120" s="30"/>
      <x:c r="F120" s="30"/>
      <x:c r="G120" s="30"/>
      <x:c r="H120" s="35"/>
      <x:c r="I120" s="35"/>
      <x:c r="J120" s="30"/>
    </x:row>
    <x:row r="121">
      <x:c r="A121" s="30"/>
      <x:c r="B121" s="30"/>
      <x:c r="C121" s="35"/>
      <x:c r="D121" s="30"/>
      <x:c r="E121" s="30"/>
      <x:c r="F121" s="30"/>
      <x:c r="G121" s="30"/>
      <x:c r="H121" s="35"/>
      <x:c r="I121" s="35"/>
      <x:c r="J121" s="30"/>
    </x:row>
    <x:row r="122">
      <x:c r="A122" s="30"/>
      <x:c r="B122" s="30"/>
      <x:c r="C122" s="35"/>
      <x:c r="D122" s="30"/>
      <x:c r="E122" s="30"/>
      <x:c r="F122" s="30"/>
      <x:c r="G122" s="30"/>
      <x:c r="H122" s="35"/>
      <x:c r="I122" s="35"/>
      <x:c r="J122" s="30"/>
    </x:row>
    <x:row r="123">
      <x:c r="A123" s="30"/>
      <x:c r="B123" s="30"/>
      <x:c r="C123" s="35"/>
      <x:c r="D123" s="30"/>
      <x:c r="E123" s="30"/>
      <x:c r="F123" s="30"/>
      <x:c r="G123" s="30"/>
      <x:c r="H123" s="35"/>
      <x:c r="I123" s="35"/>
      <x:c r="J123" s="30"/>
    </x:row>
    <x:row r="124">
      <x:c r="A124" s="30"/>
      <x:c r="B124" s="30"/>
      <x:c r="C124" s="35"/>
      <x:c r="D124" s="30"/>
      <x:c r="E124" s="30"/>
      <x:c r="F124" s="30"/>
      <x:c r="G124" s="30"/>
      <x:c r="H124" s="35"/>
      <x:c r="I124" s="35"/>
      <x:c r="J124" s="30"/>
    </x:row>
    <x:row r="125">
      <x:c r="A125" s="30"/>
      <x:c r="B125" s="30"/>
      <x:c r="C125" s="35"/>
      <x:c r="D125" s="30"/>
      <x:c r="E125" s="30"/>
      <x:c r="F125" s="30"/>
      <x:c r="G125" s="30"/>
      <x:c r="H125" s="35"/>
      <x:c r="I125" s="35"/>
      <x:c r="J125" s="30"/>
    </x:row>
    <x:row r="126">
      <x:c r="A126" s="30"/>
      <x:c r="B126" s="30"/>
      <x:c r="C126" s="35"/>
      <x:c r="D126" s="30"/>
      <x:c r="E126" s="30"/>
      <x:c r="F126" s="30"/>
      <x:c r="G126" s="30"/>
      <x:c r="H126" s="35"/>
      <x:c r="I126" s="35"/>
      <x:c r="J126" s="30"/>
    </x:row>
    <x:row r="127">
      <x:c r="A127" s="30"/>
      <x:c r="B127" s="30"/>
      <x:c r="C127" s="35"/>
      <x:c r="D127" s="30"/>
      <x:c r="E127" s="30"/>
      <x:c r="F127" s="30"/>
      <x:c r="G127" s="30"/>
      <x:c r="H127" s="35"/>
      <x:c r="I127" s="35"/>
      <x:c r="J127" s="30"/>
    </x:row>
    <x:row r="128">
      <x:c r="A128" s="30"/>
      <x:c r="B128" s="30"/>
      <x:c r="C128" s="35"/>
      <x:c r="D128" s="30"/>
      <x:c r="E128" s="30"/>
      <x:c r="F128" s="30"/>
      <x:c r="G128" s="30"/>
      <x:c r="H128" s="35"/>
      <x:c r="I128" s="35"/>
      <x:c r="J128" s="30"/>
    </x:row>
    <x:row r="129">
      <x:c r="A129" s="30"/>
      <x:c r="B129" s="30"/>
      <x:c r="C129" s="35"/>
      <x:c r="D129" s="30"/>
      <x:c r="E129" s="30"/>
      <x:c r="F129" s="30"/>
      <x:c r="G129" s="30"/>
      <x:c r="H129" s="35"/>
      <x:c r="I129" s="35"/>
      <x:c r="J129" s="30"/>
    </x:row>
    <x:row r="130">
      <x:c r="A130" s="30"/>
      <x:c r="B130" s="30"/>
      <x:c r="C130" s="35"/>
      <x:c r="D130" s="30"/>
      <x:c r="E130" s="30"/>
      <x:c r="F130" s="30"/>
      <x:c r="G130" s="30"/>
      <x:c r="H130" s="35"/>
      <x:c r="I130" s="35"/>
      <x:c r="J130" s="30"/>
    </x:row>
    <x:row r="131">
      <x:c r="A131" s="30"/>
      <x:c r="B131" s="30"/>
      <x:c r="C131" s="35"/>
      <x:c r="D131" s="30"/>
      <x:c r="E131" s="30"/>
      <x:c r="F131" s="30"/>
      <x:c r="G131" s="30"/>
      <x:c r="H131" s="35"/>
      <x:c r="I131" s="35"/>
      <x:c r="J131" s="30"/>
    </x:row>
    <x:row r="132">
      <x:c r="A132" s="30"/>
      <x:c r="B132" s="30"/>
      <x:c r="C132" s="35"/>
      <x:c r="D132" s="30"/>
      <x:c r="E132" s="30"/>
      <x:c r="F132" s="30"/>
      <x:c r="G132" s="30"/>
      <x:c r="H132" s="35"/>
      <x:c r="I132" s="35"/>
      <x:c r="J132" s="30"/>
    </x:row>
    <x:row r="133">
      <x:c r="A133" s="30"/>
      <x:c r="B133" s="30"/>
      <x:c r="C133" s="35"/>
      <x:c r="D133" s="30"/>
      <x:c r="E133" s="30"/>
      <x:c r="F133" s="30"/>
      <x:c r="G133" s="30"/>
      <x:c r="H133" s="35"/>
      <x:c r="I133" s="35"/>
      <x:c r="J133" s="30"/>
    </x:row>
    <x:row r="134">
      <x:c r="A134" s="30"/>
      <x:c r="B134" s="30"/>
      <x:c r="C134" s="35"/>
      <x:c r="D134" s="30"/>
      <x:c r="E134" s="30"/>
      <x:c r="F134" s="30"/>
      <x:c r="G134" s="30"/>
      <x:c r="H134" s="35"/>
      <x:c r="I134" s="35"/>
      <x:c r="J134" s="30"/>
    </x:row>
    <x:row r="135">
      <x:c r="A135" s="30"/>
      <x:c r="B135" s="30"/>
      <x:c r="C135" s="35"/>
      <x:c r="D135" s="30"/>
      <x:c r="E135" s="30"/>
      <x:c r="F135" s="30"/>
      <x:c r="G135" s="30"/>
      <x:c r="H135" s="35"/>
      <x:c r="I135" s="35"/>
      <x:c r="J135" s="30"/>
    </x:row>
    <x:row r="136">
      <x:c r="A136" s="30"/>
      <x:c r="B136" s="30"/>
      <x:c r="C136" s="35"/>
      <x:c r="D136" s="30"/>
      <x:c r="E136" s="30"/>
      <x:c r="F136" s="30"/>
      <x:c r="G136" s="30"/>
      <x:c r="H136" s="35"/>
      <x:c r="I136" s="35"/>
      <x:c r="J136" s="30"/>
    </x:row>
    <x:row r="137">
      <x:c r="A137" s="30"/>
      <x:c r="B137" s="30"/>
      <x:c r="C137" s="35"/>
      <x:c r="D137" s="30"/>
      <x:c r="E137" s="30"/>
      <x:c r="F137" s="30"/>
      <x:c r="G137" s="30"/>
      <x:c r="H137" s="35"/>
      <x:c r="I137" s="35"/>
      <x:c r="J137" s="30"/>
    </x:row>
    <x:row r="138">
      <x:c r="A138" s="30"/>
      <x:c r="B138" s="30"/>
      <x:c r="C138" s="35"/>
      <x:c r="D138" s="30"/>
      <x:c r="E138" s="30"/>
      <x:c r="F138" s="30"/>
      <x:c r="G138" s="30"/>
      <x:c r="H138" s="35"/>
      <x:c r="I138" s="35"/>
      <x:c r="J138" s="30"/>
    </x:row>
    <x:row r="139">
      <x:c r="A139" s="30"/>
      <x:c r="B139" s="30"/>
      <x:c r="C139" s="35"/>
      <x:c r="D139" s="30"/>
      <x:c r="E139" s="30"/>
      <x:c r="F139" s="30"/>
      <x:c r="G139" s="30"/>
      <x:c r="H139" s="35"/>
      <x:c r="I139" s="35"/>
      <x:c r="J139" s="30"/>
    </x:row>
    <x:row r="140">
      <x:c r="A140" s="30"/>
      <x:c r="B140" s="30"/>
      <x:c r="C140" s="35"/>
      <x:c r="D140" s="30"/>
      <x:c r="E140" s="30"/>
      <x:c r="F140" s="30"/>
      <x:c r="G140" s="30"/>
      <x:c r="H140" s="35"/>
      <x:c r="I140" s="35"/>
      <x:c r="J140" s="30"/>
    </x:row>
    <x:row r="141">
      <x:c r="A141" s="30"/>
      <x:c r="B141" s="30"/>
      <x:c r="C141" s="35"/>
      <x:c r="D141" s="30"/>
      <x:c r="E141" s="30"/>
      <x:c r="F141" s="30"/>
      <x:c r="G141" s="30"/>
      <x:c r="H141" s="35"/>
      <x:c r="I141" s="35"/>
      <x:c r="J141" s="30"/>
    </x:row>
    <x:row r="142">
      <x:c r="A142" s="30"/>
      <x:c r="B142" s="30"/>
      <x:c r="C142" s="35"/>
      <x:c r="D142" s="30"/>
      <x:c r="E142" s="30"/>
      <x:c r="F142" s="30"/>
      <x:c r="G142" s="30"/>
      <x:c r="H142" s="35"/>
      <x:c r="I142" s="35"/>
      <x:c r="J142" s="30"/>
    </x:row>
    <x:row r="143">
      <x:c r="A143" s="30"/>
      <x:c r="B143" s="30"/>
      <x:c r="C143" s="35"/>
      <x:c r="D143" s="30"/>
      <x:c r="E143" s="30"/>
      <x:c r="F143" s="30"/>
      <x:c r="G143" s="30"/>
      <x:c r="H143" s="35"/>
      <x:c r="I143" s="35"/>
      <x:c r="J143" s="30"/>
    </x:row>
    <x:row r="144">
      <x:c r="A144" s="30"/>
      <x:c r="B144" s="30"/>
      <x:c r="C144" s="35"/>
      <x:c r="D144" s="30"/>
      <x:c r="E144" s="30"/>
      <x:c r="F144" s="30"/>
      <x:c r="G144" s="30"/>
      <x:c r="H144" s="35"/>
      <x:c r="I144" s="35"/>
      <x:c r="J144" s="30"/>
    </x:row>
    <x:row r="145">
      <x:c r="A145" s="30"/>
      <x:c r="B145" s="30"/>
      <x:c r="C145" s="35"/>
      <x:c r="D145" s="30"/>
      <x:c r="E145" s="30"/>
      <x:c r="F145" s="30"/>
      <x:c r="G145" s="30"/>
      <x:c r="H145" s="35"/>
      <x:c r="I145" s="35"/>
      <x:c r="J145" s="30"/>
    </x:row>
    <x:row r="146">
      <x:c r="A146" s="30"/>
      <x:c r="B146" s="30"/>
      <x:c r="C146" s="35"/>
      <x:c r="D146" s="30"/>
      <x:c r="E146" s="30"/>
      <x:c r="F146" s="30"/>
      <x:c r="G146" s="30"/>
      <x:c r="H146" s="35"/>
      <x:c r="I146" s="35"/>
      <x:c r="J146" s="30"/>
    </x:row>
    <x:row r="147">
      <x:c r="A147" s="30"/>
      <x:c r="B147" s="30"/>
      <x:c r="C147" s="35"/>
      <x:c r="D147" s="30"/>
      <x:c r="E147" s="30"/>
      <x:c r="F147" s="30"/>
      <x:c r="G147" s="30"/>
      <x:c r="H147" s="35"/>
      <x:c r="I147" s="35"/>
      <x:c r="J147" s="30"/>
    </x:row>
    <x:row r="148">
      <x:c r="A148" s="30"/>
      <x:c r="B148" s="30"/>
      <x:c r="C148" s="35"/>
      <x:c r="D148" s="30"/>
      <x:c r="E148" s="30"/>
      <x:c r="F148" s="30"/>
      <x:c r="G148" s="30"/>
      <x:c r="H148" s="35"/>
      <x:c r="I148" s="35"/>
      <x:c r="J148" s="30"/>
    </x:row>
    <x:row r="149">
      <x:c r="A149" s="30"/>
      <x:c r="B149" s="30"/>
      <x:c r="C149" s="35"/>
      <x:c r="D149" s="30"/>
      <x:c r="E149" s="30"/>
      <x:c r="F149" s="30"/>
      <x:c r="G149" s="30"/>
      <x:c r="H149" s="35"/>
      <x:c r="I149" s="35"/>
      <x:c r="J149" s="30"/>
    </x:row>
    <x:row r="150">
      <x:c r="A150" s="30"/>
      <x:c r="B150" s="30"/>
      <x:c r="C150" s="35"/>
      <x:c r="D150" s="30"/>
      <x:c r="E150" s="30"/>
      <x:c r="F150" s="30"/>
      <x:c r="G150" s="30"/>
      <x:c r="H150" s="35"/>
      <x:c r="I150" s="35"/>
      <x:c r="J150" s="30"/>
    </x:row>
    <x:row r="151">
      <x:c r="A151" s="30"/>
      <x:c r="B151" s="30"/>
      <x:c r="C151" s="35"/>
      <x:c r="D151" s="30"/>
      <x:c r="E151" s="30"/>
      <x:c r="F151" s="30"/>
      <x:c r="G151" s="30"/>
      <x:c r="H151" s="35"/>
      <x:c r="I151" s="35"/>
      <x:c r="J151" s="30"/>
    </x:row>
    <x:row r="152">
      <x:c r="A152" s="30"/>
      <x:c r="B152" s="30"/>
      <x:c r="C152" s="35"/>
      <x:c r="D152" s="30"/>
      <x:c r="E152" s="30"/>
      <x:c r="F152" s="30"/>
      <x:c r="G152" s="30"/>
      <x:c r="H152" s="35"/>
      <x:c r="I152" s="35"/>
      <x:c r="J152" s="30"/>
    </x:row>
    <x:row r="153">
      <x:c r="A153" s="30"/>
      <x:c r="B153" s="30"/>
      <x:c r="C153" s="35"/>
      <x:c r="D153" s="30"/>
      <x:c r="E153" s="30"/>
      <x:c r="F153" s="30"/>
      <x:c r="G153" s="30"/>
      <x:c r="H153" s="35"/>
      <x:c r="I153" s="35"/>
      <x:c r="J153" s="30"/>
    </x:row>
    <x:row r="154">
      <x:c r="A154" s="30"/>
      <x:c r="B154" s="30"/>
      <x:c r="C154" s="35"/>
      <x:c r="D154" s="30"/>
      <x:c r="E154" s="30"/>
      <x:c r="F154" s="30"/>
      <x:c r="G154" s="30"/>
      <x:c r="H154" s="35"/>
      <x:c r="I154" s="35"/>
      <x:c r="J154" s="30"/>
    </x:row>
    <x:row r="155">
      <x:c r="A155" s="30"/>
      <x:c r="B155" s="30"/>
      <x:c r="C155" s="35"/>
      <x:c r="D155" s="30"/>
      <x:c r="E155" s="30"/>
      <x:c r="F155" s="30"/>
      <x:c r="G155" s="30"/>
      <x:c r="H155" s="35"/>
      <x:c r="I155" s="35"/>
      <x:c r="J155" s="30"/>
    </x:row>
    <x:row r="156">
      <x:c r="A156" s="30"/>
      <x:c r="B156" s="30"/>
      <x:c r="C156" s="35"/>
      <x:c r="D156" s="30"/>
      <x:c r="E156" s="30"/>
      <x:c r="F156" s="30"/>
      <x:c r="G156" s="30"/>
      <x:c r="H156" s="35"/>
      <x:c r="I156" s="35"/>
      <x:c r="J156" s="30"/>
    </x:row>
    <x:row r="157">
      <x:c r="A157" s="30"/>
      <x:c r="B157" s="30"/>
      <x:c r="C157" s="35"/>
      <x:c r="D157" s="30"/>
      <x:c r="E157" s="30"/>
      <x:c r="F157" s="30"/>
      <x:c r="G157" s="30"/>
      <x:c r="H157" s="35"/>
      <x:c r="I157" s="35"/>
      <x:c r="J157" s="30"/>
    </x:row>
    <x:row r="158">
      <x:c r="A158" s="30"/>
      <x:c r="B158" s="30"/>
      <x:c r="C158" s="35"/>
      <x:c r="D158" s="30"/>
      <x:c r="E158" s="30"/>
      <x:c r="F158" s="30"/>
      <x:c r="G158" s="30"/>
      <x:c r="H158" s="35"/>
      <x:c r="I158" s="35"/>
      <x:c r="J158" s="30"/>
    </x:row>
    <x:row r="159">
      <x:c r="A159" s="30"/>
      <x:c r="B159" s="30"/>
      <x:c r="C159" s="35"/>
      <x:c r="D159" s="30"/>
      <x:c r="E159" s="30"/>
      <x:c r="F159" s="30"/>
      <x:c r="G159" s="30"/>
      <x:c r="H159" s="35"/>
      <x:c r="I159" s="35"/>
      <x:c r="J159" s="30"/>
    </x:row>
    <x:row r="160">
      <x:c r="A160" s="30"/>
      <x:c r="B160" s="30"/>
      <x:c r="C160" s="35"/>
      <x:c r="D160" s="30"/>
      <x:c r="E160" s="30"/>
      <x:c r="F160" s="30"/>
      <x:c r="G160" s="30"/>
      <x:c r="H160" s="35"/>
      <x:c r="I160" s="35"/>
      <x:c r="J160" s="30"/>
    </x:row>
    <x:row r="161">
      <x:c r="A161" s="30"/>
      <x:c r="B161" s="30"/>
      <x:c r="C161" s="35"/>
      <x:c r="D161" s="30"/>
      <x:c r="E161" s="30"/>
      <x:c r="F161" s="30"/>
      <x:c r="G161" s="30"/>
      <x:c r="H161" s="35"/>
      <x:c r="I161" s="35"/>
      <x:c r="J161" s="30"/>
    </x:row>
    <x:row r="162">
      <x:c r="A162" s="30"/>
      <x:c r="B162" s="30"/>
      <x:c r="C162" s="35"/>
      <x:c r="D162" s="30"/>
      <x:c r="E162" s="30"/>
      <x:c r="F162" s="30"/>
      <x:c r="G162" s="30"/>
      <x:c r="H162" s="35"/>
      <x:c r="I162" s="35"/>
      <x:c r="J162" s="30"/>
    </x:row>
    <x:row r="163">
      <x:c r="A163" s="30"/>
      <x:c r="B163" s="30"/>
      <x:c r="C163" s="35"/>
      <x:c r="D163" s="30"/>
      <x:c r="E163" s="30"/>
      <x:c r="F163" s="30"/>
      <x:c r="G163" s="30"/>
      <x:c r="H163" s="35"/>
      <x:c r="I163" s="35"/>
      <x:c r="J163" s="30"/>
    </x:row>
    <x:row r="164">
      <x:c r="A164" s="30"/>
      <x:c r="B164" s="30"/>
      <x:c r="C164" s="35"/>
      <x:c r="D164" s="30"/>
      <x:c r="E164" s="30"/>
      <x:c r="F164" s="30"/>
      <x:c r="G164" s="30"/>
      <x:c r="H164" s="35"/>
      <x:c r="I164" s="35"/>
      <x:c r="J164" s="30"/>
    </x:row>
    <x:row r="165">
      <x:c r="A165" s="30"/>
      <x:c r="B165" s="30"/>
      <x:c r="C165" s="35"/>
      <x:c r="D165" s="30"/>
      <x:c r="E165" s="30"/>
      <x:c r="F165" s="30"/>
      <x:c r="G165" s="30"/>
      <x:c r="H165" s="35"/>
      <x:c r="I165" s="35"/>
      <x:c r="J165" s="30"/>
    </x:row>
    <x:row r="166">
      <x:c r="A166" s="30"/>
      <x:c r="B166" s="30"/>
      <x:c r="C166" s="35"/>
      <x:c r="D166" s="30"/>
      <x:c r="E166" s="30"/>
      <x:c r="F166" s="30"/>
      <x:c r="G166" s="30"/>
      <x:c r="H166" s="35"/>
      <x:c r="I166" s="35"/>
      <x:c r="J166" s="30"/>
    </x:row>
    <x:row r="167">
      <x:c r="A167" s="30"/>
      <x:c r="B167" s="30"/>
      <x:c r="C167" s="35"/>
      <x:c r="D167" s="30"/>
      <x:c r="E167" s="30"/>
      <x:c r="F167" s="30"/>
      <x:c r="G167" s="30"/>
      <x:c r="H167" s="35"/>
      <x:c r="I167" s="35"/>
      <x:c r="J167" s="30"/>
    </x:row>
    <x:row r="168">
      <x:c r="A168" s="30"/>
      <x:c r="B168" s="30"/>
      <x:c r="C168" s="35"/>
      <x:c r="D168" s="30"/>
      <x:c r="E168" s="30"/>
      <x:c r="F168" s="30"/>
      <x:c r="G168" s="30"/>
      <x:c r="H168" s="35"/>
      <x:c r="I168" s="35"/>
      <x:c r="J168" s="30"/>
    </x:row>
    <x:row r="169">
      <x:c r="A169" s="30"/>
      <x:c r="B169" s="30"/>
      <x:c r="C169" s="35"/>
      <x:c r="D169" s="30"/>
      <x:c r="E169" s="30"/>
      <x:c r="F169" s="30"/>
      <x:c r="G169" s="30"/>
      <x:c r="H169" s="35"/>
      <x:c r="I169" s="35"/>
      <x:c r="J169" s="30"/>
    </x:row>
    <x:row r="170">
      <x:c r="A170" s="30"/>
      <x:c r="B170" s="30"/>
      <x:c r="C170" s="35"/>
      <x:c r="D170" s="30"/>
      <x:c r="E170" s="30"/>
      <x:c r="F170" s="30"/>
      <x:c r="G170" s="30"/>
      <x:c r="H170" s="35"/>
      <x:c r="I170" s="35"/>
      <x:c r="J170" s="30"/>
    </x:row>
    <x:row r="171">
      <x:c r="A171" s="30"/>
      <x:c r="B171" s="30"/>
      <x:c r="C171" s="35"/>
      <x:c r="D171" s="30"/>
      <x:c r="E171" s="30"/>
      <x:c r="F171" s="30"/>
      <x:c r="G171" s="30"/>
      <x:c r="H171" s="35"/>
      <x:c r="I171" s="35"/>
      <x:c r="J171" s="30"/>
    </x:row>
    <x:row r="172">
      <x:c r="A172" s="30"/>
      <x:c r="B172" s="30"/>
      <x:c r="C172" s="35"/>
      <x:c r="D172" s="30"/>
      <x:c r="E172" s="30"/>
      <x:c r="F172" s="30"/>
      <x:c r="G172" s="30"/>
      <x:c r="H172" s="35"/>
      <x:c r="I172" s="35"/>
      <x:c r="J172" s="30"/>
    </x:row>
    <x:row r="173">
      <x:c r="A173" s="30"/>
      <x:c r="B173" s="30"/>
      <x:c r="C173" s="35"/>
      <x:c r="D173" s="30"/>
      <x:c r="E173" s="30"/>
      <x:c r="F173" s="30"/>
      <x:c r="G173" s="30"/>
      <x:c r="H173" s="35"/>
      <x:c r="I173" s="35"/>
      <x:c r="J173" s="30"/>
    </x:row>
    <x:row r="174">
      <x:c r="A174" s="30"/>
      <x:c r="B174" s="30"/>
      <x:c r="C174" s="35"/>
      <x:c r="D174" s="30"/>
      <x:c r="E174" s="30"/>
      <x:c r="F174" s="30"/>
      <x:c r="G174" s="30"/>
      <x:c r="H174" s="35"/>
      <x:c r="I174" s="35"/>
      <x:c r="J174" s="30"/>
    </x:row>
    <x:row r="175">
      <x:c r="A175" s="30"/>
      <x:c r="B175" s="30"/>
      <x:c r="C175" s="35"/>
      <x:c r="D175" s="30"/>
      <x:c r="E175" s="30"/>
      <x:c r="F175" s="30"/>
      <x:c r="G175" s="30"/>
      <x:c r="H175" s="35"/>
      <x:c r="I175" s="35"/>
      <x:c r="J175" s="30"/>
    </x:row>
    <x:row r="176">
      <x:c r="A176" s="30"/>
      <x:c r="B176" s="30"/>
      <x:c r="C176" s="35"/>
      <x:c r="D176" s="30"/>
      <x:c r="E176" s="30"/>
      <x:c r="F176" s="30"/>
      <x:c r="G176" s="30"/>
      <x:c r="H176" s="35"/>
      <x:c r="I176" s="35"/>
      <x:c r="J176" s="30"/>
    </x:row>
    <x:row r="177">
      <x:c r="A177" s="30"/>
      <x:c r="B177" s="30"/>
      <x:c r="C177" s="35"/>
      <x:c r="D177" s="30"/>
      <x:c r="E177" s="30"/>
      <x:c r="F177" s="30"/>
      <x:c r="G177" s="30"/>
      <x:c r="H177" s="35"/>
      <x:c r="I177" s="35"/>
      <x:c r="J177" s="30"/>
    </x:row>
    <x:row r="178">
      <x:c r="A178" s="30"/>
      <x:c r="B178" s="30"/>
      <x:c r="C178" s="35"/>
      <x:c r="D178" s="30"/>
      <x:c r="E178" s="30"/>
      <x:c r="F178" s="30"/>
      <x:c r="G178" s="30"/>
      <x:c r="H178" s="35"/>
      <x:c r="I178" s="35"/>
      <x:c r="J178" s="30"/>
    </x:row>
    <x:row r="179">
      <x:c r="A179" s="30"/>
      <x:c r="B179" s="30"/>
      <x:c r="C179" s="35"/>
      <x:c r="D179" s="30"/>
      <x:c r="E179" s="30"/>
      <x:c r="F179" s="30"/>
      <x:c r="G179" s="30"/>
      <x:c r="H179" s="35"/>
      <x:c r="I179" s="35"/>
      <x:c r="J179" s="30"/>
    </x:row>
    <x:row r="180">
      <x:c r="A180" s="30"/>
      <x:c r="B180" s="30"/>
      <x:c r="C180" s="35"/>
      <x:c r="D180" s="30"/>
      <x:c r="E180" s="30"/>
      <x:c r="F180" s="30"/>
      <x:c r="G180" s="30"/>
      <x:c r="H180" s="35"/>
      <x:c r="I180" s="35"/>
      <x:c r="J180" s="30"/>
    </x:row>
    <x:row r="181">
      <x:c r="A181" s="30"/>
      <x:c r="B181" s="30"/>
      <x:c r="C181" s="35"/>
      <x:c r="D181" s="30"/>
      <x:c r="E181" s="30"/>
      <x:c r="F181" s="30"/>
      <x:c r="G181" s="30"/>
      <x:c r="H181" s="35"/>
      <x:c r="I181" s="35"/>
      <x:c r="J181" s="30"/>
    </x:row>
    <x:row r="182">
      <x:c r="A182" s="30"/>
      <x:c r="B182" s="30"/>
      <x:c r="C182" s="35"/>
      <x:c r="D182" s="30"/>
      <x:c r="E182" s="30"/>
      <x:c r="F182" s="30"/>
      <x:c r="G182" s="30"/>
      <x:c r="H182" s="35"/>
      <x:c r="I182" s="35"/>
      <x:c r="J182" s="30"/>
    </x:row>
    <x:row r="183">
      <x:c r="A183" s="30"/>
      <x:c r="B183" s="30"/>
      <x:c r="C183" s="35"/>
      <x:c r="D183" s="30"/>
      <x:c r="E183" s="30"/>
      <x:c r="F183" s="30"/>
      <x:c r="G183" s="30"/>
      <x:c r="H183" s="35"/>
      <x:c r="I183" s="35"/>
      <x:c r="J183" s="30"/>
    </x:row>
    <x:row r="184">
      <x:c r="A184" s="30"/>
      <x:c r="B184" s="30"/>
      <x:c r="C184" s="35"/>
      <x:c r="D184" s="30"/>
      <x:c r="E184" s="30"/>
      <x:c r="F184" s="30"/>
      <x:c r="G184" s="30"/>
      <x:c r="H184" s="35"/>
      <x:c r="I184" s="35"/>
      <x:c r="J184" s="30"/>
    </x:row>
    <x:row r="185">
      <x:c r="A185" s="30"/>
      <x:c r="B185" s="30"/>
      <x:c r="C185" s="35"/>
      <x:c r="D185" s="30"/>
      <x:c r="E185" s="30"/>
      <x:c r="F185" s="30"/>
      <x:c r="G185" s="30"/>
      <x:c r="H185" s="35"/>
      <x:c r="I185" s="35"/>
      <x:c r="J185" s="30"/>
    </x:row>
    <x:row r="186">
      <x:c r="A186" s="30"/>
      <x:c r="B186" s="30"/>
      <x:c r="C186" s="35"/>
      <x:c r="D186" s="30"/>
      <x:c r="E186" s="30"/>
      <x:c r="F186" s="30"/>
      <x:c r="G186" s="30"/>
      <x:c r="H186" s="35"/>
      <x:c r="I186" s="35"/>
      <x:c r="J186" s="30"/>
    </x:row>
    <x:row r="187">
      <x:c r="A187" s="30"/>
      <x:c r="B187" s="30"/>
      <x:c r="C187" s="35"/>
      <x:c r="D187" s="30"/>
      <x:c r="E187" s="30"/>
      <x:c r="F187" s="30"/>
      <x:c r="G187" s="30"/>
      <x:c r="H187" s="35"/>
      <x:c r="I187" s="35"/>
      <x:c r="J187" s="30"/>
    </x:row>
    <x:row r="188">
      <x:c r="A188" s="30"/>
      <x:c r="B188" s="30"/>
      <x:c r="C188" s="35"/>
      <x:c r="D188" s="30"/>
      <x:c r="E188" s="30"/>
      <x:c r="F188" s="30"/>
      <x:c r="G188" s="30"/>
      <x:c r="H188" s="35"/>
      <x:c r="I188" s="35"/>
      <x:c r="J188" s="30"/>
    </x:row>
    <x:row r="189">
      <x:c r="A189" s="30"/>
      <x:c r="B189" s="30"/>
      <x:c r="C189" s="35"/>
      <x:c r="D189" s="30"/>
      <x:c r="E189" s="30"/>
      <x:c r="F189" s="30"/>
      <x:c r="G189" s="30"/>
      <x:c r="H189" s="35"/>
      <x:c r="I189" s="35"/>
      <x:c r="J189" s="30"/>
    </x:row>
    <x:row r="190">
      <x:c r="A190" s="30"/>
      <x:c r="B190" s="30"/>
      <x:c r="C190" s="35"/>
      <x:c r="D190" s="30"/>
      <x:c r="E190" s="30"/>
      <x:c r="F190" s="30"/>
      <x:c r="G190" s="30"/>
      <x:c r="H190" s="35"/>
      <x:c r="I190" s="35"/>
      <x:c r="J190" s="30"/>
    </x:row>
    <x:row r="191">
      <x:c r="A191" s="30"/>
      <x:c r="B191" s="30"/>
      <x:c r="C191" s="35"/>
      <x:c r="D191" s="30"/>
      <x:c r="E191" s="30"/>
      <x:c r="F191" s="30"/>
      <x:c r="G191" s="30"/>
      <x:c r="H191" s="35"/>
      <x:c r="I191" s="35"/>
      <x:c r="J191" s="30"/>
    </x:row>
    <x:row r="192">
      <x:c r="A192" s="30"/>
      <x:c r="B192" s="30"/>
      <x:c r="C192" s="35"/>
      <x:c r="D192" s="30"/>
      <x:c r="E192" s="30"/>
      <x:c r="F192" s="30"/>
      <x:c r="G192" s="30"/>
      <x:c r="H192" s="35"/>
      <x:c r="I192" s="35"/>
      <x:c r="J192" s="30"/>
    </x:row>
    <x:row r="193">
      <x:c r="A193" s="30"/>
      <x:c r="B193" s="30"/>
      <x:c r="C193" s="35"/>
      <x:c r="D193" s="30"/>
      <x:c r="E193" s="30"/>
      <x:c r="F193" s="30"/>
      <x:c r="G193" s="30"/>
      <x:c r="H193" s="35"/>
      <x:c r="I193" s="35"/>
      <x:c r="J193" s="30"/>
    </x:row>
    <x:row r="194">
      <x:c r="A194" s="30"/>
      <x:c r="B194" s="30"/>
      <x:c r="C194" s="35"/>
      <x:c r="D194" s="30"/>
      <x:c r="E194" s="30"/>
      <x:c r="F194" s="30"/>
      <x:c r="G194" s="30"/>
      <x:c r="H194" s="35"/>
      <x:c r="I194" s="35"/>
      <x:c r="J194" s="30"/>
    </x:row>
    <x:row r="195">
      <x:c r="A195" s="30"/>
      <x:c r="B195" s="30"/>
      <x:c r="C195" s="35"/>
      <x:c r="D195" s="30"/>
      <x:c r="E195" s="30"/>
      <x:c r="F195" s="30"/>
      <x:c r="G195" s="30"/>
      <x:c r="H195" s="35"/>
      <x:c r="I195" s="35"/>
      <x:c r="J195" s="30"/>
    </x:row>
    <x:row r="196">
      <x:c r="A196" s="30"/>
      <x:c r="B196" s="30"/>
      <x:c r="C196" s="35"/>
      <x:c r="D196" s="30"/>
      <x:c r="E196" s="30"/>
      <x:c r="F196" s="30"/>
      <x:c r="G196" s="30"/>
      <x:c r="H196" s="35"/>
      <x:c r="I196" s="35"/>
      <x:c r="J196" s="30"/>
    </x:row>
    <x:row r="197">
      <x:c r="A197" s="30"/>
      <x:c r="B197" s="30"/>
      <x:c r="C197" s="35"/>
      <x:c r="D197" s="30"/>
      <x:c r="E197" s="30"/>
      <x:c r="F197" s="30"/>
      <x:c r="G197" s="30"/>
      <x:c r="H197" s="35"/>
      <x:c r="I197" s="35"/>
      <x:c r="J197" s="30"/>
    </x:row>
    <x:row r="198">
      <x:c r="A198" s="30"/>
      <x:c r="B198" s="30"/>
      <x:c r="C198" s="35"/>
      <x:c r="D198" s="30"/>
      <x:c r="E198" s="30"/>
      <x:c r="F198" s="30"/>
      <x:c r="G198" s="30"/>
      <x:c r="H198" s="35"/>
      <x:c r="I198" s="35"/>
      <x:c r="J198" s="30"/>
    </x:row>
    <x:row r="199">
      <x:c r="A199" s="30"/>
      <x:c r="B199" s="30"/>
      <x:c r="C199" s="35"/>
      <x:c r="D199" s="30"/>
      <x:c r="E199" s="30"/>
      <x:c r="F199" s="30"/>
      <x:c r="G199" s="30"/>
      <x:c r="H199" s="35"/>
      <x:c r="I199" s="35"/>
      <x:c r="J199" s="30"/>
    </x:row>
    <x:row r="200">
      <x:c r="A200" s="30"/>
      <x:c r="B200" s="30"/>
      <x:c r="C200" s="35"/>
      <x:c r="D200" s="30"/>
      <x:c r="E200" s="30"/>
      <x:c r="F200" s="30"/>
      <x:c r="G200" s="30"/>
      <x:c r="H200" s="35"/>
      <x:c r="I200" s="35"/>
      <x:c r="J200" s="30"/>
    </x:row>
    <x:row r="201">
      <x:c r="A201" s="30"/>
      <x:c r="B201" s="30"/>
      <x:c r="C201" s="35"/>
      <x:c r="D201" s="30"/>
      <x:c r="E201" s="30"/>
      <x:c r="F201" s="30"/>
      <x:c r="G201" s="30"/>
      <x:c r="H201" s="35"/>
      <x:c r="I201" s="35"/>
      <x:c r="J201" s="30"/>
    </x:row>
    <x:row r="202">
      <x:c r="A202" s="30"/>
      <x:c r="B202" s="30"/>
      <x:c r="C202" s="35"/>
      <x:c r="D202" s="30"/>
      <x:c r="E202" s="30"/>
      <x:c r="F202" s="30"/>
      <x:c r="G202" s="30"/>
      <x:c r="H202" s="35"/>
      <x:c r="I202" s="35"/>
      <x:c r="J202" s="30"/>
    </x:row>
    <x:row r="203">
      <x:c r="A203" s="30"/>
      <x:c r="B203" s="30"/>
      <x:c r="C203" s="35"/>
      <x:c r="D203" s="30"/>
      <x:c r="E203" s="30"/>
      <x:c r="F203" s="30"/>
      <x:c r="G203" s="30"/>
      <x:c r="H203" s="35"/>
      <x:c r="I203" s="35"/>
      <x:c r="J203" s="30"/>
    </x:row>
    <x:row r="204">
      <x:c r="A204" s="30"/>
      <x:c r="B204" s="30"/>
      <x:c r="C204" s="35"/>
      <x:c r="D204" s="30"/>
      <x:c r="E204" s="30"/>
      <x:c r="F204" s="30"/>
      <x:c r="G204" s="30"/>
      <x:c r="H204" s="35"/>
      <x:c r="I204" s="35"/>
      <x:c r="J204" s="30"/>
    </x:row>
    <x:row r="205">
      <x:c r="A205" s="30"/>
      <x:c r="B205" s="30"/>
      <x:c r="C205" s="35"/>
      <x:c r="D205" s="30"/>
      <x:c r="E205" s="30"/>
      <x:c r="F205" s="30"/>
      <x:c r="G205" s="30"/>
      <x:c r="H205" s="35"/>
      <x:c r="I205" s="35"/>
      <x:c r="J205" s="30"/>
    </x:row>
    <x:row r="206">
      <x:c r="A206" s="30"/>
      <x:c r="B206" s="30"/>
      <x:c r="C206" s="35"/>
      <x:c r="D206" s="30"/>
      <x:c r="E206" s="30"/>
      <x:c r="F206" s="30"/>
      <x:c r="G206" s="30"/>
      <x:c r="H206" s="35"/>
      <x:c r="I206" s="35"/>
      <x:c r="J206" s="30"/>
    </x:row>
    <x:row r="207">
      <x:c r="A207" s="30"/>
      <x:c r="B207" s="30"/>
      <x:c r="C207" s="35"/>
      <x:c r="D207" s="30"/>
      <x:c r="E207" s="30"/>
      <x:c r="F207" s="30"/>
      <x:c r="G207" s="30"/>
      <x:c r="H207" s="35"/>
      <x:c r="I207" s="35"/>
      <x:c r="J207" s="30"/>
    </x:row>
    <x:row r="208">
      <x:c r="A208" s="30"/>
      <x:c r="B208" s="30"/>
      <x:c r="C208" s="35"/>
      <x:c r="D208" s="30"/>
      <x:c r="E208" s="30"/>
      <x:c r="F208" s="30"/>
      <x:c r="G208" s="30"/>
      <x:c r="H208" s="35"/>
      <x:c r="I208" s="35"/>
      <x:c r="J208" s="30"/>
    </x:row>
    <x:row r="209">
      <x:c r="A209" s="30"/>
      <x:c r="B209" s="30"/>
      <x:c r="C209" s="35"/>
      <x:c r="D209" s="30"/>
      <x:c r="E209" s="30"/>
      <x:c r="F209" s="30"/>
      <x:c r="G209" s="30"/>
      <x:c r="H209" s="35"/>
      <x:c r="I209" s="35"/>
      <x:c r="J209" s="30"/>
    </x:row>
    <x:row r="210">
      <x:c r="A210" s="30"/>
      <x:c r="B210" s="30"/>
      <x:c r="C210" s="35"/>
      <x:c r="D210" s="30"/>
      <x:c r="E210" s="30"/>
      <x:c r="F210" s="30"/>
      <x:c r="G210" s="30"/>
      <x:c r="H210" s="35"/>
      <x:c r="I210" s="35"/>
      <x:c r="J210" s="30"/>
    </x:row>
    <x:row r="211">
      <x:c r="A211" s="30"/>
      <x:c r="B211" s="30"/>
      <x:c r="C211" s="35"/>
      <x:c r="D211" s="30"/>
      <x:c r="E211" s="30"/>
      <x:c r="F211" s="30"/>
      <x:c r="G211" s="30"/>
      <x:c r="H211" s="35"/>
      <x:c r="I211" s="35"/>
      <x:c r="J211" s="30"/>
    </x:row>
    <x:row r="212">
      <x:c r="A212" s="30"/>
      <x:c r="B212" s="30"/>
      <x:c r="C212" s="35"/>
      <x:c r="D212" s="30"/>
      <x:c r="E212" s="30"/>
      <x:c r="F212" s="30"/>
      <x:c r="G212" s="30"/>
      <x:c r="H212" s="35"/>
      <x:c r="I212" s="35"/>
      <x:c r="J212" s="30"/>
    </x:row>
    <x:row r="213">
      <x:c r="A213" s="30"/>
      <x:c r="B213" s="30"/>
      <x:c r="C213" s="35"/>
      <x:c r="D213" s="30"/>
      <x:c r="E213" s="30"/>
      <x:c r="F213" s="30"/>
      <x:c r="G213" s="30"/>
      <x:c r="H213" s="35"/>
      <x:c r="I213" s="35"/>
      <x:c r="J213" s="30"/>
    </x:row>
    <x:row r="214">
      <x:c r="A214" s="30"/>
      <x:c r="B214" s="30"/>
      <x:c r="C214" s="35"/>
      <x:c r="D214" s="30"/>
      <x:c r="E214" s="30"/>
      <x:c r="F214" s="30"/>
      <x:c r="G214" s="30"/>
      <x:c r="H214" s="35"/>
      <x:c r="I214" s="35"/>
      <x:c r="J214" s="30"/>
    </x:row>
    <x:row r="215">
      <x:c r="A215" s="30"/>
      <x:c r="B215" s="30"/>
      <x:c r="C215" s="35"/>
      <x:c r="D215" s="30"/>
      <x:c r="E215" s="30"/>
      <x:c r="F215" s="30"/>
      <x:c r="G215" s="30"/>
      <x:c r="H215" s="35"/>
      <x:c r="I215" s="35"/>
      <x:c r="J215" s="30"/>
    </x:row>
    <x:row r="216">
      <x:c r="A216" s="30"/>
      <x:c r="B216" s="30"/>
      <x:c r="C216" s="35"/>
      <x:c r="D216" s="30"/>
      <x:c r="E216" s="30"/>
      <x:c r="F216" s="30"/>
      <x:c r="G216" s="30"/>
      <x:c r="H216" s="35"/>
      <x:c r="I216" s="35"/>
      <x:c r="J216" s="30"/>
    </x:row>
    <x:row r="217">
      <x:c r="A217" s="30"/>
      <x:c r="B217" s="30"/>
      <x:c r="C217" s="35"/>
      <x:c r="D217" s="30"/>
      <x:c r="E217" s="30"/>
      <x:c r="F217" s="30"/>
      <x:c r="G217" s="30"/>
      <x:c r="H217" s="35"/>
      <x:c r="I217" s="35"/>
      <x:c r="J217" s="30"/>
    </x:row>
    <x:row r="218">
      <x:c r="A218" s="30"/>
      <x:c r="B218" s="30"/>
      <x:c r="C218" s="35"/>
      <x:c r="D218" s="30"/>
      <x:c r="E218" s="30"/>
      <x:c r="F218" s="30"/>
      <x:c r="G218" s="30"/>
      <x:c r="H218" s="35"/>
      <x:c r="I218" s="35"/>
      <x:c r="J218" s="30"/>
    </x:row>
    <x:row r="219">
      <x:c r="A219" s="30"/>
      <x:c r="B219" s="30"/>
      <x:c r="C219" s="35"/>
      <x:c r="D219" s="30"/>
      <x:c r="E219" s="30"/>
      <x:c r="F219" s="30"/>
      <x:c r="G219" s="30"/>
      <x:c r="H219" s="35"/>
      <x:c r="I219" s="35"/>
      <x:c r="J219" s="30"/>
    </x:row>
    <x:row r="220">
      <x:c r="A220" s="30"/>
      <x:c r="B220" s="30"/>
      <x:c r="C220" s="35"/>
      <x:c r="D220" s="30"/>
      <x:c r="E220" s="30"/>
      <x:c r="F220" s="30"/>
      <x:c r="G220" s="30"/>
      <x:c r="H220" s="35"/>
      <x:c r="I220" s="35"/>
      <x:c r="J220" s="30"/>
    </x:row>
    <x:row r="221">
      <x:c r="A221" s="30"/>
      <x:c r="B221" s="30"/>
      <x:c r="C221" s="35"/>
      <x:c r="D221" s="30"/>
      <x:c r="E221" s="30"/>
      <x:c r="F221" s="30"/>
      <x:c r="G221" s="30"/>
      <x:c r="H221" s="35"/>
      <x:c r="I221" s="35"/>
      <x:c r="J221" s="30"/>
    </x:row>
    <x:row r="222">
      <x:c r="A222" s="30"/>
      <x:c r="B222" s="30"/>
      <x:c r="C222" s="35"/>
      <x:c r="D222" s="30"/>
      <x:c r="E222" s="30"/>
      <x:c r="F222" s="30"/>
      <x:c r="G222" s="30"/>
      <x:c r="H222" s="35"/>
      <x:c r="I222" s="35"/>
      <x:c r="J222" s="30"/>
    </x:row>
    <x:row r="223">
      <x:c r="A223" s="30"/>
      <x:c r="B223" s="30"/>
      <x:c r="C223" s="35"/>
      <x:c r="D223" s="30"/>
      <x:c r="E223" s="30"/>
      <x:c r="F223" s="30"/>
      <x:c r="G223" s="30"/>
      <x:c r="H223" s="35"/>
      <x:c r="I223" s="35"/>
      <x:c r="J223" s="30"/>
    </x:row>
    <x:row r="224">
      <x:c r="A224" s="30"/>
      <x:c r="B224" s="30"/>
      <x:c r="C224" s="35"/>
      <x:c r="D224" s="30"/>
      <x:c r="E224" s="30"/>
      <x:c r="F224" s="30"/>
      <x:c r="G224" s="30"/>
      <x:c r="H224" s="35"/>
      <x:c r="I224" s="35"/>
      <x:c r="J224" s="30"/>
    </x:row>
    <x:row r="225">
      <x:c r="A225" s="30"/>
      <x:c r="B225" s="30"/>
      <x:c r="C225" s="35"/>
      <x:c r="D225" s="30"/>
      <x:c r="E225" s="30"/>
      <x:c r="F225" s="30"/>
      <x:c r="G225" s="30"/>
      <x:c r="H225" s="35"/>
      <x:c r="I225" s="35"/>
      <x:c r="J225" s="30"/>
    </x:row>
    <x:row r="226">
      <x:c r="A226" s="30"/>
      <x:c r="B226" s="30"/>
      <x:c r="C226" s="35"/>
      <x:c r="D226" s="30"/>
      <x:c r="E226" s="30"/>
      <x:c r="F226" s="30"/>
      <x:c r="G226" s="30"/>
      <x:c r="H226" s="35"/>
      <x:c r="I226" s="35"/>
      <x:c r="J226" s="30"/>
    </x:row>
    <x:row r="227">
      <x:c r="A227" s="30"/>
      <x:c r="B227" s="30"/>
      <x:c r="C227" s="35"/>
      <x:c r="D227" s="30"/>
      <x:c r="E227" s="30"/>
      <x:c r="F227" s="30"/>
      <x:c r="G227" s="30"/>
      <x:c r="H227" s="35"/>
      <x:c r="I227" s="35"/>
      <x:c r="J227" s="30"/>
    </x:row>
    <x:row r="228">
      <x:c r="A228" s="30"/>
      <x:c r="B228" s="30"/>
      <x:c r="C228" s="35"/>
      <x:c r="D228" s="30"/>
      <x:c r="E228" s="30"/>
      <x:c r="F228" s="30"/>
      <x:c r="G228" s="30"/>
      <x:c r="H228" s="35"/>
      <x:c r="I228" s="35"/>
      <x:c r="J228" s="30"/>
    </x:row>
    <x:row r="229">
      <x:c r="A229" s="30"/>
      <x:c r="B229" s="30"/>
      <x:c r="C229" s="35"/>
      <x:c r="D229" s="30"/>
      <x:c r="E229" s="30"/>
      <x:c r="F229" s="30"/>
      <x:c r="G229" s="30"/>
      <x:c r="H229" s="35"/>
      <x:c r="I229" s="35"/>
      <x:c r="J229" s="30"/>
    </x:row>
    <x:row r="230">
      <x:c r="A230" s="30"/>
      <x:c r="B230" s="30"/>
      <x:c r="C230" s="35"/>
      <x:c r="D230" s="30"/>
      <x:c r="E230" s="30"/>
      <x:c r="F230" s="30"/>
      <x:c r="G230" s="30"/>
      <x:c r="H230" s="35"/>
      <x:c r="I230" s="35"/>
      <x:c r="J230" s="30"/>
    </x:row>
    <x:row r="231">
      <x:c r="A231" s="30"/>
      <x:c r="B231" s="30"/>
      <x:c r="C231" s="35"/>
      <x:c r="D231" s="30"/>
      <x:c r="E231" s="30"/>
      <x:c r="F231" s="30"/>
      <x:c r="G231" s="30"/>
      <x:c r="H231" s="35"/>
      <x:c r="I231" s="35"/>
      <x:c r="J231" s="30"/>
    </x:row>
    <x:row r="232">
      <x:c r="A232" s="30"/>
      <x:c r="B232" s="30"/>
      <x:c r="C232" s="35"/>
      <x:c r="D232" s="30"/>
      <x:c r="E232" s="30"/>
      <x:c r="F232" s="30"/>
      <x:c r="G232" s="30"/>
      <x:c r="H232" s="35"/>
      <x:c r="I232" s="35"/>
      <x:c r="J232" s="30"/>
    </x:row>
    <x:row r="233">
      <x:c r="A233" s="30"/>
      <x:c r="B233" s="30"/>
      <x:c r="C233" s="35"/>
      <x:c r="D233" s="30"/>
      <x:c r="E233" s="30"/>
      <x:c r="F233" s="30"/>
      <x:c r="G233" s="30"/>
      <x:c r="H233" s="35"/>
      <x:c r="I233" s="35"/>
      <x:c r="J233" s="30"/>
    </x:row>
    <x:row r="234">
      <x:c r="A234" s="30"/>
      <x:c r="B234" s="30"/>
      <x:c r="C234" s="35"/>
      <x:c r="D234" s="30"/>
      <x:c r="E234" s="30"/>
      <x:c r="F234" s="30"/>
      <x:c r="G234" s="30"/>
      <x:c r="H234" s="35"/>
      <x:c r="I234" s="35"/>
      <x:c r="J234" s="30"/>
    </x:row>
    <x:row r="235">
      <x:c r="A235" s="30"/>
      <x:c r="B235" s="30"/>
      <x:c r="C235" s="35"/>
      <x:c r="D235" s="30"/>
      <x:c r="E235" s="30"/>
      <x:c r="F235" s="30"/>
      <x:c r="G235" s="30"/>
      <x:c r="H235" s="35"/>
      <x:c r="I235" s="35"/>
      <x:c r="J235" s="30"/>
    </x:row>
    <x:row r="236">
      <x:c r="A236" s="30"/>
      <x:c r="B236" s="30"/>
      <x:c r="C236" s="35"/>
      <x:c r="D236" s="30"/>
      <x:c r="E236" s="30"/>
      <x:c r="F236" s="30"/>
      <x:c r="G236" s="30"/>
      <x:c r="H236" s="35"/>
      <x:c r="I236" s="35"/>
      <x:c r="J236" s="30"/>
    </x:row>
    <x:row r="237">
      <x:c r="A237" s="30"/>
      <x:c r="B237" s="30"/>
      <x:c r="C237" s="35"/>
      <x:c r="D237" s="30"/>
      <x:c r="E237" s="30"/>
      <x:c r="F237" s="30"/>
      <x:c r="G237" s="30"/>
      <x:c r="H237" s="35"/>
      <x:c r="I237" s="35"/>
      <x:c r="J237" s="30"/>
    </x:row>
    <x:row r="238">
      <x:c r="A238" s="30"/>
      <x:c r="B238" s="30"/>
      <x:c r="C238" s="35"/>
      <x:c r="D238" s="30"/>
      <x:c r="E238" s="30"/>
      <x:c r="F238" s="30"/>
      <x:c r="G238" s="30"/>
      <x:c r="H238" s="35"/>
      <x:c r="I238" s="35"/>
      <x:c r="J238" s="30"/>
    </x:row>
    <x:row r="239">
      <x:c r="A239" s="30"/>
      <x:c r="B239" s="30"/>
      <x:c r="C239" s="35"/>
      <x:c r="D239" s="30"/>
      <x:c r="E239" s="30"/>
      <x:c r="F239" s="30"/>
      <x:c r="G239" s="30"/>
      <x:c r="H239" s="35"/>
      <x:c r="I239" s="35"/>
      <x:c r="J239" s="30"/>
    </x:row>
    <x:row r="240">
      <x:c r="A240" s="30"/>
      <x:c r="B240" s="30"/>
      <x:c r="C240" s="35"/>
      <x:c r="D240" s="30"/>
      <x:c r="E240" s="30"/>
      <x:c r="F240" s="30"/>
      <x:c r="G240" s="30"/>
      <x:c r="H240" s="35"/>
      <x:c r="I240" s="35"/>
      <x:c r="J240" s="30"/>
    </x:row>
    <x:row r="241">
      <x:c r="A241" s="30"/>
      <x:c r="B241" s="30"/>
      <x:c r="C241" s="35"/>
      <x:c r="D241" s="30"/>
      <x:c r="E241" s="30"/>
      <x:c r="F241" s="30"/>
      <x:c r="G241" s="30"/>
      <x:c r="H241" s="35"/>
      <x:c r="I241" s="35"/>
      <x:c r="J241" s="30"/>
    </x:row>
    <x:row r="242">
      <x:c r="A242" s="30"/>
      <x:c r="B242" s="30"/>
      <x:c r="C242" s="35"/>
      <x:c r="D242" s="30"/>
      <x:c r="E242" s="30"/>
      <x:c r="F242" s="30"/>
      <x:c r="G242" s="30"/>
      <x:c r="H242" s="35"/>
      <x:c r="I242" s="35"/>
      <x:c r="J242" s="30"/>
    </x:row>
    <x:row r="243">
      <x:c r="A243" s="30"/>
      <x:c r="B243" s="30"/>
      <x:c r="C243" s="35"/>
      <x:c r="D243" s="30"/>
      <x:c r="E243" s="30"/>
      <x:c r="F243" s="30"/>
      <x:c r="G243" s="30"/>
      <x:c r="H243" s="35"/>
      <x:c r="I243" s="35"/>
      <x:c r="J243" s="30"/>
    </x:row>
    <x:row r="244">
      <x:c r="A244" s="30"/>
      <x:c r="B244" s="30"/>
      <x:c r="C244" s="35"/>
      <x:c r="D244" s="30"/>
      <x:c r="E244" s="30"/>
      <x:c r="F244" s="30"/>
      <x:c r="G244" s="30"/>
      <x:c r="H244" s="35"/>
      <x:c r="I244" s="35"/>
      <x:c r="J244" s="30"/>
    </x:row>
    <x:row r="245">
      <x:c r="A245" s="30"/>
      <x:c r="B245" s="30"/>
      <x:c r="C245" s="35"/>
      <x:c r="D245" s="30"/>
      <x:c r="E245" s="30"/>
      <x:c r="F245" s="30"/>
      <x:c r="G245" s="30"/>
      <x:c r="H245" s="35"/>
      <x:c r="I245" s="35"/>
      <x:c r="J245" s="30"/>
    </x:row>
    <x:row r="246">
      <x:c r="A246" s="30"/>
      <x:c r="B246" s="30"/>
      <x:c r="C246" s="35"/>
      <x:c r="D246" s="30"/>
      <x:c r="E246" s="30"/>
      <x:c r="F246" s="30"/>
      <x:c r="G246" s="30"/>
      <x:c r="H246" s="35"/>
      <x:c r="I246" s="35"/>
      <x:c r="J246" s="30"/>
    </x:row>
    <x:row r="247">
      <x:c r="A247" s="30"/>
      <x:c r="B247" s="30"/>
      <x:c r="C247" s="35"/>
      <x:c r="D247" s="30"/>
      <x:c r="E247" s="30"/>
      <x:c r="F247" s="30"/>
      <x:c r="G247" s="30"/>
      <x:c r="H247" s="35"/>
      <x:c r="I247" s="35"/>
      <x:c r="J247" s="30"/>
    </x:row>
    <x:row r="248">
      <x:c r="A248" s="30"/>
      <x:c r="B248" s="30"/>
      <x:c r="C248" s="35"/>
      <x:c r="D248" s="30"/>
      <x:c r="E248" s="30"/>
      <x:c r="F248" s="30"/>
      <x:c r="G248" s="30"/>
      <x:c r="H248" s="35"/>
      <x:c r="I248" s="35"/>
      <x:c r="J248" s="30"/>
    </x:row>
    <x:row r="249">
      <x:c r="A249" s="30"/>
      <x:c r="B249" s="30"/>
      <x:c r="C249" s="35"/>
      <x:c r="D249" s="30"/>
      <x:c r="E249" s="30"/>
      <x:c r="F249" s="30"/>
      <x:c r="G249" s="30"/>
      <x:c r="H249" s="35"/>
      <x:c r="I249" s="35"/>
      <x:c r="J249" s="30"/>
    </x:row>
    <x:row r="250">
      <x:c r="A250" s="30"/>
      <x:c r="B250" s="30"/>
      <x:c r="C250" s="35"/>
      <x:c r="D250" s="30"/>
      <x:c r="E250" s="30"/>
      <x:c r="F250" s="30"/>
      <x:c r="G250" s="30"/>
      <x:c r="H250" s="35"/>
      <x:c r="I250" s="35"/>
      <x:c r="J250" s="30"/>
    </x:row>
    <x:row r="251">
      <x:c r="A251" s="30"/>
      <x:c r="B251" s="30"/>
      <x:c r="C251" s="35"/>
      <x:c r="D251" s="30"/>
      <x:c r="E251" s="30"/>
      <x:c r="F251" s="30"/>
      <x:c r="G251" s="30"/>
      <x:c r="H251" s="35"/>
      <x:c r="I251" s="35"/>
      <x:c r="J251" s="30"/>
    </x:row>
    <x:row r="252">
      <x:c r="A252" s="30"/>
      <x:c r="B252" s="30"/>
      <x:c r="C252" s="35"/>
      <x:c r="D252" s="30"/>
      <x:c r="E252" s="30"/>
      <x:c r="F252" s="30"/>
      <x:c r="G252" s="30"/>
      <x:c r="H252" s="35"/>
      <x:c r="I252" s="35"/>
      <x:c r="J252" s="30"/>
    </x:row>
    <x:row r="253">
      <x:c r="A253" s="30"/>
      <x:c r="B253" s="30"/>
      <x:c r="C253" s="35"/>
      <x:c r="D253" s="30"/>
      <x:c r="E253" s="30"/>
      <x:c r="F253" s="30"/>
      <x:c r="G253" s="30"/>
      <x:c r="H253" s="35"/>
      <x:c r="I253" s="35"/>
      <x:c r="J253" s="30"/>
    </x:row>
    <x:row r="254">
      <x:c r="A254" s="30"/>
      <x:c r="B254" s="30"/>
      <x:c r="C254" s="35"/>
      <x:c r="D254" s="30"/>
      <x:c r="E254" s="30"/>
      <x:c r="F254" s="30"/>
      <x:c r="G254" s="30"/>
      <x:c r="H254" s="35"/>
      <x:c r="I254" s="35"/>
      <x:c r="J254" s="30"/>
    </x:row>
    <x:row r="255">
      <x:c r="A255" s="30"/>
      <x:c r="B255" s="30"/>
      <x:c r="C255" s="35"/>
      <x:c r="D255" s="30"/>
      <x:c r="E255" s="30"/>
      <x:c r="F255" s="30"/>
      <x:c r="G255" s="30"/>
      <x:c r="H255" s="35"/>
      <x:c r="I255" s="35"/>
      <x:c r="J255" s="30"/>
    </x:row>
    <x:row r="256">
      <x:c r="A256" s="30"/>
      <x:c r="B256" s="30"/>
      <x:c r="C256" s="35"/>
      <x:c r="D256" s="30"/>
      <x:c r="E256" s="30"/>
      <x:c r="F256" s="30"/>
      <x:c r="G256" s="30"/>
      <x:c r="H256" s="35"/>
      <x:c r="I256" s="35"/>
      <x:c r="J256" s="30"/>
    </x:row>
    <x:row r="257">
      <x:c r="A257" s="30"/>
      <x:c r="B257" s="30"/>
      <x:c r="C257" s="35"/>
      <x:c r="D257" s="30"/>
      <x:c r="E257" s="30"/>
      <x:c r="F257" s="30"/>
      <x:c r="G257" s="30"/>
      <x:c r="H257" s="35"/>
      <x:c r="I257" s="35"/>
      <x:c r="J257" s="30"/>
    </x:row>
    <x:row r="258">
      <x:c r="A258" s="30"/>
      <x:c r="B258" s="30"/>
      <x:c r="C258" s="35"/>
      <x:c r="D258" s="30"/>
      <x:c r="E258" s="30"/>
      <x:c r="F258" s="30"/>
      <x:c r="G258" s="30"/>
      <x:c r="H258" s="35"/>
      <x:c r="I258" s="35"/>
      <x:c r="J258" s="30"/>
    </x:row>
    <x:row r="259">
      <x:c r="A259" s="30"/>
      <x:c r="B259" s="30"/>
      <x:c r="C259" s="35"/>
      <x:c r="D259" s="30"/>
      <x:c r="E259" s="30"/>
      <x:c r="F259" s="30"/>
      <x:c r="G259" s="30"/>
      <x:c r="H259" s="35"/>
      <x:c r="I259" s="35"/>
      <x:c r="J259" s="30"/>
    </x:row>
    <x:row r="260">
      <x:c r="A260" s="30"/>
      <x:c r="B260" s="30"/>
      <x:c r="C260" s="35"/>
      <x:c r="D260" s="30"/>
      <x:c r="E260" s="30"/>
      <x:c r="F260" s="30"/>
      <x:c r="G260" s="30"/>
      <x:c r="H260" s="35"/>
      <x:c r="I260" s="35"/>
      <x:c r="J260" s="30"/>
    </x:row>
    <x:row r="261">
      <x:c r="A261" s="30"/>
      <x:c r="B261" s="30"/>
      <x:c r="C261" s="35"/>
      <x:c r="D261" s="30"/>
      <x:c r="E261" s="30"/>
      <x:c r="F261" s="30"/>
      <x:c r="G261" s="30"/>
      <x:c r="H261" s="35"/>
      <x:c r="I261" s="35"/>
      <x:c r="J261" s="30"/>
    </x:row>
    <x:row r="262">
      <x:c r="A262" s="30"/>
      <x:c r="B262" s="30"/>
      <x:c r="C262" s="35"/>
      <x:c r="D262" s="30"/>
      <x:c r="E262" s="30"/>
      <x:c r="F262" s="30"/>
      <x:c r="G262" s="30"/>
      <x:c r="H262" s="35"/>
      <x:c r="I262" s="35"/>
      <x:c r="J262" s="30"/>
    </x:row>
    <x:row r="263">
      <x:c r="A263" s="30"/>
      <x:c r="B263" s="30"/>
      <x:c r="C263" s="35"/>
      <x:c r="D263" s="30"/>
      <x:c r="E263" s="30"/>
      <x:c r="F263" s="30"/>
      <x:c r="G263" s="30"/>
      <x:c r="H263" s="35"/>
      <x:c r="I263" s="35"/>
      <x:c r="J263" s="30"/>
    </x:row>
    <x:row r="264">
      <x:c r="A264" s="30"/>
      <x:c r="B264" s="30"/>
      <x:c r="C264" s="35"/>
      <x:c r="D264" s="30"/>
      <x:c r="E264" s="30"/>
      <x:c r="F264" s="30"/>
      <x:c r="G264" s="30"/>
      <x:c r="H264" s="35"/>
      <x:c r="I264" s="35"/>
      <x:c r="J264" s="30"/>
    </x:row>
    <x:row r="265">
      <x:c r="A265" s="30"/>
      <x:c r="B265" s="30"/>
      <x:c r="C265" s="35"/>
      <x:c r="D265" s="30"/>
      <x:c r="E265" s="30"/>
      <x:c r="F265" s="30"/>
      <x:c r="G265" s="30"/>
      <x:c r="H265" s="35"/>
      <x:c r="I265" s="35"/>
      <x:c r="J265" s="30"/>
    </x:row>
    <x:row r="266">
      <x:c r="A266" s="30"/>
      <x:c r="B266" s="30"/>
      <x:c r="C266" s="35"/>
      <x:c r="D266" s="30"/>
      <x:c r="E266" s="30"/>
      <x:c r="F266" s="30"/>
      <x:c r="G266" s="30"/>
      <x:c r="H266" s="35"/>
      <x:c r="I266" s="35"/>
      <x:c r="J266" s="30"/>
    </x:row>
    <x:row r="267">
      <x:c r="A267" s="30"/>
      <x:c r="B267" s="30"/>
      <x:c r="C267" s="35"/>
      <x:c r="D267" s="30"/>
      <x:c r="E267" s="30"/>
      <x:c r="F267" s="30"/>
      <x:c r="G267" s="30"/>
      <x:c r="H267" s="35"/>
      <x:c r="I267" s="35"/>
      <x:c r="J267" s="30"/>
    </x:row>
    <x:row r="268">
      <x:c r="A268" s="30"/>
      <x:c r="B268" s="30"/>
      <x:c r="C268" s="35"/>
      <x:c r="D268" s="30"/>
      <x:c r="E268" s="30"/>
      <x:c r="F268" s="30"/>
      <x:c r="G268" s="30"/>
      <x:c r="H268" s="35"/>
      <x:c r="I268" s="35"/>
      <x:c r="J268" s="30"/>
    </x:row>
    <x:row r="269">
      <x:c r="A269" s="30"/>
      <x:c r="B269" s="30"/>
      <x:c r="C269" s="35"/>
      <x:c r="D269" s="30"/>
      <x:c r="E269" s="30"/>
      <x:c r="F269" s="30"/>
      <x:c r="G269" s="30"/>
      <x:c r="H269" s="35"/>
      <x:c r="I269" s="35"/>
      <x:c r="J269" s="30"/>
    </x:row>
    <x:row r="270">
      <x:c r="A270" s="30"/>
      <x:c r="B270" s="30"/>
      <x:c r="C270" s="35"/>
      <x:c r="D270" s="30"/>
      <x:c r="E270" s="30"/>
      <x:c r="F270" s="30"/>
      <x:c r="G270" s="30"/>
      <x:c r="H270" s="35"/>
      <x:c r="I270" s="35"/>
      <x:c r="J270" s="30"/>
    </x:row>
    <x:row r="271">
      <x:c r="A271" s="30"/>
      <x:c r="B271" s="30"/>
      <x:c r="C271" s="35"/>
      <x:c r="D271" s="30"/>
      <x:c r="E271" s="30"/>
      <x:c r="F271" s="30"/>
      <x:c r="G271" s="30"/>
      <x:c r="H271" s="35"/>
      <x:c r="I271" s="35"/>
      <x:c r="J271" s="30"/>
    </x:row>
    <x:row r="272">
      <x:c r="A272" s="30"/>
      <x:c r="B272" s="30"/>
      <x:c r="C272" s="35"/>
      <x:c r="D272" s="30"/>
      <x:c r="E272" s="30"/>
      <x:c r="F272" s="30"/>
      <x:c r="G272" s="30"/>
      <x:c r="H272" s="35"/>
      <x:c r="I272" s="35"/>
      <x:c r="J272" s="30"/>
    </x:row>
    <x:row r="273">
      <x:c r="A273" s="30"/>
      <x:c r="B273" s="30"/>
      <x:c r="C273" s="35"/>
      <x:c r="D273" s="30"/>
      <x:c r="E273" s="30"/>
      <x:c r="F273" s="30"/>
      <x:c r="G273" s="30"/>
      <x:c r="H273" s="35"/>
      <x:c r="I273" s="35"/>
      <x:c r="J273" s="30"/>
    </x:row>
    <x:row r="274">
      <x:c r="A274" s="30"/>
      <x:c r="B274" s="30"/>
      <x:c r="C274" s="35"/>
      <x:c r="D274" s="30"/>
      <x:c r="E274" s="30"/>
      <x:c r="F274" s="30"/>
      <x:c r="G274" s="30"/>
      <x:c r="H274" s="35"/>
      <x:c r="I274" s="35"/>
      <x:c r="J274" s="30"/>
    </x:row>
    <x:row r="275">
      <x:c r="A275" s="30"/>
      <x:c r="B275" s="30"/>
      <x:c r="C275" s="35"/>
      <x:c r="D275" s="30"/>
      <x:c r="E275" s="30"/>
      <x:c r="F275" s="30"/>
      <x:c r="G275" s="30"/>
      <x:c r="H275" s="35"/>
      <x:c r="I275" s="35"/>
      <x:c r="J275" s="30"/>
    </x:row>
    <x:row r="276">
      <x:c r="A276" s="30"/>
      <x:c r="B276" s="30"/>
      <x:c r="C276" s="35"/>
      <x:c r="D276" s="30"/>
      <x:c r="E276" s="30"/>
      <x:c r="F276" s="30"/>
      <x:c r="G276" s="30"/>
      <x:c r="H276" s="35"/>
      <x:c r="I276" s="35"/>
      <x:c r="J276" s="30"/>
    </x:row>
    <x:row r="277">
      <x:c r="A277" s="30"/>
      <x:c r="B277" s="30"/>
      <x:c r="C277" s="35"/>
      <x:c r="D277" s="30"/>
      <x:c r="E277" s="30"/>
      <x:c r="F277" s="30"/>
      <x:c r="G277" s="30"/>
      <x:c r="H277" s="35"/>
      <x:c r="I277" s="35"/>
      <x:c r="J277" s="30"/>
    </x:row>
    <x:row r="278">
      <x:c r="A278" s="30"/>
      <x:c r="B278" s="30"/>
      <x:c r="C278" s="35"/>
      <x:c r="D278" s="30"/>
      <x:c r="E278" s="30"/>
      <x:c r="F278" s="30"/>
      <x:c r="G278" s="30"/>
      <x:c r="H278" s="35"/>
      <x:c r="I278" s="35"/>
      <x:c r="J278" s="30"/>
    </x:row>
    <x:row r="279">
      <x:c r="A279" s="30"/>
      <x:c r="B279" s="30"/>
      <x:c r="C279" s="35"/>
      <x:c r="D279" s="30"/>
      <x:c r="E279" s="30"/>
      <x:c r="F279" s="30"/>
      <x:c r="G279" s="30"/>
      <x:c r="H279" s="35"/>
      <x:c r="I279" s="35"/>
      <x:c r="J279" s="30"/>
    </x:row>
    <x:row r="280">
      <x:c r="A280" s="30"/>
      <x:c r="B280" s="30"/>
      <x:c r="C280" s="35"/>
      <x:c r="D280" s="30"/>
      <x:c r="E280" s="30"/>
      <x:c r="F280" s="30"/>
      <x:c r="G280" s="30"/>
      <x:c r="H280" s="35"/>
      <x:c r="I280" s="35"/>
      <x:c r="J280" s="30"/>
    </x:row>
    <x:row r="281">
      <x:c r="A281" s="30"/>
      <x:c r="B281" s="30"/>
      <x:c r="C281" s="35"/>
      <x:c r="D281" s="30"/>
      <x:c r="E281" s="30"/>
      <x:c r="F281" s="30"/>
      <x:c r="G281" s="30"/>
      <x:c r="H281" s="35"/>
      <x:c r="I281" s="35"/>
      <x:c r="J281" s="30"/>
    </x:row>
    <x:row r="282">
      <x:c r="A282" s="30"/>
      <x:c r="B282" s="30"/>
      <x:c r="C282" s="35"/>
      <x:c r="D282" s="30"/>
      <x:c r="E282" s="30"/>
      <x:c r="F282" s="30"/>
      <x:c r="G282" s="30"/>
      <x:c r="H282" s="35"/>
      <x:c r="I282" s="35"/>
      <x:c r="J282" s="30"/>
    </x:row>
    <x:row r="283">
      <x:c r="A283" s="30"/>
      <x:c r="B283" s="30"/>
      <x:c r="C283" s="35"/>
      <x:c r="D283" s="30"/>
      <x:c r="E283" s="30"/>
      <x:c r="F283" s="30"/>
      <x:c r="G283" s="30"/>
      <x:c r="H283" s="35"/>
      <x:c r="I283" s="35"/>
      <x:c r="J283" s="30"/>
    </x:row>
    <x:row r="284">
      <x:c r="A284" s="30"/>
      <x:c r="B284" s="30"/>
      <x:c r="C284" s="35"/>
      <x:c r="D284" s="30"/>
      <x:c r="E284" s="30"/>
      <x:c r="F284" s="30"/>
      <x:c r="G284" s="30"/>
      <x:c r="H284" s="35"/>
      <x:c r="I284" s="35"/>
      <x:c r="J284" s="30"/>
    </x:row>
    <x:row r="285">
      <x:c r="A285" s="30"/>
      <x:c r="B285" s="30"/>
      <x:c r="C285" s="35"/>
      <x:c r="D285" s="30"/>
      <x:c r="E285" s="30"/>
      <x:c r="F285" s="30"/>
      <x:c r="G285" s="30"/>
      <x:c r="H285" s="35"/>
      <x:c r="I285" s="35"/>
      <x:c r="J285" s="30"/>
    </x:row>
    <x:row r="286">
      <x:c r="A286" s="30"/>
      <x:c r="B286" s="30"/>
      <x:c r="C286" s="35"/>
      <x:c r="D286" s="30"/>
      <x:c r="E286" s="30"/>
      <x:c r="F286" s="30"/>
      <x:c r="G286" s="30"/>
      <x:c r="H286" s="35"/>
      <x:c r="I286" s="35"/>
      <x:c r="J286" s="30"/>
    </x:row>
    <x:row r="287">
      <x:c r="A287" s="30"/>
      <x:c r="B287" s="30"/>
      <x:c r="C287" s="35"/>
      <x:c r="D287" s="30"/>
      <x:c r="E287" s="30"/>
      <x:c r="F287" s="30"/>
      <x:c r="G287" s="30"/>
      <x:c r="H287" s="35"/>
      <x:c r="I287" s="35"/>
      <x:c r="J287" s="30"/>
    </x:row>
    <x:row r="288">
      <x:c r="A288" s="30"/>
      <x:c r="B288" s="30"/>
      <x:c r="C288" s="35"/>
      <x:c r="D288" s="30"/>
      <x:c r="E288" s="30"/>
      <x:c r="F288" s="30"/>
      <x:c r="G288" s="30"/>
      <x:c r="H288" s="35"/>
      <x:c r="I288" s="35"/>
      <x:c r="J288" s="30"/>
    </x:row>
    <x:row r="289">
      <x:c r="A289" s="30"/>
      <x:c r="B289" s="30"/>
      <x:c r="C289" s="35"/>
      <x:c r="D289" s="30"/>
      <x:c r="E289" s="30"/>
      <x:c r="F289" s="30"/>
      <x:c r="G289" s="30"/>
      <x:c r="H289" s="35"/>
      <x:c r="I289" s="35"/>
      <x:c r="J289" s="30"/>
    </x:row>
    <x:row r="290">
      <x:c r="A290" s="30"/>
      <x:c r="B290" s="30"/>
      <x:c r="C290" s="35"/>
      <x:c r="D290" s="30"/>
      <x:c r="E290" s="30"/>
      <x:c r="F290" s="30"/>
      <x:c r="G290" s="30"/>
      <x:c r="H290" s="35"/>
      <x:c r="I290" s="35"/>
      <x:c r="J290" s="30"/>
    </x:row>
    <x:row r="291">
      <x:c r="A291" s="30"/>
      <x:c r="B291" s="30"/>
      <x:c r="C291" s="35"/>
      <x:c r="D291" s="30"/>
      <x:c r="E291" s="30"/>
      <x:c r="F291" s="30"/>
      <x:c r="G291" s="30"/>
      <x:c r="H291" s="35"/>
      <x:c r="I291" s="35"/>
      <x:c r="J291" s="30"/>
    </x:row>
    <x:row r="292">
      <x:c r="A292" s="30"/>
      <x:c r="B292" s="30"/>
      <x:c r="C292" s="35"/>
      <x:c r="D292" s="30"/>
      <x:c r="E292" s="30"/>
      <x:c r="F292" s="30"/>
      <x:c r="G292" s="30"/>
      <x:c r="H292" s="35"/>
      <x:c r="I292" s="35"/>
      <x:c r="J292" s="30"/>
    </x:row>
    <x:row r="293">
      <x:c r="A293" s="30"/>
      <x:c r="B293" s="30"/>
      <x:c r="C293" s="35"/>
      <x:c r="D293" s="30"/>
      <x:c r="E293" s="30"/>
      <x:c r="F293" s="30"/>
      <x:c r="G293" s="30"/>
      <x:c r="H293" s="35"/>
      <x:c r="I293" s="35"/>
      <x:c r="J293" s="30"/>
    </x:row>
    <x:row r="294">
      <x:c r="A294" s="30"/>
      <x:c r="B294" s="30"/>
      <x:c r="C294" s="35"/>
      <x:c r="D294" s="30"/>
      <x:c r="E294" s="30"/>
      <x:c r="F294" s="30"/>
      <x:c r="G294" s="30"/>
      <x:c r="H294" s="35"/>
      <x:c r="I294" s="35"/>
      <x:c r="J294" s="30"/>
    </x:row>
    <x:row r="295">
      <x:c r="A295" s="30"/>
      <x:c r="B295" s="30"/>
      <x:c r="C295" s="35"/>
      <x:c r="D295" s="30"/>
      <x:c r="E295" s="30"/>
      <x:c r="F295" s="30"/>
      <x:c r="G295" s="30"/>
      <x:c r="H295" s="35"/>
      <x:c r="I295" s="35"/>
      <x:c r="J295" s="30"/>
    </x:row>
    <x:row r="296">
      <x:c r="A296" s="30"/>
      <x:c r="B296" s="30"/>
      <x:c r="C296" s="35"/>
      <x:c r="D296" s="30"/>
      <x:c r="E296" s="30"/>
      <x:c r="F296" s="30"/>
      <x:c r="G296" s="30"/>
      <x:c r="H296" s="35"/>
      <x:c r="I296" s="35"/>
      <x:c r="J296" s="30"/>
    </x:row>
    <x:row r="297">
      <x:c r="A297" s="30"/>
      <x:c r="B297" s="30"/>
      <x:c r="C297" s="35"/>
      <x:c r="D297" s="30"/>
      <x:c r="E297" s="30"/>
      <x:c r="F297" s="30"/>
      <x:c r="G297" s="30"/>
      <x:c r="H297" s="35"/>
      <x:c r="I297" s="35"/>
      <x:c r="J297" s="30"/>
    </x:row>
    <x:row r="298">
      <x:c r="A298" s="30"/>
      <x:c r="B298" s="30"/>
      <x:c r="C298" s="35"/>
      <x:c r="D298" s="30"/>
      <x:c r="E298" s="30"/>
      <x:c r="F298" s="30"/>
      <x:c r="G298" s="30"/>
      <x:c r="H298" s="35"/>
      <x:c r="I298" s="35"/>
      <x:c r="J298" s="30"/>
    </x:row>
    <x:row r="299">
      <x:c r="A299" s="30"/>
      <x:c r="B299" s="30"/>
      <x:c r="C299" s="35"/>
      <x:c r="D299" s="30"/>
      <x:c r="E299" s="30"/>
      <x:c r="F299" s="30"/>
      <x:c r="G299" s="30"/>
      <x:c r="H299" s="35"/>
      <x:c r="I299" s="35"/>
      <x:c r="J299" s="30"/>
    </x:row>
    <x:row r="300">
      <x:c r="A300" s="30"/>
      <x:c r="B300" s="30"/>
      <x:c r="C300" s="35"/>
      <x:c r="D300" s="30"/>
      <x:c r="E300" s="30"/>
      <x:c r="F300" s="30"/>
      <x:c r="G300" s="30"/>
      <x:c r="H300" s="35"/>
      <x:c r="I300" s="35"/>
      <x:c r="J300" s="30"/>
    </x:row>
    <x:row r="301">
      <x:c r="A301" s="30"/>
      <x:c r="B301" s="30"/>
      <x:c r="C301" s="35"/>
      <x:c r="D301" s="30"/>
      <x:c r="E301" s="30"/>
      <x:c r="F301" s="30"/>
      <x:c r="G301" s="30"/>
      <x:c r="H301" s="35"/>
      <x:c r="I301" s="35"/>
      <x:c r="J301" s="30"/>
    </x:row>
    <x:row r="302">
      <x:c r="A302" s="30"/>
      <x:c r="B302" s="30"/>
      <x:c r="C302" s="35"/>
      <x:c r="D302" s="30"/>
      <x:c r="E302" s="30"/>
      <x:c r="F302" s="30"/>
      <x:c r="G302" s="30"/>
      <x:c r="H302" s="35"/>
      <x:c r="I302" s="35"/>
      <x:c r="J302" s="30"/>
    </x:row>
    <x:row r="303">
      <x:c r="A303" s="30"/>
      <x:c r="B303" s="30"/>
      <x:c r="C303" s="35"/>
      <x:c r="D303" s="30"/>
      <x:c r="E303" s="30"/>
      <x:c r="F303" s="30"/>
      <x:c r="G303" s="30"/>
      <x:c r="H303" s="35"/>
      <x:c r="I303" s="35"/>
      <x:c r="J303" s="30"/>
    </x:row>
    <x:row r="304">
      <x:c r="A304" s="30"/>
      <x:c r="B304" s="30"/>
      <x:c r="C304" s="35"/>
      <x:c r="D304" s="30"/>
      <x:c r="E304" s="30"/>
      <x:c r="F304" s="30"/>
      <x:c r="G304" s="30"/>
      <x:c r="H304" s="35"/>
      <x:c r="I304" s="35"/>
      <x:c r="J304" s="30"/>
    </x:row>
    <x:row r="305">
      <x:c r="A305" s="30"/>
      <x:c r="B305" s="30"/>
      <x:c r="C305" s="35"/>
      <x:c r="D305" s="30"/>
      <x:c r="E305" s="30"/>
      <x:c r="F305" s="30"/>
      <x:c r="G305" s="30"/>
      <x:c r="H305" s="35"/>
      <x:c r="I305" s="35"/>
      <x:c r="J305" s="30"/>
    </x:row>
    <x:row r="306">
      <x:c r="A306" s="30"/>
      <x:c r="B306" s="30"/>
      <x:c r="C306" s="35"/>
      <x:c r="D306" s="30"/>
      <x:c r="E306" s="30"/>
      <x:c r="F306" s="30"/>
      <x:c r="G306" s="30"/>
      <x:c r="H306" s="35"/>
      <x:c r="I306" s="35"/>
      <x:c r="J306" s="30"/>
    </x:row>
    <x:row r="307">
      <x:c r="A307" s="30"/>
      <x:c r="B307" s="30"/>
      <x:c r="C307" s="35"/>
      <x:c r="D307" s="30"/>
      <x:c r="E307" s="30"/>
      <x:c r="F307" s="30"/>
      <x:c r="G307" s="30"/>
      <x:c r="H307" s="35"/>
      <x:c r="I307" s="35"/>
      <x:c r="J307" s="30"/>
    </x:row>
    <x:row r="308">
      <x:c r="A308" s="30"/>
      <x:c r="B308" s="30"/>
      <x:c r="C308" s="35"/>
      <x:c r="D308" s="30"/>
      <x:c r="E308" s="30"/>
      <x:c r="F308" s="30"/>
      <x:c r="G308" s="30"/>
      <x:c r="H308" s="35"/>
      <x:c r="I308" s="35"/>
      <x:c r="J308" s="30"/>
    </x:row>
    <x:row r="309">
      <x:c r="A309" s="30"/>
      <x:c r="B309" s="30"/>
      <x:c r="C309" s="35"/>
      <x:c r="D309" s="30"/>
      <x:c r="E309" s="30"/>
      <x:c r="F309" s="30"/>
      <x:c r="G309" s="30"/>
      <x:c r="H309" s="35"/>
      <x:c r="I309" s="35"/>
      <x:c r="J309" s="30"/>
    </x:row>
    <x:row r="310">
      <x:c r="A310" s="30"/>
      <x:c r="B310" s="30"/>
      <x:c r="C310" s="35"/>
      <x:c r="D310" s="30"/>
      <x:c r="E310" s="30"/>
      <x:c r="F310" s="30"/>
      <x:c r="G310" s="30"/>
      <x:c r="H310" s="35"/>
      <x:c r="I310" s="35"/>
      <x:c r="J310" s="30"/>
    </x:row>
    <x:row r="311">
      <x:c r="A311" s="30"/>
      <x:c r="B311" s="30"/>
      <x:c r="C311" s="35"/>
      <x:c r="D311" s="30"/>
      <x:c r="E311" s="30"/>
      <x:c r="F311" s="30"/>
      <x:c r="G311" s="30"/>
      <x:c r="H311" s="35"/>
      <x:c r="I311" s="35"/>
      <x:c r="J311" s="30"/>
    </x:row>
    <x:row r="312">
      <x:c r="A312" s="30"/>
      <x:c r="B312" s="30"/>
      <x:c r="C312" s="35"/>
      <x:c r="D312" s="30"/>
      <x:c r="E312" s="30"/>
      <x:c r="F312" s="30"/>
      <x:c r="G312" s="30"/>
      <x:c r="H312" s="35"/>
      <x:c r="I312" s="35"/>
      <x:c r="J312" s="30"/>
    </x:row>
    <x:row r="313">
      <x:c r="A313" s="30"/>
      <x:c r="B313" s="30"/>
      <x:c r="C313" s="35"/>
      <x:c r="D313" s="30"/>
      <x:c r="E313" s="30"/>
      <x:c r="F313" s="30"/>
      <x:c r="G313" s="30"/>
      <x:c r="H313" s="35"/>
      <x:c r="I313" s="35"/>
      <x:c r="J313" s="30"/>
    </x:row>
    <x:row r="314">
      <x:c r="A314" s="30"/>
      <x:c r="B314" s="30"/>
      <x:c r="C314" s="35"/>
      <x:c r="D314" s="30"/>
      <x:c r="E314" s="30"/>
      <x:c r="F314" s="30"/>
      <x:c r="G314" s="30"/>
      <x:c r="H314" s="35"/>
      <x:c r="I314" s="35"/>
      <x:c r="J314" s="30"/>
    </x:row>
    <x:row r="315">
      <x:c r="A315" s="30"/>
      <x:c r="B315" s="30"/>
      <x:c r="C315" s="35"/>
      <x:c r="D315" s="30"/>
      <x:c r="E315" s="30"/>
      <x:c r="F315" s="30"/>
      <x:c r="G315" s="30"/>
      <x:c r="H315" s="35"/>
      <x:c r="I315" s="35"/>
      <x:c r="J315" s="30"/>
    </x:row>
    <x:row r="316">
      <x:c r="A316" s="30"/>
      <x:c r="B316" s="30"/>
      <x:c r="C316" s="35"/>
      <x:c r="D316" s="30"/>
      <x:c r="E316" s="30"/>
      <x:c r="F316" s="30"/>
      <x:c r="G316" s="30"/>
      <x:c r="H316" s="35"/>
      <x:c r="I316" s="35"/>
      <x:c r="J316" s="30"/>
    </x:row>
    <x:row r="317">
      <x:c r="A317" s="30"/>
      <x:c r="B317" s="30"/>
      <x:c r="C317" s="35"/>
      <x:c r="D317" s="30"/>
      <x:c r="E317" s="30"/>
      <x:c r="F317" s="30"/>
      <x:c r="G317" s="30"/>
      <x:c r="H317" s="35"/>
      <x:c r="I317" s="35"/>
      <x:c r="J317" s="30"/>
    </x:row>
    <x:row r="318">
      <x:c r="A318" s="30"/>
      <x:c r="B318" s="30"/>
      <x:c r="C318" s="35"/>
      <x:c r="D318" s="30"/>
      <x:c r="E318" s="30"/>
      <x:c r="F318" s="30"/>
      <x:c r="G318" s="30"/>
      <x:c r="H318" s="35"/>
      <x:c r="I318" s="35"/>
      <x:c r="J318" s="30"/>
    </x:row>
    <x:row r="319">
      <x:c r="A319" s="30"/>
      <x:c r="B319" s="30"/>
      <x:c r="C319" s="35"/>
      <x:c r="D319" s="30"/>
      <x:c r="E319" s="30"/>
      <x:c r="F319" s="30"/>
      <x:c r="G319" s="30"/>
      <x:c r="H319" s="35"/>
      <x:c r="I319" s="35"/>
      <x:c r="J319" s="30"/>
    </x:row>
    <x:row r="320">
      <x:c r="A320" s="30"/>
      <x:c r="B320" s="30"/>
      <x:c r="C320" s="35"/>
      <x:c r="D320" s="30"/>
      <x:c r="E320" s="30"/>
      <x:c r="F320" s="30"/>
      <x:c r="G320" s="30"/>
      <x:c r="H320" s="35"/>
      <x:c r="I320" s="35"/>
      <x:c r="J320" s="30"/>
    </x:row>
    <x:row r="321">
      <x:c r="A321" s="30"/>
      <x:c r="B321" s="30"/>
      <x:c r="C321" s="35"/>
      <x:c r="D321" s="30"/>
      <x:c r="E321" s="30"/>
      <x:c r="F321" s="30"/>
      <x:c r="G321" s="30"/>
      <x:c r="H321" s="35"/>
      <x:c r="I321" s="35"/>
      <x:c r="J321" s="30"/>
    </x:row>
    <x:row r="322">
      <x:c r="A322" s="30"/>
      <x:c r="B322" s="30"/>
      <x:c r="C322" s="35"/>
      <x:c r="D322" s="30"/>
      <x:c r="E322" s="30"/>
      <x:c r="F322" s="30"/>
      <x:c r="G322" s="30"/>
      <x:c r="H322" s="35"/>
      <x:c r="I322" s="35"/>
      <x:c r="J322" s="30"/>
    </x:row>
    <x:row r="323">
      <x:c r="A323" s="30"/>
      <x:c r="B323" s="30"/>
      <x:c r="C323" s="35"/>
      <x:c r="D323" s="30"/>
      <x:c r="E323" s="30"/>
      <x:c r="F323" s="30"/>
      <x:c r="G323" s="30"/>
      <x:c r="H323" s="35"/>
      <x:c r="I323" s="35"/>
      <x:c r="J323" s="30"/>
    </x:row>
    <x:row r="324">
      <x:c r="A324" s="30"/>
      <x:c r="B324" s="30"/>
      <x:c r="C324" s="35"/>
      <x:c r="D324" s="30"/>
      <x:c r="E324" s="30"/>
      <x:c r="F324" s="30"/>
      <x:c r="G324" s="30"/>
      <x:c r="H324" s="35"/>
      <x:c r="I324" s="35"/>
      <x:c r="J324" s="30"/>
    </x:row>
    <x:row r="325">
      <x:c r="A325" s="30"/>
      <x:c r="B325" s="30"/>
      <x:c r="C325" s="35"/>
      <x:c r="D325" s="30"/>
      <x:c r="E325" s="30"/>
      <x:c r="F325" s="30"/>
      <x:c r="G325" s="30"/>
      <x:c r="H325" s="35"/>
      <x:c r="I325" s="35"/>
      <x:c r="J325" s="30"/>
    </x:row>
    <x:row r="326">
      <x:c r="A326" s="30"/>
      <x:c r="B326" s="30"/>
      <x:c r="C326" s="35"/>
      <x:c r="D326" s="30"/>
      <x:c r="E326" s="30"/>
      <x:c r="F326" s="30"/>
      <x:c r="G326" s="30"/>
      <x:c r="H326" s="35"/>
      <x:c r="I326" s="35"/>
      <x:c r="J326" s="30"/>
    </x:row>
    <x:row r="327">
      <x:c r="A327" s="30"/>
      <x:c r="B327" s="30"/>
      <x:c r="C327" s="35"/>
      <x:c r="D327" s="30"/>
      <x:c r="E327" s="30"/>
      <x:c r="F327" s="30"/>
      <x:c r="G327" s="30"/>
      <x:c r="H327" s="35"/>
      <x:c r="I327" s="35"/>
      <x:c r="J327" s="30"/>
    </x:row>
    <x:row r="328">
      <x:c r="A328" s="30"/>
      <x:c r="B328" s="30"/>
      <x:c r="C328" s="35"/>
      <x:c r="D328" s="30"/>
      <x:c r="E328" s="30"/>
      <x:c r="F328" s="30"/>
      <x:c r="G328" s="30"/>
      <x:c r="H328" s="35"/>
      <x:c r="I328" s="35"/>
      <x:c r="J328" s="30"/>
    </x:row>
    <x:row r="329">
      <x:c r="A329" s="30"/>
      <x:c r="B329" s="30"/>
      <x:c r="C329" s="35"/>
      <x:c r="D329" s="30"/>
      <x:c r="E329" s="30"/>
      <x:c r="F329" s="30"/>
      <x:c r="G329" s="30"/>
      <x:c r="H329" s="35"/>
      <x:c r="I329" s="35"/>
      <x:c r="J329" s="30"/>
    </x:row>
    <x:row r="330">
      <x:c r="A330" s="30"/>
      <x:c r="B330" s="30"/>
      <x:c r="C330" s="35"/>
      <x:c r="D330" s="30"/>
      <x:c r="E330" s="30"/>
      <x:c r="F330" s="30"/>
      <x:c r="G330" s="30"/>
      <x:c r="H330" s="35"/>
      <x:c r="I330" s="35"/>
      <x:c r="J330" s="30"/>
    </x:row>
    <x:row r="331">
      <x:c r="A331" s="30"/>
      <x:c r="B331" s="30"/>
      <x:c r="C331" s="35"/>
      <x:c r="D331" s="30"/>
      <x:c r="E331" s="30"/>
      <x:c r="F331" s="30"/>
      <x:c r="G331" s="30"/>
      <x:c r="H331" s="35"/>
      <x:c r="I331" s="35"/>
      <x:c r="J331" s="30"/>
    </x:row>
    <x:row r="332">
      <x:c r="A332" s="30"/>
      <x:c r="B332" s="30"/>
      <x:c r="C332" s="35"/>
      <x:c r="D332" s="30"/>
      <x:c r="E332" s="30"/>
      <x:c r="F332" s="30"/>
      <x:c r="G332" s="30"/>
      <x:c r="H332" s="35"/>
      <x:c r="I332" s="35"/>
      <x:c r="J332" s="30"/>
    </x:row>
    <x:row r="333">
      <x:c r="A333" s="30"/>
      <x:c r="B333" s="30"/>
      <x:c r="C333" s="35"/>
      <x:c r="D333" s="30"/>
      <x:c r="E333" s="30"/>
      <x:c r="F333" s="30"/>
      <x:c r="G333" s="30"/>
      <x:c r="H333" s="35"/>
      <x:c r="I333" s="35"/>
      <x:c r="J333" s="30"/>
    </x:row>
    <x:row r="334">
      <x:c r="A334" s="30"/>
      <x:c r="B334" s="30"/>
      <x:c r="C334" s="35"/>
      <x:c r="D334" s="30"/>
      <x:c r="E334" s="30"/>
      <x:c r="F334" s="30"/>
      <x:c r="G334" s="30"/>
      <x:c r="H334" s="35"/>
      <x:c r="I334" s="35"/>
      <x:c r="J334" s="30"/>
    </x:row>
    <x:row r="335">
      <x:c r="A335" s="30"/>
      <x:c r="B335" s="30"/>
      <x:c r="C335" s="35"/>
      <x:c r="D335" s="30"/>
      <x:c r="E335" s="30"/>
      <x:c r="F335" s="30"/>
      <x:c r="G335" s="30"/>
      <x:c r="H335" s="35"/>
      <x:c r="I335" s="35"/>
      <x:c r="J335" s="30"/>
    </x:row>
    <x:row r="336">
      <x:c r="A336" s="30"/>
      <x:c r="B336" s="30"/>
      <x:c r="C336" s="35"/>
      <x:c r="D336" s="30"/>
      <x:c r="E336" s="30"/>
      <x:c r="F336" s="30"/>
      <x:c r="G336" s="30"/>
      <x:c r="H336" s="35"/>
      <x:c r="I336" s="35"/>
      <x:c r="J336" s="30"/>
    </x:row>
    <x:row r="337">
      <x:c r="A337" s="30"/>
      <x:c r="B337" s="30"/>
      <x:c r="C337" s="35"/>
      <x:c r="D337" s="30"/>
      <x:c r="E337" s="30"/>
      <x:c r="F337" s="30"/>
      <x:c r="G337" s="30"/>
      <x:c r="H337" s="35"/>
      <x:c r="I337" s="35"/>
      <x:c r="J337" s="30"/>
    </x:row>
    <x:row r="338">
      <x:c r="A338" s="30"/>
      <x:c r="B338" s="30"/>
      <x:c r="C338" s="35"/>
      <x:c r="D338" s="30"/>
      <x:c r="E338" s="30"/>
      <x:c r="F338" s="30"/>
      <x:c r="G338" s="30"/>
      <x:c r="H338" s="35"/>
      <x:c r="I338" s="35"/>
      <x:c r="J338" s="30"/>
    </x:row>
    <x:row r="339">
      <x:c r="A339" s="30"/>
      <x:c r="B339" s="30"/>
      <x:c r="C339" s="35"/>
      <x:c r="D339" s="30"/>
      <x:c r="E339" s="30"/>
      <x:c r="F339" s="30"/>
      <x:c r="G339" s="30"/>
      <x:c r="H339" s="35"/>
      <x:c r="I339" s="35"/>
      <x:c r="J339" s="30"/>
    </x:row>
    <x:row r="340">
      <x:c r="A340" s="30"/>
      <x:c r="B340" s="30"/>
      <x:c r="C340" s="35"/>
      <x:c r="D340" s="30"/>
      <x:c r="E340" s="30"/>
      <x:c r="F340" s="30"/>
      <x:c r="G340" s="30"/>
      <x:c r="H340" s="35"/>
      <x:c r="I340" s="35"/>
      <x:c r="J340" s="30"/>
    </x:row>
    <x:row r="341">
      <x:c r="A341" s="30"/>
      <x:c r="B341" s="30"/>
      <x:c r="C341" s="35"/>
      <x:c r="D341" s="30"/>
      <x:c r="E341" s="30"/>
      <x:c r="F341" s="30"/>
      <x:c r="G341" s="30"/>
      <x:c r="H341" s="35"/>
      <x:c r="I341" s="35"/>
      <x:c r="J341" s="30"/>
    </x:row>
    <x:row r="342">
      <x:c r="A342" s="30"/>
      <x:c r="B342" s="30"/>
      <x:c r="C342" s="35"/>
      <x:c r="D342" s="30"/>
      <x:c r="E342" s="30"/>
      <x:c r="F342" s="30"/>
      <x:c r="G342" s="30"/>
      <x:c r="H342" s="35"/>
      <x:c r="I342" s="35"/>
      <x:c r="J342" s="30"/>
    </x:row>
    <x:row r="343">
      <x:c r="A343" s="30"/>
      <x:c r="B343" s="30"/>
      <x:c r="C343" s="35"/>
      <x:c r="D343" s="30"/>
      <x:c r="E343" s="30"/>
      <x:c r="F343" s="30"/>
      <x:c r="G343" s="30"/>
      <x:c r="H343" s="35"/>
      <x:c r="I343" s="35"/>
      <x:c r="J343" s="30"/>
    </x:row>
    <x:row r="344">
      <x:c r="A344" s="30"/>
      <x:c r="B344" s="30"/>
      <x:c r="C344" s="35"/>
      <x:c r="D344" s="30"/>
      <x:c r="E344" s="30"/>
      <x:c r="F344" s="30"/>
      <x:c r="G344" s="30"/>
      <x:c r="H344" s="35"/>
      <x:c r="I344" s="35"/>
      <x:c r="J344" s="30"/>
    </x:row>
    <x:row r="345">
      <x:c r="A345" s="30"/>
      <x:c r="B345" s="30"/>
      <x:c r="C345" s="35"/>
      <x:c r="D345" s="30"/>
      <x:c r="E345" s="30"/>
      <x:c r="F345" s="30"/>
      <x:c r="G345" s="30"/>
      <x:c r="H345" s="35"/>
      <x:c r="I345" s="35"/>
      <x:c r="J345" s="30"/>
    </x:row>
    <x:row r="346">
      <x:c r="A346" s="30"/>
      <x:c r="B346" s="30"/>
      <x:c r="C346" s="35"/>
      <x:c r="D346" s="30"/>
      <x:c r="E346" s="30"/>
      <x:c r="F346" s="30"/>
      <x:c r="G346" s="30"/>
      <x:c r="H346" s="35"/>
      <x:c r="I346" s="35"/>
      <x:c r="J346" s="30"/>
    </x:row>
    <x:row r="347">
      <x:c r="A347" s="30"/>
      <x:c r="B347" s="30"/>
      <x:c r="C347" s="35"/>
      <x:c r="D347" s="30"/>
      <x:c r="E347" s="30"/>
      <x:c r="F347" s="30"/>
      <x:c r="G347" s="30"/>
      <x:c r="H347" s="35"/>
      <x:c r="I347" s="35"/>
      <x:c r="J347" s="30"/>
    </x:row>
    <x:row r="348">
      <x:c r="A348" s="30"/>
      <x:c r="B348" s="30"/>
      <x:c r="C348" s="35"/>
      <x:c r="D348" s="30"/>
      <x:c r="E348" s="30"/>
      <x:c r="F348" s="30"/>
      <x:c r="G348" s="30"/>
      <x:c r="H348" s="35"/>
      <x:c r="I348" s="35"/>
      <x:c r="J348" s="30"/>
    </x:row>
    <x:row r="349">
      <x:c r="A349" s="30"/>
      <x:c r="B349" s="30"/>
      <x:c r="C349" s="35"/>
      <x:c r="D349" s="30"/>
      <x:c r="E349" s="30"/>
      <x:c r="F349" s="30"/>
      <x:c r="G349" s="30"/>
      <x:c r="H349" s="35"/>
      <x:c r="I349" s="35"/>
      <x:c r="J349" s="30"/>
    </x:row>
    <x:row r="350">
      <x:c r="A350" s="30"/>
      <x:c r="B350" s="30"/>
      <x:c r="C350" s="35"/>
      <x:c r="D350" s="30"/>
      <x:c r="E350" s="30"/>
      <x:c r="F350" s="30"/>
      <x:c r="G350" s="30"/>
      <x:c r="H350" s="35"/>
      <x:c r="I350" s="35"/>
      <x:c r="J350" s="30"/>
    </x:row>
    <x:row r="351">
      <x:c r="A351" s="30"/>
      <x:c r="B351" s="30"/>
      <x:c r="C351" s="35"/>
      <x:c r="D351" s="30"/>
      <x:c r="E351" s="30"/>
      <x:c r="F351" s="30"/>
      <x:c r="G351" s="30"/>
      <x:c r="H351" s="35"/>
      <x:c r="I351" s="35"/>
      <x:c r="J351" s="30"/>
    </x:row>
    <x:row r="352">
      <x:c r="A352" s="30"/>
      <x:c r="B352" s="30"/>
      <x:c r="C352" s="35"/>
      <x:c r="D352" s="30"/>
      <x:c r="E352" s="30"/>
      <x:c r="F352" s="30"/>
      <x:c r="G352" s="30"/>
      <x:c r="H352" s="35"/>
      <x:c r="I352" s="35"/>
      <x:c r="J352" s="30"/>
    </x:row>
    <x:row r="353">
      <x:c r="A353" s="30"/>
      <x:c r="B353" s="30"/>
      <x:c r="C353" s="35"/>
      <x:c r="D353" s="30"/>
      <x:c r="E353" s="30"/>
      <x:c r="F353" s="30"/>
      <x:c r="G353" s="30"/>
      <x:c r="H353" s="35"/>
      <x:c r="I353" s="35"/>
      <x:c r="J353" s="30"/>
    </x:row>
    <x:row r="354">
      <x:c r="A354" s="30"/>
      <x:c r="B354" s="30"/>
      <x:c r="C354" s="35"/>
      <x:c r="D354" s="30"/>
      <x:c r="E354" s="30"/>
      <x:c r="F354" s="30"/>
      <x:c r="G354" s="30"/>
      <x:c r="H354" s="35"/>
      <x:c r="I354" s="35"/>
      <x:c r="J354" s="30"/>
    </x:row>
    <x:row r="355">
      <x:c r="A355" s="30"/>
      <x:c r="B355" s="30"/>
      <x:c r="C355" s="35"/>
      <x:c r="D355" s="30"/>
      <x:c r="E355" s="30"/>
      <x:c r="F355" s="30"/>
      <x:c r="G355" s="30"/>
      <x:c r="H355" s="35"/>
      <x:c r="I355" s="35"/>
      <x:c r="J355" s="30"/>
    </x:row>
    <x:row r="356">
      <x:c r="A356" s="30"/>
      <x:c r="B356" s="30"/>
      <x:c r="C356" s="35"/>
      <x:c r="D356" s="30"/>
      <x:c r="E356" s="30"/>
      <x:c r="F356" s="30"/>
      <x:c r="G356" s="30"/>
      <x:c r="H356" s="35"/>
      <x:c r="I356" s="35"/>
      <x:c r="J356" s="30"/>
    </x:row>
    <x:row r="357">
      <x:c r="A357" s="30"/>
      <x:c r="B357" s="30"/>
      <x:c r="C357" s="35"/>
      <x:c r="D357" s="30"/>
      <x:c r="E357" s="30"/>
      <x:c r="F357" s="30"/>
      <x:c r="G357" s="30"/>
      <x:c r="H357" s="35"/>
      <x:c r="I357" s="35"/>
      <x:c r="J357" s="30"/>
    </x:row>
    <x:row r="358">
      <x:c r="A358" s="30"/>
      <x:c r="B358" s="30"/>
      <x:c r="C358" s="35"/>
      <x:c r="D358" s="30"/>
      <x:c r="E358" s="30"/>
      <x:c r="F358" s="30"/>
      <x:c r="G358" s="30"/>
      <x:c r="H358" s="35"/>
      <x:c r="I358" s="35"/>
      <x:c r="J358" s="30"/>
    </x:row>
    <x:row r="359">
      <x:c r="A359" s="30"/>
      <x:c r="B359" s="30"/>
      <x:c r="C359" s="35"/>
      <x:c r="D359" s="30"/>
      <x:c r="E359" s="30"/>
      <x:c r="F359" s="30"/>
      <x:c r="G359" s="30"/>
      <x:c r="H359" s="35"/>
      <x:c r="I359" s="35"/>
      <x:c r="J359" s="30"/>
    </x:row>
    <x:row r="360">
      <x:c r="A360" s="30"/>
      <x:c r="B360" s="30"/>
      <x:c r="C360" s="35"/>
      <x:c r="D360" s="30"/>
      <x:c r="E360" s="30"/>
      <x:c r="F360" s="30"/>
      <x:c r="G360" s="30"/>
      <x:c r="H360" s="35"/>
      <x:c r="I360" s="35"/>
      <x:c r="J360" s="30"/>
    </x:row>
    <x:row r="361">
      <x:c r="A361" s="30"/>
      <x:c r="B361" s="30"/>
      <x:c r="C361" s="35"/>
      <x:c r="D361" s="30"/>
      <x:c r="E361" s="30"/>
      <x:c r="F361" s="30"/>
      <x:c r="G361" s="30"/>
      <x:c r="H361" s="35"/>
      <x:c r="I361" s="35"/>
      <x:c r="J361" s="30"/>
    </x:row>
    <x:row r="362">
      <x:c r="A362" s="30"/>
      <x:c r="B362" s="30"/>
      <x:c r="C362" s="35"/>
      <x:c r="D362" s="30"/>
      <x:c r="E362" s="30"/>
      <x:c r="F362" s="30"/>
      <x:c r="G362" s="30"/>
      <x:c r="H362" s="35"/>
      <x:c r="I362" s="35"/>
      <x:c r="J362" s="30"/>
    </x:row>
    <x:row r="363">
      <x:c r="A363" s="30"/>
      <x:c r="B363" s="30"/>
      <x:c r="C363" s="35"/>
      <x:c r="D363" s="30"/>
      <x:c r="E363" s="30"/>
      <x:c r="F363" s="30"/>
      <x:c r="G363" s="30"/>
      <x:c r="H363" s="35"/>
      <x:c r="I363" s="35"/>
      <x:c r="J363" s="30"/>
    </x:row>
    <x:row r="364">
      <x:c r="A364" s="30"/>
      <x:c r="B364" s="30"/>
      <x:c r="C364" s="35"/>
      <x:c r="D364" s="30"/>
      <x:c r="E364" s="30"/>
      <x:c r="F364" s="30"/>
      <x:c r="G364" s="30"/>
      <x:c r="H364" s="35"/>
      <x:c r="I364" s="35"/>
      <x:c r="J364" s="30"/>
    </x:row>
    <x:row r="365">
      <x:c r="A365" s="30"/>
      <x:c r="B365" s="30"/>
      <x:c r="C365" s="35"/>
      <x:c r="D365" s="30"/>
      <x:c r="E365" s="30"/>
      <x:c r="F365" s="30"/>
      <x:c r="G365" s="30"/>
      <x:c r="H365" s="35"/>
      <x:c r="I365" s="35"/>
      <x:c r="J365" s="30"/>
    </x:row>
    <x:row r="366">
      <x:c r="A366" s="30"/>
      <x:c r="B366" s="30"/>
      <x:c r="C366" s="35"/>
      <x:c r="D366" s="30"/>
      <x:c r="E366" s="30"/>
      <x:c r="F366" s="30"/>
      <x:c r="G366" s="30"/>
      <x:c r="H366" s="35"/>
      <x:c r="I366" s="35"/>
      <x:c r="J366" s="30"/>
    </x:row>
    <x:row r="367">
      <x:c r="A367" s="30"/>
      <x:c r="B367" s="30"/>
      <x:c r="C367" s="35"/>
      <x:c r="D367" s="30"/>
      <x:c r="E367" s="30"/>
      <x:c r="F367" s="30"/>
      <x:c r="G367" s="30"/>
      <x:c r="H367" s="35"/>
      <x:c r="I367" s="35"/>
      <x:c r="J367" s="30"/>
    </x:row>
    <x:row r="368">
      <x:c r="A368" s="30"/>
      <x:c r="B368" s="30"/>
      <x:c r="C368" s="35"/>
      <x:c r="D368" s="30"/>
      <x:c r="E368" s="30"/>
      <x:c r="F368" s="30"/>
      <x:c r="G368" s="30"/>
      <x:c r="H368" s="35"/>
      <x:c r="I368" s="35"/>
      <x:c r="J368" s="30"/>
    </x:row>
    <x:row r="369">
      <x:c r="A369" s="30"/>
      <x:c r="B369" s="30"/>
      <x:c r="C369" s="35"/>
      <x:c r="D369" s="30"/>
      <x:c r="E369" s="30"/>
      <x:c r="F369" s="30"/>
      <x:c r="G369" s="30"/>
      <x:c r="H369" s="35"/>
      <x:c r="I369" s="35"/>
      <x:c r="J369" s="30"/>
    </x:row>
    <x:row r="370">
      <x:c r="A370" s="30"/>
      <x:c r="B370" s="30"/>
      <x:c r="C370" s="35"/>
      <x:c r="D370" s="30"/>
      <x:c r="E370" s="30"/>
      <x:c r="F370" s="30"/>
      <x:c r="G370" s="30"/>
      <x:c r="H370" s="35"/>
      <x:c r="I370" s="35"/>
      <x:c r="J370" s="30"/>
    </x:row>
    <x:row r="371">
      <x:c r="A371" s="30"/>
      <x:c r="B371" s="30"/>
      <x:c r="C371" s="35"/>
      <x:c r="D371" s="30"/>
      <x:c r="E371" s="30"/>
      <x:c r="F371" s="30"/>
      <x:c r="G371" s="30"/>
      <x:c r="H371" s="35"/>
      <x:c r="I371" s="35"/>
      <x:c r="J371" s="30"/>
    </x:row>
    <x:row r="372">
      <x:c r="A372" s="30"/>
      <x:c r="B372" s="30"/>
      <x:c r="C372" s="35"/>
      <x:c r="D372" s="30"/>
      <x:c r="E372" s="30"/>
      <x:c r="F372" s="30"/>
      <x:c r="G372" s="30"/>
      <x:c r="H372" s="35"/>
      <x:c r="I372" s="35"/>
      <x:c r="J372" s="30"/>
    </x:row>
    <x:row r="373">
      <x:c r="A373" s="30"/>
      <x:c r="B373" s="30"/>
      <x:c r="C373" s="35"/>
      <x:c r="D373" s="30"/>
      <x:c r="E373" s="30"/>
      <x:c r="F373" s="30"/>
      <x:c r="G373" s="30"/>
      <x:c r="H373" s="35"/>
      <x:c r="I373" s="35"/>
      <x:c r="J373" s="30"/>
    </x:row>
    <x:row r="374">
      <x:c r="A374" s="30"/>
      <x:c r="B374" s="30"/>
      <x:c r="C374" s="35"/>
      <x:c r="D374" s="30"/>
      <x:c r="E374" s="30"/>
      <x:c r="F374" s="30"/>
      <x:c r="G374" s="30"/>
      <x:c r="H374" s="35"/>
      <x:c r="I374" s="35"/>
      <x:c r="J374" s="30"/>
    </x:row>
    <x:row r="375">
      <x:c r="A375" s="30"/>
      <x:c r="B375" s="30"/>
      <x:c r="C375" s="35"/>
      <x:c r="D375" s="30"/>
      <x:c r="E375" s="30"/>
      <x:c r="F375" s="30"/>
      <x:c r="G375" s="30"/>
      <x:c r="H375" s="35"/>
      <x:c r="I375" s="35"/>
      <x:c r="J375" s="30"/>
    </x:row>
    <x:row r="376">
      <x:c r="A376" s="30"/>
      <x:c r="B376" s="30"/>
      <x:c r="C376" s="35"/>
      <x:c r="D376" s="30"/>
      <x:c r="E376" s="30"/>
      <x:c r="F376" s="30"/>
      <x:c r="G376" s="30"/>
      <x:c r="H376" s="35"/>
      <x:c r="I376" s="35"/>
      <x:c r="J376" s="30"/>
    </x:row>
    <x:row r="377">
      <x:c r="A377" s="30"/>
      <x:c r="B377" s="30"/>
      <x:c r="C377" s="35"/>
      <x:c r="D377" s="30"/>
      <x:c r="E377" s="30"/>
      <x:c r="F377" s="30"/>
      <x:c r="G377" s="30"/>
      <x:c r="H377" s="35"/>
      <x:c r="I377" s="35"/>
      <x:c r="J377" s="30"/>
    </x:row>
    <x:row r="378">
      <x:c r="A378" s="30"/>
      <x:c r="B378" s="30"/>
      <x:c r="C378" s="35"/>
      <x:c r="D378" s="30"/>
      <x:c r="E378" s="30"/>
      <x:c r="F378" s="30"/>
      <x:c r="G378" s="30"/>
      <x:c r="H378" s="35"/>
      <x:c r="I378" s="35"/>
      <x:c r="J378" s="30"/>
    </x:row>
    <x:row r="379">
      <x:c r="A379" s="30"/>
      <x:c r="B379" s="30"/>
      <x:c r="C379" s="35"/>
      <x:c r="D379" s="30"/>
      <x:c r="E379" s="30"/>
      <x:c r="F379" s="30"/>
      <x:c r="G379" s="30"/>
      <x:c r="H379" s="35"/>
      <x:c r="I379" s="35"/>
      <x:c r="J379" s="30"/>
    </x:row>
    <x:row r="380">
      <x:c r="A380" s="30"/>
      <x:c r="B380" s="30"/>
      <x:c r="C380" s="35"/>
      <x:c r="D380" s="30"/>
      <x:c r="E380" s="30"/>
      <x:c r="F380" s="30"/>
      <x:c r="G380" s="30"/>
      <x:c r="H380" s="35"/>
      <x:c r="I380" s="35"/>
      <x:c r="J380" s="30"/>
    </x:row>
    <x:row r="381">
      <x:c r="A381" s="30"/>
      <x:c r="B381" s="30"/>
      <x:c r="C381" s="35"/>
      <x:c r="D381" s="30"/>
      <x:c r="E381" s="30"/>
      <x:c r="F381" s="30"/>
      <x:c r="G381" s="30"/>
      <x:c r="H381" s="35"/>
      <x:c r="I381" s="35"/>
      <x:c r="J381" s="30"/>
    </x:row>
    <x:row r="382">
      <x:c r="A382" s="30"/>
      <x:c r="B382" s="30"/>
      <x:c r="C382" s="35"/>
      <x:c r="D382" s="30"/>
      <x:c r="E382" s="30"/>
      <x:c r="F382" s="30"/>
      <x:c r="G382" s="30"/>
      <x:c r="H382" s="35"/>
      <x:c r="I382" s="35"/>
      <x:c r="J382" s="30"/>
    </x:row>
    <x:row r="383">
      <x:c r="A383" s="30"/>
      <x:c r="B383" s="30"/>
      <x:c r="C383" s="35"/>
      <x:c r="D383" s="30"/>
      <x:c r="E383" s="30"/>
      <x:c r="F383" s="30"/>
      <x:c r="G383" s="30"/>
      <x:c r="H383" s="35"/>
      <x:c r="I383" s="35"/>
      <x:c r="J383" s="30"/>
    </x:row>
    <x:row r="384">
      <x:c r="A384" s="30"/>
      <x:c r="B384" s="30"/>
      <x:c r="C384" s="35"/>
      <x:c r="D384" s="30"/>
      <x:c r="E384" s="30"/>
      <x:c r="F384" s="30"/>
      <x:c r="G384" s="30"/>
      <x:c r="H384" s="35"/>
      <x:c r="I384" s="35"/>
      <x:c r="J384" s="30"/>
    </x:row>
    <x:row r="385">
      <x:c r="A385" s="30"/>
      <x:c r="B385" s="30"/>
      <x:c r="C385" s="35"/>
      <x:c r="D385" s="30"/>
      <x:c r="E385" s="30"/>
      <x:c r="F385" s="30"/>
      <x:c r="G385" s="30"/>
      <x:c r="H385" s="35"/>
      <x:c r="I385" s="35"/>
      <x:c r="J385" s="30"/>
    </x:row>
    <x:row r="386">
      <x:c r="A386" s="30"/>
      <x:c r="B386" s="30"/>
      <x:c r="C386" s="35"/>
      <x:c r="D386" s="30"/>
      <x:c r="E386" s="30"/>
      <x:c r="F386" s="30"/>
      <x:c r="G386" s="30"/>
      <x:c r="H386" s="35"/>
      <x:c r="I386" s="35"/>
      <x:c r="J386" s="30"/>
    </x:row>
    <x:row r="387">
      <x:c r="A387" s="30"/>
      <x:c r="B387" s="30"/>
      <x:c r="C387" s="35"/>
      <x:c r="D387" s="30"/>
      <x:c r="E387" s="30"/>
      <x:c r="F387" s="30"/>
      <x:c r="G387" s="30"/>
      <x:c r="H387" s="35"/>
      <x:c r="I387" s="35"/>
      <x:c r="J387" s="30"/>
    </x:row>
    <x:row r="388">
      <x:c r="A388" s="30"/>
      <x:c r="B388" s="30"/>
      <x:c r="C388" s="35"/>
      <x:c r="D388" s="30"/>
      <x:c r="E388" s="30"/>
      <x:c r="F388" s="30"/>
      <x:c r="G388" s="30"/>
      <x:c r="H388" s="35"/>
      <x:c r="I388" s="35"/>
      <x:c r="J388" s="30"/>
    </x:row>
    <x:row r="389">
      <x:c r="A389" s="30"/>
      <x:c r="B389" s="30"/>
      <x:c r="C389" s="35"/>
      <x:c r="D389" s="30"/>
      <x:c r="E389" s="30"/>
      <x:c r="F389" s="30"/>
      <x:c r="G389" s="30"/>
      <x:c r="H389" s="35"/>
      <x:c r="I389" s="35"/>
      <x:c r="J389" s="30"/>
    </x:row>
    <x:row r="390">
      <x:c r="A390" s="30"/>
      <x:c r="B390" s="30"/>
      <x:c r="C390" s="35"/>
      <x:c r="D390" s="30"/>
      <x:c r="E390" s="30"/>
      <x:c r="F390" s="30"/>
      <x:c r="G390" s="30"/>
      <x:c r="H390" s="35"/>
      <x:c r="I390" s="35"/>
      <x:c r="J390" s="30"/>
    </x:row>
    <x:row r="391">
      <x:c r="A391" s="30"/>
      <x:c r="B391" s="30"/>
      <x:c r="C391" s="35"/>
      <x:c r="D391" s="30"/>
      <x:c r="E391" s="30"/>
      <x:c r="F391" s="30"/>
      <x:c r="G391" s="30"/>
      <x:c r="H391" s="35"/>
      <x:c r="I391" s="35"/>
      <x:c r="J391" s="30"/>
    </x:row>
    <x:row r="392">
      <x:c r="A392" s="30"/>
      <x:c r="B392" s="30"/>
      <x:c r="C392" s="35"/>
      <x:c r="D392" s="30"/>
      <x:c r="E392" s="30"/>
      <x:c r="F392" s="30"/>
      <x:c r="G392" s="30"/>
      <x:c r="H392" s="35"/>
      <x:c r="I392" s="35"/>
      <x:c r="J392" s="30"/>
    </x:row>
    <x:row r="393">
      <x:c r="A393" s="30"/>
      <x:c r="B393" s="30"/>
      <x:c r="C393" s="35"/>
      <x:c r="D393" s="30"/>
      <x:c r="E393" s="30"/>
      <x:c r="F393" s="30"/>
      <x:c r="G393" s="30"/>
      <x:c r="H393" s="35"/>
      <x:c r="I393" s="35"/>
      <x:c r="J393" s="30"/>
    </x:row>
    <x:row r="394">
      <x:c r="A394" s="30"/>
      <x:c r="B394" s="30"/>
      <x:c r="C394" s="35"/>
      <x:c r="D394" s="30"/>
      <x:c r="E394" s="30"/>
      <x:c r="F394" s="30"/>
      <x:c r="G394" s="30"/>
      <x:c r="H394" s="35"/>
      <x:c r="I394" s="35"/>
      <x:c r="J394" s="30"/>
    </x:row>
    <x:row r="395">
      <x:c r="A395" s="30"/>
      <x:c r="B395" s="30"/>
      <x:c r="C395" s="35"/>
      <x:c r="D395" s="30"/>
      <x:c r="E395" s="30"/>
      <x:c r="F395" s="30"/>
      <x:c r="G395" s="30"/>
      <x:c r="H395" s="35"/>
      <x:c r="I395" s="35"/>
      <x:c r="J395" s="30"/>
    </x:row>
    <x:row r="396">
      <x:c r="A396" s="30"/>
      <x:c r="B396" s="30"/>
      <x:c r="C396" s="35"/>
      <x:c r="D396" s="30"/>
      <x:c r="E396" s="30"/>
      <x:c r="F396" s="30"/>
      <x:c r="G396" s="30"/>
      <x:c r="H396" s="35"/>
      <x:c r="I396" s="35"/>
      <x:c r="J396" s="30"/>
    </x:row>
    <x:row r="397">
      <x:c r="A397" s="30"/>
      <x:c r="B397" s="30"/>
      <x:c r="C397" s="35"/>
      <x:c r="D397" s="30"/>
      <x:c r="E397" s="30"/>
      <x:c r="F397" s="30"/>
      <x:c r="G397" s="30"/>
      <x:c r="H397" s="35"/>
      <x:c r="I397" s="35"/>
      <x:c r="J397" s="30"/>
    </x:row>
    <x:row r="398">
      <x:c r="A398" s="30"/>
      <x:c r="B398" s="30"/>
      <x:c r="C398" s="35"/>
      <x:c r="D398" s="30"/>
      <x:c r="E398" s="30"/>
      <x:c r="F398" s="30"/>
      <x:c r="G398" s="30"/>
      <x:c r="H398" s="35"/>
      <x:c r="I398" s="35"/>
      <x:c r="J398" s="30"/>
    </x:row>
    <x:row r="399">
      <x:c r="A399" s="30"/>
      <x:c r="B399" s="30"/>
      <x:c r="C399" s="35"/>
      <x:c r="D399" s="30"/>
      <x:c r="E399" s="30"/>
      <x:c r="F399" s="30"/>
      <x:c r="G399" s="30"/>
      <x:c r="H399" s="35"/>
      <x:c r="I399" s="35"/>
      <x:c r="J399" s="30"/>
    </x:row>
    <x:row r="400">
      <x:c r="A400" s="30"/>
      <x:c r="B400" s="30"/>
      <x:c r="C400" s="35"/>
      <x:c r="D400" s="30"/>
      <x:c r="E400" s="30"/>
      <x:c r="F400" s="30"/>
      <x:c r="G400" s="30"/>
      <x:c r="H400" s="35"/>
      <x:c r="I400" s="35"/>
      <x:c r="J400" s="30"/>
    </x:row>
    <x:row r="401">
      <x:c r="A401" s="30"/>
      <x:c r="B401" s="30"/>
      <x:c r="C401" s="35"/>
      <x:c r="D401" s="30"/>
      <x:c r="E401" s="30"/>
      <x:c r="F401" s="30"/>
      <x:c r="G401" s="30"/>
      <x:c r="H401" s="35"/>
      <x:c r="I401" s="35"/>
      <x:c r="J401" s="30"/>
    </x:row>
    <x:row r="402">
      <x:c r="A402" s="30"/>
      <x:c r="B402" s="30"/>
      <x:c r="C402" s="35"/>
      <x:c r="D402" s="30"/>
      <x:c r="E402" s="30"/>
      <x:c r="F402" s="30"/>
      <x:c r="G402" s="30"/>
      <x:c r="H402" s="35"/>
      <x:c r="I402" s="35"/>
      <x:c r="J402" s="30"/>
    </x:row>
    <x:row r="403">
      <x:c r="A403" s="30"/>
      <x:c r="B403" s="30"/>
      <x:c r="C403" s="35"/>
      <x:c r="D403" s="30"/>
      <x:c r="E403" s="30"/>
      <x:c r="F403" s="30"/>
      <x:c r="G403" s="30"/>
      <x:c r="H403" s="35"/>
      <x:c r="I403" s="35"/>
      <x:c r="J403" s="30"/>
    </x:row>
    <x:row r="404">
      <x:c r="A404" s="30"/>
      <x:c r="B404" s="30"/>
      <x:c r="C404" s="35"/>
      <x:c r="D404" s="30"/>
      <x:c r="E404" s="30"/>
      <x:c r="F404" s="30"/>
      <x:c r="G404" s="30"/>
      <x:c r="H404" s="35"/>
      <x:c r="I404" s="35"/>
      <x:c r="J404" s="30"/>
    </x:row>
    <x:row r="405">
      <x:c r="A405" s="30"/>
      <x:c r="B405" s="30"/>
      <x:c r="C405" s="35"/>
      <x:c r="D405" s="30"/>
      <x:c r="E405" s="30"/>
      <x:c r="F405" s="30"/>
      <x:c r="G405" s="30"/>
      <x:c r="H405" s="35"/>
      <x:c r="I405" s="35"/>
      <x:c r="J405" s="30"/>
    </x:row>
    <x:row r="406">
      <x:c r="A406" s="30"/>
      <x:c r="B406" s="30"/>
      <x:c r="C406" s="35"/>
      <x:c r="D406" s="30"/>
      <x:c r="E406" s="30"/>
      <x:c r="F406" s="30"/>
      <x:c r="G406" s="30"/>
      <x:c r="H406" s="35"/>
      <x:c r="I406" s="35"/>
      <x:c r="J406" s="30"/>
    </x:row>
    <x:row r="407">
      <x:c r="A407" s="30"/>
      <x:c r="B407" s="30"/>
      <x:c r="C407" s="35"/>
      <x:c r="D407" s="30"/>
      <x:c r="E407" s="30"/>
      <x:c r="F407" s="30"/>
      <x:c r="G407" s="30"/>
      <x:c r="H407" s="35"/>
      <x:c r="I407" s="35"/>
      <x:c r="J407" s="30"/>
    </x:row>
    <x:row r="408">
      <x:c r="A408" s="30"/>
      <x:c r="B408" s="30"/>
      <x:c r="C408" s="35"/>
      <x:c r="D408" s="30"/>
      <x:c r="E408" s="30"/>
      <x:c r="F408" s="30"/>
      <x:c r="G408" s="30"/>
      <x:c r="H408" s="35"/>
      <x:c r="I408" s="35"/>
      <x:c r="J408" s="30"/>
    </x:row>
    <x:row r="409">
      <x:c r="A409" s="30"/>
      <x:c r="B409" s="30"/>
      <x:c r="C409" s="35"/>
      <x:c r="D409" s="30"/>
      <x:c r="E409" s="30"/>
      <x:c r="F409" s="30"/>
      <x:c r="G409" s="30"/>
      <x:c r="H409" s="35"/>
      <x:c r="I409" s="35"/>
      <x:c r="J409" s="30"/>
    </x:row>
    <x:row r="410">
      <x:c r="A410" s="30"/>
      <x:c r="B410" s="30"/>
      <x:c r="C410" s="35"/>
      <x:c r="D410" s="30"/>
      <x:c r="E410" s="30"/>
      <x:c r="F410" s="30"/>
      <x:c r="G410" s="30"/>
      <x:c r="H410" s="35"/>
      <x:c r="I410" s="35"/>
      <x:c r="J410" s="30"/>
    </x:row>
    <x:row r="411">
      <x:c r="A411" s="30"/>
      <x:c r="B411" s="30"/>
      <x:c r="C411" s="35"/>
      <x:c r="D411" s="30"/>
      <x:c r="E411" s="30"/>
      <x:c r="F411" s="30"/>
      <x:c r="G411" s="30"/>
      <x:c r="H411" s="35"/>
      <x:c r="I411" s="35"/>
      <x:c r="J411" s="30"/>
    </x:row>
    <x:row r="412">
      <x:c r="A412" s="30"/>
      <x:c r="B412" s="30"/>
      <x:c r="C412" s="35"/>
      <x:c r="D412" s="30"/>
      <x:c r="E412" s="30"/>
      <x:c r="F412" s="30"/>
      <x:c r="G412" s="30"/>
      <x:c r="H412" s="35"/>
      <x:c r="I412" s="35"/>
      <x:c r="J412" s="30"/>
    </x:row>
    <x:row r="413">
      <x:c r="A413" s="30"/>
      <x:c r="B413" s="30"/>
      <x:c r="C413" s="35"/>
      <x:c r="D413" s="30"/>
      <x:c r="E413" s="30"/>
      <x:c r="F413" s="30"/>
      <x:c r="G413" s="30"/>
      <x:c r="H413" s="35"/>
      <x:c r="I413" s="35"/>
      <x:c r="J413" s="30"/>
    </x:row>
    <x:row r="414">
      <x:c r="A414" s="30"/>
      <x:c r="B414" s="30"/>
      <x:c r="C414" s="35"/>
      <x:c r="D414" s="30"/>
      <x:c r="E414" s="30"/>
      <x:c r="F414" s="30"/>
      <x:c r="G414" s="30"/>
      <x:c r="H414" s="35"/>
      <x:c r="I414" s="35"/>
      <x:c r="J414" s="30"/>
    </x:row>
    <x:row r="415">
      <x:c r="A415" s="30"/>
      <x:c r="B415" s="30"/>
      <x:c r="C415" s="35"/>
      <x:c r="D415" s="30"/>
      <x:c r="E415" s="30"/>
      <x:c r="F415" s="30"/>
      <x:c r="G415" s="30"/>
      <x:c r="H415" s="35"/>
      <x:c r="I415" s="35"/>
      <x:c r="J415" s="30"/>
    </x:row>
    <x:row r="416">
      <x:c r="A416" s="30"/>
      <x:c r="B416" s="30"/>
      <x:c r="C416" s="35"/>
      <x:c r="D416" s="30"/>
      <x:c r="E416" s="30"/>
      <x:c r="F416" s="30"/>
      <x:c r="G416" s="30"/>
      <x:c r="H416" s="35"/>
      <x:c r="I416" s="35"/>
      <x:c r="J416" s="30"/>
    </x:row>
    <x:row r="417">
      <x:c r="A417" s="30"/>
      <x:c r="B417" s="30"/>
      <x:c r="C417" s="35"/>
      <x:c r="D417" s="30"/>
      <x:c r="E417" s="30"/>
      <x:c r="F417" s="30"/>
      <x:c r="G417" s="30"/>
      <x:c r="H417" s="35"/>
      <x:c r="I417" s="35"/>
      <x:c r="J417" s="30"/>
    </x:row>
    <x:row r="418">
      <x:c r="A418" s="30"/>
      <x:c r="B418" s="30"/>
      <x:c r="C418" s="35"/>
      <x:c r="D418" s="30"/>
      <x:c r="E418" s="30"/>
      <x:c r="F418" s="30"/>
      <x:c r="G418" s="30"/>
      <x:c r="H418" s="35"/>
      <x:c r="I418" s="35"/>
      <x:c r="J418" s="30"/>
    </x:row>
    <x:row r="419">
      <x:c r="A419" s="30"/>
      <x:c r="B419" s="30"/>
      <x:c r="C419" s="35"/>
      <x:c r="D419" s="30"/>
      <x:c r="E419" s="30"/>
      <x:c r="F419" s="30"/>
      <x:c r="G419" s="30"/>
      <x:c r="H419" s="35"/>
      <x:c r="I419" s="35"/>
      <x:c r="J419" s="30"/>
    </x:row>
    <x:row r="420">
      <x:c r="A420" s="30"/>
      <x:c r="B420" s="30"/>
      <x:c r="C420" s="35"/>
      <x:c r="D420" s="30"/>
      <x:c r="E420" s="30"/>
      <x:c r="F420" s="30"/>
      <x:c r="G420" s="30"/>
      <x:c r="H420" s="35"/>
      <x:c r="I420" s="35"/>
      <x:c r="J420" s="30"/>
    </x:row>
    <x:row r="421">
      <x:c r="A421" s="30"/>
      <x:c r="B421" s="30"/>
      <x:c r="C421" s="35"/>
      <x:c r="D421" s="30"/>
      <x:c r="E421" s="30"/>
      <x:c r="F421" s="30"/>
      <x:c r="G421" s="30"/>
      <x:c r="H421" s="35"/>
      <x:c r="I421" s="35"/>
      <x:c r="J421" s="30"/>
    </x:row>
    <x:row r="422">
      <x:c r="A422" s="30"/>
      <x:c r="B422" s="30"/>
      <x:c r="C422" s="35"/>
      <x:c r="D422" s="30"/>
      <x:c r="E422" s="30"/>
      <x:c r="F422" s="30"/>
      <x:c r="G422" s="30"/>
      <x:c r="H422" s="35"/>
      <x:c r="I422" s="35"/>
      <x:c r="J422" s="30"/>
    </x:row>
    <x:row r="423">
      <x:c r="A423" s="30"/>
      <x:c r="B423" s="30"/>
      <x:c r="C423" s="35"/>
      <x:c r="D423" s="30"/>
      <x:c r="E423" s="30"/>
      <x:c r="F423" s="30"/>
      <x:c r="G423" s="30"/>
      <x:c r="H423" s="35"/>
      <x:c r="I423" s="35"/>
      <x:c r="J423" s="30"/>
    </x:row>
    <x:row r="424">
      <x:c r="A424" s="30"/>
      <x:c r="B424" s="30"/>
      <x:c r="C424" s="35"/>
      <x:c r="D424" s="30"/>
      <x:c r="E424" s="30"/>
      <x:c r="F424" s="30"/>
      <x:c r="G424" s="30"/>
      <x:c r="H424" s="35"/>
      <x:c r="I424" s="35"/>
      <x:c r="J424" s="30"/>
    </x:row>
    <x:row r="425">
      <x:c r="A425" s="30"/>
      <x:c r="B425" s="30"/>
      <x:c r="C425" s="35"/>
      <x:c r="D425" s="30"/>
      <x:c r="E425" s="30"/>
      <x:c r="F425" s="30"/>
      <x:c r="G425" s="30"/>
      <x:c r="H425" s="35"/>
      <x:c r="I425" s="35"/>
      <x:c r="J425" s="30"/>
    </x:row>
    <x:row r="426">
      <x:c r="A426" s="30"/>
      <x:c r="B426" s="30"/>
      <x:c r="C426" s="35"/>
      <x:c r="D426" s="30"/>
      <x:c r="E426" s="30"/>
      <x:c r="F426" s="30"/>
      <x:c r="G426" s="30"/>
      <x:c r="H426" s="35"/>
      <x:c r="I426" s="35"/>
      <x:c r="J426" s="30"/>
    </x:row>
    <x:row r="427">
      <x:c r="A427" s="30"/>
      <x:c r="B427" s="30"/>
      <x:c r="C427" s="35"/>
      <x:c r="D427" s="30"/>
      <x:c r="E427" s="30"/>
      <x:c r="F427" s="30"/>
      <x:c r="G427" s="30"/>
      <x:c r="H427" s="35"/>
      <x:c r="I427" s="35"/>
      <x:c r="J427" s="30"/>
    </x:row>
    <x:row r="428">
      <x:c r="A428" s="30"/>
      <x:c r="B428" s="30"/>
      <x:c r="C428" s="35"/>
      <x:c r="D428" s="30"/>
      <x:c r="E428" s="30"/>
      <x:c r="F428" s="30"/>
      <x:c r="G428" s="30"/>
      <x:c r="H428" s="35"/>
      <x:c r="I428" s="35"/>
      <x:c r="J428" s="30"/>
    </x:row>
    <x:row r="429">
      <x:c r="A429" s="30"/>
      <x:c r="B429" s="30"/>
      <x:c r="C429" s="35"/>
      <x:c r="D429" s="30"/>
      <x:c r="E429" s="30"/>
      <x:c r="F429" s="30"/>
      <x:c r="G429" s="30"/>
      <x:c r="H429" s="35"/>
      <x:c r="I429" s="35"/>
      <x:c r="J429" s="30"/>
    </x:row>
    <x:row r="430">
      <x:c r="A430" s="30"/>
      <x:c r="B430" s="30"/>
      <x:c r="C430" s="35"/>
      <x:c r="D430" s="30"/>
      <x:c r="E430" s="30"/>
      <x:c r="F430" s="30"/>
      <x:c r="G430" s="30"/>
      <x:c r="H430" s="35"/>
      <x:c r="I430" s="35"/>
      <x:c r="J430" s="30"/>
    </x:row>
    <x:row r="431">
      <x:c r="A431" s="30"/>
      <x:c r="B431" s="30"/>
      <x:c r="C431" s="35"/>
      <x:c r="D431" s="30"/>
      <x:c r="E431" s="30"/>
      <x:c r="F431" s="30"/>
      <x:c r="G431" s="30"/>
      <x:c r="H431" s="35"/>
      <x:c r="I431" s="35"/>
      <x:c r="J431" s="30"/>
    </x:row>
    <x:row r="432">
      <x:c r="A432" s="30"/>
      <x:c r="B432" s="30"/>
      <x:c r="C432" s="35"/>
      <x:c r="D432" s="30"/>
      <x:c r="E432" s="30"/>
      <x:c r="F432" s="30"/>
      <x:c r="G432" s="30"/>
      <x:c r="H432" s="35"/>
      <x:c r="I432" s="35"/>
      <x:c r="J432" s="30"/>
    </x:row>
    <x:row r="433">
      <x:c r="A433" s="30"/>
      <x:c r="B433" s="30"/>
      <x:c r="C433" s="35"/>
      <x:c r="D433" s="30"/>
      <x:c r="E433" s="30"/>
      <x:c r="F433" s="30"/>
      <x:c r="G433" s="30"/>
      <x:c r="H433" s="35"/>
      <x:c r="I433" s="35"/>
      <x:c r="J433" s="30"/>
    </x:row>
    <x:row r="434">
      <x:c r="A434" s="30"/>
      <x:c r="B434" s="30"/>
      <x:c r="C434" s="35"/>
      <x:c r="D434" s="30"/>
      <x:c r="E434" s="30"/>
      <x:c r="F434" s="30"/>
      <x:c r="G434" s="30"/>
      <x:c r="H434" s="35"/>
      <x:c r="I434" s="35"/>
      <x:c r="J434" s="30"/>
    </x:row>
    <x:row r="435">
      <x:c r="A435" s="30"/>
      <x:c r="B435" s="30"/>
      <x:c r="C435" s="35"/>
      <x:c r="D435" s="30"/>
      <x:c r="E435" s="30"/>
      <x:c r="F435" s="30"/>
      <x:c r="G435" s="30"/>
      <x:c r="H435" s="35"/>
      <x:c r="I435" s="35"/>
      <x:c r="J435" s="30"/>
    </x:row>
    <x:row r="436">
      <x:c r="A436" s="30"/>
      <x:c r="B436" s="30"/>
      <x:c r="C436" s="35"/>
      <x:c r="D436" s="30"/>
      <x:c r="E436" s="30"/>
      <x:c r="F436" s="30"/>
      <x:c r="G436" s="30"/>
      <x:c r="H436" s="35"/>
      <x:c r="I436" s="35"/>
      <x:c r="J436" s="30"/>
    </x:row>
    <x:row r="437">
      <x:c r="A437" s="30"/>
      <x:c r="B437" s="30"/>
      <x:c r="C437" s="35"/>
      <x:c r="D437" s="30"/>
      <x:c r="E437" s="30"/>
      <x:c r="F437" s="30"/>
      <x:c r="G437" s="30"/>
      <x:c r="H437" s="35"/>
      <x:c r="I437" s="35"/>
      <x:c r="J437" s="30"/>
    </x:row>
    <x:row r="438">
      <x:c r="A438" s="30"/>
      <x:c r="B438" s="30"/>
      <x:c r="C438" s="35"/>
      <x:c r="D438" s="30"/>
      <x:c r="E438" s="30"/>
      <x:c r="F438" s="30"/>
      <x:c r="G438" s="30"/>
      <x:c r="H438" s="35"/>
      <x:c r="I438" s="35"/>
      <x:c r="J438" s="30"/>
    </x:row>
    <x:row r="439">
      <x:c r="A439" s="30"/>
      <x:c r="B439" s="30"/>
      <x:c r="C439" s="35"/>
      <x:c r="D439" s="30"/>
      <x:c r="E439" s="30"/>
      <x:c r="F439" s="30"/>
      <x:c r="G439" s="30"/>
      <x:c r="H439" s="35"/>
      <x:c r="I439" s="35"/>
      <x:c r="J439" s="30"/>
    </x:row>
    <x:row r="440">
      <x:c r="A440" s="30"/>
      <x:c r="B440" s="30"/>
      <x:c r="C440" s="35"/>
      <x:c r="D440" s="30"/>
      <x:c r="E440" s="30"/>
      <x:c r="F440" s="30"/>
      <x:c r="G440" s="30"/>
      <x:c r="H440" s="35"/>
      <x:c r="I440" s="35"/>
      <x:c r="J440" s="30"/>
    </x:row>
    <x:row r="441">
      <x:c r="A441" s="30"/>
      <x:c r="B441" s="30"/>
      <x:c r="C441" s="35"/>
      <x:c r="D441" s="30"/>
      <x:c r="E441" s="30"/>
      <x:c r="F441" s="30"/>
      <x:c r="G441" s="30"/>
      <x:c r="H441" s="35"/>
      <x:c r="I441" s="35"/>
      <x:c r="J441" s="30"/>
    </x:row>
    <x:row r="442">
      <x:c r="A442" s="30"/>
      <x:c r="B442" s="30"/>
      <x:c r="C442" s="35"/>
      <x:c r="D442" s="30"/>
      <x:c r="E442" s="30"/>
      <x:c r="F442" s="30"/>
      <x:c r="G442" s="30"/>
      <x:c r="H442" s="35"/>
      <x:c r="I442" s="35"/>
      <x:c r="J442" s="30"/>
    </x:row>
    <x:row r="443">
      <x:c r="A443" s="30"/>
      <x:c r="B443" s="30"/>
      <x:c r="C443" s="35"/>
      <x:c r="D443" s="30"/>
      <x:c r="E443" s="30"/>
      <x:c r="F443" s="30"/>
      <x:c r="G443" s="30"/>
      <x:c r="H443" s="35"/>
      <x:c r="I443" s="35"/>
      <x:c r="J443" s="30"/>
    </x:row>
    <x:row r="444">
      <x:c r="A444" s="30"/>
      <x:c r="B444" s="30"/>
      <x:c r="C444" s="35"/>
      <x:c r="D444" s="30"/>
      <x:c r="E444" s="30"/>
      <x:c r="F444" s="30"/>
      <x:c r="G444" s="30"/>
      <x:c r="H444" s="35"/>
      <x:c r="I444" s="35"/>
      <x:c r="J444" s="30"/>
    </x:row>
    <x:row r="445">
      <x:c r="A445" s="30"/>
      <x:c r="B445" s="30"/>
      <x:c r="C445" s="35"/>
      <x:c r="D445" s="30"/>
      <x:c r="E445" s="30"/>
      <x:c r="F445" s="30"/>
      <x:c r="G445" s="30"/>
      <x:c r="H445" s="35"/>
      <x:c r="I445" s="35"/>
      <x:c r="J445" s="30"/>
    </x:row>
    <x:row r="446">
      <x:c r="A446" s="30"/>
      <x:c r="B446" s="30"/>
      <x:c r="C446" s="35"/>
      <x:c r="D446" s="30"/>
      <x:c r="E446" s="30"/>
      <x:c r="F446" s="30"/>
      <x:c r="G446" s="30"/>
      <x:c r="H446" s="35"/>
      <x:c r="I446" s="35"/>
      <x:c r="J446" s="30"/>
    </x:row>
    <x:row r="447">
      <x:c r="A447" s="30"/>
      <x:c r="B447" s="30"/>
      <x:c r="C447" s="35"/>
      <x:c r="D447" s="30"/>
      <x:c r="E447" s="30"/>
      <x:c r="F447" s="30"/>
      <x:c r="G447" s="30"/>
      <x:c r="H447" s="35"/>
      <x:c r="I447" s="35"/>
      <x:c r="J447" s="30"/>
    </x:row>
    <x:row r="448">
      <x:c r="A448" s="30"/>
      <x:c r="B448" s="30"/>
      <x:c r="C448" s="35"/>
      <x:c r="D448" s="30"/>
      <x:c r="E448" s="30"/>
      <x:c r="F448" s="30"/>
      <x:c r="G448" s="30"/>
      <x:c r="H448" s="35"/>
      <x:c r="I448" s="35"/>
      <x:c r="J448" s="30"/>
    </x:row>
    <x:row r="449">
      <x:c r="A449" s="30"/>
      <x:c r="B449" s="30"/>
      <x:c r="C449" s="35"/>
      <x:c r="D449" s="30"/>
      <x:c r="E449" s="30"/>
      <x:c r="F449" s="30"/>
      <x:c r="G449" s="30"/>
      <x:c r="H449" s="35"/>
      <x:c r="I449" s="35"/>
      <x:c r="J449" s="30"/>
    </x:row>
    <x:row r="450">
      <x:c r="A450" s="30"/>
      <x:c r="B450" s="30"/>
      <x:c r="C450" s="35"/>
      <x:c r="D450" s="30"/>
      <x:c r="E450" s="30"/>
      <x:c r="F450" s="30"/>
      <x:c r="G450" s="30"/>
      <x:c r="H450" s="35"/>
      <x:c r="I450" s="35"/>
      <x:c r="J450" s="30"/>
    </x:row>
    <x:row r="451">
      <x:c r="A451" s="30"/>
      <x:c r="B451" s="30"/>
      <x:c r="C451" s="35"/>
      <x:c r="D451" s="30"/>
      <x:c r="E451" s="30"/>
      <x:c r="F451" s="30"/>
      <x:c r="G451" s="30"/>
      <x:c r="H451" s="35"/>
      <x:c r="I451" s="35"/>
      <x:c r="J451" s="30"/>
    </x:row>
    <x:row r="452">
      <x:c r="A452" s="30"/>
      <x:c r="B452" s="30"/>
      <x:c r="C452" s="35"/>
      <x:c r="D452" s="30"/>
      <x:c r="E452" s="30"/>
      <x:c r="F452" s="30"/>
      <x:c r="G452" s="30"/>
      <x:c r="H452" s="35"/>
      <x:c r="I452" s="35"/>
      <x:c r="J452" s="30"/>
    </x:row>
    <x:row r="453">
      <x:c r="A453" s="30"/>
      <x:c r="B453" s="30"/>
      <x:c r="C453" s="35"/>
      <x:c r="D453" s="30"/>
      <x:c r="E453" s="30"/>
      <x:c r="F453" s="30"/>
      <x:c r="G453" s="30"/>
      <x:c r="H453" s="35"/>
      <x:c r="I453" s="35"/>
      <x:c r="J453" s="30"/>
    </x:row>
    <x:row r="454">
      <x:c r="A454" s="30"/>
      <x:c r="B454" s="30"/>
      <x:c r="C454" s="35"/>
      <x:c r="D454" s="30"/>
      <x:c r="E454" s="30"/>
      <x:c r="F454" s="30"/>
      <x:c r="G454" s="30"/>
      <x:c r="H454" s="35"/>
      <x:c r="I454" s="35"/>
      <x:c r="J454" s="30"/>
    </x:row>
    <x:row r="455">
      <x:c r="A455" s="30"/>
      <x:c r="B455" s="30"/>
      <x:c r="C455" s="35"/>
      <x:c r="D455" s="30"/>
      <x:c r="E455" s="30"/>
      <x:c r="F455" s="30"/>
      <x:c r="G455" s="30"/>
      <x:c r="H455" s="35"/>
      <x:c r="I455" s="35"/>
      <x:c r="J455" s="30"/>
    </x:row>
    <x:row r="456">
      <x:c r="A456" s="30"/>
      <x:c r="B456" s="30"/>
      <x:c r="C456" s="35"/>
      <x:c r="D456" s="30"/>
      <x:c r="E456" s="30"/>
      <x:c r="F456" s="30"/>
      <x:c r="G456" s="30"/>
      <x:c r="H456" s="35"/>
      <x:c r="I456" s="35"/>
      <x:c r="J456" s="30"/>
    </x:row>
    <x:row r="457">
      <x:c r="A457" s="30"/>
      <x:c r="B457" s="30"/>
      <x:c r="C457" s="35"/>
      <x:c r="D457" s="30"/>
      <x:c r="E457" s="30"/>
      <x:c r="F457" s="30"/>
      <x:c r="G457" s="30"/>
      <x:c r="H457" s="35"/>
      <x:c r="I457" s="35"/>
      <x:c r="J457" s="30"/>
    </x:row>
    <x:row r="458">
      <x:c r="A458" s="30"/>
      <x:c r="B458" s="30"/>
      <x:c r="C458" s="35"/>
      <x:c r="D458" s="30"/>
      <x:c r="E458" s="30"/>
      <x:c r="F458" s="30"/>
      <x:c r="G458" s="30"/>
      <x:c r="H458" s="35"/>
      <x:c r="I458" s="35"/>
      <x:c r="J458" s="30"/>
    </x:row>
    <x:row r="459">
      <x:c r="A459" s="30"/>
      <x:c r="B459" s="30"/>
      <x:c r="C459" s="35"/>
      <x:c r="D459" s="30"/>
      <x:c r="E459" s="30"/>
      <x:c r="F459" s="30"/>
      <x:c r="G459" s="30"/>
      <x:c r="H459" s="35"/>
      <x:c r="I459" s="35"/>
      <x:c r="J459" s="30"/>
    </x:row>
    <x:row r="460">
      <x:c r="A460" s="30"/>
      <x:c r="B460" s="30"/>
      <x:c r="C460" s="35"/>
      <x:c r="D460" s="30"/>
      <x:c r="E460" s="30"/>
      <x:c r="F460" s="30"/>
      <x:c r="G460" s="30"/>
      <x:c r="H460" s="35"/>
      <x:c r="I460" s="35"/>
      <x:c r="J460" s="30"/>
    </x:row>
    <x:row r="461">
      <x:c r="A461" s="30"/>
      <x:c r="B461" s="30"/>
      <x:c r="C461" s="35"/>
      <x:c r="D461" s="30"/>
      <x:c r="E461" s="30"/>
      <x:c r="F461" s="30"/>
      <x:c r="G461" s="30"/>
      <x:c r="H461" s="35"/>
      <x:c r="I461" s="35"/>
      <x:c r="J461" s="30"/>
    </x:row>
    <x:row r="462">
      <x:c r="A462" s="30"/>
      <x:c r="B462" s="30"/>
      <x:c r="C462" s="35"/>
      <x:c r="D462" s="30"/>
      <x:c r="E462" s="30"/>
      <x:c r="F462" s="30"/>
      <x:c r="G462" s="30"/>
      <x:c r="H462" s="35"/>
      <x:c r="I462" s="35"/>
      <x:c r="J462" s="30"/>
    </x:row>
    <x:row r="463">
      <x:c r="A463" s="30"/>
      <x:c r="B463" s="30"/>
      <x:c r="C463" s="35"/>
      <x:c r="D463" s="30"/>
      <x:c r="E463" s="30"/>
      <x:c r="F463" s="30"/>
      <x:c r="G463" s="30"/>
      <x:c r="H463" s="35"/>
      <x:c r="I463" s="35"/>
      <x:c r="J463" s="30"/>
    </x:row>
    <x:row r="464">
      <x:c r="A464" s="30"/>
      <x:c r="B464" s="30"/>
      <x:c r="C464" s="35"/>
      <x:c r="D464" s="30"/>
      <x:c r="E464" s="30"/>
      <x:c r="F464" s="30"/>
      <x:c r="G464" s="30"/>
      <x:c r="H464" s="35"/>
      <x:c r="I464" s="35"/>
      <x:c r="J464" s="30"/>
    </x:row>
    <x:row r="465">
      <x:c r="A465" s="30"/>
      <x:c r="B465" s="30"/>
      <x:c r="C465" s="35"/>
      <x:c r="D465" s="30"/>
      <x:c r="E465" s="30"/>
      <x:c r="F465" s="30"/>
      <x:c r="G465" s="30"/>
      <x:c r="H465" s="35"/>
      <x:c r="I465" s="35"/>
      <x:c r="J465" s="30"/>
    </x:row>
    <x:row r="466">
      <x:c r="A466" s="30"/>
      <x:c r="B466" s="30"/>
      <x:c r="C466" s="35"/>
      <x:c r="D466" s="30"/>
      <x:c r="E466" s="30"/>
      <x:c r="F466" s="30"/>
      <x:c r="G466" s="30"/>
      <x:c r="H466" s="35"/>
      <x:c r="I466" s="35"/>
      <x:c r="J466" s="30"/>
    </x:row>
    <x:row r="467">
      <x:c r="A467" s="30"/>
      <x:c r="B467" s="30"/>
      <x:c r="C467" s="35"/>
      <x:c r="D467" s="30"/>
      <x:c r="E467" s="30"/>
      <x:c r="F467" s="30"/>
      <x:c r="G467" s="30"/>
      <x:c r="H467" s="35"/>
      <x:c r="I467" s="35"/>
      <x:c r="J467" s="30"/>
    </x:row>
    <x:row r="468">
      <x:c r="A468" s="30"/>
      <x:c r="B468" s="30"/>
      <x:c r="C468" s="35"/>
      <x:c r="D468" s="30"/>
      <x:c r="E468" s="30"/>
      <x:c r="F468" s="30"/>
      <x:c r="G468" s="30"/>
      <x:c r="H468" s="35"/>
      <x:c r="I468" s="35"/>
      <x:c r="J468" s="30"/>
    </x:row>
    <x:row r="469">
      <x:c r="A469" s="30"/>
      <x:c r="B469" s="30"/>
      <x:c r="C469" s="35"/>
      <x:c r="D469" s="30"/>
      <x:c r="E469" s="30"/>
      <x:c r="F469" s="30"/>
      <x:c r="G469" s="30"/>
      <x:c r="H469" s="35"/>
      <x:c r="I469" s="35"/>
      <x:c r="J469" s="30"/>
    </x:row>
    <x:row r="470">
      <x:c r="A470" s="30"/>
      <x:c r="B470" s="30"/>
      <x:c r="C470" s="35"/>
      <x:c r="D470" s="30"/>
      <x:c r="E470" s="30"/>
      <x:c r="F470" s="30"/>
      <x:c r="G470" s="30"/>
      <x:c r="H470" s="35"/>
      <x:c r="I470" s="35"/>
      <x:c r="J470" s="30"/>
    </x:row>
    <x:row r="471">
      <x:c r="A471" s="30"/>
      <x:c r="B471" s="30"/>
      <x:c r="C471" s="35"/>
      <x:c r="D471" s="30"/>
      <x:c r="E471" s="30"/>
      <x:c r="F471" s="30"/>
      <x:c r="G471" s="30"/>
      <x:c r="H471" s="35"/>
      <x:c r="I471" s="35"/>
      <x:c r="J471" s="30"/>
    </x:row>
    <x:row r="472">
      <x:c r="A472" s="30"/>
      <x:c r="B472" s="30"/>
      <x:c r="C472" s="35"/>
      <x:c r="D472" s="30"/>
      <x:c r="E472" s="30"/>
      <x:c r="F472" s="30"/>
      <x:c r="G472" s="30"/>
      <x:c r="H472" s="35"/>
      <x:c r="I472" s="35"/>
      <x:c r="J472" s="30"/>
    </x:row>
    <x:row r="473">
      <x:c r="A473" s="30"/>
      <x:c r="B473" s="30"/>
      <x:c r="C473" s="35"/>
      <x:c r="D473" s="30"/>
      <x:c r="E473" s="30"/>
      <x:c r="F473" s="30"/>
      <x:c r="G473" s="30"/>
      <x:c r="H473" s="35"/>
      <x:c r="I473" s="35"/>
      <x:c r="J473" s="30"/>
    </x:row>
    <x:row r="474">
      <x:c r="A474" s="30"/>
      <x:c r="B474" s="30"/>
      <x:c r="C474" s="35"/>
      <x:c r="D474" s="30"/>
      <x:c r="E474" s="30"/>
      <x:c r="F474" s="30"/>
      <x:c r="G474" s="30"/>
      <x:c r="H474" s="35"/>
      <x:c r="I474" s="35"/>
      <x:c r="J474" s="30"/>
    </x:row>
    <x:row r="475">
      <x:c r="A475" s="30"/>
      <x:c r="B475" s="30"/>
      <x:c r="C475" s="35"/>
      <x:c r="D475" s="30"/>
      <x:c r="E475" s="30"/>
      <x:c r="F475" s="30"/>
      <x:c r="G475" s="30"/>
      <x:c r="H475" s="35"/>
      <x:c r="I475" s="35"/>
      <x:c r="J475" s="30"/>
    </x:row>
    <x:row r="476">
      <x:c r="A476" s="30"/>
      <x:c r="B476" s="30"/>
      <x:c r="C476" s="35"/>
      <x:c r="D476" s="30"/>
      <x:c r="E476" s="30"/>
      <x:c r="F476" s="30"/>
      <x:c r="G476" s="30"/>
      <x:c r="H476" s="35"/>
      <x:c r="I476" s="35"/>
      <x:c r="J476" s="30"/>
    </x:row>
    <x:row r="477">
      <x:c r="A477" s="30"/>
      <x:c r="B477" s="30"/>
      <x:c r="C477" s="35"/>
      <x:c r="D477" s="30"/>
      <x:c r="E477" s="30"/>
      <x:c r="F477" s="30"/>
      <x:c r="G477" s="30"/>
      <x:c r="H477" s="35"/>
      <x:c r="I477" s="35"/>
      <x:c r="J477" s="30"/>
    </x:row>
    <x:row r="478">
      <x:c r="A478" s="30"/>
      <x:c r="B478" s="30"/>
      <x:c r="C478" s="35"/>
      <x:c r="D478" s="30"/>
      <x:c r="E478" s="30"/>
      <x:c r="F478" s="30"/>
      <x:c r="G478" s="30"/>
      <x:c r="H478" s="35"/>
      <x:c r="I478" s="35"/>
      <x:c r="J478" s="30"/>
    </x:row>
    <x:row r="479">
      <x:c r="A479" s="30"/>
      <x:c r="B479" s="30"/>
      <x:c r="C479" s="35"/>
      <x:c r="D479" s="30"/>
      <x:c r="E479" s="30"/>
      <x:c r="F479" s="30"/>
      <x:c r="G479" s="30"/>
      <x:c r="H479" s="35"/>
      <x:c r="I479" s="35"/>
      <x:c r="J479" s="30"/>
    </x:row>
    <x:row r="480">
      <x:c r="A480" s="30"/>
      <x:c r="B480" s="30"/>
      <x:c r="C480" s="35"/>
      <x:c r="D480" s="30"/>
      <x:c r="E480" s="30"/>
      <x:c r="F480" s="30"/>
      <x:c r="G480" s="30"/>
      <x:c r="H480" s="35"/>
      <x:c r="I480" s="35"/>
      <x:c r="J480" s="30"/>
    </x:row>
    <x:row r="481">
      <x:c r="A481" s="30"/>
      <x:c r="B481" s="30"/>
      <x:c r="C481" s="35"/>
      <x:c r="D481" s="30"/>
      <x:c r="E481" s="30"/>
      <x:c r="F481" s="30"/>
      <x:c r="G481" s="30"/>
      <x:c r="H481" s="35"/>
      <x:c r="I481" s="35"/>
      <x:c r="J481" s="30"/>
    </x:row>
    <x:row r="482">
      <x:c r="A482" s="30"/>
      <x:c r="B482" s="30"/>
      <x:c r="C482" s="35"/>
      <x:c r="D482" s="30"/>
      <x:c r="E482" s="30"/>
      <x:c r="F482" s="30"/>
      <x:c r="G482" s="30"/>
      <x:c r="H482" s="35"/>
      <x:c r="I482" s="35"/>
      <x:c r="J482" s="30"/>
    </x:row>
    <x:row r="483">
      <x:c r="A483" s="30"/>
      <x:c r="B483" s="30"/>
      <x:c r="C483" s="35"/>
      <x:c r="D483" s="30"/>
      <x:c r="E483" s="30"/>
      <x:c r="F483" s="30"/>
      <x:c r="G483" s="30"/>
      <x:c r="H483" s="35"/>
      <x:c r="I483" s="35"/>
      <x:c r="J483" s="30"/>
    </x:row>
    <x:row r="484">
      <x:c r="A484" s="30"/>
      <x:c r="B484" s="30"/>
      <x:c r="C484" s="35"/>
      <x:c r="D484" s="30"/>
      <x:c r="E484" s="30"/>
      <x:c r="F484" s="30"/>
      <x:c r="G484" s="30"/>
      <x:c r="H484" s="35"/>
      <x:c r="I484" s="35"/>
      <x:c r="J484" s="30"/>
    </x:row>
    <x:row r="485">
      <x:c r="A485" s="30"/>
      <x:c r="B485" s="30"/>
      <x:c r="C485" s="35"/>
      <x:c r="D485" s="30"/>
      <x:c r="E485" s="30"/>
      <x:c r="F485" s="30"/>
      <x:c r="G485" s="30"/>
      <x:c r="H485" s="35"/>
      <x:c r="I485" s="35"/>
      <x:c r="J485" s="30"/>
    </x:row>
    <x:row r="486">
      <x:c r="A486" s="30"/>
      <x:c r="B486" s="30"/>
      <x:c r="C486" s="35"/>
      <x:c r="D486" s="30"/>
      <x:c r="E486" s="30"/>
      <x:c r="F486" s="30"/>
      <x:c r="G486" s="30"/>
      <x:c r="H486" s="35"/>
      <x:c r="I486" s="35"/>
      <x:c r="J486" s="30"/>
    </x:row>
    <x:row r="487">
      <x:c r="A487" s="30"/>
      <x:c r="B487" s="30"/>
      <x:c r="C487" s="35"/>
      <x:c r="D487" s="30"/>
      <x:c r="E487" s="30"/>
      <x:c r="F487" s="30"/>
      <x:c r="G487" s="30"/>
      <x:c r="H487" s="35"/>
      <x:c r="I487" s="35"/>
      <x:c r="J487" s="30"/>
    </x:row>
    <x:row r="488">
      <x:c r="A488" s="30"/>
      <x:c r="B488" s="30"/>
      <x:c r="C488" s="35"/>
      <x:c r="D488" s="30"/>
      <x:c r="E488" s="30"/>
      <x:c r="F488" s="30"/>
      <x:c r="G488" s="30"/>
      <x:c r="H488" s="35"/>
      <x:c r="I488" s="35"/>
      <x:c r="J488" s="30"/>
    </x:row>
    <x:row r="489">
      <x:c r="A489" s="30"/>
      <x:c r="B489" s="30"/>
      <x:c r="C489" s="35"/>
      <x:c r="D489" s="30"/>
      <x:c r="E489" s="30"/>
      <x:c r="F489" s="30"/>
      <x:c r="G489" s="30"/>
      <x:c r="H489" s="35"/>
      <x:c r="I489" s="35"/>
      <x:c r="J489" s="30"/>
    </x:row>
    <x:row r="490">
      <x:c r="A490" s="30"/>
      <x:c r="B490" s="30"/>
      <x:c r="C490" s="35"/>
      <x:c r="D490" s="30"/>
      <x:c r="E490" s="30"/>
      <x:c r="F490" s="30"/>
      <x:c r="G490" s="30"/>
      <x:c r="H490" s="35"/>
      <x:c r="I490" s="35"/>
      <x:c r="J490" s="30"/>
    </x:row>
    <x:row r="491">
      <x:c r="A491" s="30"/>
      <x:c r="B491" s="30"/>
      <x:c r="C491" s="35"/>
      <x:c r="D491" s="30"/>
      <x:c r="E491" s="30"/>
      <x:c r="F491" s="30"/>
      <x:c r="G491" s="30"/>
      <x:c r="H491" s="35"/>
      <x:c r="I491" s="35"/>
      <x:c r="J491" s="30"/>
    </x:row>
    <x:row r="492">
      <x:c r="A492" s="30"/>
      <x:c r="B492" s="30"/>
      <x:c r="C492" s="35"/>
      <x:c r="D492" s="30"/>
      <x:c r="E492" s="30"/>
      <x:c r="F492" s="30"/>
      <x:c r="G492" s="30"/>
      <x:c r="H492" s="35"/>
      <x:c r="I492" s="35"/>
      <x:c r="J492" s="30"/>
    </x:row>
    <x:row r="493">
      <x:c r="A493" s="30"/>
      <x:c r="B493" s="30"/>
      <x:c r="C493" s="35"/>
      <x:c r="D493" s="30"/>
      <x:c r="E493" s="30"/>
      <x:c r="F493" s="30"/>
      <x:c r="G493" s="30"/>
      <x:c r="H493" s="35"/>
      <x:c r="I493" s="35"/>
      <x:c r="J493" s="30"/>
    </x:row>
    <x:row r="494">
      <x:c r="A494" s="30"/>
      <x:c r="B494" s="30"/>
      <x:c r="C494" s="35"/>
      <x:c r="D494" s="30"/>
      <x:c r="E494" s="30"/>
      <x:c r="F494" s="30"/>
      <x:c r="G494" s="30"/>
      <x:c r="H494" s="35"/>
      <x:c r="I494" s="35"/>
      <x:c r="J494" s="30"/>
    </x:row>
    <x:row r="495">
      <x:c r="A495" s="30"/>
      <x:c r="B495" s="30"/>
      <x:c r="C495" s="35"/>
      <x:c r="D495" s="30"/>
      <x:c r="E495" s="30"/>
      <x:c r="F495" s="30"/>
      <x:c r="G495" s="30"/>
      <x:c r="H495" s="35"/>
      <x:c r="I495" s="35"/>
      <x:c r="J495" s="30"/>
    </x:row>
    <x:row r="496">
      <x:c r="A496" s="30"/>
      <x:c r="B496" s="30"/>
      <x:c r="C496" s="35"/>
      <x:c r="D496" s="30"/>
      <x:c r="E496" s="30"/>
      <x:c r="F496" s="30"/>
      <x:c r="G496" s="30"/>
      <x:c r="H496" s="35"/>
      <x:c r="I496" s="35"/>
      <x:c r="J496" s="30"/>
    </x:row>
    <x:row r="497">
      <x:c r="A497" s="30"/>
      <x:c r="B497" s="30"/>
      <x:c r="C497" s="35"/>
      <x:c r="D497" s="30"/>
      <x:c r="E497" s="30"/>
      <x:c r="F497" s="30"/>
      <x:c r="G497" s="30"/>
      <x:c r="H497" s="35"/>
      <x:c r="I497" s="35"/>
      <x:c r="J497" s="30"/>
    </x:row>
    <x:row r="498">
      <x:c r="A498" s="30"/>
      <x:c r="B498" s="30"/>
      <x:c r="C498" s="35"/>
      <x:c r="D498" s="30"/>
      <x:c r="E498" s="30"/>
      <x:c r="F498" s="30"/>
      <x:c r="G498" s="30"/>
      <x:c r="H498" s="35"/>
      <x:c r="I498" s="35"/>
      <x:c r="J498" s="30"/>
    </x:row>
    <x:row r="499">
      <x:c r="A499" s="30"/>
      <x:c r="B499" s="30"/>
      <x:c r="C499" s="35"/>
      <x:c r="D499" s="30"/>
      <x:c r="E499" s="30"/>
      <x:c r="F499" s="30"/>
      <x:c r="G499" s="30"/>
      <x:c r="H499" s="35"/>
      <x:c r="I499" s="35"/>
      <x:c r="J499" s="30"/>
    </x:row>
    <x:row r="500">
      <x:c r="A500" s="30"/>
      <x:c r="B500" s="30"/>
      <x:c r="C500" s="35"/>
      <x:c r="D500" s="30"/>
      <x:c r="E500" s="30"/>
      <x:c r="F500" s="30"/>
      <x:c r="G500" s="30"/>
      <x:c r="H500" s="35"/>
      <x:c r="I500" s="35"/>
      <x:c r="J500" s="30"/>
    </x:row>
    <x:row r="501">
      <x:c r="A501" s="30"/>
      <x:c r="B501" s="30"/>
      <x:c r="C501" s="35"/>
      <x:c r="D501" s="30"/>
      <x:c r="E501" s="30"/>
      <x:c r="F501" s="30"/>
      <x:c r="G501" s="30"/>
      <x:c r="H501" s="35"/>
      <x:c r="I501" s="35"/>
      <x:c r="J501" s="30"/>
    </x:row>
    <x:row r="502">
      <x:c r="A502" s="30"/>
      <x:c r="B502" s="30"/>
      <x:c r="C502" s="35"/>
      <x:c r="D502" s="30"/>
      <x:c r="E502" s="30"/>
      <x:c r="F502" s="30"/>
      <x:c r="G502" s="30"/>
      <x:c r="H502" s="35"/>
      <x:c r="I502" s="35"/>
      <x:c r="J502" s="30"/>
    </x:row>
    <x:row r="503">
      <x:c r="A503" s="30"/>
      <x:c r="B503" s="30"/>
      <x:c r="C503" s="35"/>
      <x:c r="D503" s="30"/>
      <x:c r="E503" s="30"/>
      <x:c r="F503" s="30"/>
      <x:c r="G503" s="30"/>
      <x:c r="H503" s="35"/>
      <x:c r="I503" s="35"/>
      <x:c r="J503" s="30"/>
    </x:row>
    <x:row r="504">
      <x:c r="A504" s="30"/>
      <x:c r="B504" s="30"/>
      <x:c r="C504" s="35"/>
      <x:c r="D504" s="30"/>
      <x:c r="E504" s="30"/>
      <x:c r="F504" s="30"/>
      <x:c r="G504" s="30"/>
      <x:c r="H504" s="35"/>
      <x:c r="I504" s="35"/>
      <x:c r="J504" s="30"/>
    </x:row>
    <x:row r="505">
      <x:c r="A505" s="30"/>
      <x:c r="B505" s="30"/>
      <x:c r="C505" s="35"/>
      <x:c r="D505" s="30"/>
      <x:c r="E505" s="30"/>
      <x:c r="F505" s="30"/>
      <x:c r="G505" s="30"/>
      <x:c r="H505" s="35"/>
      <x:c r="I505" s="35"/>
      <x:c r="J505" s="30"/>
    </x:row>
    <x:row r="506">
      <x:c r="A506" s="30"/>
      <x:c r="B506" s="30"/>
      <x:c r="C506" s="35"/>
      <x:c r="D506" s="30"/>
      <x:c r="E506" s="30"/>
      <x:c r="F506" s="30"/>
      <x:c r="G506" s="30"/>
      <x:c r="H506" s="35"/>
      <x:c r="I506" s="35"/>
      <x:c r="J506" s="30"/>
    </x:row>
    <x:row r="507">
      <x:c r="A507" s="30"/>
      <x:c r="B507" s="30"/>
      <x:c r="C507" s="35"/>
      <x:c r="D507" s="30"/>
      <x:c r="E507" s="30"/>
      <x:c r="F507" s="30"/>
      <x:c r="G507" s="30"/>
      <x:c r="H507" s="35"/>
      <x:c r="I507" s="35"/>
      <x:c r="J507" s="30"/>
    </x:row>
    <x:row r="508">
      <x:c r="A508" s="30"/>
      <x:c r="B508" s="30"/>
      <x:c r="C508" s="35"/>
      <x:c r="D508" s="30"/>
      <x:c r="E508" s="30"/>
      <x:c r="F508" s="30"/>
      <x:c r="G508" s="30"/>
      <x:c r="H508" s="35"/>
      <x:c r="I508" s="35"/>
      <x:c r="J508" s="30"/>
    </x:row>
    <x:row r="509">
      <x:c r="A509" s="30"/>
      <x:c r="B509" s="30"/>
      <x:c r="C509" s="35"/>
      <x:c r="D509" s="30"/>
      <x:c r="E509" s="30"/>
      <x:c r="F509" s="30"/>
      <x:c r="G509" s="30"/>
      <x:c r="H509" s="35"/>
      <x:c r="I509" s="35"/>
      <x:c r="J509" s="30"/>
    </x:row>
    <x:row r="510">
      <x:c r="A510" s="30"/>
      <x:c r="B510" s="30"/>
      <x:c r="C510" s="35"/>
      <x:c r="D510" s="30"/>
      <x:c r="E510" s="30"/>
      <x:c r="F510" s="30"/>
      <x:c r="G510" s="30"/>
      <x:c r="H510" s="35"/>
      <x:c r="I510" s="35"/>
      <x:c r="J510" s="30"/>
    </x:row>
    <x:row r="511">
      <x:c r="A511" s="30"/>
      <x:c r="B511" s="30"/>
      <x:c r="C511" s="35"/>
      <x:c r="D511" s="30"/>
      <x:c r="E511" s="30"/>
      <x:c r="F511" s="30"/>
      <x:c r="G511" s="30"/>
      <x:c r="H511" s="35"/>
      <x:c r="I511" s="35"/>
      <x:c r="J511" s="30"/>
    </x:row>
    <x:row r="512">
      <x:c r="A512" s="30"/>
      <x:c r="B512" s="30"/>
      <x:c r="C512" s="35"/>
      <x:c r="D512" s="30"/>
      <x:c r="E512" s="30"/>
      <x:c r="F512" s="30"/>
      <x:c r="G512" s="30"/>
      <x:c r="H512" s="35"/>
      <x:c r="I512" s="35"/>
      <x:c r="J512" s="30"/>
    </x:row>
    <x:row r="513">
      <x:c r="A513" s="30"/>
      <x:c r="B513" s="30"/>
      <x:c r="C513" s="35"/>
      <x:c r="D513" s="30"/>
      <x:c r="E513" s="30"/>
      <x:c r="F513" s="30"/>
      <x:c r="G513" s="30"/>
      <x:c r="H513" s="35"/>
      <x:c r="I513" s="35"/>
      <x:c r="J513" s="30"/>
    </x:row>
    <x:row r="514">
      <x:c r="A514" s="30"/>
      <x:c r="B514" s="30"/>
      <x:c r="C514" s="35"/>
      <x:c r="D514" s="30"/>
      <x:c r="E514" s="30"/>
      <x:c r="F514" s="30"/>
      <x:c r="G514" s="30"/>
      <x:c r="H514" s="35"/>
      <x:c r="I514" s="35"/>
      <x:c r="J514" s="30"/>
    </x:row>
    <x:row r="515">
      <x:c r="A515" s="30"/>
      <x:c r="B515" s="30"/>
      <x:c r="C515" s="35"/>
      <x:c r="D515" s="30"/>
      <x:c r="E515" s="30"/>
      <x:c r="F515" s="30"/>
      <x:c r="G515" s="30"/>
      <x:c r="H515" s="35"/>
      <x:c r="I515" s="35"/>
      <x:c r="J515" s="30"/>
    </x:row>
    <x:row r="516">
      <x:c r="A516" s="30"/>
      <x:c r="B516" s="30"/>
      <x:c r="C516" s="35"/>
      <x:c r="D516" s="30"/>
      <x:c r="E516" s="30"/>
      <x:c r="F516" s="30"/>
      <x:c r="G516" s="30"/>
      <x:c r="H516" s="35"/>
      <x:c r="I516" s="35"/>
      <x:c r="J516" s="30"/>
    </x:row>
    <x:row r="517">
      <x:c r="A517" s="30"/>
      <x:c r="B517" s="30"/>
      <x:c r="C517" s="35"/>
      <x:c r="D517" s="30"/>
      <x:c r="E517" s="30"/>
      <x:c r="F517" s="30"/>
      <x:c r="G517" s="30"/>
      <x:c r="H517" s="35"/>
      <x:c r="I517" s="35"/>
      <x:c r="J517" s="30"/>
    </x:row>
    <x:row r="518">
      <x:c r="A518" s="30"/>
      <x:c r="B518" s="30"/>
      <x:c r="C518" s="35"/>
      <x:c r="D518" s="30"/>
      <x:c r="E518" s="30"/>
      <x:c r="F518" s="30"/>
      <x:c r="G518" s="30"/>
      <x:c r="H518" s="35"/>
      <x:c r="I518" s="35"/>
      <x:c r="J518" s="30"/>
    </x:row>
    <x:row r="519">
      <x:c r="A519" s="30"/>
      <x:c r="B519" s="30"/>
      <x:c r="C519" s="35"/>
      <x:c r="D519" s="30"/>
      <x:c r="E519" s="30"/>
      <x:c r="F519" s="30"/>
      <x:c r="G519" s="30"/>
      <x:c r="H519" s="35"/>
      <x:c r="I519" s="35"/>
      <x:c r="J519" s="30"/>
    </x:row>
    <x:row r="520">
      <x:c r="A520" s="30"/>
      <x:c r="B520" s="30"/>
      <x:c r="C520" s="35"/>
      <x:c r="D520" s="30"/>
      <x:c r="E520" s="30"/>
      <x:c r="F520" s="30"/>
      <x:c r="G520" s="30"/>
      <x:c r="H520" s="35"/>
      <x:c r="I520" s="35"/>
      <x:c r="J520" s="30"/>
    </x:row>
    <x:row r="521">
      <x:c r="A521" s="30"/>
      <x:c r="B521" s="30"/>
      <x:c r="C521" s="35"/>
      <x:c r="D521" s="30"/>
      <x:c r="E521" s="30"/>
      <x:c r="F521" s="30"/>
      <x:c r="G521" s="30"/>
      <x:c r="H521" s="35"/>
      <x:c r="I521" s="35"/>
      <x:c r="J521" s="30"/>
    </x:row>
    <x:row r="522">
      <x:c r="A522" s="30"/>
      <x:c r="B522" s="30"/>
      <x:c r="C522" s="35"/>
      <x:c r="D522" s="30"/>
      <x:c r="E522" s="30"/>
      <x:c r="F522" s="30"/>
      <x:c r="G522" s="30"/>
      <x:c r="H522" s="35"/>
      <x:c r="I522" s="35"/>
      <x:c r="J522" s="30"/>
    </x:row>
    <x:row r="523">
      <x:c r="A523" s="30"/>
      <x:c r="B523" s="30"/>
      <x:c r="C523" s="35"/>
      <x:c r="D523" s="30"/>
      <x:c r="E523" s="30"/>
      <x:c r="F523" s="30"/>
      <x:c r="G523" s="30"/>
      <x:c r="H523" s="35"/>
      <x:c r="I523" s="35"/>
      <x:c r="J523" s="30"/>
    </x:row>
    <x:row r="524">
      <x:c r="A524" s="30"/>
      <x:c r="B524" s="30"/>
      <x:c r="C524" s="35"/>
      <x:c r="D524" s="30"/>
      <x:c r="E524" s="30"/>
      <x:c r="F524" s="30"/>
      <x:c r="G524" s="30"/>
      <x:c r="H524" s="35"/>
      <x:c r="I524" s="35"/>
      <x:c r="J524" s="30"/>
    </x:row>
    <x:row r="525">
      <x:c r="A525" s="30"/>
      <x:c r="B525" s="30"/>
      <x:c r="C525" s="35"/>
      <x:c r="D525" s="30"/>
      <x:c r="E525" s="30"/>
      <x:c r="F525" s="30"/>
      <x:c r="G525" s="30"/>
      <x:c r="H525" s="35"/>
      <x:c r="I525" s="35"/>
      <x:c r="J525" s="30"/>
    </x:row>
    <x:row r="526">
      <x:c r="A526" s="30"/>
      <x:c r="B526" s="30"/>
      <x:c r="C526" s="35"/>
      <x:c r="D526" s="30"/>
      <x:c r="E526" s="30"/>
      <x:c r="F526" s="30"/>
      <x:c r="G526" s="30"/>
      <x:c r="H526" s="35"/>
      <x:c r="I526" s="35"/>
      <x:c r="J526" s="30"/>
    </x:row>
    <x:row r="527">
      <x:c r="A527" s="30"/>
      <x:c r="B527" s="30"/>
      <x:c r="C527" s="35"/>
      <x:c r="D527" s="30"/>
      <x:c r="E527" s="30"/>
      <x:c r="F527" s="30"/>
      <x:c r="G527" s="30"/>
      <x:c r="H527" s="35"/>
      <x:c r="I527" s="35"/>
      <x:c r="J527" s="30"/>
    </x:row>
    <x:row r="528">
      <x:c r="A528" s="30"/>
      <x:c r="B528" s="30"/>
      <x:c r="C528" s="35"/>
      <x:c r="D528" s="30"/>
      <x:c r="E528" s="30"/>
      <x:c r="F528" s="30"/>
      <x:c r="G528" s="30"/>
      <x:c r="H528" s="35"/>
      <x:c r="I528" s="35"/>
      <x:c r="J528" s="30"/>
    </x:row>
    <x:row r="529">
      <x:c r="A529" s="30"/>
      <x:c r="B529" s="30"/>
      <x:c r="C529" s="35"/>
      <x:c r="D529" s="30"/>
      <x:c r="E529" s="30"/>
      <x:c r="F529" s="30"/>
      <x:c r="G529" s="30"/>
      <x:c r="H529" s="35"/>
      <x:c r="I529" s="35"/>
      <x:c r="J529" s="30"/>
    </x:row>
    <x:row r="530">
      <x:c r="A530" s="30"/>
      <x:c r="B530" s="30"/>
      <x:c r="C530" s="35"/>
      <x:c r="D530" s="30"/>
      <x:c r="E530" s="30"/>
      <x:c r="F530" s="30"/>
      <x:c r="G530" s="30"/>
      <x:c r="H530" s="35"/>
      <x:c r="I530" s="35"/>
      <x:c r="J530" s="30"/>
    </x:row>
    <x:row r="531">
      <x:c r="A531" s="30"/>
      <x:c r="B531" s="30"/>
      <x:c r="C531" s="35"/>
      <x:c r="D531" s="30"/>
      <x:c r="E531" s="30"/>
      <x:c r="F531" s="30"/>
      <x:c r="G531" s="30"/>
      <x:c r="H531" s="35"/>
      <x:c r="I531" s="35"/>
      <x:c r="J531" s="30"/>
    </x:row>
    <x:row r="532">
      <x:c r="A532" s="30"/>
      <x:c r="B532" s="30"/>
      <x:c r="C532" s="35"/>
      <x:c r="D532" s="30"/>
      <x:c r="E532" s="30"/>
      <x:c r="F532" s="30"/>
      <x:c r="G532" s="30"/>
      <x:c r="H532" s="35"/>
      <x:c r="I532" s="35"/>
      <x:c r="J532" s="30"/>
    </x:row>
    <x:row r="533">
      <x:c r="A533" s="30"/>
      <x:c r="B533" s="30"/>
      <x:c r="C533" s="35"/>
      <x:c r="D533" s="30"/>
      <x:c r="E533" s="30"/>
      <x:c r="F533" s="30"/>
      <x:c r="G533" s="30"/>
      <x:c r="H533" s="35"/>
      <x:c r="I533" s="35"/>
      <x:c r="J533" s="30"/>
    </x:row>
    <x:row r="534">
      <x:c r="A534" s="30"/>
      <x:c r="B534" s="30"/>
      <x:c r="C534" s="35"/>
      <x:c r="D534" s="30"/>
      <x:c r="E534" s="30"/>
      <x:c r="F534" s="30"/>
      <x:c r="G534" s="30"/>
      <x:c r="H534" s="35"/>
      <x:c r="I534" s="35"/>
      <x:c r="J534" s="30"/>
    </x:row>
    <x:row r="535">
      <x:c r="A535" s="30"/>
      <x:c r="B535" s="30"/>
      <x:c r="C535" s="35"/>
      <x:c r="D535" s="30"/>
      <x:c r="E535" s="30"/>
      <x:c r="F535" s="30"/>
      <x:c r="G535" s="30"/>
      <x:c r="H535" s="35"/>
      <x:c r="I535" s="35"/>
      <x:c r="J535" s="30"/>
    </x:row>
    <x:row r="536">
      <x:c r="A536" s="30"/>
      <x:c r="B536" s="30"/>
      <x:c r="C536" s="35"/>
      <x:c r="D536" s="30"/>
      <x:c r="E536" s="30"/>
      <x:c r="F536" s="30"/>
      <x:c r="G536" s="30"/>
      <x:c r="H536" s="35"/>
      <x:c r="I536" s="35"/>
      <x:c r="J536" s="30"/>
    </x:row>
    <x:row r="537">
      <x:c r="A537" s="30"/>
      <x:c r="B537" s="30"/>
      <x:c r="C537" s="35"/>
      <x:c r="D537" s="30"/>
      <x:c r="E537" s="30"/>
      <x:c r="F537" s="30"/>
      <x:c r="G537" s="30"/>
      <x:c r="H537" s="35"/>
      <x:c r="I537" s="35"/>
      <x:c r="J537" s="30"/>
    </x:row>
    <x:row r="538">
      <x:c r="A538" s="30"/>
      <x:c r="B538" s="30"/>
      <x:c r="C538" s="35"/>
      <x:c r="D538" s="30"/>
      <x:c r="E538" s="30"/>
      <x:c r="F538" s="30"/>
      <x:c r="G538" s="30"/>
      <x:c r="H538" s="35"/>
      <x:c r="I538" s="35"/>
      <x:c r="J538" s="30"/>
    </x:row>
    <x:row r="539">
      <x:c r="A539" s="30"/>
      <x:c r="B539" s="30"/>
      <x:c r="C539" s="35"/>
      <x:c r="D539" s="30"/>
      <x:c r="E539" s="30"/>
      <x:c r="F539" s="30"/>
      <x:c r="G539" s="30"/>
      <x:c r="H539" s="35"/>
      <x:c r="I539" s="35"/>
      <x:c r="J539" s="30"/>
    </x:row>
    <x:row r="540">
      <x:c r="A540" s="30"/>
      <x:c r="B540" s="30"/>
      <x:c r="C540" s="35"/>
      <x:c r="D540" s="30"/>
      <x:c r="E540" s="30"/>
      <x:c r="F540" s="30"/>
      <x:c r="G540" s="30"/>
      <x:c r="H540" s="35"/>
      <x:c r="I540" s="35"/>
      <x:c r="J540" s="30"/>
    </x:row>
    <x:row r="541">
      <x:c r="A541" s="30"/>
      <x:c r="B541" s="30"/>
      <x:c r="C541" s="35"/>
      <x:c r="D541" s="30"/>
      <x:c r="E541" s="30"/>
      <x:c r="F541" s="30"/>
      <x:c r="G541" s="30"/>
      <x:c r="H541" s="35"/>
      <x:c r="I541" s="35"/>
      <x:c r="J541" s="30"/>
    </x:row>
    <x:row r="542">
      <x:c r="A542" s="30"/>
      <x:c r="B542" s="30"/>
      <x:c r="C542" s="35"/>
      <x:c r="D542" s="30"/>
      <x:c r="E542" s="30"/>
      <x:c r="F542" s="30"/>
      <x:c r="G542" s="30"/>
      <x:c r="H542" s="35"/>
      <x:c r="I542" s="35"/>
      <x:c r="J542" s="30"/>
    </x:row>
    <x:row r="543">
      <x:c r="A543" s="30"/>
      <x:c r="B543" s="30"/>
      <x:c r="C543" s="35"/>
      <x:c r="D543" s="30"/>
      <x:c r="E543" s="30"/>
      <x:c r="F543" s="30"/>
      <x:c r="G543" s="30"/>
      <x:c r="H543" s="35"/>
      <x:c r="I543" s="35"/>
      <x:c r="J543" s="30"/>
    </x:row>
    <x:row r="544">
      <x:c r="A544" s="30"/>
      <x:c r="B544" s="30"/>
      <x:c r="C544" s="35"/>
      <x:c r="D544" s="30"/>
      <x:c r="E544" s="30"/>
      <x:c r="F544" s="30"/>
      <x:c r="G544" s="30"/>
      <x:c r="H544" s="35"/>
      <x:c r="I544" s="35"/>
      <x:c r="J544" s="30"/>
    </x:row>
    <x:row r="545">
      <x:c r="A545" s="30"/>
      <x:c r="B545" s="30"/>
      <x:c r="C545" s="35"/>
      <x:c r="D545" s="30"/>
      <x:c r="E545" s="30"/>
      <x:c r="F545" s="30"/>
      <x:c r="G545" s="30"/>
      <x:c r="H545" s="35"/>
      <x:c r="I545" s="35"/>
      <x:c r="J545" s="30"/>
    </x:row>
    <x:row r="546">
      <x:c r="A546" s="30"/>
      <x:c r="B546" s="30"/>
      <x:c r="C546" s="35"/>
      <x:c r="D546" s="30"/>
      <x:c r="E546" s="30"/>
      <x:c r="F546" s="30"/>
      <x:c r="G546" s="30"/>
      <x:c r="H546" s="35"/>
      <x:c r="I546" s="35"/>
      <x:c r="J546" s="30"/>
    </x:row>
    <x:row r="547">
      <x:c r="A547" s="30"/>
      <x:c r="B547" s="30"/>
      <x:c r="C547" s="35"/>
      <x:c r="D547" s="30"/>
      <x:c r="E547" s="30"/>
      <x:c r="F547" s="30"/>
      <x:c r="G547" s="30"/>
      <x:c r="H547" s="35"/>
      <x:c r="I547" s="35"/>
      <x:c r="J547" s="30"/>
    </x:row>
    <x:row r="548">
      <x:c r="A548" s="30"/>
      <x:c r="B548" s="30"/>
      <x:c r="C548" s="35"/>
      <x:c r="D548" s="30"/>
      <x:c r="E548" s="30"/>
      <x:c r="F548" s="30"/>
      <x:c r="G548" s="30"/>
      <x:c r="H548" s="35"/>
      <x:c r="I548" s="35"/>
      <x:c r="J548" s="30"/>
    </x:row>
    <x:row r="549">
      <x:c r="A549" s="30"/>
      <x:c r="B549" s="30"/>
      <x:c r="C549" s="35"/>
      <x:c r="D549" s="30"/>
      <x:c r="E549" s="30"/>
      <x:c r="F549" s="30"/>
      <x:c r="G549" s="30"/>
      <x:c r="H549" s="35"/>
      <x:c r="I549" s="35"/>
      <x:c r="J549" s="30"/>
    </x:row>
    <x:row r="550">
      <x:c r="A550" s="30"/>
      <x:c r="B550" s="30"/>
      <x:c r="C550" s="35"/>
      <x:c r="D550" s="30"/>
      <x:c r="E550" s="30"/>
      <x:c r="F550" s="30"/>
      <x:c r="G550" s="30"/>
      <x:c r="H550" s="35"/>
      <x:c r="I550" s="35"/>
      <x:c r="J550" s="30"/>
    </x:row>
    <x:row r="551">
      <x:c r="A551" s="30"/>
      <x:c r="B551" s="30"/>
      <x:c r="C551" s="35"/>
      <x:c r="D551" s="30"/>
      <x:c r="E551" s="30"/>
      <x:c r="F551" s="30"/>
      <x:c r="G551" s="30"/>
      <x:c r="H551" s="35"/>
      <x:c r="I551" s="35"/>
      <x:c r="J551" s="30"/>
    </x:row>
    <x:row r="552">
      <x:c r="A552" s="30"/>
      <x:c r="B552" s="30"/>
      <x:c r="C552" s="35"/>
      <x:c r="D552" s="30"/>
      <x:c r="E552" s="30"/>
      <x:c r="F552" s="30"/>
      <x:c r="G552" s="30"/>
      <x:c r="H552" s="35"/>
      <x:c r="I552" s="35"/>
      <x:c r="J552" s="30"/>
    </x:row>
    <x:row r="553">
      <x:c r="A553" s="30"/>
      <x:c r="B553" s="30"/>
      <x:c r="C553" s="35"/>
      <x:c r="D553" s="30"/>
      <x:c r="E553" s="30"/>
      <x:c r="F553" s="30"/>
      <x:c r="G553" s="30"/>
      <x:c r="H553" s="35"/>
      <x:c r="I553" s="35"/>
      <x:c r="J553" s="30"/>
    </x:row>
    <x:row r="554">
      <x:c r="A554" s="30"/>
      <x:c r="B554" s="30"/>
      <x:c r="C554" s="35"/>
      <x:c r="D554" s="30"/>
      <x:c r="E554" s="30"/>
      <x:c r="F554" s="30"/>
      <x:c r="G554" s="30"/>
      <x:c r="H554" s="35"/>
      <x:c r="I554" s="35"/>
      <x:c r="J554" s="30"/>
    </x:row>
    <x:row r="555">
      <x:c r="A555" s="30"/>
      <x:c r="B555" s="30"/>
      <x:c r="C555" s="35"/>
      <x:c r="D555" s="30"/>
      <x:c r="E555" s="30"/>
      <x:c r="F555" s="30"/>
      <x:c r="G555" s="30"/>
      <x:c r="H555" s="35"/>
      <x:c r="I555" s="35"/>
      <x:c r="J555" s="30"/>
    </x:row>
    <x:row r="556">
      <x:c r="A556" s="30"/>
      <x:c r="B556" s="30"/>
      <x:c r="C556" s="35"/>
      <x:c r="D556" s="30"/>
      <x:c r="E556" s="30"/>
      <x:c r="F556" s="30"/>
      <x:c r="G556" s="30"/>
      <x:c r="H556" s="35"/>
      <x:c r="I556" s="35"/>
      <x:c r="J556" s="30"/>
    </x:row>
    <x:row r="557">
      <x:c r="A557" s="30"/>
      <x:c r="B557" s="30"/>
      <x:c r="C557" s="35"/>
      <x:c r="D557" s="30"/>
      <x:c r="E557" s="30"/>
      <x:c r="F557" s="30"/>
      <x:c r="G557" s="30"/>
      <x:c r="H557" s="35"/>
      <x:c r="I557" s="35"/>
      <x:c r="J557" s="30"/>
    </x:row>
    <x:row r="558">
      <x:c r="A558" s="30"/>
      <x:c r="B558" s="30"/>
      <x:c r="C558" s="35"/>
      <x:c r="D558" s="30"/>
      <x:c r="E558" s="30"/>
      <x:c r="F558" s="30"/>
      <x:c r="G558" s="30"/>
      <x:c r="H558" s="35"/>
      <x:c r="I558" s="35"/>
      <x:c r="J558" s="30"/>
    </x:row>
    <x:row r="559">
      <x:c r="A559" s="30"/>
      <x:c r="B559" s="30"/>
      <x:c r="C559" s="35"/>
      <x:c r="D559" s="30"/>
      <x:c r="E559" s="30"/>
      <x:c r="F559" s="30"/>
      <x:c r="G559" s="30"/>
      <x:c r="H559" s="35"/>
      <x:c r="I559" s="35"/>
      <x:c r="J559" s="30"/>
    </x:row>
    <x:row r="560">
      <x:c r="A560" s="30"/>
      <x:c r="B560" s="30"/>
      <x:c r="C560" s="35"/>
      <x:c r="D560" s="30"/>
      <x:c r="E560" s="30"/>
      <x:c r="F560" s="30"/>
      <x:c r="G560" s="30"/>
      <x:c r="H560" s="35"/>
      <x:c r="I560" s="35"/>
      <x:c r="J560" s="30"/>
    </x:row>
    <x:row r="561">
      <x:c r="A561" s="30"/>
      <x:c r="B561" s="30"/>
      <x:c r="C561" s="35"/>
      <x:c r="D561" s="30"/>
      <x:c r="E561" s="30"/>
      <x:c r="F561" s="30"/>
      <x:c r="G561" s="30"/>
      <x:c r="H561" s="35"/>
      <x:c r="I561" s="35"/>
      <x:c r="J561" s="30"/>
    </x:row>
    <x:row r="562">
      <x:c r="A562" s="30"/>
      <x:c r="B562" s="30"/>
      <x:c r="C562" s="35"/>
      <x:c r="D562" s="30"/>
      <x:c r="E562" s="30"/>
      <x:c r="F562" s="30"/>
      <x:c r="G562" s="30"/>
      <x:c r="H562" s="35"/>
      <x:c r="I562" s="35"/>
      <x:c r="J562" s="30"/>
    </x:row>
    <x:row r="563">
      <x:c r="A563" s="30"/>
      <x:c r="B563" s="30"/>
      <x:c r="C563" s="35"/>
      <x:c r="D563" s="30"/>
      <x:c r="E563" s="30"/>
      <x:c r="F563" s="30"/>
      <x:c r="G563" s="30"/>
      <x:c r="H563" s="35"/>
      <x:c r="I563" s="35"/>
      <x:c r="J563" s="30"/>
    </x:row>
    <x:row r="564">
      <x:c r="A564" s="30"/>
      <x:c r="B564" s="30"/>
      <x:c r="C564" s="35"/>
      <x:c r="D564" s="30"/>
      <x:c r="E564" s="30"/>
      <x:c r="F564" s="30"/>
      <x:c r="G564" s="30"/>
      <x:c r="H564" s="35"/>
      <x:c r="I564" s="35"/>
      <x:c r="J564" s="30"/>
    </x:row>
    <x:row r="565">
      <x:c r="A565" s="30"/>
      <x:c r="B565" s="30"/>
      <x:c r="C565" s="35"/>
      <x:c r="D565" s="30"/>
      <x:c r="E565" s="30"/>
      <x:c r="F565" s="30"/>
      <x:c r="G565" s="30"/>
      <x:c r="H565" s="35"/>
      <x:c r="I565" s="35"/>
      <x:c r="J565" s="30"/>
    </x:row>
    <x:row r="566">
      <x:c r="A566" s="30"/>
      <x:c r="B566" s="30"/>
      <x:c r="C566" s="35"/>
      <x:c r="D566" s="30"/>
      <x:c r="E566" s="30"/>
      <x:c r="F566" s="30"/>
      <x:c r="G566" s="30"/>
      <x:c r="H566" s="35"/>
      <x:c r="I566" s="35"/>
      <x:c r="J566" s="30"/>
    </x:row>
    <x:row r="567">
      <x:c r="A567" s="30"/>
      <x:c r="B567" s="30"/>
      <x:c r="C567" s="35"/>
      <x:c r="D567" s="30"/>
      <x:c r="E567" s="30"/>
      <x:c r="F567" s="30"/>
      <x:c r="G567" s="30"/>
      <x:c r="H567" s="35"/>
      <x:c r="I567" s="35"/>
      <x:c r="J567" s="30"/>
    </x:row>
    <x:row r="568">
      <x:c r="A568" s="30"/>
      <x:c r="B568" s="30"/>
      <x:c r="C568" s="35"/>
      <x:c r="D568" s="30"/>
      <x:c r="E568" s="30"/>
      <x:c r="F568" s="30"/>
      <x:c r="G568" s="30"/>
      <x:c r="H568" s="35"/>
      <x:c r="I568" s="35"/>
      <x:c r="J568" s="30"/>
    </x:row>
    <x:row r="569">
      <x:c r="A569" s="30"/>
      <x:c r="B569" s="30"/>
      <x:c r="C569" s="35"/>
      <x:c r="D569" s="30"/>
      <x:c r="E569" s="30"/>
      <x:c r="F569" s="30"/>
      <x:c r="G569" s="30"/>
      <x:c r="H569" s="35"/>
      <x:c r="I569" s="35"/>
      <x:c r="J569" s="30"/>
    </x:row>
    <x:row r="570">
      <x:c r="A570" s="30"/>
      <x:c r="B570" s="30"/>
      <x:c r="C570" s="35"/>
      <x:c r="D570" s="30"/>
      <x:c r="E570" s="30"/>
      <x:c r="F570" s="30"/>
      <x:c r="G570" s="30"/>
      <x:c r="H570" s="35"/>
      <x:c r="I570" s="35"/>
      <x:c r="J570" s="30"/>
    </x:row>
    <x:row r="571">
      <x:c r="A571" s="30"/>
      <x:c r="B571" s="30"/>
      <x:c r="C571" s="35"/>
      <x:c r="D571" s="30"/>
      <x:c r="E571" s="30"/>
      <x:c r="F571" s="30"/>
      <x:c r="G571" s="30"/>
      <x:c r="H571" s="35"/>
      <x:c r="I571" s="35"/>
      <x:c r="J571" s="30"/>
    </x:row>
    <x:row r="572">
      <x:c r="A572" s="30"/>
      <x:c r="B572" s="30"/>
      <x:c r="C572" s="35"/>
      <x:c r="D572" s="30"/>
      <x:c r="E572" s="30"/>
      <x:c r="F572" s="30"/>
      <x:c r="G572" s="30"/>
      <x:c r="H572" s="35"/>
      <x:c r="I572" s="35"/>
      <x:c r="J572" s="30"/>
    </x:row>
    <x:row r="573">
      <x:c r="A573" s="30"/>
      <x:c r="B573" s="30"/>
      <x:c r="C573" s="35"/>
      <x:c r="D573" s="30"/>
      <x:c r="E573" s="30"/>
      <x:c r="F573" s="30"/>
      <x:c r="G573" s="30"/>
      <x:c r="H573" s="35"/>
      <x:c r="I573" s="35"/>
      <x:c r="J573" s="30"/>
    </x:row>
    <x:row r="574">
      <x:c r="A574" s="30"/>
      <x:c r="B574" s="30"/>
      <x:c r="C574" s="35"/>
      <x:c r="D574" s="30"/>
      <x:c r="E574" s="30"/>
      <x:c r="F574" s="30"/>
      <x:c r="G574" s="30"/>
      <x:c r="H574" s="35"/>
      <x:c r="I574" s="35"/>
      <x:c r="J574" s="30"/>
    </x:row>
    <x:row r="575">
      <x:c r="A575" s="30"/>
      <x:c r="B575" s="30"/>
      <x:c r="C575" s="35"/>
      <x:c r="D575" s="30"/>
      <x:c r="E575" s="30"/>
      <x:c r="F575" s="30"/>
      <x:c r="G575" s="30"/>
      <x:c r="H575" s="35"/>
      <x:c r="I575" s="35"/>
      <x:c r="J575" s="30"/>
    </x:row>
    <x:row r="576">
      <x:c r="A576" s="30"/>
      <x:c r="B576" s="30"/>
      <x:c r="C576" s="35"/>
      <x:c r="D576" s="30"/>
      <x:c r="E576" s="30"/>
      <x:c r="F576" s="30"/>
      <x:c r="G576" s="30"/>
      <x:c r="H576" s="35"/>
      <x:c r="I576" s="35"/>
      <x:c r="J576" s="30"/>
    </x:row>
    <x:row r="577">
      <x:c r="A577" s="30"/>
      <x:c r="B577" s="30"/>
      <x:c r="C577" s="35"/>
      <x:c r="D577" s="30"/>
      <x:c r="E577" s="30"/>
      <x:c r="F577" s="30"/>
      <x:c r="G577" s="30"/>
      <x:c r="H577" s="35"/>
      <x:c r="I577" s="35"/>
      <x:c r="J577" s="30"/>
    </x:row>
    <x:row r="578">
      <x:c r="A578" s="30"/>
      <x:c r="B578" s="30"/>
      <x:c r="C578" s="35"/>
      <x:c r="D578" s="30"/>
      <x:c r="E578" s="30"/>
      <x:c r="F578" s="30"/>
      <x:c r="G578" s="30"/>
      <x:c r="H578" s="35"/>
      <x:c r="I578" s="35"/>
      <x:c r="J578" s="30"/>
    </x:row>
    <x:row r="579">
      <x:c r="A579" s="30"/>
      <x:c r="B579" s="30"/>
      <x:c r="C579" s="35"/>
      <x:c r="D579" s="30"/>
      <x:c r="E579" s="30"/>
      <x:c r="F579" s="30"/>
      <x:c r="G579" s="30"/>
      <x:c r="H579" s="35"/>
      <x:c r="I579" s="35"/>
      <x:c r="J579" s="30"/>
    </x:row>
    <x:row r="580">
      <x:c r="A580" s="30"/>
      <x:c r="B580" s="30"/>
      <x:c r="C580" s="35"/>
      <x:c r="D580" s="30"/>
      <x:c r="E580" s="30"/>
      <x:c r="F580" s="30"/>
      <x:c r="G580" s="30"/>
      <x:c r="H580" s="35"/>
      <x:c r="I580" s="35"/>
      <x:c r="J580" s="30"/>
    </x:row>
    <x:row r="581">
      <x:c r="A581" s="30"/>
      <x:c r="B581" s="30"/>
      <x:c r="C581" s="35"/>
      <x:c r="D581" s="30"/>
      <x:c r="E581" s="30"/>
      <x:c r="F581" s="30"/>
      <x:c r="G581" s="30"/>
      <x:c r="H581" s="35"/>
      <x:c r="I581" s="35"/>
      <x:c r="J581" s="30"/>
    </x:row>
    <x:row r="582">
      <x:c r="A582" s="30"/>
      <x:c r="B582" s="30"/>
      <x:c r="C582" s="35"/>
      <x:c r="D582" s="30"/>
      <x:c r="E582" s="30"/>
      <x:c r="F582" s="30"/>
      <x:c r="G582" s="30"/>
      <x:c r="H582" s="35"/>
      <x:c r="I582" s="35"/>
      <x:c r="J582" s="30"/>
    </x:row>
    <x:row r="583">
      <x:c r="A583" s="30"/>
      <x:c r="B583" s="30"/>
      <x:c r="C583" s="35"/>
      <x:c r="D583" s="30"/>
      <x:c r="E583" s="30"/>
      <x:c r="F583" s="30"/>
      <x:c r="G583" s="30"/>
      <x:c r="H583" s="35"/>
      <x:c r="I583" s="35"/>
      <x:c r="J583" s="30"/>
    </x:row>
    <x:row r="584">
      <x:c r="A584" s="30"/>
      <x:c r="B584" s="30"/>
      <x:c r="C584" s="35"/>
      <x:c r="D584" s="30"/>
      <x:c r="E584" s="30"/>
      <x:c r="F584" s="30"/>
      <x:c r="G584" s="30"/>
      <x:c r="H584" s="35"/>
      <x:c r="I584" s="35"/>
      <x:c r="J584" s="30"/>
    </x:row>
    <x:row r="585">
      <x:c r="A585" s="30"/>
      <x:c r="B585" s="30"/>
      <x:c r="C585" s="35"/>
      <x:c r="D585" s="30"/>
      <x:c r="E585" s="30"/>
      <x:c r="F585" s="30"/>
      <x:c r="G585" s="30"/>
      <x:c r="H585" s="35"/>
      <x:c r="I585" s="35"/>
      <x:c r="J585" s="30"/>
    </x:row>
    <x:row r="586">
      <x:c r="A586" s="30"/>
      <x:c r="B586" s="30"/>
      <x:c r="C586" s="35"/>
      <x:c r="D586" s="30"/>
      <x:c r="E586" s="30"/>
      <x:c r="F586" s="30"/>
      <x:c r="G586" s="30"/>
      <x:c r="H586" s="35"/>
      <x:c r="I586" s="35"/>
      <x:c r="J586" s="30"/>
    </x:row>
    <x:row r="587">
      <x:c r="A587" s="30"/>
      <x:c r="B587" s="30"/>
      <x:c r="C587" s="35"/>
      <x:c r="D587" s="30"/>
      <x:c r="E587" s="30"/>
      <x:c r="F587" s="30"/>
      <x:c r="G587" s="30"/>
      <x:c r="H587" s="35"/>
      <x:c r="I587" s="35"/>
      <x:c r="J587" s="30"/>
    </x:row>
    <x:row r="588">
      <x:c r="A588" s="30"/>
      <x:c r="B588" s="30"/>
      <x:c r="C588" s="35"/>
      <x:c r="D588" s="30"/>
      <x:c r="E588" s="30"/>
      <x:c r="F588" s="30"/>
      <x:c r="G588" s="30"/>
      <x:c r="H588" s="35"/>
      <x:c r="I588" s="35"/>
      <x:c r="J588" s="30"/>
    </x:row>
    <x:row r="589">
      <x:c r="A589" s="30"/>
      <x:c r="B589" s="30"/>
      <x:c r="C589" s="35"/>
      <x:c r="D589" s="30"/>
      <x:c r="E589" s="30"/>
      <x:c r="F589" s="30"/>
      <x:c r="G589" s="30"/>
      <x:c r="H589" s="35"/>
      <x:c r="I589" s="35"/>
      <x:c r="J589" s="30"/>
    </x:row>
    <x:row r="590">
      <x:c r="A590" s="30"/>
      <x:c r="B590" s="30"/>
      <x:c r="C590" s="35"/>
      <x:c r="D590" s="30"/>
      <x:c r="E590" s="30"/>
      <x:c r="F590" s="30"/>
      <x:c r="G590" s="30"/>
      <x:c r="H590" s="35"/>
      <x:c r="I590" s="35"/>
      <x:c r="J590" s="30"/>
    </x:row>
    <x:row r="591">
      <x:c r="A591" s="30"/>
      <x:c r="B591" s="30"/>
      <x:c r="C591" s="35"/>
      <x:c r="D591" s="30"/>
      <x:c r="E591" s="30"/>
      <x:c r="F591" s="30"/>
      <x:c r="G591" s="30"/>
      <x:c r="H591" s="35"/>
      <x:c r="I591" s="35"/>
      <x:c r="J591" s="30"/>
    </x:row>
    <x:row r="592">
      <x:c r="A592" s="30"/>
      <x:c r="B592" s="30"/>
      <x:c r="C592" s="35"/>
      <x:c r="D592" s="30"/>
      <x:c r="E592" s="30"/>
      <x:c r="F592" s="30"/>
      <x:c r="G592" s="30"/>
      <x:c r="H592" s="35"/>
      <x:c r="I592" s="35"/>
      <x:c r="J592" s="30"/>
    </x:row>
    <x:row r="593">
      <x:c r="A593" s="30"/>
      <x:c r="B593" s="30"/>
      <x:c r="C593" s="35"/>
      <x:c r="D593" s="30"/>
      <x:c r="E593" s="30"/>
      <x:c r="F593" s="30"/>
      <x:c r="G593" s="30"/>
      <x:c r="H593" s="35"/>
      <x:c r="I593" s="35"/>
      <x:c r="J593" s="30"/>
    </x:row>
    <x:row r="594">
      <x:c r="A594" s="30"/>
      <x:c r="B594" s="30"/>
      <x:c r="C594" s="35"/>
      <x:c r="D594" s="30"/>
      <x:c r="E594" s="30"/>
      <x:c r="F594" s="30"/>
      <x:c r="G594" s="30"/>
      <x:c r="H594" s="35"/>
      <x:c r="I594" s="35"/>
      <x:c r="J594" s="30"/>
    </x:row>
    <x:row r="595">
      <x:c r="A595" s="30"/>
      <x:c r="B595" s="30"/>
      <x:c r="C595" s="35"/>
      <x:c r="D595" s="30"/>
      <x:c r="E595" s="30"/>
      <x:c r="F595" s="30"/>
      <x:c r="G595" s="30"/>
      <x:c r="H595" s="35"/>
      <x:c r="I595" s="35"/>
      <x:c r="J595" s="30"/>
    </x:row>
    <x:row r="596">
      <x:c r="A596" s="30"/>
      <x:c r="B596" s="30"/>
      <x:c r="C596" s="35"/>
      <x:c r="D596" s="30"/>
      <x:c r="E596" s="30"/>
      <x:c r="F596" s="30"/>
      <x:c r="G596" s="30"/>
      <x:c r="H596" s="35"/>
      <x:c r="I596" s="35"/>
      <x:c r="J596" s="30"/>
    </x:row>
    <x:row r="597">
      <x:c r="A597" s="30"/>
      <x:c r="B597" s="30"/>
      <x:c r="C597" s="35"/>
      <x:c r="D597" s="30"/>
      <x:c r="E597" s="30"/>
      <x:c r="F597" s="30"/>
      <x:c r="G597" s="30"/>
      <x:c r="H597" s="35"/>
      <x:c r="I597" s="35"/>
      <x:c r="J597" s="30"/>
    </x:row>
    <x:row r="598">
      <x:c r="A598" s="30"/>
      <x:c r="B598" s="30"/>
      <x:c r="C598" s="35"/>
      <x:c r="D598" s="30"/>
      <x:c r="E598" s="30"/>
      <x:c r="F598" s="30"/>
      <x:c r="G598" s="30"/>
      <x:c r="H598" s="35"/>
      <x:c r="I598" s="35"/>
      <x:c r="J598" s="30"/>
    </x:row>
    <x:row r="599">
      <x:c r="A599" s="30"/>
      <x:c r="B599" s="30"/>
      <x:c r="C599" s="35"/>
      <x:c r="D599" s="30"/>
      <x:c r="E599" s="30"/>
      <x:c r="F599" s="30"/>
      <x:c r="G599" s="30"/>
      <x:c r="H599" s="35"/>
      <x:c r="I599" s="35"/>
      <x:c r="J599" s="30"/>
    </x:row>
    <x:row r="600">
      <x:c r="A600" s="30"/>
      <x:c r="B600" s="30"/>
      <x:c r="C600" s="35"/>
      <x:c r="D600" s="30"/>
      <x:c r="E600" s="30"/>
      <x:c r="F600" s="30"/>
      <x:c r="G600" s="30"/>
      <x:c r="H600" s="35"/>
      <x:c r="I600" s="35"/>
      <x:c r="J600" s="30"/>
    </x:row>
    <x:row r="601">
      <x:c r="A601" s="30"/>
      <x:c r="B601" s="30"/>
      <x:c r="C601" s="35"/>
      <x:c r="D601" s="30"/>
      <x:c r="E601" s="30"/>
      <x:c r="F601" s="30"/>
      <x:c r="G601" s="30"/>
      <x:c r="H601" s="35"/>
      <x:c r="I601" s="35"/>
      <x:c r="J601" s="30"/>
    </x:row>
    <x:row r="602">
      <x:c r="A602" s="30"/>
      <x:c r="B602" s="30"/>
      <x:c r="C602" s="35"/>
      <x:c r="D602" s="30"/>
      <x:c r="E602" s="30"/>
      <x:c r="F602" s="30"/>
      <x:c r="G602" s="30"/>
      <x:c r="H602" s="35"/>
      <x:c r="I602" s="35"/>
      <x:c r="J602" s="30"/>
    </x:row>
    <x:row r="603">
      <x:c r="A603" s="30"/>
      <x:c r="B603" s="30"/>
      <x:c r="C603" s="35"/>
      <x:c r="D603" s="30"/>
      <x:c r="E603" s="30"/>
      <x:c r="F603" s="30"/>
      <x:c r="G603" s="30"/>
      <x:c r="H603" s="35"/>
      <x:c r="I603" s="35"/>
      <x:c r="J603" s="30"/>
    </x:row>
    <x:row r="604">
      <x:c r="A604" s="30"/>
      <x:c r="B604" s="30"/>
      <x:c r="C604" s="35"/>
      <x:c r="D604" s="30"/>
      <x:c r="E604" s="30"/>
      <x:c r="F604" s="30"/>
      <x:c r="G604" s="30"/>
      <x:c r="H604" s="35"/>
      <x:c r="I604" s="35"/>
      <x:c r="J604" s="30"/>
    </x:row>
    <x:row r="605">
      <x:c r="A605" s="30"/>
      <x:c r="B605" s="30"/>
      <x:c r="C605" s="35"/>
      <x:c r="D605" s="30"/>
      <x:c r="E605" s="30"/>
      <x:c r="F605" s="30"/>
      <x:c r="G605" s="30"/>
      <x:c r="H605" s="35"/>
      <x:c r="I605" s="35"/>
      <x:c r="J605" s="30"/>
    </x:row>
    <x:row r="606">
      <x:c r="A606" s="30"/>
      <x:c r="B606" s="30"/>
      <x:c r="C606" s="35"/>
      <x:c r="D606" s="30"/>
      <x:c r="E606" s="30"/>
      <x:c r="F606" s="30"/>
      <x:c r="G606" s="30"/>
      <x:c r="H606" s="35"/>
      <x:c r="I606" s="35"/>
      <x:c r="J606" s="30"/>
    </x:row>
    <x:row r="607">
      <x:c r="A607" s="30"/>
      <x:c r="B607" s="30"/>
      <x:c r="C607" s="35"/>
      <x:c r="D607" s="30"/>
      <x:c r="E607" s="30"/>
      <x:c r="F607" s="30"/>
      <x:c r="G607" s="30"/>
      <x:c r="H607" s="35"/>
      <x:c r="I607" s="35"/>
      <x:c r="J607" s="30"/>
    </x:row>
    <x:row r="608">
      <x:c r="A608" s="30"/>
      <x:c r="B608" s="30"/>
      <x:c r="C608" s="35"/>
      <x:c r="D608" s="30"/>
      <x:c r="E608" s="30"/>
      <x:c r="F608" s="30"/>
      <x:c r="G608" s="30"/>
      <x:c r="H608" s="35"/>
      <x:c r="I608" s="35"/>
      <x:c r="J608" s="30"/>
    </x:row>
    <x:row r="609">
      <x:c r="A609" s="30"/>
      <x:c r="B609" s="30"/>
      <x:c r="C609" s="35"/>
      <x:c r="D609" s="30"/>
      <x:c r="E609" s="30"/>
      <x:c r="F609" s="30"/>
      <x:c r="G609" s="30"/>
      <x:c r="H609" s="35"/>
      <x:c r="I609" s="35"/>
      <x:c r="J609" s="30"/>
    </x:row>
    <x:row r="610">
      <x:c r="A610" s="30"/>
      <x:c r="B610" s="30"/>
      <x:c r="C610" s="35"/>
      <x:c r="D610" s="30"/>
      <x:c r="E610" s="30"/>
      <x:c r="F610" s="30"/>
      <x:c r="G610" s="30"/>
      <x:c r="H610" s="35"/>
      <x:c r="I610" s="35"/>
      <x:c r="J610" s="30"/>
    </x:row>
    <x:row r="611">
      <x:c r="A611" s="30"/>
      <x:c r="B611" s="30"/>
      <x:c r="C611" s="35"/>
      <x:c r="D611" s="30"/>
      <x:c r="E611" s="30"/>
      <x:c r="F611" s="30"/>
      <x:c r="G611" s="30"/>
      <x:c r="H611" s="35"/>
      <x:c r="I611" s="35"/>
      <x:c r="J611" s="30"/>
    </x:row>
    <x:row r="612">
      <x:c r="A612" s="30"/>
      <x:c r="B612" s="30"/>
      <x:c r="C612" s="35"/>
      <x:c r="D612" s="30"/>
      <x:c r="E612" s="30"/>
      <x:c r="F612" s="30"/>
      <x:c r="G612" s="30"/>
      <x:c r="H612" s="35"/>
      <x:c r="I612" s="35"/>
      <x:c r="J612" s="30"/>
    </x:row>
    <x:row r="613">
      <x:c r="A613" s="30"/>
      <x:c r="B613" s="30"/>
      <x:c r="C613" s="35"/>
      <x:c r="D613" s="30"/>
      <x:c r="E613" s="30"/>
      <x:c r="F613" s="30"/>
      <x:c r="G613" s="30"/>
      <x:c r="H613" s="35"/>
      <x:c r="I613" s="35"/>
      <x:c r="J613" s="30"/>
    </x:row>
    <x:row r="614">
      <x:c r="A614" s="30"/>
      <x:c r="B614" s="30"/>
      <x:c r="C614" s="35"/>
      <x:c r="D614" s="30"/>
      <x:c r="E614" s="30"/>
      <x:c r="F614" s="30"/>
      <x:c r="G614" s="30"/>
      <x:c r="H614" s="35"/>
      <x:c r="I614" s="35"/>
      <x:c r="J614" s="30"/>
    </x:row>
    <x:row r="615">
      <x:c r="A615" s="30"/>
      <x:c r="B615" s="30"/>
      <x:c r="C615" s="35"/>
      <x:c r="D615" s="30"/>
      <x:c r="E615" s="30"/>
      <x:c r="F615" s="30"/>
      <x:c r="G615" s="30"/>
      <x:c r="H615" s="35"/>
      <x:c r="I615" s="35"/>
      <x:c r="J615" s="30"/>
    </x:row>
    <x:row r="616">
      <x:c r="A616" s="30"/>
      <x:c r="B616" s="30"/>
      <x:c r="C616" s="35"/>
      <x:c r="D616" s="30"/>
      <x:c r="E616" s="30"/>
      <x:c r="F616" s="30"/>
      <x:c r="G616" s="30"/>
      <x:c r="H616" s="35"/>
      <x:c r="I616" s="35"/>
      <x:c r="J616" s="30"/>
    </x:row>
    <x:row r="617">
      <x:c r="A617" s="30"/>
      <x:c r="B617" s="30"/>
      <x:c r="C617" s="35"/>
      <x:c r="D617" s="30"/>
      <x:c r="E617" s="30"/>
      <x:c r="F617" s="30"/>
      <x:c r="G617" s="30"/>
      <x:c r="H617" s="35"/>
      <x:c r="I617" s="35"/>
      <x:c r="J617" s="30"/>
    </x:row>
    <x:row r="618">
      <x:c r="A618" s="30"/>
      <x:c r="B618" s="30"/>
      <x:c r="C618" s="35"/>
      <x:c r="D618" s="30"/>
      <x:c r="E618" s="30"/>
      <x:c r="F618" s="30"/>
      <x:c r="G618" s="30"/>
      <x:c r="H618" s="35"/>
      <x:c r="I618" s="35"/>
      <x:c r="J618" s="30"/>
    </x:row>
    <x:row r="619">
      <x:c r="A619" s="30"/>
      <x:c r="B619" s="30"/>
      <x:c r="C619" s="35"/>
      <x:c r="D619" s="30"/>
      <x:c r="E619" s="30"/>
      <x:c r="F619" s="30"/>
      <x:c r="G619" s="30"/>
      <x:c r="H619" s="35"/>
      <x:c r="I619" s="35"/>
      <x:c r="J619" s="30"/>
    </x:row>
    <x:row r="620">
      <x:c r="A620" s="30"/>
      <x:c r="B620" s="30"/>
      <x:c r="C620" s="35"/>
      <x:c r="D620" s="30"/>
      <x:c r="E620" s="30"/>
      <x:c r="F620" s="30"/>
      <x:c r="G620" s="30"/>
      <x:c r="H620" s="35"/>
      <x:c r="I620" s="35"/>
      <x:c r="J620" s="30"/>
    </x:row>
    <x:row r="621">
      <x:c r="A621" s="30"/>
      <x:c r="B621" s="30"/>
      <x:c r="C621" s="35"/>
      <x:c r="D621" s="30"/>
      <x:c r="E621" s="30"/>
      <x:c r="F621" s="30"/>
      <x:c r="G621" s="30"/>
      <x:c r="H621" s="35"/>
      <x:c r="I621" s="35"/>
      <x:c r="J621" s="30"/>
    </x:row>
    <x:row r="622">
      <x:c r="A622" s="30"/>
      <x:c r="B622" s="30"/>
      <x:c r="C622" s="35"/>
      <x:c r="D622" s="30"/>
      <x:c r="E622" s="30"/>
      <x:c r="F622" s="30"/>
      <x:c r="G622" s="30"/>
      <x:c r="H622" s="35"/>
      <x:c r="I622" s="35"/>
      <x:c r="J622" s="30"/>
    </x:row>
    <x:row r="623">
      <x:c r="A623" s="30"/>
      <x:c r="B623" s="30"/>
      <x:c r="C623" s="35"/>
      <x:c r="D623" s="30"/>
      <x:c r="E623" s="30"/>
      <x:c r="F623" s="30"/>
      <x:c r="G623" s="30"/>
      <x:c r="H623" s="35"/>
      <x:c r="I623" s="35"/>
      <x:c r="J623" s="30"/>
    </x:row>
    <x:row r="624">
      <x:c r="A624" s="30"/>
      <x:c r="B624" s="30"/>
      <x:c r="C624" s="35"/>
      <x:c r="D624" s="30"/>
      <x:c r="E624" s="30"/>
      <x:c r="F624" s="30"/>
      <x:c r="G624" s="30"/>
      <x:c r="H624" s="35"/>
      <x:c r="I624" s="35"/>
      <x:c r="J624" s="30"/>
    </x:row>
    <x:row r="625">
      <x:c r="A625" s="30"/>
      <x:c r="B625" s="30"/>
      <x:c r="C625" s="35"/>
      <x:c r="D625" s="30"/>
      <x:c r="E625" s="30"/>
      <x:c r="F625" s="30"/>
      <x:c r="G625" s="30"/>
      <x:c r="H625" s="35"/>
      <x:c r="I625" s="35"/>
      <x:c r="J625" s="30"/>
    </x:row>
    <x:row r="626">
      <x:c r="A626" s="30"/>
      <x:c r="B626" s="30"/>
      <x:c r="C626" s="35"/>
      <x:c r="D626" s="30"/>
      <x:c r="E626" s="30"/>
      <x:c r="F626" s="30"/>
      <x:c r="G626" s="30"/>
      <x:c r="H626" s="35"/>
      <x:c r="I626" s="35"/>
      <x:c r="J626" s="30"/>
    </x:row>
    <x:row r="627">
      <x:c r="A627" s="30"/>
      <x:c r="B627" s="30"/>
      <x:c r="C627" s="35"/>
      <x:c r="D627" s="30"/>
      <x:c r="E627" s="30"/>
      <x:c r="F627" s="30"/>
      <x:c r="G627" s="30"/>
      <x:c r="H627" s="35"/>
      <x:c r="I627" s="35"/>
      <x:c r="J627" s="30"/>
    </x:row>
    <x:row r="628">
      <x:c r="A628" s="30"/>
      <x:c r="B628" s="30"/>
      <x:c r="C628" s="35"/>
      <x:c r="D628" s="30"/>
      <x:c r="E628" s="30"/>
      <x:c r="F628" s="30"/>
      <x:c r="G628" s="30"/>
      <x:c r="H628" s="35"/>
      <x:c r="I628" s="35"/>
      <x:c r="J628" s="30"/>
    </x:row>
    <x:row r="629">
      <x:c r="A629" s="30"/>
      <x:c r="B629" s="30"/>
      <x:c r="C629" s="35"/>
      <x:c r="D629" s="30"/>
      <x:c r="E629" s="30"/>
      <x:c r="F629" s="30"/>
      <x:c r="G629" s="30"/>
      <x:c r="H629" s="35"/>
      <x:c r="I629" s="35"/>
      <x:c r="J629" s="30"/>
    </x:row>
    <x:row r="630">
      <x:c r="A630" s="30"/>
      <x:c r="B630" s="30"/>
      <x:c r="C630" s="35"/>
      <x:c r="D630" s="30"/>
      <x:c r="E630" s="30"/>
      <x:c r="F630" s="30"/>
      <x:c r="G630" s="30"/>
      <x:c r="H630" s="35"/>
      <x:c r="I630" s="35"/>
      <x:c r="J630" s="30"/>
    </x:row>
    <x:row r="631">
      <x:c r="A631" s="30"/>
      <x:c r="B631" s="30"/>
      <x:c r="C631" s="35"/>
      <x:c r="D631" s="30"/>
      <x:c r="E631" s="30"/>
      <x:c r="F631" s="30"/>
      <x:c r="G631" s="30"/>
      <x:c r="H631" s="35"/>
      <x:c r="I631" s="35"/>
      <x:c r="J631" s="30"/>
    </x:row>
    <x:row r="632">
      <x:c r="A632" s="30"/>
      <x:c r="B632" s="30"/>
      <x:c r="C632" s="35"/>
      <x:c r="D632" s="30"/>
      <x:c r="E632" s="30"/>
      <x:c r="F632" s="30"/>
      <x:c r="G632" s="30"/>
      <x:c r="H632" s="35"/>
      <x:c r="I632" s="35"/>
      <x:c r="J632" s="30"/>
    </x:row>
    <x:row r="633">
      <x:c r="A633" s="30"/>
      <x:c r="B633" s="30"/>
      <x:c r="C633" s="35"/>
      <x:c r="D633" s="30"/>
      <x:c r="E633" s="30"/>
      <x:c r="F633" s="30"/>
      <x:c r="G633" s="30"/>
      <x:c r="H633" s="35"/>
      <x:c r="I633" s="35"/>
      <x:c r="J633" s="30"/>
    </x:row>
    <x:row r="634">
      <x:c r="A634" s="30"/>
      <x:c r="B634" s="30"/>
      <x:c r="C634" s="35"/>
      <x:c r="D634" s="30"/>
      <x:c r="E634" s="30"/>
      <x:c r="F634" s="30"/>
      <x:c r="G634" s="30"/>
      <x:c r="H634" s="35"/>
      <x:c r="I634" s="35"/>
      <x:c r="J634" s="30"/>
    </x:row>
    <x:row r="635">
      <x:c r="A635" s="30"/>
      <x:c r="B635" s="30"/>
      <x:c r="C635" s="35"/>
      <x:c r="D635" s="30"/>
      <x:c r="E635" s="30"/>
      <x:c r="F635" s="30"/>
      <x:c r="G635" s="30"/>
      <x:c r="H635" s="35"/>
      <x:c r="I635" s="35"/>
      <x:c r="J635" s="30"/>
    </x:row>
    <x:row r="636">
      <x:c r="A636" s="30"/>
      <x:c r="B636" s="30"/>
      <x:c r="C636" s="35"/>
      <x:c r="D636" s="30"/>
      <x:c r="E636" s="30"/>
      <x:c r="F636" s="30"/>
      <x:c r="G636" s="30"/>
      <x:c r="H636" s="35"/>
      <x:c r="I636" s="35"/>
      <x:c r="J636" s="30"/>
    </x:row>
    <x:row r="637">
      <x:c r="A637" s="30"/>
      <x:c r="B637" s="30"/>
      <x:c r="C637" s="35"/>
      <x:c r="D637" s="30"/>
      <x:c r="E637" s="30"/>
      <x:c r="F637" s="30"/>
      <x:c r="G637" s="30"/>
      <x:c r="H637" s="35"/>
      <x:c r="I637" s="35"/>
      <x:c r="J637" s="30"/>
    </x:row>
    <x:row r="638">
      <x:c r="A638" s="30"/>
      <x:c r="B638" s="30"/>
      <x:c r="C638" s="35"/>
      <x:c r="D638" s="30"/>
      <x:c r="E638" s="30"/>
      <x:c r="F638" s="30"/>
      <x:c r="G638" s="30"/>
      <x:c r="H638" s="35"/>
      <x:c r="I638" s="35"/>
      <x:c r="J638" s="30"/>
    </x:row>
    <x:row r="639">
      <x:c r="A639" s="30"/>
      <x:c r="B639" s="30"/>
      <x:c r="C639" s="35"/>
      <x:c r="D639" s="30"/>
      <x:c r="E639" s="30"/>
      <x:c r="F639" s="30"/>
      <x:c r="G639" s="30"/>
      <x:c r="H639" s="35"/>
      <x:c r="I639" s="35"/>
      <x:c r="J639" s="30"/>
    </x:row>
    <x:row r="640">
      <x:c r="A640" s="30"/>
      <x:c r="B640" s="30"/>
      <x:c r="C640" s="35"/>
      <x:c r="D640" s="30"/>
      <x:c r="E640" s="30"/>
      <x:c r="F640" s="30"/>
      <x:c r="G640" s="30"/>
      <x:c r="H640" s="35"/>
      <x:c r="I640" s="35"/>
      <x:c r="J640" s="30"/>
    </x:row>
    <x:row r="641">
      <x:c r="A641" s="30"/>
      <x:c r="B641" s="30"/>
      <x:c r="C641" s="35"/>
      <x:c r="D641" s="30"/>
      <x:c r="E641" s="30"/>
      <x:c r="F641" s="30"/>
      <x:c r="G641" s="30"/>
      <x:c r="H641" s="35"/>
      <x:c r="I641" s="35"/>
      <x:c r="J641" s="30"/>
    </x:row>
    <x:row r="642">
      <x:c r="A642" s="30"/>
      <x:c r="B642" s="30"/>
      <x:c r="C642" s="35"/>
      <x:c r="D642" s="30"/>
      <x:c r="E642" s="30"/>
      <x:c r="F642" s="30"/>
      <x:c r="G642" s="30"/>
      <x:c r="H642" s="35"/>
      <x:c r="I642" s="35"/>
      <x:c r="J642" s="30"/>
    </x:row>
    <x:row r="643">
      <x:c r="A643" s="30"/>
      <x:c r="B643" s="30"/>
      <x:c r="C643" s="35"/>
      <x:c r="D643" s="30"/>
      <x:c r="E643" s="30"/>
      <x:c r="F643" s="30"/>
      <x:c r="G643" s="30"/>
      <x:c r="H643" s="35"/>
      <x:c r="I643" s="35"/>
      <x:c r="J643" s="30"/>
    </x:row>
    <x:row r="644">
      <x:c r="A644" s="30"/>
      <x:c r="B644" s="30"/>
      <x:c r="C644" s="35"/>
      <x:c r="D644" s="30"/>
      <x:c r="E644" s="30"/>
      <x:c r="F644" s="30"/>
      <x:c r="G644" s="30"/>
      <x:c r="H644" s="35"/>
      <x:c r="I644" s="35"/>
      <x:c r="J644" s="30"/>
    </x:row>
    <x:row r="645">
      <x:c r="A645" s="30"/>
      <x:c r="B645" s="30"/>
      <x:c r="C645" s="35"/>
      <x:c r="D645" s="30"/>
      <x:c r="E645" s="30"/>
      <x:c r="F645" s="30"/>
      <x:c r="G645" s="30"/>
      <x:c r="H645" s="35"/>
      <x:c r="I645" s="35"/>
      <x:c r="J645" s="30"/>
    </x:row>
    <x:row r="646">
      <x:c r="A646" s="30"/>
      <x:c r="B646" s="30"/>
      <x:c r="C646" s="35"/>
      <x:c r="D646" s="30"/>
      <x:c r="E646" s="30"/>
      <x:c r="F646" s="30"/>
      <x:c r="G646" s="30"/>
      <x:c r="H646" s="35"/>
      <x:c r="I646" s="35"/>
      <x:c r="J646" s="30"/>
    </x:row>
    <x:row r="647">
      <x:c r="A647" s="30"/>
      <x:c r="B647" s="30"/>
      <x:c r="C647" s="35"/>
      <x:c r="D647" s="30"/>
      <x:c r="E647" s="30"/>
      <x:c r="F647" s="30"/>
      <x:c r="G647" s="30"/>
      <x:c r="H647" s="35"/>
      <x:c r="I647" s="35"/>
      <x:c r="J647" s="30"/>
    </x:row>
    <x:row r="648">
      <x:c r="A648" s="30"/>
      <x:c r="B648" s="30"/>
      <x:c r="C648" s="35"/>
      <x:c r="D648" s="30"/>
      <x:c r="E648" s="30"/>
      <x:c r="F648" s="30"/>
      <x:c r="G648" s="30"/>
      <x:c r="H648" s="35"/>
      <x:c r="I648" s="35"/>
      <x:c r="J648" s="30"/>
    </x:row>
    <x:row r="649">
      <x:c r="A649" s="30"/>
      <x:c r="B649" s="30"/>
      <x:c r="C649" s="35"/>
      <x:c r="D649" s="30"/>
      <x:c r="E649" s="30"/>
      <x:c r="F649" s="30"/>
      <x:c r="G649" s="30"/>
      <x:c r="H649" s="35"/>
      <x:c r="I649" s="35"/>
      <x:c r="J649" s="30"/>
    </x:row>
    <x:row r="650">
      <x:c r="A650" s="30"/>
      <x:c r="B650" s="30"/>
      <x:c r="C650" s="35"/>
      <x:c r="D650" s="30"/>
      <x:c r="E650" s="30"/>
      <x:c r="F650" s="30"/>
      <x:c r="G650" s="30"/>
      <x:c r="H650" s="35"/>
      <x:c r="I650" s="35"/>
      <x:c r="J650" s="30"/>
    </x:row>
    <x:row r="651">
      <x:c r="A651" s="30"/>
      <x:c r="B651" s="30"/>
      <x:c r="C651" s="35"/>
      <x:c r="D651" s="30"/>
      <x:c r="E651" s="30"/>
      <x:c r="F651" s="30"/>
      <x:c r="G651" s="30"/>
      <x:c r="H651" s="35"/>
      <x:c r="I651" s="35"/>
      <x:c r="J651" s="30"/>
    </x:row>
    <x:row r="652">
      <x:c r="A652" s="30"/>
      <x:c r="B652" s="30"/>
      <x:c r="C652" s="35"/>
      <x:c r="D652" s="30"/>
      <x:c r="E652" s="30"/>
      <x:c r="F652" s="30"/>
      <x:c r="G652" s="30"/>
      <x:c r="H652" s="35"/>
      <x:c r="I652" s="35"/>
      <x:c r="J652" s="30"/>
    </x:row>
    <x:row r="653">
      <x:c r="A653" s="30"/>
      <x:c r="B653" s="30"/>
      <x:c r="C653" s="35"/>
      <x:c r="D653" s="30"/>
      <x:c r="E653" s="30"/>
      <x:c r="F653" s="30"/>
      <x:c r="G653" s="30"/>
      <x:c r="H653" s="35"/>
      <x:c r="I653" s="35"/>
      <x:c r="J653" s="30"/>
    </x:row>
    <x:row r="654">
      <x:c r="A654" s="30"/>
      <x:c r="B654" s="30"/>
      <x:c r="C654" s="35"/>
      <x:c r="D654" s="30"/>
      <x:c r="E654" s="30"/>
      <x:c r="F654" s="30"/>
      <x:c r="G654" s="30"/>
      <x:c r="H654" s="35"/>
      <x:c r="I654" s="35"/>
      <x:c r="J654" s="30"/>
    </x:row>
    <x:row r="655">
      <x:c r="A655" s="30"/>
      <x:c r="B655" s="30"/>
      <x:c r="C655" s="35"/>
      <x:c r="D655" s="30"/>
      <x:c r="E655" s="30"/>
      <x:c r="F655" s="30"/>
      <x:c r="G655" s="30"/>
      <x:c r="H655" s="35"/>
      <x:c r="I655" s="35"/>
      <x:c r="J655" s="30"/>
    </x:row>
    <x:row r="656">
      <x:c r="A656" s="30"/>
      <x:c r="B656" s="30"/>
      <x:c r="C656" s="35"/>
      <x:c r="D656" s="30"/>
      <x:c r="E656" s="30"/>
      <x:c r="F656" s="30"/>
      <x:c r="G656" s="30"/>
      <x:c r="H656" s="35"/>
      <x:c r="I656" s="35"/>
      <x:c r="J656" s="30"/>
    </x:row>
    <x:row r="657">
      <x:c r="A657" s="30"/>
      <x:c r="B657" s="30"/>
      <x:c r="C657" s="35"/>
      <x:c r="D657" s="30"/>
      <x:c r="E657" s="30"/>
      <x:c r="F657" s="30"/>
      <x:c r="G657" s="30"/>
      <x:c r="H657" s="35"/>
      <x:c r="I657" s="35"/>
      <x:c r="J657" s="30"/>
    </x:row>
    <x:row r="658">
      <x:c r="A658" s="30"/>
      <x:c r="B658" s="30"/>
      <x:c r="C658" s="35"/>
      <x:c r="D658" s="30"/>
      <x:c r="E658" s="30"/>
      <x:c r="F658" s="30"/>
      <x:c r="G658" s="30"/>
      <x:c r="H658" s="35"/>
      <x:c r="I658" s="35"/>
      <x:c r="J658" s="30"/>
    </x:row>
    <x:row r="659">
      <x:c r="A659" s="30"/>
      <x:c r="B659" s="30"/>
      <x:c r="C659" s="35"/>
      <x:c r="D659" s="30"/>
      <x:c r="E659" s="30"/>
      <x:c r="F659" s="30"/>
      <x:c r="G659" s="30"/>
      <x:c r="H659" s="35"/>
      <x:c r="I659" s="35"/>
      <x:c r="J659" s="30"/>
    </x:row>
    <x:row r="660">
      <x:c r="A660" s="30"/>
      <x:c r="B660" s="30"/>
      <x:c r="C660" s="35"/>
      <x:c r="D660" s="30"/>
      <x:c r="E660" s="30"/>
      <x:c r="F660" s="30"/>
      <x:c r="G660" s="30"/>
      <x:c r="H660" s="35"/>
      <x:c r="I660" s="35"/>
      <x:c r="J660" s="30"/>
    </x:row>
    <x:row r="661">
      <x:c r="A661" s="30"/>
      <x:c r="B661" s="30"/>
      <x:c r="C661" s="35"/>
      <x:c r="D661" s="30"/>
      <x:c r="E661" s="30"/>
      <x:c r="F661" s="30"/>
      <x:c r="G661" s="30"/>
      <x:c r="H661" s="35"/>
      <x:c r="I661" s="35"/>
      <x:c r="J661" s="30"/>
    </x:row>
    <x:row r="662">
      <x:c r="A662" s="30"/>
      <x:c r="B662" s="30"/>
      <x:c r="C662" s="35"/>
      <x:c r="D662" s="30"/>
      <x:c r="E662" s="30"/>
      <x:c r="F662" s="30"/>
      <x:c r="G662" s="30"/>
      <x:c r="H662" s="35"/>
      <x:c r="I662" s="35"/>
      <x:c r="J662" s="30"/>
    </x:row>
    <x:row r="663">
      <x:c r="A663" s="30"/>
      <x:c r="B663" s="30"/>
      <x:c r="C663" s="35"/>
      <x:c r="D663" s="30"/>
      <x:c r="E663" s="30"/>
      <x:c r="F663" s="30"/>
      <x:c r="G663" s="30"/>
      <x:c r="H663" s="35"/>
      <x:c r="I663" s="35"/>
      <x:c r="J663" s="30"/>
    </x:row>
    <x:row r="664">
      <x:c r="A664" s="30"/>
      <x:c r="B664" s="30"/>
      <x:c r="C664" s="35"/>
      <x:c r="D664" s="30"/>
      <x:c r="E664" s="30"/>
      <x:c r="F664" s="30"/>
      <x:c r="G664" s="30"/>
      <x:c r="H664" s="35"/>
      <x:c r="I664" s="35"/>
      <x:c r="J664" s="30"/>
    </x:row>
    <x:row r="665">
      <x:c r="A665" s="30"/>
      <x:c r="B665" s="30"/>
      <x:c r="C665" s="35"/>
      <x:c r="D665" s="30"/>
      <x:c r="E665" s="30"/>
      <x:c r="F665" s="30"/>
      <x:c r="G665" s="30"/>
      <x:c r="H665" s="35"/>
      <x:c r="I665" s="35"/>
      <x:c r="J665" s="30"/>
    </x:row>
    <x:row r="666">
      <x:c r="A666" s="30"/>
      <x:c r="B666" s="30"/>
      <x:c r="C666" s="35"/>
      <x:c r="D666" s="30"/>
      <x:c r="E666" s="30"/>
      <x:c r="F666" s="30"/>
      <x:c r="G666" s="30"/>
      <x:c r="H666" s="35"/>
      <x:c r="I666" s="35"/>
      <x:c r="J666" s="30"/>
    </x:row>
    <x:row r="667">
      <x:c r="A667" s="30"/>
      <x:c r="B667" s="30"/>
      <x:c r="C667" s="35"/>
      <x:c r="D667" s="30"/>
      <x:c r="E667" s="30"/>
      <x:c r="F667" s="30"/>
      <x:c r="G667" s="30"/>
      <x:c r="H667" s="35"/>
      <x:c r="I667" s="35"/>
      <x:c r="J667" s="30"/>
    </x:row>
    <x:row r="668">
      <x:c r="A668" s="30"/>
      <x:c r="B668" s="30"/>
      <x:c r="C668" s="35"/>
      <x:c r="D668" s="30"/>
      <x:c r="E668" s="30"/>
      <x:c r="F668" s="30"/>
      <x:c r="G668" s="30"/>
      <x:c r="H668" s="35"/>
      <x:c r="I668" s="35"/>
      <x:c r="J668" s="30"/>
    </x:row>
    <x:row r="669">
      <x:c r="A669" s="30"/>
      <x:c r="B669" s="30"/>
      <x:c r="C669" s="35"/>
      <x:c r="D669" s="30"/>
      <x:c r="E669" s="30"/>
      <x:c r="F669" s="30"/>
      <x:c r="G669" s="30"/>
      <x:c r="H669" s="35"/>
      <x:c r="I669" s="35"/>
      <x:c r="J669" s="30"/>
    </x:row>
    <x:row r="670">
      <x:c r="A670" s="30"/>
      <x:c r="B670" s="30"/>
      <x:c r="C670" s="35"/>
      <x:c r="D670" s="30"/>
      <x:c r="E670" s="30"/>
      <x:c r="F670" s="30"/>
      <x:c r="G670" s="30"/>
      <x:c r="H670" s="35"/>
      <x:c r="I670" s="35"/>
      <x:c r="J670" s="30"/>
    </x:row>
    <x:row r="671">
      <x:c r="A671" s="30"/>
      <x:c r="B671" s="30"/>
      <x:c r="C671" s="35"/>
      <x:c r="D671" s="30"/>
      <x:c r="E671" s="30"/>
      <x:c r="F671" s="30"/>
      <x:c r="G671" s="30"/>
      <x:c r="H671" s="35"/>
      <x:c r="I671" s="35"/>
      <x:c r="J671" s="30"/>
    </x:row>
    <x:row r="672">
      <x:c r="A672" s="30"/>
      <x:c r="B672" s="30"/>
      <x:c r="C672" s="35"/>
      <x:c r="D672" s="30"/>
      <x:c r="E672" s="30"/>
      <x:c r="F672" s="30"/>
      <x:c r="G672" s="30"/>
      <x:c r="H672" s="35"/>
      <x:c r="I672" s="35"/>
      <x:c r="J672" s="30"/>
    </x:row>
    <x:row r="673">
      <x:c r="A673" s="30"/>
      <x:c r="B673" s="30"/>
      <x:c r="C673" s="35"/>
      <x:c r="D673" s="30"/>
      <x:c r="E673" s="30"/>
      <x:c r="F673" s="30"/>
      <x:c r="G673" s="30"/>
      <x:c r="H673" s="35"/>
      <x:c r="I673" s="35"/>
      <x:c r="J673" s="30"/>
    </x:row>
    <x:row r="674">
      <x:c r="A674" s="30"/>
      <x:c r="B674" s="30"/>
      <x:c r="C674" s="35"/>
      <x:c r="D674" s="30"/>
      <x:c r="E674" s="30"/>
      <x:c r="F674" s="30"/>
      <x:c r="G674" s="30"/>
      <x:c r="H674" s="35"/>
      <x:c r="I674" s="35"/>
      <x:c r="J674" s="30"/>
    </x:row>
    <x:row r="675">
      <x:c r="A675" s="30"/>
      <x:c r="B675" s="30"/>
      <x:c r="C675" s="35"/>
      <x:c r="D675" s="30"/>
      <x:c r="E675" s="30"/>
      <x:c r="F675" s="30"/>
      <x:c r="G675" s="30"/>
      <x:c r="H675" s="35"/>
      <x:c r="I675" s="35"/>
      <x:c r="J675" s="30"/>
    </x:row>
    <x:row r="676">
      <x:c r="A676" s="30"/>
      <x:c r="B676" s="30"/>
      <x:c r="C676" s="35"/>
      <x:c r="D676" s="30"/>
      <x:c r="E676" s="30"/>
      <x:c r="F676" s="30"/>
      <x:c r="G676" s="30"/>
      <x:c r="H676" s="35"/>
      <x:c r="I676" s="35"/>
      <x:c r="J676" s="30"/>
    </x:row>
    <x:row r="677">
      <x:c r="A677" s="30"/>
      <x:c r="B677" s="30"/>
      <x:c r="C677" s="35"/>
      <x:c r="D677" s="30"/>
      <x:c r="E677" s="30"/>
      <x:c r="F677" s="30"/>
      <x:c r="G677" s="30"/>
      <x:c r="H677" s="35"/>
      <x:c r="I677" s="35"/>
      <x:c r="J677" s="30"/>
    </x:row>
    <x:row r="678">
      <x:c r="A678" s="30"/>
      <x:c r="B678" s="30"/>
      <x:c r="C678" s="35"/>
      <x:c r="D678" s="30"/>
      <x:c r="E678" s="30"/>
      <x:c r="F678" s="30"/>
      <x:c r="G678" s="30"/>
      <x:c r="H678" s="35"/>
      <x:c r="I678" s="35"/>
      <x:c r="J678" s="30"/>
    </x:row>
    <x:row r="679">
      <x:c r="A679" s="30"/>
      <x:c r="B679" s="30"/>
      <x:c r="C679" s="35"/>
      <x:c r="D679" s="30"/>
      <x:c r="E679" s="30"/>
      <x:c r="F679" s="30"/>
      <x:c r="G679" s="30"/>
      <x:c r="H679" s="35"/>
      <x:c r="I679" s="35"/>
      <x:c r="J679" s="30"/>
    </x:row>
    <x:row r="680">
      <x:c r="A680" s="30"/>
      <x:c r="B680" s="30"/>
      <x:c r="C680" s="35"/>
      <x:c r="D680" s="30"/>
      <x:c r="E680" s="30"/>
      <x:c r="F680" s="30"/>
      <x:c r="G680" s="30"/>
      <x:c r="H680" s="35"/>
      <x:c r="I680" s="35"/>
      <x:c r="J680" s="30"/>
    </x:row>
    <x:row r="681">
      <x:c r="A681" s="30"/>
      <x:c r="B681" s="30"/>
      <x:c r="C681" s="35"/>
      <x:c r="D681" s="30"/>
      <x:c r="E681" s="30"/>
      <x:c r="F681" s="30"/>
      <x:c r="G681" s="30"/>
      <x:c r="H681" s="35"/>
      <x:c r="I681" s="35"/>
      <x:c r="J681" s="30"/>
    </x:row>
    <x:row r="682">
      <x:c r="A682" s="30"/>
      <x:c r="B682" s="30"/>
      <x:c r="C682" s="35"/>
      <x:c r="D682" s="30"/>
      <x:c r="E682" s="30"/>
      <x:c r="F682" s="30"/>
      <x:c r="G682" s="30"/>
      <x:c r="H682" s="35"/>
      <x:c r="I682" s="35"/>
      <x:c r="J682" s="30"/>
    </x:row>
    <x:row r="683">
      <x:c r="A683" s="30"/>
      <x:c r="B683" s="30"/>
      <x:c r="C683" s="35"/>
      <x:c r="D683" s="30"/>
      <x:c r="E683" s="30"/>
      <x:c r="F683" s="30"/>
      <x:c r="G683" s="30"/>
      <x:c r="H683" s="35"/>
      <x:c r="I683" s="35"/>
      <x:c r="J683" s="30"/>
    </x:row>
    <x:row r="684">
      <x:c r="A684" s="30"/>
      <x:c r="B684" s="30"/>
      <x:c r="C684" s="35"/>
      <x:c r="D684" s="30"/>
      <x:c r="E684" s="30"/>
      <x:c r="F684" s="30"/>
      <x:c r="G684" s="30"/>
      <x:c r="H684" s="35"/>
      <x:c r="I684" s="35"/>
      <x:c r="J684" s="30"/>
    </x:row>
    <x:row r="685">
      <x:c r="A685" s="30"/>
      <x:c r="B685" s="30"/>
      <x:c r="C685" s="35"/>
      <x:c r="D685" s="30"/>
      <x:c r="E685" s="30"/>
      <x:c r="F685" s="30"/>
      <x:c r="G685" s="30"/>
      <x:c r="H685" s="35"/>
      <x:c r="I685" s="35"/>
      <x:c r="J685" s="30"/>
    </x:row>
    <x:row r="686">
      <x:c r="A686" s="30"/>
      <x:c r="B686" s="30"/>
      <x:c r="C686" s="35"/>
      <x:c r="D686" s="30"/>
      <x:c r="E686" s="30"/>
      <x:c r="F686" s="30"/>
      <x:c r="G686" s="30"/>
      <x:c r="H686" s="35"/>
      <x:c r="I686" s="35"/>
      <x:c r="J686" s="30"/>
    </x:row>
    <x:row r="687">
      <x:c r="A687" s="30"/>
      <x:c r="B687" s="30"/>
      <x:c r="C687" s="35"/>
      <x:c r="D687" s="30"/>
      <x:c r="E687" s="30"/>
      <x:c r="F687" s="30"/>
      <x:c r="G687" s="30"/>
      <x:c r="H687" s="35"/>
      <x:c r="I687" s="35"/>
      <x:c r="J687" s="30"/>
    </x:row>
    <x:row r="688">
      <x:c r="A688" s="30"/>
      <x:c r="B688" s="30"/>
      <x:c r="C688" s="35"/>
      <x:c r="D688" s="30"/>
      <x:c r="E688" s="30"/>
      <x:c r="F688" s="30"/>
      <x:c r="G688" s="30"/>
      <x:c r="H688" s="35"/>
      <x:c r="I688" s="35"/>
      <x:c r="J688" s="30"/>
    </x:row>
    <x:row r="689">
      <x:c r="A689" s="30"/>
      <x:c r="B689" s="30"/>
      <x:c r="C689" s="35"/>
      <x:c r="D689" s="30"/>
      <x:c r="E689" s="30"/>
      <x:c r="F689" s="30"/>
      <x:c r="G689" s="30"/>
      <x:c r="H689" s="35"/>
      <x:c r="I689" s="35"/>
      <x:c r="J689" s="30"/>
    </x:row>
    <x:row r="690">
      <x:c r="A690" s="30"/>
      <x:c r="B690" s="30"/>
      <x:c r="C690" s="35"/>
      <x:c r="D690" s="30"/>
      <x:c r="E690" s="30"/>
      <x:c r="F690" s="30"/>
      <x:c r="G690" s="30"/>
      <x:c r="H690" s="35"/>
      <x:c r="I690" s="35"/>
      <x:c r="J690" s="30"/>
    </x:row>
    <x:row r="691">
      <x:c r="A691" s="30"/>
      <x:c r="B691" s="30"/>
      <x:c r="C691" s="35"/>
      <x:c r="D691" s="30"/>
      <x:c r="E691" s="30"/>
      <x:c r="F691" s="30"/>
      <x:c r="G691" s="30"/>
      <x:c r="H691" s="35"/>
      <x:c r="I691" s="35"/>
      <x:c r="J691" s="30"/>
    </x:row>
    <x:row r="692">
      <x:c r="A692" s="30"/>
      <x:c r="B692" s="30"/>
      <x:c r="C692" s="35"/>
      <x:c r="D692" s="30"/>
      <x:c r="E692" s="30"/>
      <x:c r="F692" s="30"/>
      <x:c r="G692" s="30"/>
      <x:c r="H692" s="35"/>
      <x:c r="I692" s="35"/>
      <x:c r="J692" s="30"/>
    </x:row>
    <x:row r="693">
      <x:c r="A693" s="30"/>
      <x:c r="B693" s="30"/>
      <x:c r="C693" s="35"/>
      <x:c r="D693" s="30"/>
      <x:c r="E693" s="30"/>
      <x:c r="F693" s="30"/>
      <x:c r="G693" s="30"/>
      <x:c r="H693" s="35"/>
      <x:c r="I693" s="35"/>
      <x:c r="J693" s="30"/>
    </x:row>
    <x:row r="694">
      <x:c r="A694" s="30"/>
      <x:c r="B694" s="30"/>
      <x:c r="C694" s="35"/>
      <x:c r="D694" s="30"/>
      <x:c r="E694" s="30"/>
      <x:c r="F694" s="30"/>
      <x:c r="G694" s="30"/>
      <x:c r="H694" s="35"/>
      <x:c r="I694" s="35"/>
      <x:c r="J694" s="30"/>
    </x:row>
    <x:row r="695">
      <x:c r="A695" s="30"/>
      <x:c r="B695" s="30"/>
      <x:c r="C695" s="35"/>
      <x:c r="D695" s="30"/>
      <x:c r="E695" s="30"/>
      <x:c r="F695" s="30"/>
      <x:c r="G695" s="30"/>
      <x:c r="H695" s="35"/>
      <x:c r="I695" s="35"/>
      <x:c r="J695" s="30"/>
    </x:row>
    <x:row r="696">
      <x:c r="A696" s="30"/>
      <x:c r="B696" s="30"/>
      <x:c r="C696" s="35"/>
      <x:c r="D696" s="30"/>
      <x:c r="E696" s="30"/>
      <x:c r="F696" s="30"/>
      <x:c r="G696" s="30"/>
      <x:c r="H696" s="35"/>
      <x:c r="I696" s="35"/>
      <x:c r="J696" s="30"/>
    </x:row>
    <x:row r="697">
      <x:c r="A697" s="30"/>
      <x:c r="B697" s="30"/>
      <x:c r="C697" s="35"/>
      <x:c r="D697" s="30"/>
      <x:c r="E697" s="30"/>
      <x:c r="F697" s="30"/>
      <x:c r="G697" s="30"/>
      <x:c r="H697" s="35"/>
      <x:c r="I697" s="35"/>
      <x:c r="J697" s="30"/>
    </x:row>
    <x:row r="698">
      <x:c r="A698" s="30"/>
      <x:c r="B698" s="30"/>
      <x:c r="C698" s="35"/>
      <x:c r="D698" s="30"/>
      <x:c r="E698" s="30"/>
      <x:c r="F698" s="30"/>
      <x:c r="G698" s="30"/>
      <x:c r="H698" s="35"/>
      <x:c r="I698" s="35"/>
      <x:c r="J698" s="30"/>
    </x:row>
    <x:row r="699">
      <x:c r="A699" s="30"/>
      <x:c r="B699" s="30"/>
      <x:c r="C699" s="35"/>
      <x:c r="D699" s="30"/>
      <x:c r="E699" s="30"/>
      <x:c r="F699" s="30"/>
      <x:c r="G699" s="30"/>
      <x:c r="H699" s="35"/>
      <x:c r="I699" s="35"/>
      <x:c r="J699" s="30"/>
    </x:row>
    <x:row r="700">
      <x:c r="A700" s="30"/>
      <x:c r="B700" s="30"/>
      <x:c r="C700" s="35"/>
      <x:c r="D700" s="30"/>
      <x:c r="E700" s="30"/>
      <x:c r="F700" s="30"/>
      <x:c r="G700" s="30"/>
      <x:c r="H700" s="35"/>
      <x:c r="I700" s="35"/>
      <x:c r="J700" s="30"/>
    </x:row>
    <x:row r="701">
      <x:c r="A701" s="30"/>
      <x:c r="B701" s="30"/>
      <x:c r="C701" s="35"/>
      <x:c r="D701" s="30"/>
      <x:c r="E701" s="30"/>
      <x:c r="F701" s="30"/>
      <x:c r="G701" s="30"/>
      <x:c r="H701" s="35"/>
      <x:c r="I701" s="35"/>
      <x:c r="J701" s="30"/>
    </x:row>
    <x:row r="702">
      <x:c r="A702" s="30"/>
      <x:c r="B702" s="30"/>
      <x:c r="C702" s="35"/>
      <x:c r="D702" s="30"/>
      <x:c r="E702" s="30"/>
      <x:c r="F702" s="30"/>
      <x:c r="G702" s="30"/>
      <x:c r="H702" s="35"/>
      <x:c r="I702" s="35"/>
      <x:c r="J702" s="30"/>
    </x:row>
    <x:row r="703">
      <x:c r="A703" s="30"/>
      <x:c r="B703" s="30"/>
      <x:c r="C703" s="35"/>
      <x:c r="D703" s="30"/>
      <x:c r="E703" s="30"/>
      <x:c r="F703" s="30"/>
      <x:c r="G703" s="30"/>
      <x:c r="H703" s="35"/>
      <x:c r="I703" s="35"/>
      <x:c r="J703" s="30"/>
    </x:row>
    <x:row r="704">
      <x:c r="A704" s="30"/>
      <x:c r="B704" s="30"/>
      <x:c r="C704" s="35"/>
      <x:c r="D704" s="30"/>
      <x:c r="E704" s="30"/>
      <x:c r="F704" s="30"/>
      <x:c r="G704" s="30"/>
      <x:c r="H704" s="35"/>
      <x:c r="I704" s="35"/>
      <x:c r="J704" s="30"/>
    </x:row>
    <x:row r="705">
      <x:c r="A705" s="30"/>
      <x:c r="B705" s="30"/>
      <x:c r="C705" s="35"/>
      <x:c r="D705" s="30"/>
      <x:c r="E705" s="30"/>
      <x:c r="F705" s="30"/>
      <x:c r="G705" s="30"/>
      <x:c r="H705" s="35"/>
      <x:c r="I705" s="35"/>
      <x:c r="J705" s="30"/>
    </x:row>
    <x:row r="706">
      <x:c r="A706" s="30"/>
      <x:c r="B706" s="30"/>
      <x:c r="C706" s="35"/>
      <x:c r="D706" s="30"/>
      <x:c r="E706" s="30"/>
      <x:c r="F706" s="30"/>
      <x:c r="G706" s="30"/>
      <x:c r="H706" s="35"/>
      <x:c r="I706" s="35"/>
      <x:c r="J706" s="30"/>
    </x:row>
    <x:row r="707">
      <x:c r="A707" s="30"/>
      <x:c r="B707" s="30"/>
      <x:c r="C707" s="35"/>
      <x:c r="D707" s="30"/>
      <x:c r="E707" s="30"/>
      <x:c r="F707" s="30"/>
      <x:c r="G707" s="30"/>
      <x:c r="H707" s="35"/>
      <x:c r="I707" s="35"/>
      <x:c r="J707" s="30"/>
    </x:row>
    <x:row r="708">
      <x:c r="A708" s="30"/>
      <x:c r="B708" s="30"/>
      <x:c r="C708" s="35"/>
      <x:c r="D708" s="30"/>
      <x:c r="E708" s="30"/>
      <x:c r="F708" s="30"/>
      <x:c r="G708" s="30"/>
      <x:c r="H708" s="35"/>
      <x:c r="I708" s="35"/>
      <x:c r="J708" s="30"/>
    </x:row>
    <x:row r="709">
      <x:c r="A709" s="30"/>
      <x:c r="B709" s="30"/>
      <x:c r="C709" s="35"/>
      <x:c r="D709" s="30"/>
      <x:c r="E709" s="30"/>
      <x:c r="F709" s="30"/>
      <x:c r="G709" s="30"/>
      <x:c r="H709" s="35"/>
      <x:c r="I709" s="35"/>
      <x:c r="J709" s="30"/>
    </x:row>
    <x:row r="710">
      <x:c r="A710" s="30"/>
      <x:c r="B710" s="30"/>
      <x:c r="C710" s="35"/>
      <x:c r="D710" s="30"/>
      <x:c r="E710" s="30"/>
      <x:c r="F710" s="30"/>
      <x:c r="G710" s="30"/>
      <x:c r="H710" s="35"/>
      <x:c r="I710" s="35"/>
      <x:c r="J710" s="30"/>
    </x:row>
    <x:row r="711">
      <x:c r="A711" s="30"/>
      <x:c r="B711" s="30"/>
      <x:c r="C711" s="35"/>
      <x:c r="D711" s="30"/>
      <x:c r="E711" s="30"/>
      <x:c r="F711" s="30"/>
      <x:c r="G711" s="30"/>
      <x:c r="H711" s="35"/>
      <x:c r="I711" s="35"/>
      <x:c r="J711" s="30"/>
    </x:row>
    <x:row r="712">
      <x:c r="A712" s="30"/>
      <x:c r="B712" s="30"/>
      <x:c r="C712" s="35"/>
      <x:c r="D712" s="30"/>
      <x:c r="E712" s="30"/>
      <x:c r="F712" s="30"/>
      <x:c r="G712" s="30"/>
      <x:c r="H712" s="35"/>
      <x:c r="I712" s="35"/>
      <x:c r="J712" s="30"/>
    </x:row>
    <x:row r="713">
      <x:c r="A713" s="30"/>
      <x:c r="B713" s="30"/>
      <x:c r="C713" s="35"/>
      <x:c r="D713" s="30"/>
      <x:c r="E713" s="30"/>
      <x:c r="F713" s="30"/>
      <x:c r="G713" s="30"/>
      <x:c r="H713" s="35"/>
      <x:c r="I713" s="35"/>
      <x:c r="J713" s="30"/>
    </x:row>
    <x:row r="714">
      <x:c r="A714" s="30"/>
      <x:c r="B714" s="30"/>
      <x:c r="C714" s="35"/>
      <x:c r="D714" s="30"/>
      <x:c r="E714" s="30"/>
      <x:c r="F714" s="30"/>
      <x:c r="G714" s="30"/>
      <x:c r="H714" s="35"/>
      <x:c r="I714" s="35"/>
      <x:c r="J714" s="30"/>
    </x:row>
    <x:row r="715">
      <x:c r="A715" s="30"/>
      <x:c r="B715" s="30"/>
      <x:c r="C715" s="35"/>
      <x:c r="D715" s="30"/>
      <x:c r="E715" s="30"/>
      <x:c r="F715" s="30"/>
      <x:c r="G715" s="30"/>
      <x:c r="H715" s="35"/>
      <x:c r="I715" s="35"/>
      <x:c r="J715" s="30"/>
    </x:row>
    <x:row r="716">
      <x:c r="A716" s="30"/>
      <x:c r="B716" s="30"/>
      <x:c r="C716" s="35"/>
      <x:c r="D716" s="30"/>
      <x:c r="E716" s="30"/>
      <x:c r="F716" s="30"/>
      <x:c r="G716" s="30"/>
      <x:c r="H716" s="35"/>
      <x:c r="I716" s="35"/>
      <x:c r="J716" s="30"/>
    </x:row>
    <x:row r="717">
      <x:c r="A717" s="30"/>
      <x:c r="B717" s="30"/>
      <x:c r="C717" s="35"/>
      <x:c r="D717" s="30"/>
      <x:c r="E717" s="30"/>
      <x:c r="F717" s="30"/>
      <x:c r="G717" s="30"/>
      <x:c r="H717" s="35"/>
      <x:c r="I717" s="35"/>
      <x:c r="J717" s="30"/>
    </x:row>
    <x:row r="718">
      <x:c r="A718" s="30"/>
      <x:c r="B718" s="30"/>
      <x:c r="C718" s="35"/>
      <x:c r="D718" s="30"/>
      <x:c r="E718" s="30"/>
      <x:c r="F718" s="30"/>
      <x:c r="G718" s="30"/>
      <x:c r="H718" s="35"/>
      <x:c r="I718" s="35"/>
      <x:c r="J718" s="30"/>
    </x:row>
    <x:row r="719">
      <x:c r="A719" s="30"/>
      <x:c r="B719" s="30"/>
      <x:c r="C719" s="35"/>
      <x:c r="D719" s="30"/>
      <x:c r="E719" s="30"/>
      <x:c r="F719" s="30"/>
      <x:c r="G719" s="30"/>
      <x:c r="H719" s="35"/>
      <x:c r="I719" s="35"/>
      <x:c r="J719" s="30"/>
    </x:row>
    <x:row r="720">
      <x:c r="A720" s="30"/>
      <x:c r="B720" s="30"/>
      <x:c r="C720" s="35"/>
      <x:c r="D720" s="30"/>
      <x:c r="E720" s="30"/>
      <x:c r="F720" s="30"/>
      <x:c r="G720" s="30"/>
      <x:c r="H720" s="35"/>
      <x:c r="I720" s="35"/>
      <x:c r="J720" s="30"/>
    </x:row>
    <x:row r="721">
      <x:c r="A721" s="30"/>
      <x:c r="B721" s="30"/>
      <x:c r="C721" s="35"/>
      <x:c r="D721" s="30"/>
      <x:c r="E721" s="30"/>
      <x:c r="F721" s="30"/>
      <x:c r="G721" s="30"/>
      <x:c r="H721" s="35"/>
      <x:c r="I721" s="35"/>
      <x:c r="J721" s="30"/>
    </x:row>
    <x:row r="722">
      <x:c r="A722" s="30"/>
      <x:c r="B722" s="30"/>
      <x:c r="C722" s="35"/>
      <x:c r="D722" s="30"/>
      <x:c r="E722" s="30"/>
      <x:c r="F722" s="30"/>
      <x:c r="G722" s="30"/>
      <x:c r="H722" s="35"/>
      <x:c r="I722" s="35"/>
      <x:c r="J722" s="30"/>
    </x:row>
    <x:row r="723">
      <x:c r="A723" s="30"/>
      <x:c r="B723" s="30"/>
      <x:c r="C723" s="35"/>
      <x:c r="D723" s="30"/>
      <x:c r="E723" s="30"/>
      <x:c r="F723" s="30"/>
      <x:c r="G723" s="30"/>
      <x:c r="H723" s="35"/>
      <x:c r="I723" s="35"/>
      <x:c r="J723" s="30"/>
    </x:row>
    <x:row r="724">
      <x:c r="A724" s="30"/>
      <x:c r="B724" s="30"/>
      <x:c r="C724" s="35"/>
      <x:c r="D724" s="30"/>
      <x:c r="E724" s="30"/>
      <x:c r="F724" s="30"/>
      <x:c r="G724" s="30"/>
      <x:c r="H724" s="35"/>
      <x:c r="I724" s="35"/>
      <x:c r="J724" s="30"/>
    </x:row>
    <x:row r="725">
      <x:c r="A725" s="30"/>
      <x:c r="B725" s="30"/>
      <x:c r="C725" s="35"/>
      <x:c r="D725" s="30"/>
      <x:c r="E725" s="30"/>
      <x:c r="F725" s="30"/>
      <x:c r="G725" s="30"/>
      <x:c r="H725" s="35"/>
      <x:c r="I725" s="35"/>
      <x:c r="J725" s="30"/>
    </x:row>
    <x:row r="726">
      <x:c r="A726" s="30"/>
      <x:c r="B726" s="30"/>
      <x:c r="C726" s="35"/>
      <x:c r="D726" s="30"/>
      <x:c r="E726" s="30"/>
      <x:c r="F726" s="30"/>
      <x:c r="G726" s="30"/>
      <x:c r="H726" s="35"/>
      <x:c r="I726" s="35"/>
      <x:c r="J726" s="30"/>
    </x:row>
    <x:row r="727">
      <x:c r="A727" s="30"/>
      <x:c r="B727" s="30"/>
      <x:c r="C727" s="35"/>
      <x:c r="D727" s="30"/>
      <x:c r="E727" s="30"/>
      <x:c r="F727" s="30"/>
      <x:c r="G727" s="30"/>
      <x:c r="H727" s="35"/>
      <x:c r="I727" s="35"/>
      <x:c r="J727" s="30"/>
    </x:row>
    <x:row r="728">
      <x:c r="A728" s="30"/>
      <x:c r="B728" s="30"/>
      <x:c r="C728" s="35"/>
      <x:c r="D728" s="30"/>
      <x:c r="E728" s="30"/>
      <x:c r="F728" s="30"/>
      <x:c r="G728" s="30"/>
      <x:c r="H728" s="35"/>
      <x:c r="I728" s="35"/>
      <x:c r="J728" s="30"/>
    </x:row>
    <x:row r="729">
      <x:c r="A729" s="30"/>
      <x:c r="B729" s="30"/>
      <x:c r="C729" s="35"/>
      <x:c r="D729" s="30"/>
      <x:c r="E729" s="30"/>
      <x:c r="F729" s="30"/>
      <x:c r="G729" s="30"/>
      <x:c r="H729" s="35"/>
      <x:c r="I729" s="35"/>
      <x:c r="J729" s="30"/>
    </x:row>
    <x:row r="730">
      <x:c r="A730" s="30"/>
      <x:c r="B730" s="30"/>
      <x:c r="C730" s="35"/>
      <x:c r="D730" s="30"/>
      <x:c r="E730" s="30"/>
      <x:c r="F730" s="30"/>
      <x:c r="G730" s="30"/>
      <x:c r="H730" s="35"/>
      <x:c r="I730" s="35"/>
      <x:c r="J730" s="30"/>
    </x:row>
    <x:row r="731">
      <x:c r="A731" s="30"/>
      <x:c r="B731" s="30"/>
      <x:c r="C731" s="35"/>
      <x:c r="D731" s="30"/>
      <x:c r="E731" s="30"/>
      <x:c r="F731" s="30"/>
      <x:c r="G731" s="30"/>
      <x:c r="H731" s="35"/>
      <x:c r="I731" s="35"/>
      <x:c r="J731" s="30"/>
    </x:row>
    <x:row r="732">
      <x:c r="A732" s="30"/>
      <x:c r="B732" s="30"/>
      <x:c r="C732" s="35"/>
      <x:c r="D732" s="30"/>
      <x:c r="E732" s="30"/>
      <x:c r="F732" s="30"/>
      <x:c r="G732" s="30"/>
      <x:c r="H732" s="35"/>
      <x:c r="I732" s="35"/>
      <x:c r="J732" s="30"/>
    </x:row>
    <x:row r="733">
      <x:c r="A733" s="30"/>
      <x:c r="B733" s="30"/>
      <x:c r="C733" s="35"/>
      <x:c r="D733" s="30"/>
      <x:c r="E733" s="30"/>
      <x:c r="F733" s="30"/>
      <x:c r="G733" s="30"/>
      <x:c r="H733" s="35"/>
      <x:c r="I733" s="35"/>
      <x:c r="J733" s="30"/>
    </x:row>
    <x:row r="734">
      <x:c r="A734" s="30"/>
      <x:c r="B734" s="30"/>
      <x:c r="C734" s="35"/>
      <x:c r="D734" s="30"/>
      <x:c r="E734" s="30"/>
      <x:c r="F734" s="30"/>
      <x:c r="G734" s="30"/>
      <x:c r="H734" s="35"/>
      <x:c r="I734" s="35"/>
      <x:c r="J734" s="30"/>
    </x:row>
    <x:row r="735">
      <x:c r="A735" s="30"/>
      <x:c r="B735" s="30"/>
      <x:c r="C735" s="35"/>
      <x:c r="D735" s="30"/>
      <x:c r="E735" s="30"/>
      <x:c r="F735" s="30"/>
      <x:c r="G735" s="30"/>
      <x:c r="H735" s="35"/>
      <x:c r="I735" s="35"/>
      <x:c r="J735" s="30"/>
    </x:row>
    <x:row r="736">
      <x:c r="A736" s="30"/>
      <x:c r="B736" s="30"/>
      <x:c r="C736" s="35"/>
      <x:c r="D736" s="30"/>
      <x:c r="E736" s="30"/>
      <x:c r="F736" s="30"/>
      <x:c r="G736" s="30"/>
      <x:c r="H736" s="35"/>
      <x:c r="I736" s="35"/>
      <x:c r="J736" s="30"/>
    </x:row>
    <x:row r="737">
      <x:c r="A737" s="30"/>
      <x:c r="B737" s="30"/>
      <x:c r="C737" s="35"/>
      <x:c r="D737" s="30"/>
      <x:c r="E737" s="30"/>
      <x:c r="F737" s="30"/>
      <x:c r="G737" s="30"/>
      <x:c r="H737" s="35"/>
      <x:c r="I737" s="35"/>
      <x:c r="J737" s="30"/>
    </x:row>
    <x:row r="738">
      <x:c r="A738" s="30"/>
      <x:c r="B738" s="30"/>
      <x:c r="C738" s="35"/>
      <x:c r="D738" s="30"/>
      <x:c r="E738" s="30"/>
      <x:c r="F738" s="30"/>
      <x:c r="G738" s="30"/>
      <x:c r="H738" s="35"/>
      <x:c r="I738" s="35"/>
      <x:c r="J738" s="30"/>
    </x:row>
    <x:row r="739">
      <x:c r="A739" s="30"/>
      <x:c r="B739" s="30"/>
      <x:c r="C739" s="35"/>
      <x:c r="D739" s="30"/>
      <x:c r="E739" s="30"/>
      <x:c r="F739" s="30"/>
      <x:c r="G739" s="30"/>
      <x:c r="H739" s="35"/>
      <x:c r="I739" s="35"/>
      <x:c r="J739" s="30"/>
    </x:row>
    <x:row r="740">
      <x:c r="A740" s="30"/>
      <x:c r="B740" s="30"/>
      <x:c r="C740" s="35"/>
      <x:c r="D740" s="30"/>
      <x:c r="E740" s="30"/>
      <x:c r="F740" s="30"/>
      <x:c r="G740" s="30"/>
      <x:c r="H740" s="35"/>
      <x:c r="I740" s="35"/>
      <x:c r="J740" s="30"/>
    </x:row>
    <x:row r="741">
      <x:c r="A741" s="30"/>
      <x:c r="B741" s="30"/>
      <x:c r="C741" s="35"/>
      <x:c r="D741" s="30"/>
      <x:c r="E741" s="30"/>
      <x:c r="F741" s="30"/>
      <x:c r="G741" s="30"/>
      <x:c r="H741" s="35"/>
      <x:c r="I741" s="35"/>
      <x:c r="J741" s="30"/>
    </x:row>
    <x:row r="742">
      <x:c r="A742" s="30"/>
      <x:c r="B742" s="30"/>
      <x:c r="C742" s="35"/>
      <x:c r="D742" s="30"/>
      <x:c r="E742" s="30"/>
      <x:c r="F742" s="30"/>
      <x:c r="G742" s="30"/>
      <x:c r="H742" s="35"/>
      <x:c r="I742" s="35"/>
      <x:c r="J742" s="30"/>
    </x:row>
    <x:row r="743">
      <x:c r="A743" s="30"/>
      <x:c r="B743" s="30"/>
      <x:c r="C743" s="35"/>
      <x:c r="D743" s="30"/>
      <x:c r="E743" s="30"/>
      <x:c r="F743" s="30"/>
      <x:c r="G743" s="30"/>
      <x:c r="H743" s="35"/>
      <x:c r="I743" s="35"/>
      <x:c r="J743" s="30"/>
    </x:row>
    <x:row r="744">
      <x:c r="A744" s="30"/>
      <x:c r="B744" s="30"/>
      <x:c r="C744" s="35"/>
      <x:c r="D744" s="30"/>
      <x:c r="E744" s="30"/>
      <x:c r="F744" s="30"/>
      <x:c r="G744" s="30"/>
      <x:c r="H744" s="35"/>
      <x:c r="I744" s="35"/>
      <x:c r="J744" s="30"/>
    </x:row>
    <x:row r="745">
      <x:c r="A745" s="30"/>
      <x:c r="B745" s="30"/>
      <x:c r="C745" s="35"/>
      <x:c r="D745" s="30"/>
      <x:c r="E745" s="30"/>
      <x:c r="F745" s="30"/>
      <x:c r="G745" s="30"/>
      <x:c r="H745" s="35"/>
      <x:c r="I745" s="35"/>
      <x:c r="J745" s="30"/>
    </x:row>
    <x:row r="746">
      <x:c r="A746" s="30"/>
      <x:c r="B746" s="30"/>
      <x:c r="C746" s="35"/>
      <x:c r="D746" s="30"/>
      <x:c r="E746" s="30"/>
      <x:c r="F746" s="30"/>
      <x:c r="G746" s="30"/>
      <x:c r="H746" s="35"/>
      <x:c r="I746" s="35"/>
      <x:c r="J746" s="30"/>
    </x:row>
    <x:row r="747">
      <x:c r="A747" s="30"/>
      <x:c r="B747" s="30"/>
      <x:c r="C747" s="35"/>
      <x:c r="D747" s="30"/>
      <x:c r="E747" s="30"/>
      <x:c r="F747" s="30"/>
      <x:c r="G747" s="30"/>
      <x:c r="H747" s="35"/>
      <x:c r="I747" s="35"/>
      <x:c r="J747" s="30"/>
    </x:row>
    <x:row r="748">
      <x:c r="A748" s="30"/>
      <x:c r="B748" s="30"/>
      <x:c r="C748" s="35"/>
      <x:c r="D748" s="30"/>
      <x:c r="E748" s="30"/>
      <x:c r="F748" s="30"/>
      <x:c r="G748" s="30"/>
      <x:c r="H748" s="35"/>
      <x:c r="I748" s="35"/>
      <x:c r="J748" s="30"/>
    </x:row>
    <x:row r="749">
      <x:c r="A749" s="30"/>
      <x:c r="B749" s="30"/>
      <x:c r="C749" s="35"/>
      <x:c r="D749" s="30"/>
      <x:c r="E749" s="30"/>
      <x:c r="F749" s="30"/>
      <x:c r="G749" s="30"/>
      <x:c r="H749" s="35"/>
      <x:c r="I749" s="35"/>
      <x:c r="J749" s="30"/>
    </x:row>
    <x:row r="750">
      <x:c r="A750" s="30"/>
      <x:c r="B750" s="30"/>
      <x:c r="C750" s="35"/>
      <x:c r="D750" s="30"/>
      <x:c r="E750" s="30"/>
      <x:c r="F750" s="30"/>
      <x:c r="G750" s="30"/>
      <x:c r="H750" s="35"/>
      <x:c r="I750" s="35"/>
      <x:c r="J750" s="30"/>
    </x:row>
    <x:row r="751">
      <x:c r="A751" s="30"/>
      <x:c r="B751" s="30"/>
      <x:c r="C751" s="35"/>
      <x:c r="D751" s="30"/>
      <x:c r="E751" s="30"/>
      <x:c r="F751" s="30"/>
      <x:c r="G751" s="30"/>
      <x:c r="H751" s="35"/>
      <x:c r="I751" s="35"/>
      <x:c r="J751" s="30"/>
    </x:row>
    <x:row r="752">
      <x:c r="A752" s="30"/>
      <x:c r="B752" s="30"/>
      <x:c r="C752" s="35"/>
      <x:c r="D752" s="30"/>
      <x:c r="E752" s="30"/>
      <x:c r="F752" s="30"/>
      <x:c r="G752" s="30"/>
      <x:c r="H752" s="35"/>
      <x:c r="I752" s="35"/>
      <x:c r="J752" s="30"/>
    </x:row>
    <x:row r="753">
      <x:c r="A753" s="30"/>
      <x:c r="B753" s="30"/>
      <x:c r="C753" s="35"/>
      <x:c r="D753" s="30"/>
      <x:c r="E753" s="30"/>
      <x:c r="F753" s="30"/>
      <x:c r="G753" s="30"/>
      <x:c r="H753" s="35"/>
      <x:c r="I753" s="35"/>
      <x:c r="J753" s="30"/>
    </x:row>
    <x:row r="754">
      <x:c r="A754" s="30"/>
      <x:c r="B754" s="30"/>
      <x:c r="C754" s="35"/>
      <x:c r="D754" s="30"/>
      <x:c r="E754" s="30"/>
      <x:c r="F754" s="30"/>
      <x:c r="G754" s="30"/>
      <x:c r="H754" s="35"/>
      <x:c r="I754" s="35"/>
      <x:c r="J754" s="30"/>
    </x:row>
    <x:row r="755">
      <x:c r="A755" s="30"/>
      <x:c r="B755" s="30"/>
      <x:c r="C755" s="35"/>
      <x:c r="D755" s="30"/>
      <x:c r="E755" s="30"/>
      <x:c r="F755" s="30"/>
      <x:c r="G755" s="30"/>
      <x:c r="H755" s="35"/>
      <x:c r="I755" s="35"/>
      <x:c r="J755" s="30"/>
    </x:row>
    <x:row r="756">
      <x:c r="A756" s="30"/>
      <x:c r="B756" s="30"/>
      <x:c r="C756" s="35"/>
      <x:c r="D756" s="30"/>
      <x:c r="E756" s="30"/>
      <x:c r="F756" s="30"/>
      <x:c r="G756" s="30"/>
      <x:c r="H756" s="35"/>
      <x:c r="I756" s="35"/>
      <x:c r="J756" s="30"/>
    </x:row>
    <x:row r="757">
      <x:c r="A757" s="30"/>
      <x:c r="B757" s="30"/>
      <x:c r="C757" s="35"/>
      <x:c r="D757" s="30"/>
      <x:c r="E757" s="30"/>
      <x:c r="F757" s="30"/>
      <x:c r="G757" s="30"/>
      <x:c r="H757" s="35"/>
      <x:c r="I757" s="35"/>
      <x:c r="J757" s="30"/>
    </x:row>
    <x:row r="758">
      <x:c r="A758" s="30"/>
      <x:c r="B758" s="30"/>
      <x:c r="C758" s="35"/>
      <x:c r="D758" s="30"/>
      <x:c r="E758" s="30"/>
      <x:c r="F758" s="30"/>
      <x:c r="G758" s="30"/>
      <x:c r="H758" s="35"/>
      <x:c r="I758" s="35"/>
      <x:c r="J758" s="30"/>
    </x:row>
    <x:row r="759">
      <x:c r="A759" s="30"/>
      <x:c r="B759" s="30"/>
      <x:c r="C759" s="35"/>
      <x:c r="D759" s="30"/>
      <x:c r="E759" s="30"/>
      <x:c r="F759" s="30"/>
      <x:c r="G759" s="30"/>
      <x:c r="H759" s="35"/>
      <x:c r="I759" s="35"/>
      <x:c r="J759" s="30"/>
    </x:row>
    <x:row r="760">
      <x:c r="A760" s="30"/>
      <x:c r="B760" s="30"/>
      <x:c r="C760" s="35"/>
      <x:c r="D760" s="30"/>
      <x:c r="E760" s="30"/>
      <x:c r="F760" s="30"/>
      <x:c r="G760" s="30"/>
      <x:c r="H760" s="35"/>
      <x:c r="I760" s="35"/>
      <x:c r="J760" s="30"/>
    </x:row>
    <x:row r="761">
      <x:c r="A761" s="30"/>
      <x:c r="B761" s="30"/>
      <x:c r="C761" s="35"/>
      <x:c r="D761" s="30"/>
      <x:c r="E761" s="30"/>
      <x:c r="F761" s="30"/>
      <x:c r="G761" s="30"/>
      <x:c r="H761" s="35"/>
      <x:c r="I761" s="35"/>
      <x:c r="J761" s="30"/>
    </x:row>
    <x:row r="762">
      <x:c r="A762" s="30"/>
      <x:c r="B762" s="30"/>
      <x:c r="C762" s="35"/>
      <x:c r="D762" s="30"/>
      <x:c r="E762" s="30"/>
      <x:c r="F762" s="30"/>
      <x:c r="G762" s="30"/>
      <x:c r="H762" s="35"/>
      <x:c r="I762" s="35"/>
      <x:c r="J762" s="30"/>
    </x:row>
    <x:row r="763">
      <x:c r="A763" s="30"/>
      <x:c r="B763" s="30"/>
      <x:c r="C763" s="35"/>
      <x:c r="D763" s="30"/>
      <x:c r="E763" s="30"/>
      <x:c r="F763" s="30"/>
      <x:c r="G763" s="30"/>
      <x:c r="H763" s="35"/>
      <x:c r="I763" s="35"/>
      <x:c r="J763" s="30"/>
    </x:row>
    <x:row r="764">
      <x:c r="A764" s="30"/>
      <x:c r="B764" s="30"/>
      <x:c r="C764" s="35"/>
      <x:c r="D764" s="30"/>
      <x:c r="E764" s="30"/>
      <x:c r="F764" s="30"/>
      <x:c r="G764" s="30"/>
      <x:c r="H764" s="35"/>
      <x:c r="I764" s="35"/>
      <x:c r="J764" s="30"/>
    </x:row>
    <x:row r="765">
      <x:c r="A765" s="30"/>
      <x:c r="B765" s="30"/>
      <x:c r="C765" s="35"/>
      <x:c r="D765" s="30"/>
      <x:c r="E765" s="30"/>
      <x:c r="F765" s="30"/>
      <x:c r="G765" s="30"/>
      <x:c r="H765" s="35"/>
      <x:c r="I765" s="35"/>
      <x:c r="J765" s="30"/>
    </x:row>
    <x:row r="766">
      <x:c r="A766" s="30"/>
      <x:c r="B766" s="30"/>
      <x:c r="C766" s="35"/>
      <x:c r="D766" s="30"/>
      <x:c r="E766" s="30"/>
      <x:c r="F766" s="30"/>
      <x:c r="G766" s="30"/>
      <x:c r="H766" s="35"/>
      <x:c r="I766" s="35"/>
      <x:c r="J766" s="30"/>
    </x:row>
    <x:row r="767">
      <x:c r="A767" s="30"/>
      <x:c r="B767" s="30"/>
      <x:c r="C767" s="35"/>
      <x:c r="D767" s="30"/>
      <x:c r="E767" s="30"/>
      <x:c r="F767" s="30"/>
      <x:c r="G767" s="30"/>
      <x:c r="H767" s="35"/>
      <x:c r="I767" s="35"/>
      <x:c r="J767" s="30"/>
    </x:row>
    <x:row r="768">
      <x:c r="A768" s="30"/>
      <x:c r="B768" s="30"/>
      <x:c r="C768" s="35"/>
      <x:c r="D768" s="30"/>
      <x:c r="E768" s="30"/>
      <x:c r="F768" s="30"/>
      <x:c r="G768" s="30"/>
      <x:c r="H768" s="35"/>
      <x:c r="I768" s="35"/>
      <x:c r="J768" s="30"/>
    </x:row>
    <x:row r="769">
      <x:c r="A769" s="30"/>
      <x:c r="B769" s="30"/>
      <x:c r="C769" s="35"/>
      <x:c r="D769" s="30"/>
      <x:c r="E769" s="30"/>
      <x:c r="F769" s="30"/>
      <x:c r="G769" s="30"/>
      <x:c r="H769" s="35"/>
      <x:c r="I769" s="35"/>
      <x:c r="J769" s="30"/>
    </x:row>
    <x:row r="770">
      <x:c r="A770" s="30"/>
      <x:c r="B770" s="30"/>
      <x:c r="C770" s="35"/>
      <x:c r="D770" s="30"/>
      <x:c r="E770" s="30"/>
      <x:c r="F770" s="30"/>
      <x:c r="G770" s="30"/>
      <x:c r="H770" s="35"/>
      <x:c r="I770" s="35"/>
      <x:c r="J770" s="30"/>
    </x:row>
    <x:row r="771">
      <x:c r="A771" s="30"/>
      <x:c r="B771" s="30"/>
      <x:c r="C771" s="35"/>
      <x:c r="D771" s="30"/>
      <x:c r="E771" s="30"/>
      <x:c r="F771" s="30"/>
      <x:c r="G771" s="30"/>
      <x:c r="H771" s="35"/>
      <x:c r="I771" s="35"/>
      <x:c r="J771" s="30"/>
    </x:row>
    <x:row r="772">
      <x:c r="A772" s="30"/>
      <x:c r="B772" s="30"/>
      <x:c r="C772" s="35"/>
      <x:c r="D772" s="30"/>
      <x:c r="E772" s="30"/>
      <x:c r="F772" s="30"/>
      <x:c r="G772" s="30"/>
      <x:c r="H772" s="35"/>
      <x:c r="I772" s="35"/>
      <x:c r="J772" s="30"/>
    </x:row>
    <x:row r="773">
      <x:c r="A773" s="30"/>
      <x:c r="B773" s="30"/>
      <x:c r="C773" s="35"/>
      <x:c r="D773" s="30"/>
      <x:c r="E773" s="30"/>
      <x:c r="F773" s="30"/>
      <x:c r="G773" s="30"/>
      <x:c r="H773" s="35"/>
      <x:c r="I773" s="35"/>
      <x:c r="J773" s="30"/>
    </x:row>
    <x:row r="774">
      <x:c r="A774" s="30"/>
      <x:c r="B774" s="30"/>
      <x:c r="C774" s="35"/>
      <x:c r="D774" s="30"/>
      <x:c r="E774" s="30"/>
      <x:c r="F774" s="30"/>
      <x:c r="G774" s="30"/>
      <x:c r="H774" s="35"/>
      <x:c r="I774" s="35"/>
      <x:c r="J774" s="30"/>
    </x:row>
    <x:row r="775">
      <x:c r="A775" s="30"/>
      <x:c r="B775" s="30"/>
      <x:c r="C775" s="35"/>
      <x:c r="D775" s="30"/>
      <x:c r="E775" s="30"/>
      <x:c r="F775" s="30"/>
      <x:c r="G775" s="30"/>
      <x:c r="H775" s="35"/>
      <x:c r="I775" s="35"/>
      <x:c r="J775" s="30"/>
    </x:row>
    <x:row r="776">
      <x:c r="A776" s="30"/>
      <x:c r="B776" s="30"/>
      <x:c r="C776" s="35"/>
      <x:c r="D776" s="30"/>
      <x:c r="E776" s="30"/>
      <x:c r="F776" s="30"/>
      <x:c r="G776" s="30"/>
      <x:c r="H776" s="35"/>
      <x:c r="I776" s="35"/>
      <x:c r="J776" s="30"/>
    </x:row>
    <x:row r="777">
      <x:c r="A777" s="30"/>
      <x:c r="B777" s="30"/>
      <x:c r="C777" s="35"/>
      <x:c r="D777" s="30"/>
      <x:c r="E777" s="30"/>
      <x:c r="F777" s="30"/>
      <x:c r="G777" s="30"/>
      <x:c r="H777" s="35"/>
      <x:c r="I777" s="35"/>
      <x:c r="J777" s="30"/>
    </x:row>
    <x:row r="778">
      <x:c r="A778" s="30"/>
      <x:c r="B778" s="30"/>
      <x:c r="C778" s="35"/>
      <x:c r="D778" s="30"/>
      <x:c r="E778" s="30"/>
      <x:c r="F778" s="30"/>
      <x:c r="G778" s="30"/>
      <x:c r="H778" s="35"/>
      <x:c r="I778" s="35"/>
      <x:c r="J778" s="30"/>
    </x:row>
    <x:row r="779">
      <x:c r="A779" s="30"/>
      <x:c r="B779" s="30"/>
      <x:c r="C779" s="35"/>
      <x:c r="D779" s="30"/>
      <x:c r="E779" s="30"/>
      <x:c r="F779" s="30"/>
      <x:c r="G779" s="30"/>
      <x:c r="H779" s="35"/>
      <x:c r="I779" s="35"/>
      <x:c r="J779" s="30"/>
    </x:row>
    <x:row r="780">
      <x:c r="A780" s="30"/>
      <x:c r="B780" s="30"/>
      <x:c r="C780" s="35"/>
      <x:c r="D780" s="30"/>
      <x:c r="E780" s="30"/>
      <x:c r="F780" s="30"/>
      <x:c r="G780" s="30"/>
      <x:c r="H780" s="35"/>
      <x:c r="I780" s="35"/>
      <x:c r="J780" s="30"/>
    </x:row>
    <x:row r="781">
      <x:c r="A781" s="30"/>
      <x:c r="B781" s="30"/>
      <x:c r="C781" s="35"/>
      <x:c r="D781" s="30"/>
      <x:c r="E781" s="30"/>
      <x:c r="F781" s="30"/>
      <x:c r="G781" s="30"/>
      <x:c r="H781" s="35"/>
      <x:c r="I781" s="35"/>
      <x:c r="J781" s="30"/>
    </x:row>
    <x:row r="782">
      <x:c r="A782" s="30"/>
      <x:c r="B782" s="30"/>
      <x:c r="C782" s="35"/>
      <x:c r="D782" s="30"/>
      <x:c r="E782" s="30"/>
      <x:c r="F782" s="30"/>
      <x:c r="G782" s="30"/>
      <x:c r="H782" s="35"/>
      <x:c r="I782" s="35"/>
      <x:c r="J782" s="30"/>
    </x:row>
    <x:row r="783">
      <x:c r="A783" s="30"/>
      <x:c r="B783" s="30"/>
      <x:c r="C783" s="35"/>
      <x:c r="D783" s="30"/>
      <x:c r="E783" s="30"/>
      <x:c r="F783" s="30"/>
      <x:c r="G783" s="30"/>
      <x:c r="H783" s="35"/>
      <x:c r="I783" s="35"/>
      <x:c r="J783" s="30"/>
    </x:row>
    <x:row r="784">
      <x:c r="A784" s="30"/>
      <x:c r="B784" s="30"/>
      <x:c r="C784" s="35"/>
      <x:c r="D784" s="30"/>
      <x:c r="E784" s="30"/>
      <x:c r="F784" s="30"/>
      <x:c r="G784" s="30"/>
      <x:c r="H784" s="35"/>
      <x:c r="I784" s="35"/>
      <x:c r="J784" s="30"/>
    </x:row>
    <x:row r="785">
      <x:c r="A785" s="30"/>
      <x:c r="B785" s="30"/>
      <x:c r="C785" s="35"/>
      <x:c r="D785" s="30"/>
      <x:c r="E785" s="30"/>
      <x:c r="F785" s="30"/>
      <x:c r="G785" s="30"/>
      <x:c r="H785" s="35"/>
      <x:c r="I785" s="35"/>
      <x:c r="J785" s="30"/>
    </x:row>
    <x:row r="786">
      <x:c r="A786" s="30"/>
      <x:c r="B786" s="30"/>
      <x:c r="C786" s="35"/>
      <x:c r="D786" s="30"/>
      <x:c r="E786" s="30"/>
      <x:c r="F786" s="30"/>
      <x:c r="G786" s="30"/>
      <x:c r="H786" s="35"/>
      <x:c r="I786" s="35"/>
      <x:c r="J786" s="30"/>
    </x:row>
    <x:row r="787">
      <x:c r="A787" s="30"/>
      <x:c r="B787" s="30"/>
      <x:c r="C787" s="35"/>
      <x:c r="D787" s="30"/>
      <x:c r="E787" s="30"/>
      <x:c r="F787" s="30"/>
      <x:c r="G787" s="30"/>
      <x:c r="H787" s="35"/>
      <x:c r="I787" s="35"/>
      <x:c r="J787" s="30"/>
    </x:row>
    <x:row r="788">
      <x:c r="A788" s="30"/>
      <x:c r="B788" s="30"/>
      <x:c r="C788" s="35"/>
      <x:c r="D788" s="30"/>
      <x:c r="E788" s="30"/>
      <x:c r="F788" s="30"/>
      <x:c r="G788" s="30"/>
      <x:c r="H788" s="35"/>
      <x:c r="I788" s="35"/>
      <x:c r="J788" s="30"/>
    </x:row>
    <x:row r="789">
      <x:c r="A789" s="30"/>
      <x:c r="B789" s="30"/>
      <x:c r="C789" s="35"/>
      <x:c r="D789" s="30"/>
      <x:c r="E789" s="30"/>
      <x:c r="F789" s="30"/>
      <x:c r="G789" s="30"/>
      <x:c r="H789" s="35"/>
      <x:c r="I789" s="35"/>
      <x:c r="J789" s="30"/>
    </x:row>
    <x:row r="790">
      <x:c r="A790" s="30"/>
      <x:c r="B790" s="30"/>
      <x:c r="C790" s="35"/>
      <x:c r="D790" s="30"/>
      <x:c r="E790" s="30"/>
      <x:c r="F790" s="30"/>
      <x:c r="G790" s="30"/>
      <x:c r="H790" s="35"/>
      <x:c r="I790" s="35"/>
      <x:c r="J790" s="30"/>
    </x:row>
    <x:row r="791">
      <x:c r="A791" s="30"/>
      <x:c r="B791" s="30"/>
      <x:c r="C791" s="35"/>
      <x:c r="D791" s="30"/>
      <x:c r="E791" s="30"/>
      <x:c r="F791" s="30"/>
      <x:c r="G791" s="30"/>
      <x:c r="H791" s="35"/>
      <x:c r="I791" s="35"/>
      <x:c r="J791" s="30"/>
    </x:row>
    <x:row r="792">
      <x:c r="A792" s="30"/>
      <x:c r="B792" s="30"/>
      <x:c r="C792" s="35"/>
      <x:c r="D792" s="30"/>
      <x:c r="E792" s="30"/>
      <x:c r="F792" s="30"/>
      <x:c r="G792" s="30"/>
      <x:c r="H792" s="35"/>
      <x:c r="I792" s="35"/>
      <x:c r="J792" s="30"/>
    </x:row>
    <x:row r="793">
      <x:c r="A793" s="30"/>
      <x:c r="B793" s="30"/>
      <x:c r="C793" s="35"/>
      <x:c r="D793" s="30"/>
      <x:c r="E793" s="30"/>
      <x:c r="F793" s="30"/>
      <x:c r="G793" s="30"/>
      <x:c r="H793" s="35"/>
      <x:c r="I793" s="35"/>
      <x:c r="J793" s="30"/>
    </x:row>
    <x:row r="794">
      <x:c r="A794" s="30"/>
      <x:c r="B794" s="30"/>
      <x:c r="C794" s="35"/>
      <x:c r="D794" s="30"/>
      <x:c r="E794" s="30"/>
      <x:c r="F794" s="30"/>
      <x:c r="G794" s="30"/>
      <x:c r="H794" s="35"/>
      <x:c r="I794" s="35"/>
      <x:c r="J794" s="30"/>
    </x:row>
    <x:row r="795">
      <x:c r="A795" s="30"/>
      <x:c r="B795" s="30"/>
      <x:c r="C795" s="35"/>
      <x:c r="D795" s="30"/>
      <x:c r="E795" s="30"/>
      <x:c r="F795" s="30"/>
      <x:c r="G795" s="30"/>
      <x:c r="H795" s="35"/>
      <x:c r="I795" s="35"/>
      <x:c r="J795" s="30"/>
    </x:row>
    <x:row r="796">
      <x:c r="A796" s="30"/>
      <x:c r="B796" s="30"/>
      <x:c r="C796" s="35"/>
      <x:c r="D796" s="30"/>
      <x:c r="E796" s="30"/>
      <x:c r="F796" s="30"/>
      <x:c r="G796" s="30"/>
      <x:c r="H796" s="35"/>
      <x:c r="I796" s="35"/>
      <x:c r="J796" s="30"/>
    </x:row>
    <x:row r="797">
      <x:c r="A797" s="30"/>
      <x:c r="B797" s="30"/>
      <x:c r="C797" s="35"/>
      <x:c r="D797" s="30"/>
      <x:c r="E797" s="30"/>
      <x:c r="F797" s="30"/>
      <x:c r="G797" s="30"/>
      <x:c r="H797" s="35"/>
      <x:c r="I797" s="35"/>
      <x:c r="J797" s="30"/>
    </x:row>
    <x:row r="798">
      <x:c r="A798" s="30"/>
      <x:c r="B798" s="30"/>
      <x:c r="C798" s="35"/>
      <x:c r="D798" s="30"/>
      <x:c r="E798" s="30"/>
      <x:c r="F798" s="30"/>
      <x:c r="G798" s="30"/>
      <x:c r="H798" s="35"/>
      <x:c r="I798" s="35"/>
      <x:c r="J798" s="30"/>
    </x:row>
    <x:row r="799">
      <x:c r="A799" s="30"/>
      <x:c r="B799" s="30"/>
      <x:c r="C799" s="35"/>
      <x:c r="D799" s="30"/>
      <x:c r="E799" s="30"/>
      <x:c r="F799" s="30"/>
      <x:c r="G799" s="30"/>
      <x:c r="H799" s="35"/>
      <x:c r="I799" s="35"/>
      <x:c r="J799" s="30"/>
    </x:row>
    <x:row r="800">
      <x:c r="A800" s="30"/>
      <x:c r="B800" s="30"/>
      <x:c r="C800" s="35"/>
      <x:c r="D800" s="30"/>
      <x:c r="E800" s="30"/>
      <x:c r="F800" s="30"/>
      <x:c r="G800" s="30"/>
      <x:c r="H800" s="35"/>
      <x:c r="I800" s="35"/>
      <x:c r="J800" s="30"/>
    </x:row>
    <x:row r="801">
      <x:c r="A801" s="30"/>
      <x:c r="B801" s="30"/>
      <x:c r="C801" s="35"/>
      <x:c r="D801" s="30"/>
      <x:c r="E801" s="30"/>
      <x:c r="F801" s="30"/>
      <x:c r="G801" s="30"/>
      <x:c r="H801" s="35"/>
      <x:c r="I801" s="35"/>
      <x:c r="J801" s="30"/>
    </x:row>
    <x:row r="802">
      <x:c r="A802" s="30"/>
      <x:c r="B802" s="30"/>
      <x:c r="C802" s="35"/>
      <x:c r="D802" s="30"/>
      <x:c r="E802" s="30"/>
      <x:c r="F802" s="30"/>
      <x:c r="G802" s="30"/>
      <x:c r="H802" s="35"/>
      <x:c r="I802" s="35"/>
      <x:c r="J802" s="30"/>
    </x:row>
    <x:row r="803">
      <x:c r="A803" s="30"/>
      <x:c r="B803" s="30"/>
      <x:c r="C803" s="35"/>
      <x:c r="D803" s="30"/>
      <x:c r="E803" s="30"/>
      <x:c r="F803" s="30"/>
      <x:c r="G803" s="30"/>
      <x:c r="H803" s="35"/>
      <x:c r="I803" s="35"/>
      <x:c r="J803" s="30"/>
    </x:row>
    <x:row r="804">
      <x:c r="A804" s="30"/>
      <x:c r="B804" s="30"/>
      <x:c r="C804" s="35"/>
      <x:c r="D804" s="30"/>
      <x:c r="E804" s="30"/>
      <x:c r="F804" s="30"/>
      <x:c r="G804" s="30"/>
      <x:c r="H804" s="35"/>
      <x:c r="I804" s="35"/>
      <x:c r="J804" s="30"/>
    </x:row>
    <x:row r="805">
      <x:c r="A805" s="30"/>
      <x:c r="B805" s="30"/>
      <x:c r="C805" s="35"/>
      <x:c r="D805" s="30"/>
      <x:c r="E805" s="30"/>
      <x:c r="F805" s="30"/>
      <x:c r="G805" s="30"/>
      <x:c r="H805" s="35"/>
      <x:c r="I805" s="35"/>
      <x:c r="J805" s="30"/>
    </x:row>
    <x:row r="806">
      <x:c r="A806" s="30"/>
      <x:c r="B806" s="30"/>
      <x:c r="C806" s="35"/>
      <x:c r="D806" s="30"/>
      <x:c r="E806" s="30"/>
      <x:c r="F806" s="30"/>
      <x:c r="G806" s="30"/>
      <x:c r="H806" s="35"/>
      <x:c r="I806" s="35"/>
      <x:c r="J806" s="30"/>
    </x:row>
    <x:row r="807">
      <x:c r="A807" s="30"/>
      <x:c r="B807" s="30"/>
      <x:c r="C807" s="35"/>
      <x:c r="D807" s="30"/>
      <x:c r="E807" s="30"/>
      <x:c r="F807" s="30"/>
      <x:c r="G807" s="30"/>
      <x:c r="H807" s="35"/>
      <x:c r="I807" s="35"/>
      <x:c r="J807" s="30"/>
    </x:row>
    <x:row r="808">
      <x:c r="A808" s="30"/>
      <x:c r="B808" s="30"/>
      <x:c r="C808" s="35"/>
      <x:c r="D808" s="30"/>
      <x:c r="E808" s="30"/>
      <x:c r="F808" s="30"/>
      <x:c r="G808" s="30"/>
      <x:c r="H808" s="35"/>
      <x:c r="I808" s="35"/>
      <x:c r="J808" s="30"/>
    </x:row>
    <x:row r="809">
      <x:c r="A809" s="30"/>
      <x:c r="B809" s="30"/>
      <x:c r="C809" s="35"/>
      <x:c r="D809" s="30"/>
      <x:c r="E809" s="30"/>
      <x:c r="F809" s="30"/>
      <x:c r="G809" s="30"/>
      <x:c r="H809" s="35"/>
      <x:c r="I809" s="35"/>
      <x:c r="J809" s="30"/>
    </x:row>
    <x:row r="810">
      <x:c r="A810" s="30"/>
      <x:c r="B810" s="30"/>
      <x:c r="C810" s="35"/>
      <x:c r="D810" s="30"/>
      <x:c r="E810" s="30"/>
      <x:c r="F810" s="30"/>
      <x:c r="G810" s="30"/>
      <x:c r="H810" s="35"/>
      <x:c r="I810" s="35"/>
      <x:c r="J810" s="30"/>
    </x:row>
    <x:row r="811">
      <x:c r="A811" s="30"/>
      <x:c r="B811" s="30"/>
      <x:c r="C811" s="35"/>
      <x:c r="D811" s="30"/>
      <x:c r="E811" s="30"/>
      <x:c r="F811" s="30"/>
      <x:c r="G811" s="30"/>
      <x:c r="H811" s="35"/>
      <x:c r="I811" s="35"/>
      <x:c r="J811" s="30"/>
    </x:row>
    <x:row r="812">
      <x:c r="A812" s="30"/>
      <x:c r="B812" s="30"/>
      <x:c r="C812" s="35"/>
      <x:c r="D812" s="30"/>
      <x:c r="E812" s="30"/>
      <x:c r="F812" s="30"/>
      <x:c r="G812" s="30"/>
      <x:c r="H812" s="35"/>
      <x:c r="I812" s="35"/>
      <x:c r="J812" s="30"/>
    </x:row>
    <x:row r="813">
      <x:c r="A813" s="30"/>
      <x:c r="B813" s="30"/>
      <x:c r="C813" s="35"/>
      <x:c r="D813" s="30"/>
      <x:c r="E813" s="30"/>
      <x:c r="F813" s="30"/>
      <x:c r="G813" s="30"/>
      <x:c r="H813" s="35"/>
      <x:c r="I813" s="35"/>
      <x:c r="J813" s="30"/>
    </x:row>
    <x:row r="814">
      <x:c r="A814" s="30"/>
      <x:c r="B814" s="30"/>
      <x:c r="C814" s="35"/>
      <x:c r="D814" s="30"/>
      <x:c r="E814" s="30"/>
      <x:c r="F814" s="30"/>
      <x:c r="G814" s="30"/>
      <x:c r="H814" s="35"/>
      <x:c r="I814" s="35"/>
      <x:c r="J814" s="30"/>
    </x:row>
    <x:row r="815">
      <x:c r="A815" s="30"/>
      <x:c r="B815" s="30"/>
      <x:c r="C815" s="35"/>
      <x:c r="D815" s="30"/>
      <x:c r="E815" s="30"/>
      <x:c r="F815" s="30"/>
      <x:c r="G815" s="30"/>
      <x:c r="H815" s="35"/>
      <x:c r="I815" s="35"/>
      <x:c r="J815" s="30"/>
    </x:row>
    <x:row r="816">
      <x:c r="A816" s="30"/>
      <x:c r="B816" s="30"/>
      <x:c r="C816" s="35"/>
      <x:c r="D816" s="30"/>
      <x:c r="E816" s="30"/>
      <x:c r="F816" s="30"/>
      <x:c r="G816" s="30"/>
      <x:c r="H816" s="35"/>
      <x:c r="I816" s="35"/>
      <x:c r="J816" s="30"/>
    </x:row>
    <x:row r="817">
      <x:c r="A817" s="30"/>
      <x:c r="B817" s="30"/>
      <x:c r="C817" s="35"/>
      <x:c r="D817" s="30"/>
      <x:c r="E817" s="30"/>
      <x:c r="F817" s="30"/>
      <x:c r="G817" s="30"/>
      <x:c r="H817" s="35"/>
      <x:c r="I817" s="35"/>
      <x:c r="J817" s="30"/>
    </x:row>
    <x:row r="818">
      <x:c r="A818" s="30"/>
      <x:c r="B818" s="30"/>
      <x:c r="C818" s="35"/>
      <x:c r="D818" s="30"/>
      <x:c r="E818" s="30"/>
      <x:c r="F818" s="30"/>
      <x:c r="G818" s="30"/>
      <x:c r="H818" s="35"/>
      <x:c r="I818" s="35"/>
      <x:c r="J818" s="30"/>
    </x:row>
    <x:row r="819">
      <x:c r="A819" s="30"/>
      <x:c r="B819" s="30"/>
      <x:c r="C819" s="35"/>
      <x:c r="D819" s="30"/>
      <x:c r="E819" s="30"/>
      <x:c r="F819" s="30"/>
      <x:c r="G819" s="30"/>
      <x:c r="H819" s="35"/>
      <x:c r="I819" s="35"/>
      <x:c r="J819" s="30"/>
    </x:row>
    <x:row r="820">
      <x:c r="A820" s="30"/>
      <x:c r="B820" s="30"/>
      <x:c r="C820" s="35"/>
      <x:c r="D820" s="30"/>
      <x:c r="E820" s="30"/>
      <x:c r="F820" s="30"/>
      <x:c r="G820" s="30"/>
      <x:c r="H820" s="35"/>
      <x:c r="I820" s="35"/>
      <x:c r="J820" s="30"/>
    </x:row>
    <x:row r="821">
      <x:c r="A821" s="30"/>
      <x:c r="B821" s="30"/>
      <x:c r="C821" s="35"/>
      <x:c r="D821" s="30"/>
      <x:c r="E821" s="30"/>
      <x:c r="F821" s="30"/>
      <x:c r="G821" s="30"/>
      <x:c r="H821" s="35"/>
      <x:c r="I821" s="35"/>
      <x:c r="J821" s="30"/>
    </x:row>
    <x:row r="822">
      <x:c r="A822" s="30"/>
      <x:c r="B822" s="30"/>
      <x:c r="C822" s="35"/>
      <x:c r="D822" s="30"/>
      <x:c r="E822" s="30"/>
      <x:c r="F822" s="30"/>
      <x:c r="G822" s="30"/>
      <x:c r="H822" s="35"/>
      <x:c r="I822" s="35"/>
      <x:c r="J822" s="30"/>
    </x:row>
    <x:row r="823">
      <x:c r="A823" s="30"/>
      <x:c r="B823" s="30"/>
      <x:c r="C823" s="35"/>
      <x:c r="D823" s="30"/>
      <x:c r="E823" s="30"/>
      <x:c r="F823" s="30"/>
      <x:c r="G823" s="30"/>
      <x:c r="H823" s="35"/>
      <x:c r="I823" s="35"/>
      <x:c r="J823" s="30"/>
    </x:row>
    <x:row r="824">
      <x:c r="A824" s="30"/>
      <x:c r="B824" s="30"/>
      <x:c r="C824" s="35"/>
      <x:c r="D824" s="30"/>
      <x:c r="E824" s="30"/>
      <x:c r="F824" s="30"/>
      <x:c r="G824" s="30"/>
      <x:c r="H824" s="35"/>
      <x:c r="I824" s="35"/>
      <x:c r="J824" s="30"/>
    </x:row>
    <x:row r="825">
      <x:c r="A825" s="30"/>
      <x:c r="B825" s="30"/>
      <x:c r="C825" s="35"/>
      <x:c r="D825" s="30"/>
      <x:c r="E825" s="30"/>
      <x:c r="F825" s="30"/>
      <x:c r="G825" s="30"/>
      <x:c r="H825" s="35"/>
      <x:c r="I825" s="35"/>
      <x:c r="J825" s="30"/>
    </x:row>
    <x:row r="826">
      <x:c r="A826" s="30"/>
      <x:c r="B826" s="30"/>
      <x:c r="C826" s="35"/>
      <x:c r="D826" s="30"/>
      <x:c r="E826" s="30"/>
      <x:c r="F826" s="30"/>
      <x:c r="G826" s="30"/>
      <x:c r="H826" s="35"/>
      <x:c r="I826" s="35"/>
      <x:c r="J826" s="30"/>
    </x:row>
    <x:row r="827">
      <x:c r="A827" s="30"/>
      <x:c r="B827" s="30"/>
      <x:c r="C827" s="35"/>
      <x:c r="D827" s="30"/>
      <x:c r="E827" s="30"/>
      <x:c r="F827" s="30"/>
      <x:c r="G827" s="30"/>
      <x:c r="H827" s="35"/>
      <x:c r="I827" s="35"/>
      <x:c r="J827" s="30"/>
    </x:row>
    <x:row r="828">
      <x:c r="A828" s="30"/>
      <x:c r="B828" s="30"/>
      <x:c r="C828" s="35"/>
      <x:c r="D828" s="30"/>
      <x:c r="E828" s="30"/>
      <x:c r="F828" s="30"/>
      <x:c r="G828" s="30"/>
      <x:c r="H828" s="35"/>
      <x:c r="I828" s="35"/>
      <x:c r="J828" s="30"/>
    </x:row>
    <x:row r="829">
      <x:c r="A829" s="30"/>
      <x:c r="B829" s="30"/>
      <x:c r="C829" s="35"/>
      <x:c r="D829" s="30"/>
      <x:c r="E829" s="30"/>
      <x:c r="F829" s="30"/>
      <x:c r="G829" s="30"/>
      <x:c r="H829" s="35"/>
      <x:c r="I829" s="35"/>
      <x:c r="J829" s="30"/>
    </x:row>
    <x:row r="830">
      <x:c r="A830" s="30"/>
      <x:c r="B830" s="30"/>
      <x:c r="C830" s="35"/>
      <x:c r="D830" s="30"/>
      <x:c r="E830" s="30"/>
      <x:c r="F830" s="30"/>
      <x:c r="G830" s="30"/>
      <x:c r="H830" s="35"/>
      <x:c r="I830" s="35"/>
      <x:c r="J830" s="30"/>
    </x:row>
    <x:row r="831">
      <x:c r="A831" s="30"/>
      <x:c r="B831" s="30"/>
      <x:c r="C831" s="35"/>
      <x:c r="D831" s="30"/>
      <x:c r="E831" s="30"/>
      <x:c r="F831" s="30"/>
      <x:c r="G831" s="30"/>
      <x:c r="H831" s="35"/>
      <x:c r="I831" s="35"/>
      <x:c r="J831" s="30"/>
    </x:row>
    <x:row r="832">
      <x:c r="A832" s="30"/>
      <x:c r="B832" s="30"/>
      <x:c r="C832" s="35"/>
      <x:c r="D832" s="30"/>
      <x:c r="E832" s="30"/>
      <x:c r="F832" s="30"/>
      <x:c r="G832" s="30"/>
      <x:c r="H832" s="35"/>
      <x:c r="I832" s="35"/>
      <x:c r="J832" s="30"/>
    </x:row>
    <x:row r="833">
      <x:c r="A833" s="30"/>
      <x:c r="B833" s="30"/>
      <x:c r="C833" s="35"/>
      <x:c r="D833" s="30"/>
      <x:c r="E833" s="30"/>
      <x:c r="F833" s="30"/>
      <x:c r="G833" s="30"/>
      <x:c r="H833" s="35"/>
      <x:c r="I833" s="35"/>
      <x:c r="J833" s="30"/>
    </x:row>
    <x:row r="834">
      <x:c r="A834" s="30"/>
      <x:c r="B834" s="30"/>
      <x:c r="C834" s="35"/>
      <x:c r="D834" s="30"/>
      <x:c r="E834" s="30"/>
      <x:c r="F834" s="30"/>
      <x:c r="G834" s="30"/>
      <x:c r="H834" s="35"/>
      <x:c r="I834" s="35"/>
      <x:c r="J834" s="30"/>
    </x:row>
    <x:row r="835">
      <x:c r="A835" s="30"/>
      <x:c r="B835" s="30"/>
      <x:c r="C835" s="35"/>
      <x:c r="D835" s="30"/>
      <x:c r="E835" s="30"/>
      <x:c r="F835" s="30"/>
      <x:c r="G835" s="30"/>
      <x:c r="H835" s="35"/>
      <x:c r="I835" s="35"/>
      <x:c r="J835" s="30"/>
    </x:row>
    <x:row r="836">
      <x:c r="A836" s="30"/>
      <x:c r="B836" s="30"/>
      <x:c r="C836" s="35"/>
      <x:c r="D836" s="30"/>
      <x:c r="E836" s="30"/>
      <x:c r="F836" s="30"/>
      <x:c r="G836" s="30"/>
      <x:c r="H836" s="35"/>
      <x:c r="I836" s="35"/>
      <x:c r="J836" s="30"/>
    </x:row>
    <x:row r="837">
      <x:c r="A837" s="30"/>
      <x:c r="B837" s="30"/>
      <x:c r="C837" s="35"/>
      <x:c r="D837" s="30"/>
      <x:c r="E837" s="30"/>
      <x:c r="F837" s="30"/>
      <x:c r="G837" s="30"/>
      <x:c r="H837" s="35"/>
      <x:c r="I837" s="35"/>
      <x:c r="J837" s="30"/>
    </x:row>
    <x:row r="838">
      <x:c r="A838" s="30"/>
      <x:c r="B838" s="30"/>
      <x:c r="C838" s="35"/>
      <x:c r="D838" s="30"/>
      <x:c r="E838" s="30"/>
      <x:c r="F838" s="30"/>
      <x:c r="G838" s="30"/>
      <x:c r="H838" s="35"/>
      <x:c r="I838" s="35"/>
      <x:c r="J838" s="30"/>
    </x:row>
    <x:row r="839">
      <x:c r="A839" s="30"/>
      <x:c r="B839" s="30"/>
      <x:c r="C839" s="35"/>
      <x:c r="D839" s="30"/>
      <x:c r="E839" s="30"/>
      <x:c r="F839" s="30"/>
      <x:c r="G839" s="30"/>
      <x:c r="H839" s="35"/>
      <x:c r="I839" s="35"/>
      <x:c r="J839" s="30"/>
    </x:row>
    <x:row r="840">
      <x:c r="A840" s="30"/>
      <x:c r="B840" s="30"/>
      <x:c r="C840" s="35"/>
      <x:c r="D840" s="30"/>
      <x:c r="E840" s="30"/>
      <x:c r="F840" s="30"/>
      <x:c r="G840" s="30"/>
      <x:c r="H840" s="35"/>
      <x:c r="I840" s="35"/>
      <x:c r="J840" s="30"/>
    </x:row>
    <x:row r="841">
      <x:c r="A841" s="30"/>
      <x:c r="B841" s="30"/>
      <x:c r="C841" s="35"/>
      <x:c r="D841" s="30"/>
      <x:c r="E841" s="30"/>
      <x:c r="F841" s="30"/>
      <x:c r="G841" s="30"/>
      <x:c r="H841" s="35"/>
      <x:c r="I841" s="35"/>
      <x:c r="J841" s="30"/>
    </x:row>
    <x:row r="842">
      <x:c r="A842" s="30"/>
      <x:c r="B842" s="30"/>
      <x:c r="C842" s="35"/>
      <x:c r="D842" s="30"/>
      <x:c r="E842" s="30"/>
      <x:c r="F842" s="30"/>
      <x:c r="G842" s="30"/>
      <x:c r="H842" s="35"/>
      <x:c r="I842" s="35"/>
      <x:c r="J842" s="30"/>
    </x:row>
    <x:row r="843">
      <x:c r="A843" s="30"/>
      <x:c r="B843" s="30"/>
      <x:c r="C843" s="35"/>
      <x:c r="D843" s="30"/>
      <x:c r="E843" s="30"/>
      <x:c r="F843" s="30"/>
      <x:c r="G843" s="30"/>
      <x:c r="H843" s="35"/>
      <x:c r="I843" s="35"/>
      <x:c r="J843" s="30"/>
    </x:row>
    <x:row r="844">
      <x:c r="A844" s="30"/>
      <x:c r="B844" s="30"/>
      <x:c r="C844" s="35"/>
      <x:c r="D844" s="30"/>
      <x:c r="E844" s="30"/>
      <x:c r="F844" s="30"/>
      <x:c r="G844" s="30"/>
      <x:c r="H844" s="35"/>
      <x:c r="I844" s="35"/>
      <x:c r="J844" s="30"/>
    </x:row>
    <x:row r="845">
      <x:c r="A845" s="30"/>
      <x:c r="B845" s="30"/>
      <x:c r="C845" s="35"/>
      <x:c r="D845" s="30"/>
      <x:c r="E845" s="30"/>
      <x:c r="F845" s="30"/>
      <x:c r="G845" s="30"/>
      <x:c r="H845" s="35"/>
      <x:c r="I845" s="35"/>
      <x:c r="J845" s="30"/>
    </x:row>
    <x:row r="846">
      <x:c r="A846" s="30"/>
      <x:c r="B846" s="30"/>
      <x:c r="C846" s="35"/>
      <x:c r="D846" s="30"/>
      <x:c r="E846" s="30"/>
      <x:c r="F846" s="30"/>
      <x:c r="G846" s="30"/>
      <x:c r="H846" s="35"/>
      <x:c r="I846" s="35"/>
      <x:c r="J846" s="30"/>
    </x:row>
    <x:row r="847">
      <x:c r="A847" s="30"/>
      <x:c r="B847" s="30"/>
      <x:c r="C847" s="35"/>
      <x:c r="D847" s="30"/>
      <x:c r="E847" s="30"/>
      <x:c r="F847" s="30"/>
      <x:c r="G847" s="30"/>
      <x:c r="H847" s="35"/>
      <x:c r="I847" s="35"/>
      <x:c r="J847" s="30"/>
    </x:row>
    <x:row r="848">
      <x:c r="A848" s="30"/>
      <x:c r="B848" s="30"/>
      <x:c r="C848" s="35"/>
      <x:c r="D848" s="30"/>
      <x:c r="E848" s="30"/>
      <x:c r="F848" s="30"/>
      <x:c r="G848" s="30"/>
      <x:c r="H848" s="35"/>
      <x:c r="I848" s="35"/>
      <x:c r="J848" s="30"/>
    </x:row>
    <x:row r="849">
      <x:c r="A849" s="30"/>
      <x:c r="B849" s="30"/>
      <x:c r="C849" s="35"/>
      <x:c r="D849" s="30"/>
      <x:c r="E849" s="30"/>
      <x:c r="F849" s="30"/>
      <x:c r="G849" s="30"/>
      <x:c r="H849" s="35"/>
      <x:c r="I849" s="35"/>
      <x:c r="J849" s="30"/>
    </x:row>
    <x:row r="850">
      <x:c r="A850" s="30"/>
      <x:c r="B850" s="30"/>
      <x:c r="C850" s="35"/>
      <x:c r="D850" s="30"/>
      <x:c r="E850" s="30"/>
      <x:c r="F850" s="30"/>
      <x:c r="G850" s="30"/>
      <x:c r="H850" s="35"/>
      <x:c r="I850" s="35"/>
      <x:c r="J850" s="30"/>
    </x:row>
    <x:row r="851">
      <x:c r="A851" s="30"/>
      <x:c r="B851" s="30"/>
      <x:c r="C851" s="35"/>
      <x:c r="D851" s="30"/>
      <x:c r="E851" s="30"/>
      <x:c r="F851" s="30"/>
      <x:c r="G851" s="30"/>
      <x:c r="H851" s="35"/>
      <x:c r="I851" s="35"/>
      <x:c r="J851" s="30"/>
    </x:row>
    <x:row r="852">
      <x:c r="A852" s="30"/>
      <x:c r="B852" s="30"/>
      <x:c r="C852" s="35"/>
      <x:c r="D852" s="30"/>
      <x:c r="E852" s="30"/>
      <x:c r="F852" s="30"/>
      <x:c r="G852" s="30"/>
      <x:c r="H852" s="35"/>
      <x:c r="I852" s="35"/>
      <x:c r="J852" s="30"/>
    </x:row>
    <x:row r="853">
      <x:c r="A853" s="30"/>
      <x:c r="B853" s="30"/>
      <x:c r="C853" s="35"/>
      <x:c r="D853" s="30"/>
      <x:c r="E853" s="30"/>
      <x:c r="F853" s="30"/>
      <x:c r="G853" s="30"/>
      <x:c r="H853" s="35"/>
      <x:c r="I853" s="35"/>
      <x:c r="J853" s="30"/>
    </x:row>
    <x:row r="854">
      <x:c r="A854" s="30"/>
      <x:c r="B854" s="30"/>
      <x:c r="C854" s="35"/>
      <x:c r="D854" s="30"/>
      <x:c r="E854" s="30"/>
      <x:c r="F854" s="30"/>
      <x:c r="G854" s="30"/>
      <x:c r="H854" s="35"/>
      <x:c r="I854" s="35"/>
      <x:c r="J854" s="30"/>
    </x:row>
    <x:row r="855">
      <x:c r="A855" s="30"/>
      <x:c r="B855" s="30"/>
      <x:c r="C855" s="35"/>
      <x:c r="D855" s="30"/>
      <x:c r="E855" s="30"/>
      <x:c r="F855" s="30"/>
      <x:c r="G855" s="30"/>
      <x:c r="H855" s="35"/>
      <x:c r="I855" s="35"/>
      <x:c r="J855" s="30"/>
    </x:row>
    <x:row r="856">
      <x:c r="A856" s="30"/>
      <x:c r="B856" s="30"/>
      <x:c r="C856" s="35"/>
      <x:c r="D856" s="30"/>
      <x:c r="E856" s="30"/>
      <x:c r="F856" s="30"/>
      <x:c r="G856" s="30"/>
      <x:c r="H856" s="35"/>
      <x:c r="I856" s="35"/>
      <x:c r="J856" s="30"/>
    </x:row>
    <x:row r="857">
      <x:c r="A857" s="30"/>
      <x:c r="B857" s="30"/>
      <x:c r="C857" s="35"/>
      <x:c r="D857" s="30"/>
      <x:c r="E857" s="30"/>
      <x:c r="F857" s="30"/>
      <x:c r="G857" s="30"/>
      <x:c r="H857" s="35"/>
      <x:c r="I857" s="35"/>
      <x:c r="J857" s="30"/>
    </x:row>
    <x:row r="858">
      <x:c r="A858" s="30"/>
      <x:c r="B858" s="30"/>
      <x:c r="C858" s="35"/>
      <x:c r="D858" s="30"/>
      <x:c r="E858" s="30"/>
      <x:c r="F858" s="30"/>
      <x:c r="G858" s="30"/>
      <x:c r="H858" s="35"/>
      <x:c r="I858" s="35"/>
      <x:c r="J858" s="30"/>
    </x:row>
    <x:row r="859">
      <x:c r="A859" s="30"/>
      <x:c r="B859" s="30"/>
      <x:c r="C859" s="35"/>
      <x:c r="D859" s="30"/>
      <x:c r="E859" s="30"/>
      <x:c r="F859" s="30"/>
      <x:c r="G859" s="30"/>
      <x:c r="H859" s="35"/>
      <x:c r="I859" s="35"/>
      <x:c r="J859" s="30"/>
    </x:row>
    <x:row r="860">
      <x:c r="A860" s="30"/>
      <x:c r="B860" s="30"/>
      <x:c r="C860" s="35"/>
      <x:c r="D860" s="30"/>
      <x:c r="E860" s="30"/>
      <x:c r="F860" s="30"/>
      <x:c r="G860" s="30"/>
      <x:c r="H860" s="35"/>
      <x:c r="I860" s="35"/>
      <x:c r="J860" s="30"/>
    </x:row>
    <x:row r="861">
      <x:c r="A861" s="30"/>
      <x:c r="B861" s="30"/>
      <x:c r="C861" s="35"/>
      <x:c r="D861" s="30"/>
      <x:c r="E861" s="30"/>
      <x:c r="F861" s="30"/>
      <x:c r="G861" s="30"/>
      <x:c r="H861" s="35"/>
      <x:c r="I861" s="35"/>
      <x:c r="J861" s="30"/>
    </x:row>
    <x:row r="862">
      <x:c r="A862" s="30"/>
      <x:c r="B862" s="30"/>
      <x:c r="C862" s="35"/>
      <x:c r="D862" s="30"/>
      <x:c r="E862" s="30"/>
      <x:c r="F862" s="30"/>
      <x:c r="G862" s="30"/>
      <x:c r="H862" s="35"/>
      <x:c r="I862" s="35"/>
      <x:c r="J862" s="30"/>
    </x:row>
    <x:row r="863">
      <x:c r="A863" s="30"/>
      <x:c r="B863" s="30"/>
      <x:c r="C863" s="35"/>
      <x:c r="D863" s="30"/>
      <x:c r="E863" s="30"/>
      <x:c r="F863" s="30"/>
      <x:c r="G863" s="30"/>
      <x:c r="H863" s="35"/>
      <x:c r="I863" s="35"/>
      <x:c r="J863" s="30"/>
    </x:row>
    <x:row r="864">
      <x:c r="A864" s="30"/>
      <x:c r="B864" s="30"/>
      <x:c r="C864" s="35"/>
      <x:c r="D864" s="30"/>
      <x:c r="E864" s="30"/>
      <x:c r="F864" s="30"/>
      <x:c r="G864" s="30"/>
      <x:c r="H864" s="35"/>
      <x:c r="I864" s="35"/>
      <x:c r="J864" s="30"/>
    </x:row>
    <x:row r="865">
      <x:c r="A865" s="30"/>
      <x:c r="B865" s="30"/>
      <x:c r="C865" s="35"/>
      <x:c r="D865" s="30"/>
      <x:c r="E865" s="30"/>
      <x:c r="F865" s="30"/>
      <x:c r="G865" s="30"/>
      <x:c r="H865" s="35"/>
      <x:c r="I865" s="35"/>
      <x:c r="J865" s="30"/>
    </x:row>
    <x:row r="866">
      <x:c r="A866" s="30"/>
      <x:c r="B866" s="30"/>
      <x:c r="C866" s="35"/>
      <x:c r="D866" s="30"/>
      <x:c r="E866" s="30"/>
      <x:c r="F866" s="30"/>
      <x:c r="G866" s="30"/>
      <x:c r="H866" s="35"/>
      <x:c r="I866" s="35"/>
      <x:c r="J866" s="30"/>
    </x:row>
    <x:row r="867">
      <x:c r="A867" s="30"/>
      <x:c r="B867" s="30"/>
      <x:c r="C867" s="35"/>
      <x:c r="D867" s="30"/>
      <x:c r="E867" s="30"/>
      <x:c r="F867" s="30"/>
      <x:c r="G867" s="30"/>
      <x:c r="H867" s="35"/>
      <x:c r="I867" s="35"/>
      <x:c r="J867" s="30"/>
    </x:row>
    <x:row r="868">
      <x:c r="A868" s="30"/>
      <x:c r="B868" s="30"/>
      <x:c r="C868" s="35"/>
      <x:c r="D868" s="30"/>
      <x:c r="E868" s="30"/>
      <x:c r="F868" s="30"/>
      <x:c r="G868" s="30"/>
      <x:c r="H868" s="35"/>
      <x:c r="I868" s="35"/>
      <x:c r="J868" s="30"/>
    </x:row>
    <x:row r="869">
      <x:c r="A869" s="30"/>
      <x:c r="B869" s="30"/>
      <x:c r="C869" s="35"/>
      <x:c r="D869" s="30"/>
      <x:c r="E869" s="30"/>
      <x:c r="F869" s="30"/>
      <x:c r="G869" s="30"/>
      <x:c r="H869" s="35"/>
      <x:c r="I869" s="35"/>
      <x:c r="J869" s="30"/>
    </x:row>
    <x:row r="870">
      <x:c r="A870" s="30"/>
      <x:c r="B870" s="30"/>
      <x:c r="C870" s="35"/>
      <x:c r="D870" s="30"/>
      <x:c r="E870" s="30"/>
      <x:c r="F870" s="30"/>
      <x:c r="G870" s="30"/>
      <x:c r="H870" s="35"/>
      <x:c r="I870" s="35"/>
      <x:c r="J870" s="30"/>
    </x:row>
    <x:row r="871">
      <x:c r="A871" s="30"/>
      <x:c r="B871" s="30"/>
      <x:c r="C871" s="35"/>
      <x:c r="D871" s="30"/>
      <x:c r="E871" s="30"/>
      <x:c r="F871" s="30"/>
      <x:c r="G871" s="30"/>
      <x:c r="H871" s="35"/>
      <x:c r="I871" s="35"/>
      <x:c r="J871" s="30"/>
    </x:row>
    <x:row r="872">
      <x:c r="A872" s="30"/>
      <x:c r="B872" s="30"/>
      <x:c r="C872" s="35"/>
      <x:c r="D872" s="30"/>
      <x:c r="E872" s="30"/>
      <x:c r="F872" s="30"/>
      <x:c r="G872" s="30"/>
      <x:c r="H872" s="35"/>
      <x:c r="I872" s="35"/>
      <x:c r="J872" s="30"/>
    </x:row>
    <x:row r="873">
      <x:c r="A873" s="30"/>
      <x:c r="B873" s="30"/>
      <x:c r="C873" s="35"/>
      <x:c r="D873" s="30"/>
      <x:c r="E873" s="30"/>
      <x:c r="F873" s="30"/>
      <x:c r="G873" s="30"/>
      <x:c r="H873" s="35"/>
      <x:c r="I873" s="35"/>
      <x:c r="J873" s="30"/>
    </x:row>
    <x:row r="874">
      <x:c r="A874" s="30"/>
      <x:c r="B874" s="30"/>
      <x:c r="C874" s="35"/>
      <x:c r="D874" s="30"/>
      <x:c r="E874" s="30"/>
      <x:c r="F874" s="30"/>
      <x:c r="G874" s="30"/>
      <x:c r="H874" s="35"/>
      <x:c r="I874" s="35"/>
      <x:c r="J874" s="30"/>
    </x:row>
    <x:row r="875">
      <x:c r="A875" s="30"/>
      <x:c r="B875" s="30"/>
      <x:c r="C875" s="35"/>
      <x:c r="D875" s="30"/>
      <x:c r="E875" s="30"/>
      <x:c r="F875" s="30"/>
      <x:c r="G875" s="30"/>
      <x:c r="H875" s="35"/>
      <x:c r="I875" s="35"/>
      <x:c r="J875" s="30"/>
    </x:row>
    <x:row r="876">
      <x:c r="A876" s="30"/>
      <x:c r="B876" s="30"/>
      <x:c r="C876" s="35"/>
      <x:c r="D876" s="30"/>
      <x:c r="E876" s="30"/>
      <x:c r="F876" s="30"/>
      <x:c r="G876" s="30"/>
      <x:c r="H876" s="35"/>
      <x:c r="I876" s="35"/>
      <x:c r="J876" s="30"/>
    </x:row>
    <x:row r="877">
      <x:c r="A877" s="30"/>
      <x:c r="B877" s="30"/>
      <x:c r="C877" s="35"/>
      <x:c r="D877" s="30"/>
      <x:c r="E877" s="30"/>
      <x:c r="F877" s="30"/>
      <x:c r="G877" s="30"/>
      <x:c r="H877" s="35"/>
      <x:c r="I877" s="35"/>
      <x:c r="J877" s="30"/>
    </x:row>
    <x:row r="878">
      <x:c r="A878" s="30"/>
      <x:c r="B878" s="30"/>
      <x:c r="C878" s="35"/>
      <x:c r="D878" s="30"/>
      <x:c r="E878" s="30"/>
      <x:c r="F878" s="30"/>
      <x:c r="G878" s="30"/>
      <x:c r="H878" s="35"/>
      <x:c r="I878" s="35"/>
      <x:c r="J878" s="30"/>
    </x:row>
    <x:row r="879">
      <x:c r="A879" s="30"/>
      <x:c r="B879" s="30"/>
      <x:c r="C879" s="35"/>
      <x:c r="D879" s="30"/>
      <x:c r="E879" s="30"/>
      <x:c r="F879" s="30"/>
      <x:c r="G879" s="30"/>
      <x:c r="H879" s="35"/>
      <x:c r="I879" s="35"/>
      <x:c r="J879" s="30"/>
    </x:row>
    <x:row r="880">
      <x:c r="A880" s="30"/>
      <x:c r="B880" s="30"/>
      <x:c r="C880" s="35"/>
      <x:c r="D880" s="30"/>
      <x:c r="E880" s="30"/>
      <x:c r="F880" s="30"/>
      <x:c r="G880" s="30"/>
      <x:c r="H880" s="35"/>
      <x:c r="I880" s="35"/>
      <x:c r="J880" s="30"/>
    </x:row>
    <x:row r="881">
      <x:c r="A881" s="30"/>
      <x:c r="B881" s="30"/>
      <x:c r="C881" s="35"/>
      <x:c r="D881" s="30"/>
      <x:c r="E881" s="30"/>
      <x:c r="F881" s="30"/>
      <x:c r="G881" s="30"/>
      <x:c r="H881" s="35"/>
      <x:c r="I881" s="35"/>
      <x:c r="J881" s="30"/>
    </x:row>
    <x:row r="882">
      <x:c r="A882" s="30"/>
      <x:c r="B882" s="30"/>
      <x:c r="C882" s="35"/>
      <x:c r="D882" s="30"/>
      <x:c r="E882" s="30"/>
      <x:c r="F882" s="30"/>
      <x:c r="G882" s="30"/>
      <x:c r="H882" s="35"/>
      <x:c r="I882" s="35"/>
      <x:c r="J882" s="30"/>
    </x:row>
    <x:row r="883">
      <x:c r="A883" s="30"/>
      <x:c r="B883" s="30"/>
      <x:c r="C883" s="35"/>
      <x:c r="D883" s="30"/>
      <x:c r="E883" s="30"/>
      <x:c r="F883" s="30"/>
      <x:c r="G883" s="30"/>
      <x:c r="H883" s="35"/>
      <x:c r="I883" s="35"/>
      <x:c r="J883" s="30"/>
    </x:row>
    <x:row r="884">
      <x:c r="A884" s="30"/>
      <x:c r="B884" s="30"/>
      <x:c r="C884" s="35"/>
      <x:c r="D884" s="30"/>
      <x:c r="E884" s="30"/>
      <x:c r="F884" s="30"/>
      <x:c r="G884" s="30"/>
      <x:c r="H884" s="35"/>
      <x:c r="I884" s="35"/>
      <x:c r="J884" s="30"/>
    </x:row>
    <x:row r="885">
      <x:c r="A885" s="30"/>
      <x:c r="B885" s="30"/>
      <x:c r="C885" s="35"/>
      <x:c r="D885" s="30"/>
      <x:c r="E885" s="30"/>
      <x:c r="F885" s="30"/>
      <x:c r="G885" s="30"/>
      <x:c r="H885" s="35"/>
      <x:c r="I885" s="35"/>
      <x:c r="J885" s="30"/>
    </x:row>
    <x:row r="886">
      <x:c r="A886" s="30"/>
      <x:c r="B886" s="30"/>
      <x:c r="C886" s="35"/>
      <x:c r="D886" s="30"/>
      <x:c r="E886" s="30"/>
      <x:c r="F886" s="30"/>
      <x:c r="G886" s="30"/>
      <x:c r="H886" s="35"/>
      <x:c r="I886" s="35"/>
      <x:c r="J886" s="30"/>
    </x:row>
    <x:row r="887">
      <x:c r="A887" s="30"/>
      <x:c r="B887" s="30"/>
      <x:c r="C887" s="35"/>
      <x:c r="D887" s="30"/>
      <x:c r="E887" s="30"/>
      <x:c r="F887" s="30"/>
      <x:c r="G887" s="30"/>
      <x:c r="H887" s="35"/>
      <x:c r="I887" s="35"/>
      <x:c r="J887" s="30"/>
    </x:row>
    <x:row r="888">
      <x:c r="A888" s="30"/>
      <x:c r="B888" s="30"/>
      <x:c r="C888" s="35"/>
      <x:c r="D888" s="30"/>
      <x:c r="E888" s="30"/>
      <x:c r="F888" s="30"/>
      <x:c r="G888" s="30"/>
      <x:c r="H888" s="35"/>
      <x:c r="I888" s="35"/>
      <x:c r="J888" s="30"/>
    </x:row>
    <x:row r="889">
      <x:c r="A889" s="30"/>
      <x:c r="B889" s="30"/>
      <x:c r="C889" s="35"/>
      <x:c r="D889" s="30"/>
      <x:c r="E889" s="30"/>
      <x:c r="F889" s="30"/>
      <x:c r="G889" s="30"/>
      <x:c r="H889" s="35"/>
      <x:c r="I889" s="35"/>
      <x:c r="J889" s="30"/>
    </x:row>
    <x:row r="890">
      <x:c r="A890" s="30"/>
      <x:c r="B890" s="30"/>
      <x:c r="C890" s="35"/>
      <x:c r="D890" s="30"/>
      <x:c r="E890" s="30"/>
      <x:c r="F890" s="30"/>
      <x:c r="G890" s="30"/>
      <x:c r="H890" s="35"/>
      <x:c r="I890" s="35"/>
      <x:c r="J890" s="30"/>
    </x:row>
    <x:row r="891">
      <x:c r="A891" s="30"/>
      <x:c r="B891" s="30"/>
      <x:c r="C891" s="35"/>
      <x:c r="D891" s="30"/>
      <x:c r="E891" s="30"/>
      <x:c r="F891" s="30"/>
      <x:c r="G891" s="30"/>
      <x:c r="H891" s="35"/>
      <x:c r="I891" s="35"/>
      <x:c r="J891" s="30"/>
    </x:row>
    <x:row r="892">
      <x:c r="A892" s="30"/>
      <x:c r="B892" s="30"/>
      <x:c r="C892" s="35"/>
      <x:c r="D892" s="30"/>
      <x:c r="E892" s="30"/>
      <x:c r="F892" s="30"/>
      <x:c r="G892" s="30"/>
      <x:c r="H892" s="35"/>
      <x:c r="I892" s="35"/>
      <x:c r="J892" s="30"/>
    </x:row>
    <x:row r="893">
      <x:c r="A893" s="30"/>
      <x:c r="B893" s="30"/>
      <x:c r="C893" s="35"/>
      <x:c r="D893" s="30"/>
      <x:c r="E893" s="30"/>
      <x:c r="F893" s="30"/>
      <x:c r="G893" s="30"/>
      <x:c r="H893" s="35"/>
      <x:c r="I893" s="35"/>
      <x:c r="J893" s="30"/>
    </x:row>
    <x:row r="894">
      <x:c r="A894" s="30"/>
      <x:c r="B894" s="30"/>
      <x:c r="C894" s="35"/>
      <x:c r="D894" s="30"/>
      <x:c r="E894" s="30"/>
      <x:c r="F894" s="30"/>
      <x:c r="G894" s="30"/>
      <x:c r="H894" s="35"/>
      <x:c r="I894" s="35"/>
      <x:c r="J894" s="30"/>
    </x:row>
    <x:row r="895">
      <x:c r="A895" s="30"/>
      <x:c r="B895" s="30"/>
      <x:c r="C895" s="35"/>
      <x:c r="D895" s="30"/>
      <x:c r="E895" s="30"/>
      <x:c r="F895" s="30"/>
      <x:c r="G895" s="30"/>
      <x:c r="H895" s="35"/>
      <x:c r="I895" s="35"/>
      <x:c r="J895" s="30"/>
    </x:row>
    <x:row r="896">
      <x:c r="A896" s="30"/>
      <x:c r="B896" s="30"/>
      <x:c r="C896" s="35"/>
      <x:c r="D896" s="30"/>
      <x:c r="E896" s="30"/>
      <x:c r="F896" s="30"/>
      <x:c r="G896" s="30"/>
      <x:c r="H896" s="35"/>
      <x:c r="I896" s="35"/>
      <x:c r="J896" s="30"/>
    </x:row>
    <x:row r="897">
      <x:c r="A897" s="30"/>
      <x:c r="B897" s="30"/>
      <x:c r="C897" s="35"/>
      <x:c r="D897" s="30"/>
      <x:c r="E897" s="30"/>
      <x:c r="F897" s="30"/>
      <x:c r="G897" s="30"/>
      <x:c r="H897" s="35"/>
      <x:c r="I897" s="35"/>
      <x:c r="J897" s="30"/>
    </x:row>
    <x:row r="898">
      <x:c r="A898" s="30"/>
      <x:c r="B898" s="30"/>
      <x:c r="C898" s="35"/>
      <x:c r="D898" s="30"/>
      <x:c r="E898" s="30"/>
      <x:c r="F898" s="30"/>
      <x:c r="G898" s="30"/>
      <x:c r="H898" s="35"/>
      <x:c r="I898" s="35"/>
      <x:c r="J898" s="30"/>
    </x:row>
    <x:row r="899">
      <x:c r="A899" s="30"/>
      <x:c r="B899" s="30"/>
      <x:c r="C899" s="35"/>
      <x:c r="D899" s="30"/>
      <x:c r="E899" s="30"/>
      <x:c r="F899" s="30"/>
      <x:c r="G899" s="30"/>
      <x:c r="H899" s="35"/>
      <x:c r="I899" s="35"/>
      <x:c r="J899" s="30"/>
    </x:row>
    <x:row r="900">
      <x:c r="A900" s="30"/>
      <x:c r="B900" s="30"/>
      <x:c r="C900" s="35"/>
      <x:c r="D900" s="30"/>
      <x:c r="E900" s="30"/>
      <x:c r="F900" s="30"/>
      <x:c r="G900" s="30"/>
      <x:c r="H900" s="35"/>
      <x:c r="I900" s="35"/>
      <x:c r="J900" s="30"/>
    </x:row>
    <x:row r="901">
      <x:c r="A901" s="30"/>
      <x:c r="B901" s="30"/>
      <x:c r="C901" s="35"/>
      <x:c r="D901" s="30"/>
      <x:c r="E901" s="30"/>
      <x:c r="F901" s="30"/>
      <x:c r="G901" s="30"/>
      <x:c r="H901" s="35"/>
      <x:c r="I901" s="35"/>
      <x:c r="J901" s="30"/>
    </x:row>
    <x:row r="902">
      <x:c r="A902" s="30"/>
      <x:c r="B902" s="30"/>
      <x:c r="C902" s="35"/>
      <x:c r="D902" s="30"/>
      <x:c r="E902" s="30"/>
      <x:c r="F902" s="30"/>
      <x:c r="G902" s="30"/>
      <x:c r="H902" s="35"/>
      <x:c r="I902" s="35"/>
      <x:c r="J902" s="30"/>
    </x:row>
    <x:row r="903">
      <x:c r="A903" s="30"/>
      <x:c r="B903" s="30"/>
      <x:c r="C903" s="35"/>
      <x:c r="D903" s="30"/>
      <x:c r="E903" s="30"/>
      <x:c r="F903" s="30"/>
      <x:c r="G903" s="30"/>
      <x:c r="H903" s="35"/>
      <x:c r="I903" s="35"/>
      <x:c r="J903" s="30"/>
    </x:row>
    <x:row r="904">
      <x:c r="A904" s="30"/>
      <x:c r="B904" s="30"/>
      <x:c r="C904" s="35"/>
      <x:c r="D904" s="30"/>
      <x:c r="E904" s="30"/>
      <x:c r="F904" s="30"/>
      <x:c r="G904" s="30"/>
      <x:c r="H904" s="35"/>
      <x:c r="I904" s="35"/>
      <x:c r="J904" s="30"/>
    </x:row>
    <x:row r="905">
      <x:c r="A905" s="30"/>
      <x:c r="B905" s="30"/>
      <x:c r="C905" s="35"/>
      <x:c r="D905" s="30"/>
      <x:c r="E905" s="30"/>
      <x:c r="F905" s="30"/>
      <x:c r="G905" s="30"/>
      <x:c r="H905" s="35"/>
      <x:c r="I905" s="35"/>
      <x:c r="J905" s="30"/>
    </x:row>
    <x:row r="906">
      <x:c r="A906" s="30"/>
      <x:c r="B906" s="30"/>
      <x:c r="C906" s="35"/>
      <x:c r="D906" s="30"/>
      <x:c r="E906" s="30"/>
      <x:c r="F906" s="30"/>
      <x:c r="G906" s="30"/>
      <x:c r="H906" s="35"/>
      <x:c r="I906" s="35"/>
      <x:c r="J906" s="30"/>
    </x:row>
    <x:row r="907">
      <x:c r="A907" s="30"/>
      <x:c r="B907" s="30"/>
      <x:c r="C907" s="35"/>
      <x:c r="D907" s="30"/>
      <x:c r="E907" s="30"/>
      <x:c r="F907" s="30"/>
      <x:c r="G907" s="30"/>
      <x:c r="H907" s="35"/>
      <x:c r="I907" s="35"/>
      <x:c r="J907" s="30"/>
    </x:row>
    <x:row r="908">
      <x:c r="A908" s="30"/>
      <x:c r="B908" s="30"/>
      <x:c r="C908" s="35"/>
      <x:c r="D908" s="30"/>
      <x:c r="E908" s="30"/>
      <x:c r="F908" s="30"/>
      <x:c r="G908" s="30"/>
      <x:c r="H908" s="35"/>
      <x:c r="I908" s="35"/>
      <x:c r="J908" s="30"/>
    </x:row>
    <x:row r="909">
      <x:c r="A909" s="30"/>
      <x:c r="B909" s="30"/>
      <x:c r="C909" s="35"/>
      <x:c r="D909" s="30"/>
      <x:c r="E909" s="30"/>
      <x:c r="F909" s="30"/>
      <x:c r="G909" s="30"/>
      <x:c r="H909" s="35"/>
      <x:c r="I909" s="35"/>
      <x:c r="J909" s="30"/>
    </x:row>
    <x:row r="910">
      <x:c r="A910" s="30"/>
      <x:c r="B910" s="30"/>
      <x:c r="C910" s="35"/>
      <x:c r="D910" s="30"/>
      <x:c r="E910" s="30"/>
      <x:c r="F910" s="30"/>
      <x:c r="G910" s="30"/>
      <x:c r="H910" s="35"/>
      <x:c r="I910" s="35"/>
      <x:c r="J910" s="30"/>
    </x:row>
    <x:row r="911">
      <x:c r="A911" s="30"/>
      <x:c r="B911" s="30"/>
      <x:c r="C911" s="35"/>
      <x:c r="D911" s="30"/>
      <x:c r="E911" s="30"/>
      <x:c r="F911" s="30"/>
      <x:c r="G911" s="30"/>
      <x:c r="H911" s="35"/>
      <x:c r="I911" s="35"/>
      <x:c r="J911" s="30"/>
    </x:row>
    <x:row r="912">
      <x:c r="A912" s="30"/>
      <x:c r="B912" s="30"/>
      <x:c r="C912" s="35"/>
      <x:c r="D912" s="30"/>
      <x:c r="E912" s="30"/>
      <x:c r="F912" s="30"/>
      <x:c r="G912" s="30"/>
      <x:c r="H912" s="35"/>
      <x:c r="I912" s="35"/>
      <x:c r="J912" s="30"/>
    </x:row>
    <x:row r="913">
      <x:c r="A913" s="30"/>
      <x:c r="B913" s="30"/>
      <x:c r="C913" s="35"/>
      <x:c r="D913" s="30"/>
      <x:c r="E913" s="30"/>
      <x:c r="F913" s="30"/>
      <x:c r="G913" s="30"/>
      <x:c r="H913" s="35"/>
      <x:c r="I913" s="35"/>
      <x:c r="J913" s="30"/>
    </x:row>
    <x:row r="914">
      <x:c r="A914" s="30"/>
      <x:c r="B914" s="30"/>
      <x:c r="C914" s="35"/>
      <x:c r="D914" s="30"/>
      <x:c r="E914" s="30"/>
      <x:c r="F914" s="30"/>
      <x:c r="G914" s="30"/>
      <x:c r="H914" s="35"/>
      <x:c r="I914" s="35"/>
      <x:c r="J914" s="30"/>
    </x:row>
    <x:row r="915">
      <x:c r="A915" s="30"/>
      <x:c r="B915" s="30"/>
      <x:c r="C915" s="35"/>
      <x:c r="D915" s="30"/>
      <x:c r="E915" s="30"/>
      <x:c r="F915" s="30"/>
      <x:c r="G915" s="30"/>
      <x:c r="H915" s="35"/>
      <x:c r="I915" s="35"/>
      <x:c r="J915" s="30"/>
    </x:row>
    <x:row r="916">
      <x:c r="A916" s="30"/>
      <x:c r="B916" s="30"/>
      <x:c r="C916" s="35"/>
      <x:c r="D916" s="30"/>
      <x:c r="E916" s="30"/>
      <x:c r="F916" s="30"/>
      <x:c r="G916" s="30"/>
      <x:c r="H916" s="35"/>
      <x:c r="I916" s="35"/>
      <x:c r="J916" s="30"/>
    </x:row>
    <x:row r="917">
      <x:c r="A917" s="30"/>
      <x:c r="B917" s="30"/>
      <x:c r="C917" s="35"/>
      <x:c r="D917" s="30"/>
      <x:c r="E917" s="30"/>
      <x:c r="F917" s="30"/>
      <x:c r="G917" s="30"/>
      <x:c r="H917" s="35"/>
      <x:c r="I917" s="35"/>
      <x:c r="J917" s="30"/>
    </x:row>
    <x:row r="918">
      <x:c r="A918" s="30"/>
      <x:c r="B918" s="30"/>
      <x:c r="C918" s="35"/>
      <x:c r="D918" s="30"/>
      <x:c r="E918" s="30"/>
      <x:c r="F918" s="30"/>
      <x:c r="G918" s="30"/>
      <x:c r="H918" s="35"/>
      <x:c r="I918" s="35"/>
      <x:c r="J918" s="30"/>
    </x:row>
    <x:row r="919">
      <x:c r="A919" s="30"/>
      <x:c r="B919" s="30"/>
      <x:c r="C919" s="35"/>
      <x:c r="D919" s="30"/>
      <x:c r="E919" s="30"/>
      <x:c r="F919" s="30"/>
      <x:c r="G919" s="30"/>
      <x:c r="H919" s="35"/>
      <x:c r="I919" s="35"/>
      <x:c r="J919" s="30"/>
    </x:row>
    <x:row r="920">
      <x:c r="A920" s="30"/>
      <x:c r="B920" s="30"/>
      <x:c r="C920" s="35"/>
      <x:c r="D920" s="30"/>
      <x:c r="E920" s="30"/>
      <x:c r="F920" s="30"/>
      <x:c r="G920" s="30"/>
      <x:c r="H920" s="35"/>
      <x:c r="I920" s="35"/>
      <x:c r="J920" s="30"/>
    </x:row>
    <x:row r="921">
      <x:c r="A921" s="30"/>
      <x:c r="B921" s="30"/>
      <x:c r="C921" s="35"/>
      <x:c r="D921" s="30"/>
      <x:c r="E921" s="30"/>
      <x:c r="F921" s="30"/>
      <x:c r="G921" s="30"/>
      <x:c r="H921" s="35"/>
      <x:c r="I921" s="35"/>
      <x:c r="J921" s="30"/>
    </x:row>
    <x:row r="922">
      <x:c r="A922" s="30"/>
      <x:c r="B922" s="30"/>
      <x:c r="C922" s="35"/>
      <x:c r="D922" s="30"/>
      <x:c r="E922" s="30"/>
      <x:c r="F922" s="30"/>
      <x:c r="G922" s="30"/>
      <x:c r="H922" s="35"/>
      <x:c r="I922" s="35"/>
      <x:c r="J922" s="30"/>
    </x:row>
    <x:row r="923">
      <x:c r="A923" s="30"/>
      <x:c r="B923" s="30"/>
      <x:c r="C923" s="35"/>
      <x:c r="D923" s="30"/>
      <x:c r="E923" s="30"/>
      <x:c r="F923" s="30"/>
      <x:c r="G923" s="30"/>
      <x:c r="H923" s="35"/>
      <x:c r="I923" s="35"/>
      <x:c r="J923" s="30"/>
    </x:row>
    <x:row r="924">
      <x:c r="A924" s="30"/>
      <x:c r="B924" s="30"/>
      <x:c r="C924" s="35"/>
      <x:c r="D924" s="30"/>
      <x:c r="E924" s="30"/>
      <x:c r="F924" s="30"/>
      <x:c r="G924" s="30"/>
      <x:c r="H924" s="35"/>
      <x:c r="I924" s="35"/>
      <x:c r="J924" s="30"/>
    </x:row>
    <x:row r="925">
      <x:c r="A925" s="30"/>
      <x:c r="B925" s="30"/>
      <x:c r="C925" s="35"/>
      <x:c r="D925" s="30"/>
      <x:c r="E925" s="30"/>
      <x:c r="F925" s="30"/>
      <x:c r="G925" s="30"/>
      <x:c r="H925" s="35"/>
      <x:c r="I925" s="35"/>
      <x:c r="J925" s="30"/>
    </x:row>
    <x:row r="926">
      <x:c r="A926" s="30"/>
      <x:c r="B926" s="30"/>
      <x:c r="C926" s="35"/>
      <x:c r="D926" s="30"/>
      <x:c r="E926" s="30"/>
      <x:c r="F926" s="30"/>
      <x:c r="G926" s="30"/>
      <x:c r="H926" s="35"/>
      <x:c r="I926" s="35"/>
      <x:c r="J926" s="30"/>
    </x:row>
    <x:row r="927">
      <x:c r="A927" s="30"/>
      <x:c r="B927" s="30"/>
      <x:c r="C927" s="35"/>
      <x:c r="D927" s="30"/>
      <x:c r="E927" s="30"/>
      <x:c r="F927" s="30"/>
      <x:c r="G927" s="30"/>
      <x:c r="H927" s="35"/>
      <x:c r="I927" s="35"/>
      <x:c r="J927" s="30"/>
    </x:row>
    <x:row r="928">
      <x:c r="A928" s="30"/>
      <x:c r="B928" s="30"/>
      <x:c r="C928" s="35"/>
      <x:c r="D928" s="30"/>
      <x:c r="E928" s="30"/>
      <x:c r="F928" s="30"/>
      <x:c r="G928" s="30"/>
      <x:c r="H928" s="35"/>
      <x:c r="I928" s="35"/>
      <x:c r="J928" s="30"/>
    </x:row>
    <x:row r="929">
      <x:c r="A929" s="30"/>
      <x:c r="B929" s="30"/>
      <x:c r="C929" s="35"/>
      <x:c r="D929" s="30"/>
      <x:c r="E929" s="30"/>
      <x:c r="F929" s="30"/>
      <x:c r="G929" s="30"/>
      <x:c r="H929" s="35"/>
      <x:c r="I929" s="35"/>
      <x:c r="J929" s="30"/>
    </x:row>
    <x:row r="930">
      <x:c r="A930" s="30"/>
      <x:c r="B930" s="30"/>
      <x:c r="C930" s="35"/>
      <x:c r="D930" s="30"/>
      <x:c r="E930" s="30"/>
      <x:c r="F930" s="30"/>
      <x:c r="G930" s="30"/>
      <x:c r="H930" s="35"/>
      <x:c r="I930" s="35"/>
      <x:c r="J930" s="30"/>
    </x:row>
    <x:row r="931">
      <x:c r="A931" s="30"/>
      <x:c r="B931" s="30"/>
      <x:c r="C931" s="35"/>
      <x:c r="D931" s="30"/>
      <x:c r="E931" s="30"/>
      <x:c r="F931" s="30"/>
      <x:c r="G931" s="30"/>
      <x:c r="H931" s="35"/>
      <x:c r="I931" s="35"/>
      <x:c r="J931" s="30"/>
    </x:row>
    <x:row r="932">
      <x:c r="A932" s="30"/>
      <x:c r="B932" s="30"/>
      <x:c r="C932" s="35"/>
      <x:c r="D932" s="30"/>
      <x:c r="E932" s="30"/>
      <x:c r="F932" s="30"/>
      <x:c r="G932" s="30"/>
      <x:c r="H932" s="35"/>
      <x:c r="I932" s="35"/>
      <x:c r="J932" s="30"/>
    </x:row>
    <x:row r="933">
      <x:c r="A933" s="30"/>
      <x:c r="B933" s="30"/>
      <x:c r="C933" s="35"/>
      <x:c r="D933" s="30"/>
      <x:c r="E933" s="30"/>
      <x:c r="F933" s="30"/>
      <x:c r="G933" s="30"/>
      <x:c r="H933" s="35"/>
      <x:c r="I933" s="35"/>
      <x:c r="J933" s="30"/>
    </x:row>
    <x:row r="934">
      <x:c r="A934" s="30"/>
      <x:c r="B934" s="30"/>
      <x:c r="C934" s="35"/>
      <x:c r="D934" s="30"/>
      <x:c r="E934" s="30"/>
      <x:c r="F934" s="30"/>
      <x:c r="G934" s="30"/>
      <x:c r="H934" s="35"/>
      <x:c r="I934" s="35"/>
      <x:c r="J934" s="30"/>
    </x:row>
    <x:row r="935">
      <x:c r="A935" s="30"/>
      <x:c r="B935" s="30"/>
      <x:c r="C935" s="35"/>
      <x:c r="D935" s="30"/>
      <x:c r="E935" s="30"/>
      <x:c r="F935" s="30"/>
      <x:c r="G935" s="30"/>
      <x:c r="H935" s="35"/>
      <x:c r="I935" s="35"/>
      <x:c r="J935" s="30"/>
    </x:row>
    <x:row r="936">
      <x:c r="A936" s="30"/>
      <x:c r="B936" s="30"/>
      <x:c r="C936" s="35"/>
      <x:c r="D936" s="30"/>
      <x:c r="E936" s="30"/>
      <x:c r="F936" s="30"/>
      <x:c r="G936" s="30"/>
      <x:c r="H936" s="35"/>
      <x:c r="I936" s="35"/>
      <x:c r="J936" s="30"/>
    </x:row>
    <x:row r="937">
      <x:c r="A937" s="30"/>
      <x:c r="B937" s="30"/>
      <x:c r="C937" s="35"/>
      <x:c r="D937" s="30"/>
      <x:c r="E937" s="30"/>
      <x:c r="F937" s="30"/>
      <x:c r="G937" s="30"/>
      <x:c r="H937" s="35"/>
      <x:c r="I937" s="35"/>
      <x:c r="J937" s="30"/>
    </x:row>
    <x:row r="938">
      <x:c r="A938" s="30"/>
      <x:c r="B938" s="30"/>
      <x:c r="C938" s="35"/>
      <x:c r="D938" s="30"/>
      <x:c r="E938" s="30"/>
      <x:c r="F938" s="30"/>
      <x:c r="G938" s="30"/>
      <x:c r="H938" s="35"/>
      <x:c r="I938" s="35"/>
      <x:c r="J938" s="30"/>
    </x:row>
    <x:row r="939">
      <x:c r="A939" s="30"/>
      <x:c r="B939" s="30"/>
      <x:c r="C939" s="35"/>
      <x:c r="D939" s="30"/>
      <x:c r="E939" s="30"/>
      <x:c r="F939" s="30"/>
      <x:c r="G939" s="30"/>
      <x:c r="H939" s="35"/>
      <x:c r="I939" s="35"/>
      <x:c r="J939" s="30"/>
    </x:row>
    <x:row r="940">
      <x:c r="A940" s="30"/>
      <x:c r="B940" s="30"/>
      <x:c r="C940" s="35"/>
      <x:c r="D940" s="30"/>
      <x:c r="E940" s="30"/>
      <x:c r="F940" s="30"/>
      <x:c r="G940" s="30"/>
      <x:c r="H940" s="35"/>
      <x:c r="I940" s="35"/>
      <x:c r="J940" s="30"/>
    </x:row>
    <x:row r="941">
      <x:c r="A941" s="30"/>
      <x:c r="B941" s="30"/>
      <x:c r="C941" s="35"/>
      <x:c r="D941" s="30"/>
      <x:c r="E941" s="30"/>
      <x:c r="F941" s="30"/>
      <x:c r="G941" s="30"/>
      <x:c r="H941" s="35"/>
      <x:c r="I941" s="35"/>
      <x:c r="J941" s="30"/>
    </x:row>
    <x:row r="942">
      <x:c r="A942" s="30"/>
      <x:c r="B942" s="30"/>
      <x:c r="C942" s="35"/>
      <x:c r="D942" s="30"/>
      <x:c r="E942" s="30"/>
      <x:c r="F942" s="30"/>
      <x:c r="G942" s="30"/>
      <x:c r="H942" s="35"/>
      <x:c r="I942" s="35"/>
      <x:c r="J942" s="30"/>
    </x:row>
    <x:row r="943">
      <x:c r="A943" s="30"/>
      <x:c r="B943" s="30"/>
      <x:c r="C943" s="35"/>
      <x:c r="D943" s="30"/>
      <x:c r="E943" s="30"/>
      <x:c r="F943" s="30"/>
      <x:c r="G943" s="30"/>
      <x:c r="H943" s="35"/>
      <x:c r="I943" s="35"/>
      <x:c r="J943" s="30"/>
    </x:row>
    <x:row r="944">
      <x:c r="A944" s="30"/>
      <x:c r="B944" s="30"/>
      <x:c r="C944" s="35"/>
      <x:c r="D944" s="30"/>
      <x:c r="E944" s="30"/>
      <x:c r="F944" s="30"/>
      <x:c r="G944" s="30"/>
      <x:c r="H944" s="35"/>
      <x:c r="I944" s="35"/>
      <x:c r="J944" s="30"/>
    </x:row>
    <x:row r="945">
      <x:c r="A945" s="30"/>
      <x:c r="B945" s="30"/>
      <x:c r="C945" s="35"/>
      <x:c r="D945" s="30"/>
      <x:c r="E945" s="30"/>
      <x:c r="F945" s="30"/>
      <x:c r="G945" s="30"/>
      <x:c r="H945" s="35"/>
      <x:c r="I945" s="35"/>
      <x:c r="J945" s="30"/>
    </x:row>
    <x:row r="946">
      <x:c r="A946" s="30"/>
      <x:c r="B946" s="30"/>
      <x:c r="C946" s="35"/>
      <x:c r="D946" s="30"/>
      <x:c r="E946" s="30"/>
      <x:c r="F946" s="30"/>
      <x:c r="G946" s="30"/>
      <x:c r="H946" s="35"/>
      <x:c r="I946" s="35"/>
      <x:c r="J946" s="30"/>
    </x:row>
    <x:row r="947">
      <x:c r="A947" s="30"/>
      <x:c r="B947" s="30"/>
      <x:c r="C947" s="35"/>
      <x:c r="D947" s="30"/>
      <x:c r="E947" s="30"/>
      <x:c r="F947" s="30"/>
      <x:c r="G947" s="30"/>
      <x:c r="H947" s="35"/>
      <x:c r="I947" s="35"/>
      <x:c r="J947" s="30"/>
    </x:row>
    <x:row r="948">
      <x:c r="A948" s="30"/>
      <x:c r="B948" s="30"/>
      <x:c r="C948" s="35"/>
      <x:c r="D948" s="30"/>
      <x:c r="E948" s="30"/>
      <x:c r="F948" s="30"/>
      <x:c r="G948" s="30"/>
      <x:c r="H948" s="35"/>
      <x:c r="I948" s="35"/>
      <x:c r="J948" s="30"/>
    </x:row>
    <x:row r="949">
      <x:c r="A949" s="30"/>
      <x:c r="B949" s="30"/>
      <x:c r="C949" s="35"/>
      <x:c r="D949" s="30"/>
      <x:c r="E949" s="30"/>
      <x:c r="F949" s="30"/>
      <x:c r="G949" s="30"/>
      <x:c r="H949" s="35"/>
      <x:c r="I949" s="35"/>
      <x:c r="J949" s="30"/>
    </x:row>
    <x:row r="950">
      <x:c r="A950" s="30"/>
      <x:c r="B950" s="30"/>
      <x:c r="C950" s="35"/>
      <x:c r="D950" s="30"/>
      <x:c r="E950" s="30"/>
      <x:c r="F950" s="30"/>
      <x:c r="G950" s="30"/>
      <x:c r="H950" s="35"/>
      <x:c r="I950" s="35"/>
      <x:c r="J950" s="30"/>
    </x:row>
    <x:row r="951">
      <x:c r="A951" s="30"/>
      <x:c r="B951" s="30"/>
      <x:c r="C951" s="35"/>
      <x:c r="D951" s="30"/>
      <x:c r="E951" s="30"/>
      <x:c r="F951" s="30"/>
      <x:c r="G951" s="30"/>
      <x:c r="H951" s="35"/>
      <x:c r="I951" s="35"/>
      <x:c r="J951" s="30"/>
    </x:row>
    <x:row r="952">
      <x:c r="A952" s="30"/>
      <x:c r="B952" s="30"/>
      <x:c r="C952" s="35"/>
      <x:c r="D952" s="30"/>
      <x:c r="E952" s="30"/>
      <x:c r="F952" s="30"/>
      <x:c r="G952" s="30"/>
      <x:c r="H952" s="35"/>
      <x:c r="I952" s="35"/>
      <x:c r="J952" s="30"/>
    </x:row>
    <x:row r="953">
      <x:c r="A953" s="30"/>
      <x:c r="B953" s="30"/>
      <x:c r="C953" s="35"/>
      <x:c r="D953" s="30"/>
      <x:c r="E953" s="30"/>
      <x:c r="F953" s="30"/>
      <x:c r="G953" s="30"/>
      <x:c r="H953" s="35"/>
      <x:c r="I953" s="35"/>
      <x:c r="J953" s="30"/>
    </x:row>
    <x:row r="954">
      <x:c r="A954" s="30"/>
      <x:c r="B954" s="30"/>
      <x:c r="C954" s="35"/>
      <x:c r="D954" s="30"/>
      <x:c r="E954" s="30"/>
      <x:c r="F954" s="30"/>
      <x:c r="G954" s="30"/>
      <x:c r="H954" s="35"/>
      <x:c r="I954" s="35"/>
      <x:c r="J954" s="30"/>
    </x:row>
    <x:row r="955">
      <x:c r="A955" s="30"/>
      <x:c r="B955" s="30"/>
      <x:c r="C955" s="35"/>
      <x:c r="D955" s="30"/>
      <x:c r="E955" s="30"/>
      <x:c r="F955" s="30"/>
      <x:c r="G955" s="30"/>
      <x:c r="H955" s="35"/>
      <x:c r="I955" s="35"/>
      <x:c r="J955" s="30"/>
    </x:row>
    <x:row r="956">
      <x:c r="A956" s="30"/>
      <x:c r="B956" s="30"/>
      <x:c r="C956" s="35"/>
      <x:c r="D956" s="30"/>
      <x:c r="E956" s="30"/>
      <x:c r="F956" s="30"/>
      <x:c r="G956" s="30"/>
      <x:c r="H956" s="35"/>
      <x:c r="I956" s="35"/>
      <x:c r="J956" s="30"/>
    </x:row>
    <x:row r="957">
      <x:c r="A957" s="30"/>
      <x:c r="B957" s="30"/>
      <x:c r="C957" s="35"/>
      <x:c r="D957" s="30"/>
      <x:c r="E957" s="30"/>
      <x:c r="F957" s="30"/>
      <x:c r="G957" s="30"/>
      <x:c r="H957" s="35"/>
      <x:c r="I957" s="35"/>
      <x:c r="J957" s="30"/>
    </x:row>
    <x:row r="958">
      <x:c r="A958" s="30"/>
      <x:c r="B958" s="30"/>
      <x:c r="C958" s="35"/>
      <x:c r="D958" s="30"/>
      <x:c r="E958" s="30"/>
      <x:c r="F958" s="30"/>
      <x:c r="G958" s="30"/>
      <x:c r="H958" s="35"/>
      <x:c r="I958" s="35"/>
      <x:c r="J958" s="30"/>
    </x:row>
    <x:row r="959">
      <x:c r="A959" s="30"/>
      <x:c r="B959" s="30"/>
      <x:c r="C959" s="35"/>
      <x:c r="D959" s="30"/>
      <x:c r="E959" s="30"/>
      <x:c r="F959" s="30"/>
      <x:c r="G959" s="30"/>
      <x:c r="H959" s="35"/>
      <x:c r="I959" s="35"/>
      <x:c r="J959" s="30"/>
    </x:row>
    <x:row r="960">
      <x:c r="A960" s="30"/>
      <x:c r="B960" s="30"/>
      <x:c r="C960" s="35"/>
      <x:c r="D960" s="30"/>
      <x:c r="E960" s="30"/>
      <x:c r="F960" s="30"/>
      <x:c r="G960" s="30"/>
      <x:c r="H960" s="35"/>
      <x:c r="I960" s="35"/>
      <x:c r="J960" s="30"/>
    </x:row>
    <x:row r="961">
      <x:c r="A961" s="30"/>
      <x:c r="B961" s="30"/>
      <x:c r="C961" s="35"/>
      <x:c r="D961" s="30"/>
      <x:c r="E961" s="30"/>
      <x:c r="F961" s="30"/>
      <x:c r="G961" s="30"/>
      <x:c r="H961" s="35"/>
      <x:c r="I961" s="35"/>
      <x:c r="J961" s="30"/>
    </x:row>
    <x:row r="962">
      <x:c r="A962" s="30"/>
      <x:c r="B962" s="30"/>
      <x:c r="C962" s="35"/>
      <x:c r="D962" s="30"/>
      <x:c r="E962" s="30"/>
      <x:c r="F962" s="30"/>
      <x:c r="G962" s="30"/>
      <x:c r="H962" s="35"/>
      <x:c r="I962" s="35"/>
      <x:c r="J962" s="30"/>
    </x:row>
    <x:row r="963">
      <x:c r="A963" s="30"/>
      <x:c r="B963" s="30"/>
      <x:c r="C963" s="35"/>
      <x:c r="D963" s="30"/>
      <x:c r="E963" s="30"/>
      <x:c r="F963" s="30"/>
      <x:c r="G963" s="30"/>
      <x:c r="H963" s="35"/>
      <x:c r="I963" s="35"/>
      <x:c r="J963" s="30"/>
    </x:row>
    <x:row r="964">
      <x:c r="A964" s="30"/>
      <x:c r="B964" s="30"/>
      <x:c r="C964" s="35"/>
      <x:c r="D964" s="30"/>
      <x:c r="E964" s="30"/>
      <x:c r="F964" s="30"/>
      <x:c r="G964" s="30"/>
      <x:c r="H964" s="35"/>
      <x:c r="I964" s="35"/>
      <x:c r="J964" s="30"/>
    </x:row>
    <x:row r="965">
      <x:c r="A965" s="30"/>
      <x:c r="B965" s="30"/>
      <x:c r="C965" s="35"/>
      <x:c r="D965" s="30"/>
      <x:c r="E965" s="30"/>
      <x:c r="F965" s="30"/>
      <x:c r="G965" s="30"/>
      <x:c r="H965" s="35"/>
      <x:c r="I965" s="35"/>
      <x:c r="J965" s="30"/>
    </x:row>
    <x:row r="966">
      <x:c r="A966" s="30"/>
      <x:c r="B966" s="30"/>
      <x:c r="C966" s="35"/>
      <x:c r="D966" s="30"/>
      <x:c r="E966" s="30"/>
      <x:c r="F966" s="30"/>
      <x:c r="G966" s="30"/>
      <x:c r="H966" s="35"/>
      <x:c r="I966" s="35"/>
      <x:c r="J966" s="30"/>
    </x:row>
    <x:row r="967">
      <x:c r="A967" s="30"/>
      <x:c r="B967" s="30"/>
      <x:c r="C967" s="35"/>
      <x:c r="D967" s="30"/>
      <x:c r="E967" s="30"/>
      <x:c r="F967" s="30"/>
      <x:c r="G967" s="30"/>
      <x:c r="H967" s="35"/>
      <x:c r="I967" s="35"/>
      <x:c r="J967" s="30"/>
    </x:row>
    <x:row r="968">
      <x:c r="A968" s="30"/>
      <x:c r="B968" s="30"/>
      <x:c r="C968" s="35"/>
      <x:c r="D968" s="30"/>
      <x:c r="E968" s="30"/>
      <x:c r="F968" s="30"/>
      <x:c r="G968" s="30"/>
      <x:c r="H968" s="35"/>
      <x:c r="I968" s="35"/>
      <x:c r="J968" s="30"/>
    </x:row>
    <x:row r="969">
      <x:c r="A969" s="30"/>
      <x:c r="B969" s="30"/>
      <x:c r="C969" s="35"/>
      <x:c r="D969" s="30"/>
      <x:c r="E969" s="30"/>
      <x:c r="F969" s="30"/>
      <x:c r="G969" s="30"/>
      <x:c r="H969" s="35"/>
      <x:c r="I969" s="35"/>
      <x:c r="J969" s="30"/>
    </x:row>
    <x:row r="970">
      <x:c r="A970" s="30"/>
      <x:c r="B970" s="30"/>
      <x:c r="C970" s="35"/>
      <x:c r="D970" s="30"/>
      <x:c r="E970" s="30"/>
      <x:c r="F970" s="30"/>
      <x:c r="G970" s="30"/>
      <x:c r="H970" s="35"/>
      <x:c r="I970" s="35"/>
      <x:c r="J970" s="30"/>
    </x:row>
    <x:row r="971">
      <x:c r="A971" s="30"/>
      <x:c r="B971" s="30"/>
      <x:c r="C971" s="35"/>
      <x:c r="D971" s="30"/>
      <x:c r="E971" s="30"/>
      <x:c r="F971" s="30"/>
      <x:c r="G971" s="30"/>
      <x:c r="H971" s="35"/>
      <x:c r="I971" s="35"/>
      <x:c r="J971" s="30"/>
    </x:row>
    <x:row r="972">
      <x:c r="A972" s="30"/>
      <x:c r="B972" s="30"/>
      <x:c r="C972" s="35"/>
      <x:c r="D972" s="30"/>
      <x:c r="E972" s="30"/>
      <x:c r="F972" s="30"/>
      <x:c r="G972" s="30"/>
      <x:c r="H972" s="35"/>
      <x:c r="I972" s="35"/>
      <x:c r="J972" s="30"/>
    </x:row>
    <x:row r="973">
      <x:c r="A973" s="30"/>
      <x:c r="B973" s="30"/>
      <x:c r="C973" s="35"/>
      <x:c r="D973" s="30"/>
      <x:c r="E973" s="30"/>
      <x:c r="F973" s="30"/>
      <x:c r="G973" s="30"/>
      <x:c r="H973" s="35"/>
      <x:c r="I973" s="35"/>
      <x:c r="J973" s="30"/>
    </x:row>
    <x:row r="974">
      <x:c r="A974" s="30"/>
      <x:c r="B974" s="30"/>
      <x:c r="C974" s="35"/>
      <x:c r="D974" s="30"/>
      <x:c r="E974" s="30"/>
      <x:c r="F974" s="30"/>
      <x:c r="G974" s="30"/>
      <x:c r="H974" s="35"/>
      <x:c r="I974" s="35"/>
      <x:c r="J974" s="30"/>
    </x:row>
    <x:row r="975">
      <x:c r="A975" s="30"/>
      <x:c r="B975" s="30"/>
      <x:c r="C975" s="35"/>
      <x:c r="D975" s="30"/>
      <x:c r="E975" s="30"/>
      <x:c r="F975" s="30"/>
      <x:c r="G975" s="30"/>
      <x:c r="H975" s="35"/>
      <x:c r="I975" s="35"/>
      <x:c r="J975" s="30"/>
    </x:row>
    <x:row r="976">
      <x:c r="A976" s="30"/>
      <x:c r="B976" s="30"/>
      <x:c r="C976" s="35"/>
      <x:c r="D976" s="30"/>
      <x:c r="E976" s="30"/>
      <x:c r="F976" s="30"/>
      <x:c r="G976" s="30"/>
      <x:c r="H976" s="35"/>
      <x:c r="I976" s="35"/>
      <x:c r="J976" s="30"/>
    </x:row>
    <x:row r="977">
      <x:c r="A977" s="30"/>
      <x:c r="B977" s="30"/>
      <x:c r="C977" s="35"/>
      <x:c r="D977" s="30"/>
      <x:c r="E977" s="30"/>
      <x:c r="F977" s="30"/>
      <x:c r="G977" s="30"/>
      <x:c r="H977" s="35"/>
      <x:c r="I977" s="35"/>
      <x:c r="J977" s="30"/>
    </x:row>
    <x:row r="978">
      <x:c r="A978" s="30"/>
      <x:c r="B978" s="30"/>
      <x:c r="C978" s="35"/>
      <x:c r="D978" s="30"/>
      <x:c r="E978" s="30"/>
      <x:c r="F978" s="30"/>
      <x:c r="G978" s="30"/>
      <x:c r="H978" s="35"/>
      <x:c r="I978" s="35"/>
      <x:c r="J978" s="30"/>
    </x:row>
    <x:row r="979">
      <x:c r="A979" s="30"/>
      <x:c r="B979" s="30"/>
      <x:c r="C979" s="35"/>
      <x:c r="D979" s="30"/>
      <x:c r="E979" s="30"/>
      <x:c r="F979" s="30"/>
      <x:c r="G979" s="30"/>
      <x:c r="H979" s="35"/>
      <x:c r="I979" s="35"/>
      <x:c r="J979" s="30"/>
    </x:row>
    <x:row r="980">
      <x:c r="A980" s="30"/>
      <x:c r="B980" s="30"/>
      <x:c r="C980" s="35"/>
      <x:c r="D980" s="30"/>
      <x:c r="E980" s="30"/>
      <x:c r="F980" s="30"/>
      <x:c r="G980" s="30"/>
      <x:c r="H980" s="35"/>
      <x:c r="I980" s="35"/>
      <x:c r="J980" s="30"/>
    </x:row>
    <x:row r="981">
      <x:c r="A981" s="30"/>
      <x:c r="B981" s="30"/>
      <x:c r="C981" s="35"/>
      <x:c r="D981" s="30"/>
      <x:c r="E981" s="30"/>
      <x:c r="F981" s="30"/>
      <x:c r="G981" s="30"/>
      <x:c r="H981" s="35"/>
      <x:c r="I981" s="35"/>
      <x:c r="J981" s="30"/>
    </x:row>
    <x:row r="982">
      <x:c r="A982" s="30"/>
      <x:c r="B982" s="30"/>
      <x:c r="C982" s="35"/>
      <x:c r="D982" s="30"/>
      <x:c r="E982" s="30"/>
      <x:c r="F982" s="30"/>
      <x:c r="G982" s="30"/>
      <x:c r="H982" s="35"/>
      <x:c r="I982" s="35"/>
      <x:c r="J982" s="30"/>
    </x:row>
    <x:row r="983">
      <x:c r="A983" s="30"/>
      <x:c r="B983" s="30"/>
      <x:c r="C983" s="35"/>
      <x:c r="D983" s="30"/>
      <x:c r="E983" s="30"/>
      <x:c r="F983" s="30"/>
      <x:c r="G983" s="30"/>
      <x:c r="H983" s="35"/>
      <x:c r="I983" s="35"/>
      <x:c r="J983" s="30"/>
    </x:row>
    <x:row r="984">
      <x:c r="A984" s="30"/>
      <x:c r="B984" s="30"/>
      <x:c r="C984" s="35"/>
      <x:c r="D984" s="30"/>
      <x:c r="E984" s="30"/>
      <x:c r="F984" s="30"/>
      <x:c r="G984" s="30"/>
      <x:c r="H984" s="35"/>
      <x:c r="I984" s="35"/>
      <x:c r="J984" s="30"/>
    </x:row>
    <x:row r="985">
      <x:c r="A985" s="30"/>
      <x:c r="B985" s="30"/>
      <x:c r="C985" s="35"/>
      <x:c r="D985" s="30"/>
      <x:c r="E985" s="30"/>
      <x:c r="F985" s="30"/>
      <x:c r="G985" s="30"/>
      <x:c r="H985" s="35"/>
      <x:c r="I985" s="35"/>
      <x:c r="J985" s="30"/>
    </x:row>
    <x:row r="986">
      <x:c r="A986" s="30"/>
      <x:c r="B986" s="30"/>
      <x:c r="C986" s="35"/>
      <x:c r="D986" s="30"/>
      <x:c r="E986" s="30"/>
      <x:c r="F986" s="30"/>
      <x:c r="G986" s="30"/>
      <x:c r="H986" s="35"/>
      <x:c r="I986" s="35"/>
      <x:c r="J986" s="30"/>
    </x:row>
    <x:row r="987">
      <x:c r="A987" s="30"/>
      <x:c r="B987" s="30"/>
      <x:c r="C987" s="35"/>
      <x:c r="D987" s="30"/>
      <x:c r="E987" s="30"/>
      <x:c r="F987" s="30"/>
      <x:c r="G987" s="30"/>
      <x:c r="H987" s="35"/>
      <x:c r="I987" s="35"/>
      <x:c r="J987" s="30"/>
    </x:row>
    <x:row r="988">
      <x:c r="A988" s="30"/>
      <x:c r="B988" s="30"/>
      <x:c r="C988" s="35"/>
      <x:c r="D988" s="30"/>
      <x:c r="E988" s="30"/>
      <x:c r="F988" s="30"/>
      <x:c r="G988" s="30"/>
      <x:c r="H988" s="35"/>
      <x:c r="I988" s="35"/>
      <x:c r="J988" s="30"/>
    </x:row>
    <x:row r="989">
      <x:c r="A989" s="30"/>
      <x:c r="B989" s="30"/>
      <x:c r="C989" s="35"/>
      <x:c r="D989" s="30"/>
      <x:c r="E989" s="30"/>
      <x:c r="F989" s="30"/>
      <x:c r="G989" s="30"/>
      <x:c r="H989" s="35"/>
      <x:c r="I989" s="35"/>
      <x:c r="J989" s="30"/>
    </x:row>
    <x:row r="990">
      <x:c r="A990" s="30"/>
      <x:c r="B990" s="30"/>
      <x:c r="C990" s="35"/>
      <x:c r="D990" s="30"/>
      <x:c r="E990" s="30"/>
      <x:c r="F990" s="30"/>
      <x:c r="G990" s="30"/>
      <x:c r="H990" s="35"/>
      <x:c r="I990" s="35"/>
      <x:c r="J990" s="30"/>
    </x:row>
    <x:row r="991">
      <x:c r="A991" s="30"/>
      <x:c r="B991" s="30"/>
      <x:c r="C991" s="35"/>
      <x:c r="D991" s="30"/>
      <x:c r="E991" s="30"/>
      <x:c r="F991" s="30"/>
      <x:c r="G991" s="30"/>
      <x:c r="H991" s="35"/>
      <x:c r="I991" s="35"/>
      <x:c r="J991" s="30"/>
    </x:row>
    <x:row r="992">
      <x:c r="A992" s="30"/>
      <x:c r="B992" s="30"/>
      <x:c r="C992" s="35"/>
      <x:c r="D992" s="30"/>
      <x:c r="E992" s="30"/>
      <x:c r="F992" s="30"/>
      <x:c r="G992" s="30"/>
      <x:c r="H992" s="35"/>
      <x:c r="I992" s="35"/>
      <x:c r="J992" s="30"/>
    </x:row>
    <x:row r="993">
      <x:c r="A993" s="30"/>
      <x:c r="B993" s="30"/>
      <x:c r="C993" s="35"/>
      <x:c r="D993" s="30"/>
      <x:c r="E993" s="30"/>
      <x:c r="F993" s="30"/>
      <x:c r="G993" s="30"/>
      <x:c r="H993" s="35"/>
      <x:c r="I993" s="35"/>
      <x:c r="J993" s="30"/>
    </x:row>
    <x:row r="994">
      <x:c r="A994" s="30"/>
      <x:c r="B994" s="30"/>
      <x:c r="C994" s="35"/>
      <x:c r="D994" s="30"/>
      <x:c r="E994" s="30"/>
      <x:c r="F994" s="30"/>
      <x:c r="G994" s="30"/>
      <x:c r="H994" s="35"/>
      <x:c r="I994" s="35"/>
      <x:c r="J994" s="30"/>
    </x:row>
    <x:row r="995">
      <x:c r="A995" s="30"/>
      <x:c r="B995" s="30"/>
      <x:c r="C995" s="35"/>
      <x:c r="D995" s="30"/>
      <x:c r="E995" s="30"/>
      <x:c r="F995" s="30"/>
      <x:c r="G995" s="30"/>
      <x:c r="H995" s="35"/>
      <x:c r="I995" s="35"/>
      <x:c r="J995" s="30"/>
    </x:row>
    <x:row r="996">
      <x:c r="A996" s="30"/>
      <x:c r="B996" s="30"/>
      <x:c r="C996" s="35"/>
      <x:c r="D996" s="30"/>
      <x:c r="E996" s="30"/>
      <x:c r="F996" s="30"/>
      <x:c r="G996" s="30"/>
      <x:c r="H996" s="35"/>
      <x:c r="I996" s="35"/>
      <x:c r="J996" s="30"/>
    </x:row>
    <x:row r="997">
      <x:c r="A997" s="30"/>
      <x:c r="B997" s="30"/>
      <x:c r="C997" s="35"/>
      <x:c r="D997" s="30"/>
      <x:c r="E997" s="30"/>
      <x:c r="F997" s="30"/>
      <x:c r="G997" s="30"/>
      <x:c r="H997" s="35"/>
      <x:c r="I997" s="35"/>
      <x:c r="J997" s="30"/>
    </x:row>
    <x:row r="998">
      <x:c r="A998" s="30"/>
      <x:c r="B998" s="30"/>
      <x:c r="C998" s="35"/>
      <x:c r="D998" s="30"/>
      <x:c r="E998" s="30"/>
      <x:c r="F998" s="30"/>
      <x:c r="G998" s="30"/>
      <x:c r="H998" s="35"/>
      <x:c r="I998" s="35"/>
      <x:c r="J998" s="30"/>
    </x:row>
    <x:row r="999">
      <x:c r="A999" s="30"/>
      <x:c r="B999" s="30"/>
      <x:c r="C999" s="35"/>
      <x:c r="D999" s="30"/>
      <x:c r="E999" s="30"/>
      <x:c r="F999" s="30"/>
      <x:c r="G999" s="30"/>
      <x:c r="H999" s="35"/>
      <x:c r="I999" s="35"/>
      <x:c r="J999" s="30"/>
    </x:row>
    <x:row r="1000">
      <x:c r="A1000" s="30"/>
      <x:c r="B1000" s="30"/>
      <x:c r="C1000" s="35"/>
      <x:c r="D1000" s="30"/>
      <x:c r="E1000" s="30"/>
      <x:c r="F1000" s="30"/>
      <x:c r="G1000" s="30"/>
      <x:c r="H1000" s="35"/>
      <x:c r="I1000" s="35"/>
      <x:c r="J1000" s="30"/>
    </x:row>
    <x:row r="1001">
      <x:c r="A1001" s="30"/>
      <x:c r="B1001" s="30"/>
      <x:c r="C1001" s="35"/>
      <x:c r="D1001" s="30"/>
      <x:c r="E1001" s="30"/>
      <x:c r="F1001" s="30"/>
      <x:c r="G1001" s="30"/>
      <x:c r="H1001" s="35"/>
      <x:c r="I1001" s="35"/>
      <x:c r="J1001" s="30"/>
    </x:row>
    <x:row r="1002">
      <x:c r="A1002" s="30"/>
      <x:c r="B1002" s="30"/>
      <x:c r="C1002" s="35"/>
      <x:c r="D1002" s="30"/>
      <x:c r="E1002" s="30"/>
      <x:c r="F1002" s="30"/>
      <x:c r="G1002" s="30"/>
      <x:c r="H1002" s="35"/>
      <x:c r="I1002" s="35"/>
      <x:c r="J1002" s="30"/>
    </x:row>
    <x:row r="1003">
      <x:c r="A1003" s="30"/>
      <x:c r="B1003" s="30"/>
      <x:c r="C1003" s="35"/>
      <x:c r="D1003" s="30"/>
      <x:c r="E1003" s="30"/>
      <x:c r="F1003" s="30"/>
      <x:c r="G1003" s="30"/>
      <x:c r="H1003" s="35"/>
      <x:c r="I1003" s="35"/>
      <x:c r="J1003" s="30"/>
    </x:row>
    <x:row r="1004">
      <x:c r="A1004" s="30"/>
      <x:c r="B1004" s="30"/>
      <x:c r="C1004" s="35"/>
      <x:c r="D1004" s="30"/>
      <x:c r="E1004" s="30"/>
      <x:c r="F1004" s="30"/>
      <x:c r="G1004" s="30"/>
      <x:c r="H1004" s="35"/>
      <x:c r="I1004" s="35"/>
      <x:c r="J1004" s="30"/>
    </x:row>
    <x:row r="1005">
      <x:c r="A1005" s="30"/>
      <x:c r="B1005" s="30"/>
      <x:c r="C1005" s="35"/>
      <x:c r="D1005" s="30"/>
      <x:c r="E1005" s="30"/>
      <x:c r="F1005" s="30"/>
      <x:c r="G1005" s="30"/>
      <x:c r="H1005" s="35"/>
      <x:c r="I1005" s="35"/>
      <x:c r="J1005" s="30"/>
    </x:row>
    <x:row r="1006">
      <x:c r="A1006" s="30"/>
      <x:c r="B1006" s="30"/>
      <x:c r="C1006" s="35"/>
      <x:c r="D1006" s="30"/>
      <x:c r="E1006" s="30"/>
      <x:c r="F1006" s="30"/>
      <x:c r="G1006" s="30"/>
      <x:c r="H1006" s="35"/>
      <x:c r="I1006" s="35"/>
      <x:c r="J1006" s="30"/>
    </x:row>
  </x:sheetData>
  <x:mergeCells>
    <x:mergeCell ref="A1:J1"/>
    <x:mergeCell ref="A2:J3"/>
  </x:mergeCells>
  <x:dataValidations count="3">
    <x:dataValidation type="list" sqref="E7:E1006">
      <x:formula1>"A,B,C,SYNTHETIC"</x:formula1>
    </x:dataValidation>
    <x:dataValidation type="list" sqref="F7:F1006">
      <x:formula1>"direct,derived,proxy"</x:formula1>
    </x:dataValidation>
    <x:dataValidation type="list" sqref="J7:J100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f48980ec3b430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3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0" customHeight="1">
      <x:c r="A1" s="3" t="str">
        <x:v>90 | Feature 정규화 계산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7" t="str">
        <x:v>계산 시트입니다. 사용자 편집 금지. 선택 회사 집합이 아니라 동결 anchor로 각 feature 위치를 계산합니다.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6">
      <x:c r="A6" s="13" t="str">
        <x:v>입력행</x:v>
      </x:c>
      <x:c r="B6" s="13" t="str">
        <x:v>관측 ID</x:v>
      </x:c>
      <x:c r="C6" s="13" t="str">
        <x:v>회사명</x:v>
      </x:c>
      <x:c r="D6" s="13" t="str">
        <x:v>변수</x:v>
      </x:c>
      <x:c r="E6" s="13" t="str">
        <x:v>원값</x:v>
      </x:c>
      <x:c r="F6" s="13" t="str">
        <x:v>방향</x:v>
      </x:c>
      <x:c r="G6" s="13" t="str">
        <x:v>Clipped rank key</x:v>
      </x:c>
      <x:c r="H6" s="13" t="str">
        <x:v>기준 N</x:v>
      </x:c>
      <x:c r="I6" s="13" t="str">
        <x:v>정규화 위치</x:v>
      </x:c>
      <x:c r="J6" s="13" t="str">
        <x:v>상태</x:v>
      </x:c>
      <x:c r="K6" s="13" t="str">
        <x:v>Key 하단</x:v>
      </x:c>
      <x:c r="L6" s="13" t="str">
        <x:v>Key 상단</x:v>
      </x:c>
      <x:c r="M6" s="13" t="str">
        <x:v>유효가중치</x:v>
      </x:c>
      <x:c r="N6" s="13" t="str">
        <x:v>저지원</x:v>
      </x:c>
    </x:row>
    <x:row r="7">
      <x:c r="A7" s="34" t="n">
        <x:v>1</x:v>
      </x:c>
      <x:c r="B7" s="34" t="str">
        <x:f>IF('01_INPUT_COMPANIES'!$A$7="","",'01_INPUT_COMPANIES'!$A$7)</x:f>
        <x:v>SYN-A</x:v>
      </x:c>
      <x:c r="C7" s="34" t="str">
        <x:f>IF(B7="","",'01_INPUT_COMPANIES'!$B$7)</x:f>
        <x:v>가온 콘텐츠</x:v>
      </x:c>
      <x:c r="D7" s="34" t="str">
        <x:v>effective_tax_rate_gap</x:v>
      </x:c>
      <x:c r="E7" s="42" t="n">
        <x:f>IF(OR(B7="",COUNT('01_INPUT_COMPANIES'!$T$7)=0),"",'01_INPUT_COMPANIES'!$T$7)</x:f>
        <x:v>-0.02</x:v>
      </x:c>
      <x:c r="F7" s="42" t="n">
        <x:v>1</x:v>
      </x:c>
      <x:c r="G7" s="42" t="n">
        <x:f>IF(NOT(ISNUMBER(E7)),"",MAX(K7,MIN(L7,E7*F7)))</x:f>
        <x:v>-0.02</x:v>
      </x:c>
      <x:c r="H7" s="42" t="n">
        <x:v>74</x:v>
      </x:c>
      <x:c r="I7" s="42" t="n">
        <x:f>IF(COUNT(G7)=0,"",(COUNTIFS('93_REF_ANCHORS'!$A$7:$A$766,D7,'93_REF_ANCHORS'!$C$7:$C$766,"&lt;"&amp;G7)+COUNTIFS('93_REF_ANCHORS'!$A$7:$A$766,D7,'93_REF_ANCHORS'!$C$7:$C$766,"&lt;="&amp;G7)-1)/(2*(H7-1)))</x:f>
        <x:v>0.2534246575342466</x:v>
      </x:c>
      <x:c r="J7" s="34" t="str">
        <x:f>IF(B7="","",IF(COUNT(E7)=0,"MISSING",IF(NOT(ISNUMBER(E7)),"INVALID",IF(E7*F7&lt;K7,"WINSORIZED LOW",IF(E7*F7&gt;L7,"WINSORIZED HIGH","OK")))))</x:f>
        <x:v>OK</x:v>
      </x:c>
      <x:c r="K7" s="34" t="n">
        <x:v>-0.1416111014</x:v>
      </x:c>
      <x:c r="L7" s="34" t="n">
        <x:v>0.2683650488</x:v>
      </x:c>
      <x:c r="M7" s="34" t="n">
        <x:v>0.1111111111111111</x:v>
      </x:c>
      <x:c r="N7" s="34" t="str">
        <x:v>no</x:v>
      </x:c>
    </x:row>
    <x:row r="8">
      <x:c r="A8" s="34" t="n">
        <x:v>1</x:v>
      </x:c>
      <x:c r="B8" s="34" t="str">
        <x:f>IF('01_INPUT_COMPANIES'!$A$7="","",'01_INPUT_COMPANIES'!$A$7)</x:f>
        <x:v>SYN-A</x:v>
      </x:c>
      <x:c r="C8" s="34" t="str">
        <x:f>IF(B8="","",'01_INPUT_COMPANIES'!$B$7)</x:f>
        <x:v>가온 콘텐츠</x:v>
      </x:c>
      <x:c r="D8" s="34" t="str">
        <x:v>infra_dependency_ratio</x:v>
      </x:c>
      <x:c r="E8" s="42" t="n">
        <x:f>IF(OR(B8="",COUNT('01_INPUT_COMPANIES'!$U$7)=0),"",'01_INPUT_COMPANIES'!$U$7)</x:f>
        <x:v>0.1332</x:v>
      </x:c>
      <x:c r="F8" s="42" t="n">
        <x:v>1</x:v>
      </x:c>
      <x:c r="G8" s="42" t="n">
        <x:f>IF(NOT(ISNUMBER(E8)),"",MAX(K8,MIN(L8,E8*F8)))</x:f>
        <x:v>0.1332</x:v>
      </x:c>
      <x:c r="H8" s="42" t="n">
        <x:v>64</x:v>
      </x:c>
      <x:c r="I8" s="42" t="n">
        <x:f>IF(COUNT(G8)=0,"",(COUNTIFS('93_REF_ANCHORS'!$A$7:$A$766,D8,'93_REF_ANCHORS'!$C$7:$C$766,"&lt;"&amp;G8)+COUNTIFS('93_REF_ANCHORS'!$A$7:$A$766,D8,'93_REF_ANCHORS'!$C$7:$C$766,"&lt;="&amp;G8)-1)/(2*(H8-1)))</x:f>
        <x:v>0.07142857142857142</x:v>
      </x:c>
      <x:c r="J8" s="34" t="str">
        <x:f>IF(B8="","",IF(COUNT(E8)=0,"MISSING",IF(NOT(ISNUMBER(E8)),"INVALID",IF(E8*F8&lt;K8,"WINSORIZED LOW",IF(E8*F8&gt;L8,"WINSORIZED HIGH","OK")))))</x:f>
        <x:v>OK</x:v>
      </x:c>
      <x:c r="K8" s="34" t="n">
        <x:v>-0.10705024705171803</x:v>
      </x:c>
      <x:c r="L8" s="34" t="n">
        <x:v>0.8008753865408955</x:v>
      </x:c>
      <x:c r="M8" s="34" t="n">
        <x:v>0.1111111111111111</x:v>
      </x:c>
      <x:c r="N8" s="34" t="str">
        <x:v>no</x:v>
      </x:c>
    </x:row>
    <x:row r="9">
      <x:c r="A9" s="34" t="n">
        <x:v>1</x:v>
      </x:c>
      <x:c r="B9" s="34" t="str">
        <x:f>IF('01_INPUT_COMPANIES'!$A$7="","",'01_INPUT_COMPANIES'!$A$7)</x:f>
        <x:v>SYN-A</x:v>
      </x:c>
      <x:c r="C9" s="34" t="str">
        <x:f>IF(B9="","",'01_INPUT_COMPANIES'!$B$7)</x:f>
        <x:v>가온 콘텐츠</x:v>
      </x:c>
      <x:c r="D9" s="34" t="str">
        <x:v>network_cost_ratio</x:v>
      </x:c>
      <x:c r="E9" s="42" t="n">
        <x:f>IF(OR(B9="",COUNT('01_INPUT_COMPANIES'!$V$7)=0),"",'01_INPUT_COMPANIES'!$V$7)</x:f>
        <x:v>0.18</x:v>
      </x:c>
      <x:c r="F9" s="42" t="n">
        <x:v>1</x:v>
      </x:c>
      <x:c r="G9" s="42" t="n">
        <x:f>IF(NOT(ISNUMBER(E9)),"",MAX(K9,MIN(L9,E9*F9)))</x:f>
        <x:v>0.18</x:v>
      </x:c>
      <x:c r="H9" s="42" t="n">
        <x:v>97</x:v>
      </x:c>
      <x:c r="I9" s="42" t="n">
        <x:f>IF(COUNT(G9)=0,"",(COUNTIFS('93_REF_ANCHORS'!$A$7:$A$766,D9,'93_REF_ANCHORS'!$C$7:$C$766,"&lt;"&amp;G9)+COUNTIFS('93_REF_ANCHORS'!$A$7:$A$766,D9,'93_REF_ANCHORS'!$C$7:$C$766,"&lt;="&amp;G9)-1)/(2*(H9-1)))</x:f>
        <x:v>0.057291666666666664</x:v>
      </x:c>
      <x:c r="J9" s="34" t="str">
        <x:f>IF(B9="","",IF(COUNT(E9)=0,"MISSING",IF(NOT(ISNUMBER(E9)),"INVALID",IF(E9*F9&lt;K9,"WINSORIZED LOW",IF(E9*F9&gt;L9,"WINSORIZED HIGH","OK")))))</x:f>
        <x:v>OK</x:v>
      </x:c>
      <x:c r="K9" s="34" t="n">
        <x:v>-0.1395374353</x:v>
      </x:c>
      <x:c r="L9" s="34" t="n">
        <x:v>0.9274274845000001</x:v>
      </x:c>
      <x:c r="M9" s="34" t="n">
        <x:v>0.1111111111111111</x:v>
      </x:c>
      <x:c r="N9" s="34" t="str">
        <x:v>no</x:v>
      </x:c>
    </x:row>
    <x:row r="10">
      <x:c r="A10" s="34" t="n">
        <x:v>1</x:v>
      </x:c>
      <x:c r="B10" s="34" t="str">
        <x:f>IF('01_INPUT_COMPANIES'!$A$7="","",'01_INPUT_COMPANIES'!$A$7)</x:f>
        <x:v>SYN-A</x:v>
      </x:c>
      <x:c r="C10" s="34" t="str">
        <x:f>IF(B10="","",'01_INPUT_COMPANIES'!$B$7)</x:f>
        <x:v>가온 콘텐츠</x:v>
      </x:c>
      <x:c r="D10" s="34" t="str">
        <x:v>cashflow_recovery_ratio</x:v>
      </x:c>
      <x:c r="E10" s="42" t="n">
        <x:f>IF(OR(B10="",COUNT('01_INPUT_COMPANIES'!$W$7)=0),"",'01_INPUT_COMPANIES'!$W$7)</x:f>
        <x:v>0.42</x:v>
      </x:c>
      <x:c r="F10" s="42" t="n">
        <x:v>-1</x:v>
      </x:c>
      <x:c r="G10" s="42" t="n">
        <x:f>IF(NOT(ISNUMBER(E10)),"",MAX(K10,MIN(L10,E10*F10)))</x:f>
        <x:v>-0.42</x:v>
      </x:c>
      <x:c r="H10" s="42" t="n">
        <x:v>95</x:v>
      </x:c>
      <x:c r="I10" s="42" t="n">
        <x:f>IF(COUNT(G10)=0,"",(COUNTIFS('93_REF_ANCHORS'!$A$7:$A$766,D10,'93_REF_ANCHORS'!$C$7:$C$766,"&lt;"&amp;G10)+COUNTIFS('93_REF_ANCHORS'!$A$7:$A$766,D10,'93_REF_ANCHORS'!$C$7:$C$766,"&lt;="&amp;G10)-1)/(2*(H10-1)))</x:f>
        <x:v>0.675531914893617</x:v>
      </x:c>
      <x:c r="J10" s="34" t="str">
        <x:f>IF(B10="","",IF(COUNT(E10)=0,"MISSING",IF(NOT(ISNUMBER(E10)),"INVALID",IF(E10*F10&lt;K10,"WINSORIZED LOW",IF(E10*F10&gt;L10,"WINSORIZED HIGH","OK")))))</x:f>
        <x:v>OK</x:v>
      </x:c>
      <x:c r="K10" s="34" t="n">
        <x:v>-300.75</x:v>
      </x:c>
      <x:c r="L10" s="34" t="n">
        <x:v>42.6920305469</x:v>
      </x:c>
      <x:c r="M10" s="34" t="n">
        <x:v>0.08333333333333333</x:v>
      </x:c>
      <x:c r="N10" s="34" t="str">
        <x:v>no</x:v>
      </x:c>
    </x:row>
    <x:row r="11">
      <x:c r="A11" s="34" t="n">
        <x:v>1</x:v>
      </x:c>
      <x:c r="B11" s="34" t="str">
        <x:f>IF('01_INPUT_COMPANIES'!$A$7="","",'01_INPUT_COMPANIES'!$A$7)</x:f>
        <x:v>SYN-A</x:v>
      </x:c>
      <x:c r="C11" s="34" t="str">
        <x:f>IF(B11="","",'01_INPUT_COMPANIES'!$B$7)</x:f>
        <x:v>가온 콘텐츠</x:v>
      </x:c>
      <x:c r="D11" s="34" t="str">
        <x:v>funding_cost_spread</x:v>
      </x:c>
      <x:c r="E11" s="42" t="n">
        <x:f>IF(OR(B11="",COUNT('01_INPUT_COMPANIES'!$X$7)=0),"",'01_INPUT_COMPANIES'!$X$7)</x:f>
        <x:v>0.012</x:v>
      </x:c>
      <x:c r="F11" s="42" t="n">
        <x:v>1</x:v>
      </x:c>
      <x:c r="G11" s="42" t="n">
        <x:f>IF(NOT(ISNUMBER(E11)),"",MAX(K11,MIN(L11,E11*F11)))</x:f>
        <x:v>0.012</x:v>
      </x:c>
      <x:c r="H11" s="42" t="n">
        <x:v>58</x:v>
      </x:c>
      <x:c r="I11" s="42" t="n">
        <x:f>IF(COUNT(G11)=0,"",(COUNTIFS('93_REF_ANCHORS'!$A$7:$A$766,D11,'93_REF_ANCHORS'!$C$7:$C$766,"&lt;"&amp;G11)+COUNTIFS('93_REF_ANCHORS'!$A$7:$A$766,D11,'93_REF_ANCHORS'!$C$7:$C$766,"&lt;="&amp;G11)-1)/(2*(H11-1)))</x:f>
        <x:v>0.7982456140350878</x:v>
      </x:c>
      <x:c r="J11" s="34" t="str">
        <x:f>IF(B11="","",IF(COUNT(E11)=0,"MISSING",IF(NOT(ISNUMBER(E11)),"INVALID",IF(E11*F11&lt;K11,"WINSORIZED LOW",IF(E11*F11&gt;L11,"WINSORIZED HIGH","OK")))))</x:f>
        <x:v>OK</x:v>
      </x:c>
      <x:c r="K11" s="34" t="n">
        <x:v>-0.4430292903</x:v>
      </x:c>
      <x:c r="L11" s="34" t="n">
        <x:v>0.5068913103</x:v>
      </x:c>
      <x:c r="M11" s="34" t="n">
        <x:v>0.08333333333333333</x:v>
      </x:c>
      <x:c r="N11" s="34" t="str">
        <x:v>no</x:v>
      </x:c>
    </x:row>
    <x:row r="12">
      <x:c r="A12" s="34" t="n">
        <x:v>1</x:v>
      </x:c>
      <x:c r="B12" s="34" t="str">
        <x:f>IF('01_INPUT_COMPANIES'!$A$7="","",'01_INPUT_COMPANIES'!$A$7)</x:f>
        <x:v>SYN-A</x:v>
      </x:c>
      <x:c r="C12" s="34" t="str">
        <x:f>IF(B12="","",'01_INPUT_COMPANIES'!$B$7)</x:f>
        <x:v>가온 콘텐츠</x:v>
      </x:c>
      <x:c r="D12" s="34" t="str">
        <x:v>investment_recovery_ratio</x:v>
      </x:c>
      <x:c r="E12" s="42" t="n">
        <x:f>IF(OR(B12="",COUNT('01_INPUT_COMPANIES'!$Y$7)=0),"",'01_INPUT_COMPANIES'!$Y$7)</x:f>
        <x:v>3.2</x:v>
      </x:c>
      <x:c r="F12" s="42" t="n">
        <x:v>-1</x:v>
      </x:c>
      <x:c r="G12" s="42" t="n">
        <x:f>IF(NOT(ISNUMBER(E12)),"",MAX(K12,MIN(L12,E12*F12)))</x:f>
        <x:v>-3.2</x:v>
      </x:c>
      <x:c r="H12" s="42" t="n">
        <x:v>95</x:v>
      </x:c>
      <x:c r="I12" s="42" t="n">
        <x:f>IF(COUNT(G12)=0,"",(COUNTIFS('93_REF_ANCHORS'!$A$7:$A$766,D12,'93_REF_ANCHORS'!$C$7:$C$766,"&lt;"&amp;G12)+COUNTIFS('93_REF_ANCHORS'!$A$7:$A$766,D12,'93_REF_ANCHORS'!$C$7:$C$766,"&lt;="&amp;G12)-1)/(2*(H12-1)))</x:f>
        <x:v>0.6968085106382979</x:v>
      </x:c>
      <x:c r="J12" s="34" t="str">
        <x:f>IF(B12="","",IF(COUNT(E12)=0,"MISSING",IF(NOT(ISNUMBER(E12)),"INVALID",IF(E12*F12&lt;K12,"WINSORIZED LOW",IF(E12*F12&gt;L12,"WINSORIZED HIGH","OK")))))</x:f>
        <x:v>OK</x:v>
      </x:c>
      <x:c r="K12" s="34" t="n">
        <x:v>-3163.7500000000014</x:v>
      </x:c>
      <x:c r="L12" s="34" t="n">
        <x:v>189.68191301719997</x:v>
      </x:c>
      <x:c r="M12" s="34" t="n">
        <x:v>0.08333333333333333</x:v>
      </x:c>
      <x:c r="N12" s="34" t="str">
        <x:v>no</x:v>
      </x:c>
    </x:row>
    <x:row r="13">
      <x:c r="A13" s="34" t="n">
        <x:v>1</x:v>
      </x:c>
      <x:c r="B13" s="34" t="str">
        <x:f>IF('01_INPUT_COMPANIES'!$A$7="","",'01_INPUT_COMPANIES'!$A$7)</x:f>
        <x:v>SYN-A</x:v>
      </x:c>
      <x:c r="C13" s="34" t="str">
        <x:f>IF(B13="","",'01_INPUT_COMPANIES'!$B$7)</x:f>
        <x:v>가온 콘텐츠</x:v>
      </x:c>
      <x:c r="D13" s="34" t="str">
        <x:v>ip_assetization_gap</x:v>
      </x:c>
      <x:c r="E13" s="42" t="n">
        <x:f>IF(OR(B13="",COUNT('01_INPUT_COMPANIES'!$Z$7)=0),"",'01_INPUT_COMPANIES'!$Z$7)</x:f>
        <x:v>0.08</x:v>
      </x:c>
      <x:c r="F13" s="42" t="n">
        <x:v>1</x:v>
      </x:c>
      <x:c r="G13" s="42" t="n">
        <x:f>IF(NOT(ISNUMBER(E13)),"",MAX(K13,MIN(L13,E13*F13)))</x:f>
        <x:v>0.08</x:v>
      </x:c>
      <x:c r="H13" s="42" t="n">
        <x:v>92</x:v>
      </x:c>
      <x:c r="I13" s="42" t="n">
        <x:f>IF(COUNT(G13)=0,"",(COUNTIFS('93_REF_ANCHORS'!$A$7:$A$766,D13,'93_REF_ANCHORS'!$C$7:$C$766,"&lt;"&amp;G13)+COUNTIFS('93_REF_ANCHORS'!$A$7:$A$766,D13,'93_REF_ANCHORS'!$C$7:$C$766,"&lt;="&amp;G13)-1)/(2*(H13-1)))</x:f>
        <x:v>0.7637362637362637</x:v>
      </x:c>
      <x:c r="J13" s="34" t="str">
        <x:f>IF(B13="","",IF(COUNT(E13)=0,"MISSING",IF(NOT(ISNUMBER(E13)),"INVALID",IF(E13*F13&lt;K13,"WINSORIZED LOW",IF(E13*F13&gt;L13,"WINSORIZED HIGH","OK")))))</x:f>
        <x:v>OK</x:v>
      </x:c>
      <x:c r="K13" s="34" t="n">
        <x:v>-1.6707152386</x:v>
      </x:c>
      <x:c r="L13" s="34" t="n">
        <x:v>0.7716332556000001</x:v>
      </x:c>
      <x:c r="M13" s="34" t="n">
        <x:v>0.08333333333333333</x:v>
      </x:c>
      <x:c r="N13" s="34" t="str">
        <x:v>no</x:v>
      </x:c>
    </x:row>
    <x:row r="14">
      <x:c r="A14" s="34" t="n">
        <x:v>1</x:v>
      </x:c>
      <x:c r="B14" s="34" t="str">
        <x:f>IF('01_INPUT_COMPANIES'!$A$7="","",'01_INPUT_COMPANIES'!$A$7)</x:f>
        <x:v>SYN-A</x:v>
      </x:c>
      <x:c r="C14" s="34" t="str">
        <x:f>IF(B14="","",'01_INPUT_COMPANIES'!$B$7)</x:f>
        <x:v>가온 콘텐츠</x:v>
      </x:c>
      <x:c r="D14" s="34" t="str">
        <x:v>cross_market_transfer_index</x:v>
      </x:c>
      <x:c r="E14" s="42" t="n">
        <x:f>IF(OR(B14="",COUNT('01_INPUT_COMPANIES'!$AA$7)=0),"",'01_INPUT_COMPANIES'!$AA$7)</x:f>
        <x:v>0.28</x:v>
      </x:c>
      <x:c r="F14" s="42" t="n">
        <x:v>1</x:v>
      </x:c>
      <x:c r="G14" s="42" t="n">
        <x:f>IF(NOT(ISNUMBER(E14)),"",MAX(K14,MIN(L14,E14*F14)))</x:f>
        <x:v>0.28</x:v>
      </x:c>
      <x:c r="H14" s="42" t="n">
        <x:v>4</x:v>
      </x:c>
      <x:c r="I14" s="42" t="n">
        <x:f>IF(COUNT(G14)=0,"",(COUNTIFS('93_REF_ANCHORS'!$A$7:$A$766,D14,'93_REF_ANCHORS'!$C$7:$C$766,"&lt;"&amp;G14)+COUNTIFS('93_REF_ANCHORS'!$A$7:$A$766,D14,'93_REF_ANCHORS'!$C$7:$C$766,"&lt;="&amp;G14)-1)/(2*(H14-1)))</x:f>
        <x:v>0.5</x:v>
      </x:c>
      <x:c r="J14" s="34" t="str">
        <x:f>IF(B14="","",IF(COUNT(E14)=0,"MISSING",IF(NOT(ISNUMBER(E14)),"INVALID",IF(E14*F14&lt;K14,"WINSORIZED LOW",IF(E14*F14&gt;L14,"WINSORIZED HIGH","OK")))))</x:f>
        <x:v>OK</x:v>
      </x:c>
      <x:c r="K14" s="34" t="n">
        <x:v>0</x:v>
      </x:c>
      <x:c r="L14" s="34" t="n">
        <x:v>0.7587051325360435</x:v>
      </x:c>
      <x:c r="M14" s="34" t="n">
        <x:v>0.1111111111111111</x:v>
      </x:c>
      <x:c r="N14" s="34" t="str">
        <x:v>yes</x:v>
      </x:c>
    </x:row>
    <x:row r="15">
      <x:c r="A15" s="34" t="n">
        <x:v>1</x:v>
      </x:c>
      <x:c r="B15" s="34" t="str">
        <x:f>IF('01_INPUT_COMPANIES'!$A$7="","",'01_INPUT_COMPANIES'!$A$7)</x:f>
        <x:v>SYN-A</x:v>
      </x:c>
      <x:c r="C15" s="34" t="str">
        <x:f>IF(B15="","",'01_INPUT_COMPANIES'!$B$7)</x:f>
        <x:v>가온 콘텐츠</x:v>
      </x:c>
      <x:c r="D15" s="34" t="str">
        <x:v>foreign_dependency_ratio</x:v>
      </x:c>
      <x:c r="E15" s="42" t="n">
        <x:f>IF(OR(B15="",COUNT('01_INPUT_COMPANIES'!$AB$7)=0),"",'01_INPUT_COMPANIES'!$AB$7)</x:f>
        <x:v>0.74</x:v>
      </x:c>
      <x:c r="F15" s="42" t="n">
        <x:v>1</x:v>
      </x:c>
      <x:c r="G15" s="42" t="n">
        <x:f>IF(NOT(ISNUMBER(E15)),"",MAX(K15,MIN(L15,E15*F15)))</x:f>
        <x:v>0.74</x:v>
      </x:c>
      <x:c r="H15" s="42" t="n">
        <x:v>84</x:v>
      </x:c>
      <x:c r="I15" s="42" t="n">
        <x:f>IF(COUNT(G15)=0,"",(COUNTIFS('93_REF_ANCHORS'!$A$7:$A$766,D15,'93_REF_ANCHORS'!$C$7:$C$766,"&lt;"&amp;G15)+COUNTIFS('93_REF_ANCHORS'!$A$7:$A$766,D15,'93_REF_ANCHORS'!$C$7:$C$766,"&lt;="&amp;G15)-1)/(2*(H15-1)))</x:f>
        <x:v>0.21084337349397592</x:v>
      </x:c>
      <x:c r="J15" s="34" t="str">
        <x:f>IF(B15="","",IF(COUNT(E15)=0,"MISSING",IF(NOT(ISNUMBER(E15)),"INVALID",IF(E15*F15&lt;K15,"WINSORIZED LOW",IF(E15*F15&gt;L15,"WINSORIZED HIGH","OK")))))</x:f>
        <x:v>OK</x:v>
      </x:c>
      <x:c r="K15" s="34" t="n">
        <x:v>0.728196</x:v>
      </x:c>
      <x:c r="L15" s="34" t="n">
        <x:v>0.94</x:v>
      </x:c>
      <x:c r="M15" s="34" t="n">
        <x:v>0.1111111111111111</x:v>
      </x:c>
      <x:c r="N15" s="34" t="str">
        <x:v>yes</x:v>
      </x:c>
    </x:row>
    <x:row r="16">
      <x:c r="A16" s="34" t="n">
        <x:v>1</x:v>
      </x:c>
      <x:c r="B16" s="34" t="str">
        <x:f>IF('01_INPUT_COMPANIES'!$A$7="","",'01_INPUT_COMPANIES'!$A$7)</x:f>
        <x:v>SYN-A</x:v>
      </x:c>
      <x:c r="C16" s="34" t="str">
        <x:f>IF(B16="","",'01_INPUT_COMPANIES'!$B$7)</x:f>
        <x:v>가온 콘텐츠</x:v>
      </x:c>
      <x:c r="D16" s="34" t="str">
        <x:v>outflow_to_capex_ratio</x:v>
      </x:c>
      <x:c r="E16" s="42" t="n">
        <x:f>IF(OR(B16="",COUNT('01_INPUT_COMPANIES'!$AC$7)=0),"",'01_INPUT_COMPANIES'!$AC$7)</x:f>
        <x:v>8.5</x:v>
      </x:c>
      <x:c r="F16" s="42" t="n">
        <x:v>1</x:v>
      </x:c>
      <x:c r="G16" s="42" t="n">
        <x:f>IF(NOT(ISNUMBER(E16)),"",MAX(K16,MIN(L16,E16*F16)))</x:f>
        <x:v>8.5</x:v>
      </x:c>
      <x:c r="H16" s="42" t="n">
        <x:v>97</x:v>
      </x:c>
      <x:c r="I16" s="42" t="n">
        <x:f>IF(COUNT(G16)=0,"",(COUNTIFS('93_REF_ANCHORS'!$A$7:$A$766,D16,'93_REF_ANCHORS'!$C$7:$C$766,"&lt;"&amp;G16)+COUNTIFS('93_REF_ANCHORS'!$A$7:$A$766,D16,'93_REF_ANCHORS'!$C$7:$C$766,"&lt;="&amp;G16)-1)/(2*(H16-1)))</x:f>
        <x:v>0.296875</x:v>
      </x:c>
      <x:c r="J16" s="34" t="str">
        <x:f>IF(B16="","",IF(COUNT(E16)=0,"MISSING",IF(NOT(ISNUMBER(E16)),"INVALID",IF(E16*F16&lt;K16,"WINSORIZED LOW",IF(E16*F16&gt;L16,"WINSORIZED HIGH","OK")))))</x:f>
        <x:v>OK</x:v>
      </x:c>
      <x:c r="K16" s="34" t="n">
        <x:v>-123.5385890408</x:v>
      </x:c>
      <x:c r="L16" s="34" t="n">
        <x:v>974.1666666666999</x:v>
      </x:c>
      <x:c r="M16" s="34" t="n">
        <x:v>0.1111111111111111</x:v>
      </x:c>
      <x:c r="N16" s="34" t="str">
        <x:v>no</x:v>
      </x:c>
    </x:row>
    <x:row r="17">
      <x:c r="A17" s="34" t="n">
        <x:v>2</x:v>
      </x:c>
      <x:c r="B17" s="34" t="str">
        <x:f>IF('01_INPUT_COMPANIES'!$A$8="","",'01_INPUT_COMPANIES'!$A$8)</x:f>
        <x:v>SYN-B</x:v>
      </x:c>
      <x:c r="C17" s="34" t="str">
        <x:f>IF(B17="","",'01_INPUT_COMPANIES'!$B$8)</x:f>
        <x:v>누리 미디어</x:v>
      </x:c>
      <x:c r="D17" s="34" t="str">
        <x:v>effective_tax_rate_gap</x:v>
      </x:c>
      <x:c r="E17" s="42" t="n">
        <x:f>IF(OR(B17="",COUNT('01_INPUT_COMPANIES'!$T$8)=0),"",'01_INPUT_COMPANIES'!$T$8)</x:f>
        <x:v>-0.055</x:v>
      </x:c>
      <x:c r="F17" s="42" t="n">
        <x:v>1</x:v>
      </x:c>
      <x:c r="G17" s="42" t="n">
        <x:f>IF(NOT(ISNUMBER(E17)),"",MAX(K17,MIN(L17,E17*F17)))</x:f>
        <x:v>-0.055</x:v>
      </x:c>
      <x:c r="H17" s="42" t="n">
        <x:v>74</x:v>
      </x:c>
      <x:c r="I17" s="42" t="n">
        <x:f>IF(COUNT(G17)=0,"",(COUNTIFS('93_REF_ANCHORS'!$A$7:$A$766,D17,'93_REF_ANCHORS'!$C$7:$C$766,"&lt;"&amp;G17)+COUNTIFS('93_REF_ANCHORS'!$A$7:$A$766,D17,'93_REF_ANCHORS'!$C$7:$C$766,"&lt;="&amp;G17)-1)/(2*(H17-1)))</x:f>
        <x:v>0.10273972602739725</x:v>
      </x:c>
      <x:c r="J17" s="34" t="str">
        <x:f>IF(B17="","",IF(COUNT(E17)=0,"MISSING",IF(NOT(ISNUMBER(E17)),"INVALID",IF(E17*F17&lt;K17,"WINSORIZED LOW",IF(E17*F17&gt;L17,"WINSORIZED HIGH","OK")))))</x:f>
        <x:v>OK</x:v>
      </x:c>
      <x:c r="K17" s="34" t="n">
        <x:v>-0.1416111014</x:v>
      </x:c>
      <x:c r="L17" s="34" t="n">
        <x:v>0.2683650488</x:v>
      </x:c>
      <x:c r="M17" s="34" t="n">
        <x:v>0.1111111111111111</x:v>
      </x:c>
      <x:c r="N17" s="34" t="str">
        <x:v>no</x:v>
      </x:c>
    </x:row>
    <x:row r="18">
      <x:c r="A18" s="34" t="n">
        <x:v>2</x:v>
      </x:c>
      <x:c r="B18" s="34" t="str">
        <x:f>IF('01_INPUT_COMPANIES'!$A$8="","",'01_INPUT_COMPANIES'!$A$8)</x:f>
        <x:v>SYN-B</x:v>
      </x:c>
      <x:c r="C18" s="34" t="str">
        <x:f>IF(B18="","",'01_INPUT_COMPANIES'!$B$8)</x:f>
        <x:v>누리 미디어</x:v>
      </x:c>
      <x:c r="D18" s="34" t="str">
        <x:v>infra_dependency_ratio</x:v>
      </x:c>
      <x:c r="E18" s="42" t="n">
        <x:f>IF(OR(B18="",COUNT('01_INPUT_COMPANIES'!$U$8)=0),"",'01_INPUT_COMPANIES'!$U$8)</x:f>
        <x:v>0.06405</x:v>
      </x:c>
      <x:c r="F18" s="42" t="n">
        <x:v>1</x:v>
      </x:c>
      <x:c r="G18" s="42" t="n">
        <x:f>IF(NOT(ISNUMBER(E18)),"",MAX(K18,MIN(L18,E18*F18)))</x:f>
        <x:v>0.06405</x:v>
      </x:c>
      <x:c r="H18" s="42" t="n">
        <x:v>64</x:v>
      </x:c>
      <x:c r="I18" s="42" t="n">
        <x:f>IF(COUNT(G18)=0,"",(COUNTIFS('93_REF_ANCHORS'!$A$7:$A$766,D18,'93_REF_ANCHORS'!$C$7:$C$766,"&lt;"&amp;G18)+COUNTIFS('93_REF_ANCHORS'!$A$7:$A$766,D18,'93_REF_ANCHORS'!$C$7:$C$766,"&lt;="&amp;G18)-1)/(2*(H18-1)))</x:f>
        <x:v>0.023809523809523808</x:v>
      </x:c>
      <x:c r="J18" s="34" t="str">
        <x:f>IF(B18="","",IF(COUNT(E18)=0,"MISSING",IF(NOT(ISNUMBER(E18)),"INVALID",IF(E18*F18&lt;K18,"WINSORIZED LOW",IF(E18*F18&gt;L18,"WINSORIZED HIGH","OK")))))</x:f>
        <x:v>OK</x:v>
      </x:c>
      <x:c r="K18" s="34" t="n">
        <x:v>-0.10705024705171803</x:v>
      </x:c>
      <x:c r="L18" s="34" t="n">
        <x:v>0.8008753865408955</x:v>
      </x:c>
      <x:c r="M18" s="34" t="n">
        <x:v>0.1111111111111111</x:v>
      </x:c>
      <x:c r="N18" s="34" t="str">
        <x:v>no</x:v>
      </x:c>
    </x:row>
    <x:row r="19">
      <x:c r="A19" s="34" t="n">
        <x:v>2</x:v>
      </x:c>
      <x:c r="B19" s="34" t="str">
        <x:f>IF('01_INPUT_COMPANIES'!$A$8="","",'01_INPUT_COMPANIES'!$A$8)</x:f>
        <x:v>SYN-B</x:v>
      </x:c>
      <x:c r="C19" s="34" t="str">
        <x:f>IF(B19="","",'01_INPUT_COMPANIES'!$B$8)</x:f>
        <x:v>누리 미디어</x:v>
      </x:c>
      <x:c r="D19" s="34" t="str">
        <x:v>network_cost_ratio</x:v>
      </x:c>
      <x:c r="E19" s="42" t="n">
        <x:f>IF(OR(B19="",COUNT('01_INPUT_COMPANIES'!$V$8)=0),"",'01_INPUT_COMPANIES'!$V$8)</x:f>
        <x:v>0.105</x:v>
      </x:c>
      <x:c r="F19" s="42" t="n">
        <x:v>1</x:v>
      </x:c>
      <x:c r="G19" s="42" t="n">
        <x:f>IF(NOT(ISNUMBER(E19)),"",MAX(K19,MIN(L19,E19*F19)))</x:f>
        <x:v>0.105</x:v>
      </x:c>
      <x:c r="H19" s="42" t="n">
        <x:v>97</x:v>
      </x:c>
      <x:c r="I19" s="42" t="n">
        <x:f>IF(COUNT(G19)=0,"",(COUNTIFS('93_REF_ANCHORS'!$A$7:$A$766,D19,'93_REF_ANCHORS'!$C$7:$C$766,"&lt;"&amp;G19)+COUNTIFS('93_REF_ANCHORS'!$A$7:$A$766,D19,'93_REF_ANCHORS'!$C$7:$C$766,"&lt;="&amp;G19)-1)/(2*(H19-1)))</x:f>
        <x:v>0.026041666666666668</x:v>
      </x:c>
      <x:c r="J19" s="34" t="str">
        <x:f>IF(B19="","",IF(COUNT(E19)=0,"MISSING",IF(NOT(ISNUMBER(E19)),"INVALID",IF(E19*F19&lt;K19,"WINSORIZED LOW",IF(E19*F19&gt;L19,"WINSORIZED HIGH","OK")))))</x:f>
        <x:v>OK</x:v>
      </x:c>
      <x:c r="K19" s="34" t="n">
        <x:v>-0.1395374353</x:v>
      </x:c>
      <x:c r="L19" s="34" t="n">
        <x:v>0.9274274845000001</x:v>
      </x:c>
      <x:c r="M19" s="34" t="n">
        <x:v>0.1111111111111111</x:v>
      </x:c>
      <x:c r="N19" s="34" t="str">
        <x:v>no</x:v>
      </x:c>
    </x:row>
    <x:row r="20">
      <x:c r="A20" s="34" t="n">
        <x:v>2</x:v>
      </x:c>
      <x:c r="B20" s="34" t="str">
        <x:f>IF('01_INPUT_COMPANIES'!$A$8="","",'01_INPUT_COMPANIES'!$A$8)</x:f>
        <x:v>SYN-B</x:v>
      </x:c>
      <x:c r="C20" s="34" t="str">
        <x:f>IF(B20="","",'01_INPUT_COMPANIES'!$B$8)</x:f>
        <x:v>누리 미디어</x:v>
      </x:c>
      <x:c r="D20" s="34" t="str">
        <x:v>cashflow_recovery_ratio</x:v>
      </x:c>
      <x:c r="E20" s="42" t="n">
        <x:f>IF(OR(B20="",COUNT('01_INPUT_COMPANIES'!$W$8)=0),"",'01_INPUT_COMPANIES'!$W$8)</x:f>
        <x:v>0.73</x:v>
      </x:c>
      <x:c r="F20" s="42" t="n">
        <x:v>-1</x:v>
      </x:c>
      <x:c r="G20" s="42" t="n">
        <x:f>IF(NOT(ISNUMBER(E20)),"",MAX(K20,MIN(L20,E20*F20)))</x:f>
        <x:v>-0.73</x:v>
      </x:c>
      <x:c r="H20" s="42" t="n">
        <x:v>95</x:v>
      </x:c>
      <x:c r="I20" s="42" t="n">
        <x:f>IF(COUNT(G20)=0,"",(COUNTIFS('93_REF_ANCHORS'!$A$7:$A$766,D20,'93_REF_ANCHORS'!$C$7:$C$766,"&lt;"&amp;G20)+COUNTIFS('93_REF_ANCHORS'!$A$7:$A$766,D20,'93_REF_ANCHORS'!$C$7:$C$766,"&lt;="&amp;G20)-1)/(2*(H20-1)))</x:f>
        <x:v>0.48404255319148937</x:v>
      </x:c>
      <x:c r="J20" s="34" t="str">
        <x:f>IF(B20="","",IF(COUNT(E20)=0,"MISSING",IF(NOT(ISNUMBER(E20)),"INVALID",IF(E20*F20&lt;K20,"WINSORIZED LOW",IF(E20*F20&gt;L20,"WINSORIZED HIGH","OK")))))</x:f>
        <x:v>OK</x:v>
      </x:c>
      <x:c r="K20" s="34" t="n">
        <x:v>-300.75</x:v>
      </x:c>
      <x:c r="L20" s="34" t="n">
        <x:v>42.6920305469</x:v>
      </x:c>
      <x:c r="M20" s="34" t="n">
        <x:v>0.08333333333333333</x:v>
      </x:c>
      <x:c r="N20" s="34" t="str">
        <x:v>no</x:v>
      </x:c>
    </x:row>
    <x:row r="21">
      <x:c r="A21" s="34" t="n">
        <x:v>2</x:v>
      </x:c>
      <x:c r="B21" s="34" t="str">
        <x:f>IF('01_INPUT_COMPANIES'!$A$8="","",'01_INPUT_COMPANIES'!$A$8)</x:f>
        <x:v>SYN-B</x:v>
      </x:c>
      <x:c r="C21" s="34" t="str">
        <x:f>IF(B21="","",'01_INPUT_COMPANIES'!$B$8)</x:f>
        <x:v>누리 미디어</x:v>
      </x:c>
      <x:c r="D21" s="34" t="str">
        <x:v>funding_cost_spread</x:v>
      </x:c>
      <x:c r="E21" s="42" t="n">
        <x:f>IF(OR(B21="",COUNT('01_INPUT_COMPANIES'!$X$8)=0),"",'01_INPUT_COMPANIES'!$X$8)</x:f>
        <x:v>0.004</x:v>
      </x:c>
      <x:c r="F21" s="42" t="n">
        <x:v>1</x:v>
      </x:c>
      <x:c r="G21" s="42" t="n">
        <x:f>IF(NOT(ISNUMBER(E21)),"",MAX(K21,MIN(L21,E21*F21)))</x:f>
        <x:v>0.004</x:v>
      </x:c>
      <x:c r="H21" s="42" t="n">
        <x:v>58</x:v>
      </x:c>
      <x:c r="I21" s="42" t="n">
        <x:f>IF(COUNT(G21)=0,"",(COUNTIFS('93_REF_ANCHORS'!$A$7:$A$766,D21,'93_REF_ANCHORS'!$C$7:$C$766,"&lt;"&amp;G21)+COUNTIFS('93_REF_ANCHORS'!$A$7:$A$766,D21,'93_REF_ANCHORS'!$C$7:$C$766,"&lt;="&amp;G21)-1)/(2*(H21-1)))</x:f>
        <x:v>0.6578947368421053</x:v>
      </x:c>
      <x:c r="J21" s="34" t="str">
        <x:f>IF(B21="","",IF(COUNT(E21)=0,"MISSING",IF(NOT(ISNUMBER(E21)),"INVALID",IF(E21*F21&lt;K21,"WINSORIZED LOW",IF(E21*F21&gt;L21,"WINSORIZED HIGH","OK")))))</x:f>
        <x:v>OK</x:v>
      </x:c>
      <x:c r="K21" s="34" t="n">
        <x:v>-0.4430292903</x:v>
      </x:c>
      <x:c r="L21" s="34" t="n">
        <x:v>0.5068913103</x:v>
      </x:c>
      <x:c r="M21" s="34" t="n">
        <x:v>0.08333333333333333</x:v>
      </x:c>
      <x:c r="N21" s="34" t="str">
        <x:v>no</x:v>
      </x:c>
    </x:row>
    <x:row r="22">
      <x:c r="A22" s="34" t="n">
        <x:v>2</x:v>
      </x:c>
      <x:c r="B22" s="34" t="str">
        <x:f>IF('01_INPUT_COMPANIES'!$A$8="","",'01_INPUT_COMPANIES'!$A$8)</x:f>
        <x:v>SYN-B</x:v>
      </x:c>
      <x:c r="C22" s="34" t="str">
        <x:f>IF(B22="","",'01_INPUT_COMPANIES'!$B$8)</x:f>
        <x:v>누리 미디어</x:v>
      </x:c>
      <x:c r="D22" s="34" t="str">
        <x:v>investment_recovery_ratio</x:v>
      </x:c>
      <x:c r="E22" s="42" t="n">
        <x:f>IF(OR(B22="",COUNT('01_INPUT_COMPANIES'!$Y$8)=0),"",'01_INPUT_COMPANIES'!$Y$8)</x:f>
        <x:v>4.1</x:v>
      </x:c>
      <x:c r="F22" s="42" t="n">
        <x:v>-1</x:v>
      </x:c>
      <x:c r="G22" s="42" t="n">
        <x:f>IF(NOT(ISNUMBER(E22)),"",MAX(K22,MIN(L22,E22*F22)))</x:f>
        <x:v>-4.1</x:v>
      </x:c>
      <x:c r="H22" s="42" t="n">
        <x:v>95</x:v>
      </x:c>
      <x:c r="I22" s="42" t="n">
        <x:f>IF(COUNT(G22)=0,"",(COUNTIFS('93_REF_ANCHORS'!$A$7:$A$766,D22,'93_REF_ANCHORS'!$C$7:$C$766,"&lt;"&amp;G22)+COUNTIFS('93_REF_ANCHORS'!$A$7:$A$766,D22,'93_REF_ANCHORS'!$C$7:$C$766,"&lt;="&amp;G22)-1)/(2*(H22-1)))</x:f>
        <x:v>0.6968085106382979</x:v>
      </x:c>
      <x:c r="J22" s="34" t="str">
        <x:f>IF(B22="","",IF(COUNT(E22)=0,"MISSING",IF(NOT(ISNUMBER(E22)),"INVALID",IF(E22*F22&lt;K22,"WINSORIZED LOW",IF(E22*F22&gt;L22,"WINSORIZED HIGH","OK")))))</x:f>
        <x:v>OK</x:v>
      </x:c>
      <x:c r="K22" s="34" t="n">
        <x:v>-3163.7500000000014</x:v>
      </x:c>
      <x:c r="L22" s="34" t="n">
        <x:v>189.68191301719997</x:v>
      </x:c>
      <x:c r="M22" s="34" t="n">
        <x:v>0.08333333333333333</x:v>
      </x:c>
      <x:c r="N22" s="34" t="str">
        <x:v>no</x:v>
      </x:c>
    </x:row>
    <x:row r="23">
      <x:c r="A23" s="34" t="n">
        <x:v>2</x:v>
      </x:c>
      <x:c r="B23" s="34" t="str">
        <x:f>IF('01_INPUT_COMPANIES'!$A$8="","",'01_INPUT_COMPANIES'!$A$8)</x:f>
        <x:v>SYN-B</x:v>
      </x:c>
      <x:c r="C23" s="34" t="str">
        <x:f>IF(B23="","",'01_INPUT_COMPANIES'!$B$8)</x:f>
        <x:v>누리 미디어</x:v>
      </x:c>
      <x:c r="D23" s="34" t="str">
        <x:v>ip_assetization_gap</x:v>
      </x:c>
      <x:c r="E23" s="42" t="n">
        <x:f>IF(OR(B23="",COUNT('01_INPUT_COMPANIES'!$Z$8)=0),"",'01_INPUT_COMPANIES'!$Z$8)</x:f>
        <x:v>0.025</x:v>
      </x:c>
      <x:c r="F23" s="42" t="n">
        <x:v>1</x:v>
      </x:c>
      <x:c r="G23" s="42" t="n">
        <x:f>IF(NOT(ISNUMBER(E23)),"",MAX(K23,MIN(L23,E23*F23)))</x:f>
        <x:v>0.025</x:v>
      </x:c>
      <x:c r="H23" s="42" t="n">
        <x:v>92</x:v>
      </x:c>
      <x:c r="I23" s="42" t="n">
        <x:f>IF(COUNT(G23)=0,"",(COUNTIFS('93_REF_ANCHORS'!$A$7:$A$766,D23,'93_REF_ANCHORS'!$C$7:$C$766,"&lt;"&amp;G23)+COUNTIFS('93_REF_ANCHORS'!$A$7:$A$766,D23,'93_REF_ANCHORS'!$C$7:$C$766,"&lt;="&amp;G23)-1)/(2*(H23-1)))</x:f>
        <x:v>0.7637362637362637</x:v>
      </x:c>
      <x:c r="J23" s="34" t="str">
        <x:f>IF(B23="","",IF(COUNT(E23)=0,"MISSING",IF(NOT(ISNUMBER(E23)),"INVALID",IF(E23*F23&lt;K23,"WINSORIZED LOW",IF(E23*F23&gt;L23,"WINSORIZED HIGH","OK")))))</x:f>
        <x:v>OK</x:v>
      </x:c>
      <x:c r="K23" s="34" t="n">
        <x:v>-1.6707152386</x:v>
      </x:c>
      <x:c r="L23" s="34" t="n">
        <x:v>0.7716332556000001</x:v>
      </x:c>
      <x:c r="M23" s="34" t="n">
        <x:v>0.08333333333333333</x:v>
      </x:c>
      <x:c r="N23" s="34" t="str">
        <x:v>no</x:v>
      </x:c>
    </x:row>
    <x:row r="24">
      <x:c r="A24" s="34" t="n">
        <x:v>2</x:v>
      </x:c>
      <x:c r="B24" s="34" t="str">
        <x:f>IF('01_INPUT_COMPANIES'!$A$8="","",'01_INPUT_COMPANIES'!$A$8)</x:f>
        <x:v>SYN-B</x:v>
      </x:c>
      <x:c r="C24" s="34" t="str">
        <x:f>IF(B24="","",'01_INPUT_COMPANIES'!$B$8)</x:f>
        <x:v>누리 미디어</x:v>
      </x:c>
      <x:c r="D24" s="34" t="str">
        <x:v>cross_market_transfer_index</x:v>
      </x:c>
      <x:c r="E24" s="42" t="n">
        <x:f>IF(OR(B24="",COUNT('01_INPUT_COMPANIES'!$AA$8)=0),"",'01_INPUT_COMPANIES'!$AA$8)</x:f>
        <x:v>0.16</x:v>
      </x:c>
      <x:c r="F24" s="42" t="n">
        <x:v>1</x:v>
      </x:c>
      <x:c r="G24" s="42" t="n">
        <x:f>IF(NOT(ISNUMBER(E24)),"",MAX(K24,MIN(L24,E24*F24)))</x:f>
        <x:v>0.16</x:v>
      </x:c>
      <x:c r="H24" s="42" t="n">
        <x:v>4</x:v>
      </x:c>
      <x:c r="I24" s="42" t="n">
        <x:f>IF(COUNT(G24)=0,"",(COUNTIFS('93_REF_ANCHORS'!$A$7:$A$766,D24,'93_REF_ANCHORS'!$C$7:$C$766,"&lt;"&amp;G24)+COUNTIFS('93_REF_ANCHORS'!$A$7:$A$766,D24,'93_REF_ANCHORS'!$C$7:$C$766,"&lt;="&amp;G24)-1)/(2*(H24-1)))</x:f>
        <x:v>0.5</x:v>
      </x:c>
      <x:c r="J24" s="34" t="str">
        <x:f>IF(B24="","",IF(COUNT(E24)=0,"MISSING",IF(NOT(ISNUMBER(E24)),"INVALID",IF(E24*F24&lt;K24,"WINSORIZED LOW",IF(E24*F24&gt;L24,"WINSORIZED HIGH","OK")))))</x:f>
        <x:v>OK</x:v>
      </x:c>
      <x:c r="K24" s="34" t="n">
        <x:v>0</x:v>
      </x:c>
      <x:c r="L24" s="34" t="n">
        <x:v>0.7587051325360435</x:v>
      </x:c>
      <x:c r="M24" s="34" t="n">
        <x:v>0.1111111111111111</x:v>
      </x:c>
      <x:c r="N24" s="34" t="str">
        <x:v>yes</x:v>
      </x:c>
    </x:row>
    <x:row r="25">
      <x:c r="A25" s="34" t="n">
        <x:v>2</x:v>
      </x:c>
      <x:c r="B25" s="34" t="str">
        <x:f>IF('01_INPUT_COMPANIES'!$A$8="","",'01_INPUT_COMPANIES'!$A$8)</x:f>
        <x:v>SYN-B</x:v>
      </x:c>
      <x:c r="C25" s="34" t="str">
        <x:f>IF(B25="","",'01_INPUT_COMPANIES'!$B$8)</x:f>
        <x:v>누리 미디어</x:v>
      </x:c>
      <x:c r="D25" s="34" t="str">
        <x:v>foreign_dependency_ratio</x:v>
      </x:c>
      <x:c r="E25" s="42" t="n">
        <x:f>IF(OR(B25="",COUNT('01_INPUT_COMPANIES'!$AB$8)=0),"",'01_INPUT_COMPANIES'!$AB$8)</x:f>
        <x:v>0.61</x:v>
      </x:c>
      <x:c r="F25" s="42" t="n">
        <x:v>1</x:v>
      </x:c>
      <x:c r="G25" s="42" t="n">
        <x:f>IF(NOT(ISNUMBER(E25)),"",MAX(K25,MIN(L25,E25*F25)))</x:f>
        <x:v>0.728196</x:v>
      </x:c>
      <x:c r="H25" s="42" t="n">
        <x:v>84</x:v>
      </x:c>
      <x:c r="I25" s="42" t="n">
        <x:f>IF(COUNT(G25)=0,"",(COUNTIFS('93_REF_ANCHORS'!$A$7:$A$766,D25,'93_REF_ANCHORS'!$C$7:$C$766,"&lt;"&amp;G25)+COUNTIFS('93_REF_ANCHORS'!$A$7:$A$766,D25,'93_REF_ANCHORS'!$C$7:$C$766,"&lt;="&amp;G25)-1)/(2*(H25-1)))</x:f>
        <x:v>0.10240963855421686</x:v>
      </x:c>
      <x:c r="J25" s="34" t="str">
        <x:f>IF(B25="","",IF(COUNT(E25)=0,"MISSING",IF(NOT(ISNUMBER(E25)),"INVALID",IF(E25*F25&lt;K25,"WINSORIZED LOW",IF(E25*F25&gt;L25,"WINSORIZED HIGH","OK")))))</x:f>
        <x:v>WINSORIZED LOW</x:v>
      </x:c>
      <x:c r="K25" s="34" t="n">
        <x:v>0.728196</x:v>
      </x:c>
      <x:c r="L25" s="34" t="n">
        <x:v>0.94</x:v>
      </x:c>
      <x:c r="M25" s="34" t="n">
        <x:v>0.1111111111111111</x:v>
      </x:c>
      <x:c r="N25" s="34" t="str">
        <x:v>yes</x:v>
      </x:c>
    </x:row>
    <x:row r="26">
      <x:c r="A26" s="34" t="n">
        <x:v>2</x:v>
      </x:c>
      <x:c r="B26" s="34" t="str">
        <x:f>IF('01_INPUT_COMPANIES'!$A$8="","",'01_INPUT_COMPANIES'!$A$8)</x:f>
        <x:v>SYN-B</x:v>
      </x:c>
      <x:c r="C26" s="34" t="str">
        <x:f>IF(B26="","",'01_INPUT_COMPANIES'!$B$8)</x:f>
        <x:v>누리 미디어</x:v>
      </x:c>
      <x:c r="D26" s="34" t="str">
        <x:v>outflow_to_capex_ratio</x:v>
      </x:c>
      <x:c r="E26" s="42" t="n">
        <x:f>IF(OR(B26="",COUNT('01_INPUT_COMPANIES'!$AC$8)=0),"",'01_INPUT_COMPANIES'!$AC$8)</x:f>
        <x:v>4</x:v>
      </x:c>
      <x:c r="F26" s="42" t="n">
        <x:v>1</x:v>
      </x:c>
      <x:c r="G26" s="42" t="n">
        <x:f>IF(NOT(ISNUMBER(E26)),"",MAX(K26,MIN(L26,E26*F26)))</x:f>
        <x:v>4</x:v>
      </x:c>
      <x:c r="H26" s="42" t="n">
        <x:v>97</x:v>
      </x:c>
      <x:c r="I26" s="42" t="n">
        <x:f>IF(COUNT(G26)=0,"",(COUNTIFS('93_REF_ANCHORS'!$A$7:$A$766,D26,'93_REF_ANCHORS'!$C$7:$C$766,"&lt;"&amp;G26)+COUNTIFS('93_REF_ANCHORS'!$A$7:$A$766,D26,'93_REF_ANCHORS'!$C$7:$C$766,"&lt;="&amp;G26)-1)/(2*(H26-1)))</x:f>
        <x:v>0.19270833333333334</x:v>
      </x:c>
      <x:c r="J26" s="34" t="str">
        <x:f>IF(B26="","",IF(COUNT(E26)=0,"MISSING",IF(NOT(ISNUMBER(E26)),"INVALID",IF(E26*F26&lt;K26,"WINSORIZED LOW",IF(E26*F26&gt;L26,"WINSORIZED HIGH","OK")))))</x:f>
        <x:v>OK</x:v>
      </x:c>
      <x:c r="K26" s="34" t="n">
        <x:v>-123.5385890408</x:v>
      </x:c>
      <x:c r="L26" s="34" t="n">
        <x:v>974.1666666666999</x:v>
      </x:c>
      <x:c r="M26" s="34" t="n">
        <x:v>0.1111111111111111</x:v>
      </x:c>
      <x:c r="N26" s="34" t="str">
        <x:v>no</x:v>
      </x:c>
    </x:row>
    <x:row r="27">
      <x:c r="A27" s="34" t="n">
        <x:v>3</x:v>
      </x:c>
      <x:c r="B27" s="34" t="str">
        <x:f>IF('01_INPUT_COMPANIES'!$A$9="","",'01_INPUT_COMPANIES'!$A$9)</x:f>
        <x:v>SYN-C</x:v>
      </x:c>
      <x:c r="C27" s="34" t="str">
        <x:f>IF(B27="","",'01_INPUT_COMPANIES'!$B$9)</x:f>
        <x:v>다온 스토리</x:v>
      </x:c>
      <x:c r="D27" s="34" t="str">
        <x:v>effective_tax_rate_gap</x:v>
      </x:c>
      <x:c r="E27" s="42" t="n">
        <x:f>IF(OR(B27="",COUNT('01_INPUT_COMPANIES'!$T$9)=0),"",'01_INPUT_COMPANIES'!$T$9)</x:f>
        <x:v>0.01</x:v>
      </x:c>
      <x:c r="F27" s="42" t="n">
        <x:v>1</x:v>
      </x:c>
      <x:c r="G27" s="42" t="n">
        <x:f>IF(NOT(ISNUMBER(E27)),"",MAX(K27,MIN(L27,E27*F27)))</x:f>
        <x:v>0.01</x:v>
      </x:c>
      <x:c r="H27" s="42" t="n">
        <x:v>74</x:v>
      </x:c>
      <x:c r="I27" s="42" t="n">
        <x:f>IF(COUNT(G27)=0,"",(COUNTIFS('93_REF_ANCHORS'!$A$7:$A$766,D27,'93_REF_ANCHORS'!$C$7:$C$766,"&lt;"&amp;G27)+COUNTIFS('93_REF_ANCHORS'!$A$7:$A$766,D27,'93_REF_ANCHORS'!$C$7:$C$766,"&lt;="&amp;G27)-1)/(2*(H27-1)))</x:f>
        <x:v>0.6917808219178082</x:v>
      </x:c>
      <x:c r="J27" s="34" t="str">
        <x:f>IF(B27="","",IF(COUNT(E27)=0,"MISSING",IF(NOT(ISNUMBER(E27)),"INVALID",IF(E27*F27&lt;K27,"WINSORIZED LOW",IF(E27*F27&gt;L27,"WINSORIZED HIGH","OK")))))</x:f>
        <x:v>OK</x:v>
      </x:c>
      <x:c r="K27" s="34" t="n">
        <x:v>-0.1416111014</x:v>
      </x:c>
      <x:c r="L27" s="34" t="n">
        <x:v>0.2683650488</x:v>
      </x:c>
      <x:c r="M27" s="34" t="n">
        <x:v>0.1111111111111111</x:v>
      </x:c>
      <x:c r="N27" s="34" t="str">
        <x:v>no</x:v>
      </x:c>
    </x:row>
    <x:row r="28">
      <x:c r="A28" s="34" t="n">
        <x:v>3</x:v>
      </x:c>
      <x:c r="B28" s="34" t="str">
        <x:f>IF('01_INPUT_COMPANIES'!$A$9="","",'01_INPUT_COMPANIES'!$A$9)</x:f>
        <x:v>SYN-C</x:v>
      </x:c>
      <x:c r="C28" s="34" t="str">
        <x:f>IF(B28="","",'01_INPUT_COMPANIES'!$B$9)</x:f>
        <x:v>다온 스토리</x:v>
      </x:c>
      <x:c r="D28" s="34" t="str">
        <x:v>infra_dependency_ratio</x:v>
      </x:c>
      <x:c r="E28" s="42" t="n">
        <x:f>IF(OR(B28="",COUNT('01_INPUT_COMPANIES'!$U$9)=0),"",'01_INPUT_COMPANIES'!$U$9)</x:f>
        <x:v>0.0986</x:v>
      </x:c>
      <x:c r="F28" s="42" t="n">
        <x:v>1</x:v>
      </x:c>
      <x:c r="G28" s="42" t="n">
        <x:f>IF(NOT(ISNUMBER(E28)),"",MAX(K28,MIN(L28,E28*F28)))</x:f>
        <x:v>0.0986</x:v>
      </x:c>
      <x:c r="H28" s="42" t="n">
        <x:v>64</x:v>
      </x:c>
      <x:c r="I28" s="42" t="n">
        <x:f>IF(COUNT(G28)=0,"",(COUNTIFS('93_REF_ANCHORS'!$A$7:$A$766,D28,'93_REF_ANCHORS'!$C$7:$C$766,"&lt;"&amp;G28)+COUNTIFS('93_REF_ANCHORS'!$A$7:$A$766,D28,'93_REF_ANCHORS'!$C$7:$C$766,"&lt;="&amp;G28)-1)/(2*(H28-1)))</x:f>
        <x:v>0.023809523809523808</x:v>
      </x:c>
      <x:c r="J28" s="34" t="str">
        <x:f>IF(B28="","",IF(COUNT(E28)=0,"MISSING",IF(NOT(ISNUMBER(E28)),"INVALID",IF(E28*F28&lt;K28,"WINSORIZED LOW",IF(E28*F28&gt;L28,"WINSORIZED HIGH","OK")))))</x:f>
        <x:v>OK</x:v>
      </x:c>
      <x:c r="K28" s="34" t="n">
        <x:v>-0.10705024705171803</x:v>
      </x:c>
      <x:c r="L28" s="34" t="n">
        <x:v>0.8008753865408955</x:v>
      </x:c>
      <x:c r="M28" s="34" t="n">
        <x:v>0.1111111111111111</x:v>
      </x:c>
      <x:c r="N28" s="34" t="str">
        <x:v>no</x:v>
      </x:c>
    </x:row>
    <x:row r="29">
      <x:c r="A29" s="34" t="n">
        <x:v>3</x:v>
      </x:c>
      <x:c r="B29" s="34" t="str">
        <x:f>IF('01_INPUT_COMPANIES'!$A$9="","",'01_INPUT_COMPANIES'!$A$9)</x:f>
        <x:v>SYN-C</x:v>
      </x:c>
      <x:c r="C29" s="34" t="str">
        <x:f>IF(B29="","",'01_INPUT_COMPANIES'!$B$9)</x:f>
        <x:v>다온 스토리</x:v>
      </x:c>
      <x:c r="D29" s="34" t="str">
        <x:v>network_cost_ratio</x:v>
      </x:c>
      <x:c r="E29" s="42" t="n">
        <x:f>IF(OR(B29="",COUNT('01_INPUT_COMPANIES'!$V$9)=0),"",'01_INPUT_COMPANIES'!$V$9)</x:f>
        <x:v>0.145</x:v>
      </x:c>
      <x:c r="F29" s="42" t="n">
        <x:v>1</x:v>
      </x:c>
      <x:c r="G29" s="42" t="n">
        <x:f>IF(NOT(ISNUMBER(E29)),"",MAX(K29,MIN(L29,E29*F29)))</x:f>
        <x:v>0.145</x:v>
      </x:c>
      <x:c r="H29" s="42" t="n">
        <x:v>97</x:v>
      </x:c>
      <x:c r="I29" s="42" t="n">
        <x:f>IF(COUNT(G29)=0,"",(COUNTIFS('93_REF_ANCHORS'!$A$7:$A$766,D29,'93_REF_ANCHORS'!$C$7:$C$766,"&lt;"&amp;G29)+COUNTIFS('93_REF_ANCHORS'!$A$7:$A$766,D29,'93_REF_ANCHORS'!$C$7:$C$766,"&lt;="&amp;G29)-1)/(2*(H29-1)))</x:f>
        <x:v>0.026041666666666668</x:v>
      </x:c>
      <x:c r="J29" s="34" t="str">
        <x:f>IF(B29="","",IF(COUNT(E29)=0,"MISSING",IF(NOT(ISNUMBER(E29)),"INVALID",IF(E29*F29&lt;K29,"WINSORIZED LOW",IF(E29*F29&gt;L29,"WINSORIZED HIGH","OK")))))</x:f>
        <x:v>OK</x:v>
      </x:c>
      <x:c r="K29" s="34" t="n">
        <x:v>-0.1395374353</x:v>
      </x:c>
      <x:c r="L29" s="34" t="n">
        <x:v>0.9274274845000001</x:v>
      </x:c>
      <x:c r="M29" s="34" t="n">
        <x:v>0.1111111111111111</x:v>
      </x:c>
      <x:c r="N29" s="34" t="str">
        <x:v>no</x:v>
      </x:c>
    </x:row>
    <x:row r="30">
      <x:c r="A30" s="34" t="n">
        <x:v>3</x:v>
      </x:c>
      <x:c r="B30" s="34" t="str">
        <x:f>IF('01_INPUT_COMPANIES'!$A$9="","",'01_INPUT_COMPANIES'!$A$9)</x:f>
        <x:v>SYN-C</x:v>
      </x:c>
      <x:c r="C30" s="34" t="str">
        <x:f>IF(B30="","",'01_INPUT_COMPANIES'!$B$9)</x:f>
        <x:v>다온 스토리</x:v>
      </x:c>
      <x:c r="D30" s="34" t="str">
        <x:v>cashflow_recovery_ratio</x:v>
      </x:c>
      <x:c r="E30" s="42" t="n">
        <x:f>IF(OR(B30="",COUNT('01_INPUT_COMPANIES'!$W$9)=0),"",'01_INPUT_COMPANIES'!$W$9)</x:f>
        <x:v>0.18</x:v>
      </x:c>
      <x:c r="F30" s="42" t="n">
        <x:v>-1</x:v>
      </x:c>
      <x:c r="G30" s="42" t="n">
        <x:f>IF(NOT(ISNUMBER(E30)),"",MAX(K30,MIN(L30,E30*F30)))</x:f>
        <x:v>-0.18</x:v>
      </x:c>
      <x:c r="H30" s="42" t="n">
        <x:v>95</x:v>
      </x:c>
      <x:c r="I30" s="42" t="n">
        <x:f>IF(COUNT(G30)=0,"",(COUNTIFS('93_REF_ANCHORS'!$A$7:$A$766,D30,'93_REF_ANCHORS'!$C$7:$C$766,"&lt;"&amp;G30)+COUNTIFS('93_REF_ANCHORS'!$A$7:$A$766,D30,'93_REF_ANCHORS'!$C$7:$C$766,"&lt;="&amp;G30)-1)/(2*(H30-1)))</x:f>
        <x:v>0.675531914893617</x:v>
      </x:c>
      <x:c r="J30" s="34" t="str">
        <x:f>IF(B30="","",IF(COUNT(E30)=0,"MISSING",IF(NOT(ISNUMBER(E30)),"INVALID",IF(E30*F30&lt;K30,"WINSORIZED LOW",IF(E30*F30&gt;L30,"WINSORIZED HIGH","OK")))))</x:f>
        <x:v>OK</x:v>
      </x:c>
      <x:c r="K30" s="34" t="n">
        <x:v>-300.75</x:v>
      </x:c>
      <x:c r="L30" s="34" t="n">
        <x:v>42.6920305469</x:v>
      </x:c>
      <x:c r="M30" s="34" t="n">
        <x:v>0.08333333333333333</x:v>
      </x:c>
      <x:c r="N30" s="34" t="str">
        <x:v>no</x:v>
      </x:c>
    </x:row>
    <x:row r="31">
      <x:c r="A31" s="34" t="n">
        <x:v>3</x:v>
      </x:c>
      <x:c r="B31" s="34" t="str">
        <x:f>IF('01_INPUT_COMPANIES'!$A$9="","",'01_INPUT_COMPANIES'!$A$9)</x:f>
        <x:v>SYN-C</x:v>
      </x:c>
      <x:c r="C31" s="34" t="str">
        <x:f>IF(B31="","",'01_INPUT_COMPANIES'!$B$9)</x:f>
        <x:v>다온 스토리</x:v>
      </x:c>
      <x:c r="D31" s="34" t="str">
        <x:v>funding_cost_spread</x:v>
      </x:c>
      <x:c r="E31" s="42" t="n">
        <x:f>IF(OR(B31="",COUNT('01_INPUT_COMPANIES'!$X$9)=0),"",'01_INPUT_COMPANIES'!$X$9)</x:f>
        <x:v>0.018</x:v>
      </x:c>
      <x:c r="F31" s="42" t="n">
        <x:v>1</x:v>
      </x:c>
      <x:c r="G31" s="42" t="n">
        <x:f>IF(NOT(ISNUMBER(E31)),"",MAX(K31,MIN(L31,E31*F31)))</x:f>
        <x:v>0.018</x:v>
      </x:c>
      <x:c r="H31" s="42" t="n">
        <x:v>58</x:v>
      </x:c>
      <x:c r="I31" s="42" t="n">
        <x:f>IF(COUNT(G31)=0,"",(COUNTIFS('93_REF_ANCHORS'!$A$7:$A$766,D31,'93_REF_ANCHORS'!$C$7:$C$766,"&lt;"&amp;G31)+COUNTIFS('93_REF_ANCHORS'!$A$7:$A$766,D31,'93_REF_ANCHORS'!$C$7:$C$766,"&lt;="&amp;G31)-1)/(2*(H31-1)))</x:f>
        <x:v>0.8333333333333334</x:v>
      </x:c>
      <x:c r="J31" s="34" t="str">
        <x:f>IF(B31="","",IF(COUNT(E31)=0,"MISSING",IF(NOT(ISNUMBER(E31)),"INVALID",IF(E31*F31&lt;K31,"WINSORIZED LOW",IF(E31*F31&gt;L31,"WINSORIZED HIGH","OK")))))</x:f>
        <x:v>OK</x:v>
      </x:c>
      <x:c r="K31" s="34" t="n">
        <x:v>-0.4430292903</x:v>
      </x:c>
      <x:c r="L31" s="34" t="n">
        <x:v>0.5068913103</x:v>
      </x:c>
      <x:c r="M31" s="34" t="n">
        <x:v>0.08333333333333333</x:v>
      </x:c>
      <x:c r="N31" s="34" t="str">
        <x:v>no</x:v>
      </x:c>
    </x:row>
    <x:row r="32">
      <x:c r="A32" s="34" t="n">
        <x:v>3</x:v>
      </x:c>
      <x:c r="B32" s="34" t="str">
        <x:f>IF('01_INPUT_COMPANIES'!$A$9="","",'01_INPUT_COMPANIES'!$A$9)</x:f>
        <x:v>SYN-C</x:v>
      </x:c>
      <x:c r="C32" s="34" t="str">
        <x:f>IF(B32="","",'01_INPUT_COMPANIES'!$B$9)</x:f>
        <x:v>다온 스토리</x:v>
      </x:c>
      <x:c r="D32" s="34" t="str">
        <x:v>investment_recovery_ratio</x:v>
      </x:c>
      <x:c r="E32" s="42" t="n">
        <x:f>IF(OR(B32="",COUNT('01_INPUT_COMPANIES'!$Y$9)=0),"",'01_INPUT_COMPANIES'!$Y$9)</x:f>
        <x:v>2.65</x:v>
      </x:c>
      <x:c r="F32" s="42" t="n">
        <x:v>-1</x:v>
      </x:c>
      <x:c r="G32" s="42" t="n">
        <x:f>IF(NOT(ISNUMBER(E32)),"",MAX(K32,MIN(L32,E32*F32)))</x:f>
        <x:v>-2.65</x:v>
      </x:c>
      <x:c r="H32" s="42" t="n">
        <x:v>95</x:v>
      </x:c>
      <x:c r="I32" s="42" t="n">
        <x:f>IF(COUNT(G32)=0,"",(COUNTIFS('93_REF_ANCHORS'!$A$7:$A$766,D32,'93_REF_ANCHORS'!$C$7:$C$766,"&lt;"&amp;G32)+COUNTIFS('93_REF_ANCHORS'!$A$7:$A$766,D32,'93_REF_ANCHORS'!$C$7:$C$766,"&lt;="&amp;G32)-1)/(2*(H32-1)))</x:f>
        <x:v>0.7606382978723404</x:v>
      </x:c>
      <x:c r="J32" s="34" t="str">
        <x:f>IF(B32="","",IF(COUNT(E32)=0,"MISSING",IF(NOT(ISNUMBER(E32)),"INVALID",IF(E32*F32&lt;K32,"WINSORIZED LOW",IF(E32*F32&gt;L32,"WINSORIZED HIGH","OK")))))</x:f>
        <x:v>OK</x:v>
      </x:c>
      <x:c r="K32" s="34" t="n">
        <x:v>-3163.7500000000014</x:v>
      </x:c>
      <x:c r="L32" s="34" t="n">
        <x:v>189.68191301719997</x:v>
      </x:c>
      <x:c r="M32" s="34" t="n">
        <x:v>0.08333333333333333</x:v>
      </x:c>
      <x:c r="N32" s="34" t="str">
        <x:v>no</x:v>
      </x:c>
    </x:row>
    <x:row r="33">
      <x:c r="A33" s="34" t="n">
        <x:v>3</x:v>
      </x:c>
      <x:c r="B33" s="34" t="str">
        <x:f>IF('01_INPUT_COMPANIES'!$A$9="","",'01_INPUT_COMPANIES'!$A$9)</x:f>
        <x:v>SYN-C</x:v>
      </x:c>
      <x:c r="C33" s="34" t="str">
        <x:f>IF(B33="","",'01_INPUT_COMPANIES'!$B$9)</x:f>
        <x:v>다온 스토리</x:v>
      </x:c>
      <x:c r="D33" s="34" t="str">
        <x:v>ip_assetization_gap</x:v>
      </x:c>
      <x:c r="E33" s="42" t="n">
        <x:f>IF(OR(B33="",COUNT('01_INPUT_COMPANIES'!$Z$9)=0),"",'01_INPUT_COMPANIES'!$Z$9)</x:f>
        <x:v>0.11</x:v>
      </x:c>
      <x:c r="F33" s="42" t="n">
        <x:v>1</x:v>
      </x:c>
      <x:c r="G33" s="42" t="n">
        <x:f>IF(NOT(ISNUMBER(E33)),"",MAX(K33,MIN(L33,E33*F33)))</x:f>
        <x:v>0.11</x:v>
      </x:c>
      <x:c r="H33" s="42" t="n">
        <x:v>92</x:v>
      </x:c>
      <x:c r="I33" s="42" t="n">
        <x:f>IF(COUNT(G33)=0,"",(COUNTIFS('93_REF_ANCHORS'!$A$7:$A$766,D33,'93_REF_ANCHORS'!$C$7:$C$766,"&lt;"&amp;G33)+COUNTIFS('93_REF_ANCHORS'!$A$7:$A$766,D33,'93_REF_ANCHORS'!$C$7:$C$766,"&lt;="&amp;G33)-1)/(2*(H33-1)))</x:f>
        <x:v>0.7857142857142857</x:v>
      </x:c>
      <x:c r="J33" s="34" t="str">
        <x:f>IF(B33="","",IF(COUNT(E33)=0,"MISSING",IF(NOT(ISNUMBER(E33)),"INVALID",IF(E33*F33&lt;K33,"WINSORIZED LOW",IF(E33*F33&gt;L33,"WINSORIZED HIGH","OK")))))</x:f>
        <x:v>OK</x:v>
      </x:c>
      <x:c r="K33" s="34" t="n">
        <x:v>-1.6707152386</x:v>
      </x:c>
      <x:c r="L33" s="34" t="n">
        <x:v>0.7716332556000001</x:v>
      </x:c>
      <x:c r="M33" s="34" t="n">
        <x:v>0.08333333333333333</x:v>
      </x:c>
      <x:c r="N33" s="34" t="str">
        <x:v>no</x:v>
      </x:c>
    </x:row>
    <x:row r="34">
      <x:c r="A34" s="34" t="n">
        <x:v>3</x:v>
      </x:c>
      <x:c r="B34" s="34" t="str">
        <x:f>IF('01_INPUT_COMPANIES'!$A$9="","",'01_INPUT_COMPANIES'!$A$9)</x:f>
        <x:v>SYN-C</x:v>
      </x:c>
      <x:c r="C34" s="34" t="str">
        <x:f>IF(B34="","",'01_INPUT_COMPANIES'!$B$9)</x:f>
        <x:v>다온 스토리</x:v>
      </x:c>
      <x:c r="D34" s="34" t="str">
        <x:v>cross_market_transfer_index</x:v>
      </x:c>
      <x:c r="E34" s="42" t="n">
        <x:f>IF(OR(B34="",COUNT('01_INPUT_COMPANIES'!$AA$9)=0),"",'01_INPUT_COMPANIES'!$AA$9)</x:f>
        <x:v>0.34</x:v>
      </x:c>
      <x:c r="F34" s="42" t="n">
        <x:v>1</x:v>
      </x:c>
      <x:c r="G34" s="42" t="n">
        <x:f>IF(NOT(ISNUMBER(E34)),"",MAX(K34,MIN(L34,E34*F34)))</x:f>
        <x:v>0.34</x:v>
      </x:c>
      <x:c r="H34" s="42" t="n">
        <x:v>4</x:v>
      </x:c>
      <x:c r="I34" s="42" t="n">
        <x:f>IF(COUNT(G34)=0,"",(COUNTIFS('93_REF_ANCHORS'!$A$7:$A$766,D34,'93_REF_ANCHORS'!$C$7:$C$766,"&lt;"&amp;G34)+COUNTIFS('93_REF_ANCHORS'!$A$7:$A$766,D34,'93_REF_ANCHORS'!$C$7:$C$766,"&lt;="&amp;G34)-1)/(2*(H34-1)))</x:f>
        <x:v>0.5</x:v>
      </x:c>
      <x:c r="J34" s="34" t="str">
        <x:f>IF(B34="","",IF(COUNT(E34)=0,"MISSING",IF(NOT(ISNUMBER(E34)),"INVALID",IF(E34*F34&lt;K34,"WINSORIZED LOW",IF(E34*F34&gt;L34,"WINSORIZED HIGH","OK")))))</x:f>
        <x:v>OK</x:v>
      </x:c>
      <x:c r="K34" s="34" t="n">
        <x:v>0</x:v>
      </x:c>
      <x:c r="L34" s="34" t="n">
        <x:v>0.7587051325360435</x:v>
      </x:c>
      <x:c r="M34" s="34" t="n">
        <x:v>0.1111111111111111</x:v>
      </x:c>
      <x:c r="N34" s="34" t="str">
        <x:v>yes</x:v>
      </x:c>
    </x:row>
    <x:row r="35">
      <x:c r="A35" s="34" t="n">
        <x:v>3</x:v>
      </x:c>
      <x:c r="B35" s="34" t="str">
        <x:f>IF('01_INPUT_COMPANIES'!$A$9="","",'01_INPUT_COMPANIES'!$A$9)</x:f>
        <x:v>SYN-C</x:v>
      </x:c>
      <x:c r="C35" s="34" t="str">
        <x:f>IF(B35="","",'01_INPUT_COMPANIES'!$B$9)</x:f>
        <x:v>다온 스토리</x:v>
      </x:c>
      <x:c r="D35" s="34" t="str">
        <x:v>foreign_dependency_ratio</x:v>
      </x:c>
      <x:c r="E35" s="42" t="n">
        <x:f>IF(OR(B35="",COUNT('01_INPUT_COMPANIES'!$AB$9)=0),"",'01_INPUT_COMPANIES'!$AB$9)</x:f>
        <x:v>0.68</x:v>
      </x:c>
      <x:c r="F35" s="42" t="n">
        <x:v>1</x:v>
      </x:c>
      <x:c r="G35" s="42" t="n">
        <x:f>IF(NOT(ISNUMBER(E35)),"",MAX(K35,MIN(L35,E35*F35)))</x:f>
        <x:v>0.728196</x:v>
      </x:c>
      <x:c r="H35" s="42" t="n">
        <x:v>84</x:v>
      </x:c>
      <x:c r="I35" s="42" t="n">
        <x:f>IF(COUNT(G35)=0,"",(COUNTIFS('93_REF_ANCHORS'!$A$7:$A$766,D35,'93_REF_ANCHORS'!$C$7:$C$766,"&lt;"&amp;G35)+COUNTIFS('93_REF_ANCHORS'!$A$7:$A$766,D35,'93_REF_ANCHORS'!$C$7:$C$766,"&lt;="&amp;G35)-1)/(2*(H35-1)))</x:f>
        <x:v>0.10240963855421686</x:v>
      </x:c>
      <x:c r="J35" s="34" t="str">
        <x:f>IF(B35="","",IF(COUNT(E35)=0,"MISSING",IF(NOT(ISNUMBER(E35)),"INVALID",IF(E35*F35&lt;K35,"WINSORIZED LOW",IF(E35*F35&gt;L35,"WINSORIZED HIGH","OK")))))</x:f>
        <x:v>WINSORIZED LOW</x:v>
      </x:c>
      <x:c r="K35" s="34" t="n">
        <x:v>0.728196</x:v>
      </x:c>
      <x:c r="L35" s="34" t="n">
        <x:v>0.94</x:v>
      </x:c>
      <x:c r="M35" s="34" t="n">
        <x:v>0.1111111111111111</x:v>
      </x:c>
      <x:c r="N35" s="34" t="str">
        <x:v>yes</x:v>
      </x:c>
    </x:row>
    <x:row r="36">
      <x:c r="A36" s="34" t="n">
        <x:v>3</x:v>
      </x:c>
      <x:c r="B36" s="34" t="str">
        <x:f>IF('01_INPUT_COMPANIES'!$A$9="","",'01_INPUT_COMPANIES'!$A$9)</x:f>
        <x:v>SYN-C</x:v>
      </x:c>
      <x:c r="C36" s="34" t="str">
        <x:f>IF(B36="","",'01_INPUT_COMPANIES'!$B$9)</x:f>
        <x:v>다온 스토리</x:v>
      </x:c>
      <x:c r="D36" s="34" t="str">
        <x:v>outflow_to_capex_ratio</x:v>
      </x:c>
      <x:c r="E36" s="42" t="n">
        <x:f>IF(OR(B36="",COUNT('01_INPUT_COMPANIES'!$AC$9)=0),"",'01_INPUT_COMPANIES'!$AC$9)</x:f>
        <x:v>6.8</x:v>
      </x:c>
      <x:c r="F36" s="42" t="n">
        <x:v>1</x:v>
      </x:c>
      <x:c r="G36" s="42" t="n">
        <x:f>IF(NOT(ISNUMBER(E36)),"",MAX(K36,MIN(L36,E36*F36)))</x:f>
        <x:v>6.8</x:v>
      </x:c>
      <x:c r="H36" s="42" t="n">
        <x:v>97</x:v>
      </x:c>
      <x:c r="I36" s="42" t="n">
        <x:f>IF(COUNT(G36)=0,"",(COUNTIFS('93_REF_ANCHORS'!$A$7:$A$766,D36,'93_REF_ANCHORS'!$C$7:$C$766,"&lt;"&amp;G36)+COUNTIFS('93_REF_ANCHORS'!$A$7:$A$766,D36,'93_REF_ANCHORS'!$C$7:$C$766,"&lt;="&amp;G36)-1)/(2*(H36-1)))</x:f>
        <x:v>0.21354166666666666</x:v>
      </x:c>
      <x:c r="J36" s="34" t="str">
        <x:f>IF(B36="","",IF(COUNT(E36)=0,"MISSING",IF(NOT(ISNUMBER(E36)),"INVALID",IF(E36*F36&lt;K36,"WINSORIZED LOW",IF(E36*F36&gt;L36,"WINSORIZED HIGH","OK")))))</x:f>
        <x:v>OK</x:v>
      </x:c>
      <x:c r="K36" s="34" t="n">
        <x:v>-123.5385890408</x:v>
      </x:c>
      <x:c r="L36" s="34" t="n">
        <x:v>974.1666666666999</x:v>
      </x:c>
      <x:c r="M36" s="34" t="n">
        <x:v>0.1111111111111111</x:v>
      </x:c>
      <x:c r="N36" s="34" t="str">
        <x:v>no</x:v>
      </x:c>
    </x:row>
    <x:row r="37">
      <x:c r="A37" s="34" t="n">
        <x:v>4</x:v>
      </x:c>
      <x:c r="B37" s="34" t="str">
        <x:f>IF('01_INPUT_COMPANIES'!$A$10="","",'01_INPUT_COMPANIES'!$A$10)</x:f>
        <x:v>SYN-D</x:v>
      </x:c>
      <x:c r="C37" s="34" t="str">
        <x:f>IF(B37="","",'01_INPUT_COMPANIES'!$B$10)</x:f>
        <x:v>라온 플레이</x:v>
      </x:c>
      <x:c r="D37" s="34" t="str">
        <x:v>effective_tax_rate_gap</x:v>
      </x:c>
      <x:c r="E37" s="42" t="n">
        <x:f>IF(OR(B37="",COUNT('01_INPUT_COMPANIES'!$T$10)=0),"",'01_INPUT_COMPANIES'!$T$10)</x:f>
        <x:v>-0.005</x:v>
      </x:c>
      <x:c r="F37" s="42" t="n">
        <x:v>1</x:v>
      </x:c>
      <x:c r="G37" s="42" t="n">
        <x:f>IF(NOT(ISNUMBER(E37)),"",MAX(K37,MIN(L37,E37*F37)))</x:f>
        <x:v>-0.005</x:v>
      </x:c>
      <x:c r="H37" s="42" t="n">
        <x:v>74</x:v>
      </x:c>
      <x:c r="I37" s="42" t="n">
        <x:f>IF(COUNT(G37)=0,"",(COUNTIFS('93_REF_ANCHORS'!$A$7:$A$766,D37,'93_REF_ANCHORS'!$C$7:$C$766,"&lt;"&amp;G37)+COUNTIFS('93_REF_ANCHORS'!$A$7:$A$766,D37,'93_REF_ANCHORS'!$C$7:$C$766,"&lt;="&amp;G37)-1)/(2*(H37-1)))</x:f>
        <x:v>0.2808219178082192</x:v>
      </x:c>
      <x:c r="J37" s="34" t="str">
        <x:f>IF(B37="","",IF(COUNT(E37)=0,"MISSING",IF(NOT(ISNUMBER(E37)),"INVALID",IF(E37*F37&lt;K37,"WINSORIZED LOW",IF(E37*F37&gt;L37,"WINSORIZED HIGH","OK")))))</x:f>
        <x:v>OK</x:v>
      </x:c>
      <x:c r="K37" s="34" t="n">
        <x:v>-0.1416111014</x:v>
      </x:c>
      <x:c r="L37" s="34" t="n">
        <x:v>0.2683650488</x:v>
      </x:c>
      <x:c r="M37" s="34" t="n">
        <x:v>0.1111111111111111</x:v>
      </x:c>
      <x:c r="N37" s="34" t="str">
        <x:v>no</x:v>
      </x:c>
    </x:row>
    <x:row r="38">
      <x:c r="A38" s="34" t="n">
        <x:v>4</x:v>
      </x:c>
      <x:c r="B38" s="34" t="str">
        <x:f>IF('01_INPUT_COMPANIES'!$A$10="","",'01_INPUT_COMPANIES'!$A$10)</x:f>
        <x:v>SYN-D</x:v>
      </x:c>
      <x:c r="C38" s="34" t="str">
        <x:f>IF(B38="","",'01_INPUT_COMPANIES'!$B$10)</x:f>
        <x:v>라온 플레이</x:v>
      </x:c>
      <x:c r="D38" s="34" t="str">
        <x:v>infra_dependency_ratio</x:v>
      </x:c>
      <x:c r="E38" s="42" t="n">
        <x:f>IF(OR(B38="",COUNT('01_INPUT_COMPANIES'!$U$10)=0),"",'01_INPUT_COMPANIES'!$U$10)</x:f>
        <x:v>0.1136</x:v>
      </x:c>
      <x:c r="F38" s="42" t="n">
        <x:v>1</x:v>
      </x:c>
      <x:c r="G38" s="42" t="n">
        <x:f>IF(NOT(ISNUMBER(E38)),"",MAX(K38,MIN(L38,E38*F38)))</x:f>
        <x:v>0.1136</x:v>
      </x:c>
      <x:c r="H38" s="42" t="n">
        <x:v>64</x:v>
      </x:c>
      <x:c r="I38" s="42" t="n">
        <x:f>IF(COUNT(G38)=0,"",(COUNTIFS('93_REF_ANCHORS'!$A$7:$A$766,D38,'93_REF_ANCHORS'!$C$7:$C$766,"&lt;"&amp;G38)+COUNTIFS('93_REF_ANCHORS'!$A$7:$A$766,D38,'93_REF_ANCHORS'!$C$7:$C$766,"&lt;="&amp;G38)-1)/(2*(H38-1)))</x:f>
        <x:v>0.023809523809523808</x:v>
      </x:c>
      <x:c r="J38" s="34" t="str">
        <x:f>IF(B38="","",IF(COUNT(E38)=0,"MISSING",IF(NOT(ISNUMBER(E38)),"INVALID",IF(E38*F38&lt;K38,"WINSORIZED LOW",IF(E38*F38&gt;L38,"WINSORIZED HIGH","OK")))))</x:f>
        <x:v>OK</x:v>
      </x:c>
      <x:c r="K38" s="34" t="n">
        <x:v>-0.10705024705171803</x:v>
      </x:c>
      <x:c r="L38" s="34" t="n">
        <x:v>0.8008753865408955</x:v>
      </x:c>
      <x:c r="M38" s="34" t="n">
        <x:v>0.1111111111111111</x:v>
      </x:c>
      <x:c r="N38" s="34" t="str">
        <x:v>no</x:v>
      </x:c>
    </x:row>
    <x:row r="39">
      <x:c r="A39" s="34" t="n">
        <x:v>4</x:v>
      </x:c>
      <x:c r="B39" s="34" t="str">
        <x:f>IF('01_INPUT_COMPANIES'!$A$10="","",'01_INPUT_COMPANIES'!$A$10)</x:f>
        <x:v>SYN-D</x:v>
      </x:c>
      <x:c r="C39" s="34" t="str">
        <x:f>IF(B39="","",'01_INPUT_COMPANIES'!$B$10)</x:f>
        <x:v>라온 플레이</x:v>
      </x:c>
      <x:c r="D39" s="34" t="str">
        <x:v>network_cost_ratio</x:v>
      </x:c>
      <x:c r="E39" s="42" t="n">
        <x:f>IF(OR(B39="",COUNT('01_INPUT_COMPANIES'!$V$10)=0),"",'01_INPUT_COMPANIES'!$V$10)</x:f>
        <x:v>0.16</x:v>
      </x:c>
      <x:c r="F39" s="42" t="n">
        <x:v>1</x:v>
      </x:c>
      <x:c r="G39" s="42" t="n">
        <x:f>IF(NOT(ISNUMBER(E39)),"",MAX(K39,MIN(L39,E39*F39)))</x:f>
        <x:v>0.16</x:v>
      </x:c>
      <x:c r="H39" s="42" t="n">
        <x:v>97</x:v>
      </x:c>
      <x:c r="I39" s="42" t="n">
        <x:f>IF(COUNT(G39)=0,"",(COUNTIFS('93_REF_ANCHORS'!$A$7:$A$766,D39,'93_REF_ANCHORS'!$C$7:$C$766,"&lt;"&amp;G39)+COUNTIFS('93_REF_ANCHORS'!$A$7:$A$766,D39,'93_REF_ANCHORS'!$C$7:$C$766,"&lt;="&amp;G39)-1)/(2*(H39-1)))</x:f>
        <x:v>0.026041666666666668</x:v>
      </x:c>
      <x:c r="J39" s="34" t="str">
        <x:f>IF(B39="","",IF(COUNT(E39)=0,"MISSING",IF(NOT(ISNUMBER(E39)),"INVALID",IF(E39*F39&lt;K39,"WINSORIZED LOW",IF(E39*F39&gt;L39,"WINSORIZED HIGH","OK")))))</x:f>
        <x:v>OK</x:v>
      </x:c>
      <x:c r="K39" s="34" t="n">
        <x:v>-0.1395374353</x:v>
      </x:c>
      <x:c r="L39" s="34" t="n">
        <x:v>0.9274274845000001</x:v>
      </x:c>
      <x:c r="M39" s="34" t="n">
        <x:v>0.1111111111111111</x:v>
      </x:c>
      <x:c r="N39" s="34" t="str">
        <x:v>no</x:v>
      </x:c>
    </x:row>
    <x:row r="40">
      <x:c r="A40" s="34" t="n">
        <x:v>4</x:v>
      </x:c>
      <x:c r="B40" s="34" t="str">
        <x:f>IF('01_INPUT_COMPANIES'!$A$10="","",'01_INPUT_COMPANIES'!$A$10)</x:f>
        <x:v>SYN-D</x:v>
      </x:c>
      <x:c r="C40" s="34" t="str">
        <x:f>IF(B40="","",'01_INPUT_COMPANIES'!$B$10)</x:f>
        <x:v>라온 플레이</x:v>
      </x:c>
      <x:c r="D40" s="34" t="str">
        <x:v>cashflow_recovery_ratio</x:v>
      </x:c>
      <x:c r="E40" s="42" t="n">
        <x:f>IF(OR(B40="",COUNT('01_INPUT_COMPANIES'!$W$10)=0),"",'01_INPUT_COMPANIES'!$W$10)</x:f>
        <x:v>0.51</x:v>
      </x:c>
      <x:c r="F40" s="42" t="n">
        <x:v>-1</x:v>
      </x:c>
      <x:c r="G40" s="42" t="n">
        <x:f>IF(NOT(ISNUMBER(E40)),"",MAX(K40,MIN(L40,E40*F40)))</x:f>
        <x:v>-0.51</x:v>
      </x:c>
      <x:c r="H40" s="42" t="n">
        <x:v>95</x:v>
      </x:c>
      <x:c r="I40" s="42" t="n">
        <x:f>IF(COUNT(G40)=0,"",(COUNTIFS('93_REF_ANCHORS'!$A$7:$A$766,D40,'93_REF_ANCHORS'!$C$7:$C$766,"&lt;"&amp;G40)+COUNTIFS('93_REF_ANCHORS'!$A$7:$A$766,D40,'93_REF_ANCHORS'!$C$7:$C$766,"&lt;="&amp;G40)-1)/(2*(H40-1)))</x:f>
        <x:v>0.5691489361702128</x:v>
      </x:c>
      <x:c r="J40" s="34" t="str">
        <x:f>IF(B40="","",IF(COUNT(E40)=0,"MISSING",IF(NOT(ISNUMBER(E40)),"INVALID",IF(E40*F40&lt;K40,"WINSORIZED LOW",IF(E40*F40&gt;L40,"WINSORIZED HIGH","OK")))))</x:f>
        <x:v>OK</x:v>
      </x:c>
      <x:c r="K40" s="34" t="n">
        <x:v>-300.75</x:v>
      </x:c>
      <x:c r="L40" s="34" t="n">
        <x:v>42.6920305469</x:v>
      </x:c>
      <x:c r="M40" s="34" t="n">
        <x:v>0.08333333333333333</x:v>
      </x:c>
      <x:c r="N40" s="34" t="str">
        <x:v>no</x:v>
      </x:c>
    </x:row>
    <x:row r="41">
      <x:c r="A41" s="34" t="n">
        <x:v>4</x:v>
      </x:c>
      <x:c r="B41" s="34" t="str">
        <x:f>IF('01_INPUT_COMPANIES'!$A$10="","",'01_INPUT_COMPANIES'!$A$10)</x:f>
        <x:v>SYN-D</x:v>
      </x:c>
      <x:c r="C41" s="34" t="str">
        <x:f>IF(B41="","",'01_INPUT_COMPANIES'!$B$10)</x:f>
        <x:v>라온 플레이</x:v>
      </x:c>
      <x:c r="D41" s="34" t="str">
        <x:v>funding_cost_spread</x:v>
      </x:c>
      <x:c r="E41" s="42" t="n">
        <x:f>IF(OR(B41="",COUNT('01_INPUT_COMPANIES'!$X$10)=0),"",'01_INPUT_COMPANIES'!$X$10)</x:f>
        <x:v>0.009</x:v>
      </x:c>
      <x:c r="F41" s="42" t="n">
        <x:v>1</x:v>
      </x:c>
      <x:c r="G41" s="42" t="n">
        <x:f>IF(NOT(ISNUMBER(E41)),"",MAX(K41,MIN(L41,E41*F41)))</x:f>
        <x:v>0.009</x:v>
      </x:c>
      <x:c r="H41" s="42" t="n">
        <x:v>58</x:v>
      </x:c>
      <x:c r="I41" s="42" t="n">
        <x:f>IF(COUNT(G41)=0,"",(COUNTIFS('93_REF_ANCHORS'!$A$7:$A$766,D41,'93_REF_ANCHORS'!$C$7:$C$766,"&lt;"&amp;G41)+COUNTIFS('93_REF_ANCHORS'!$A$7:$A$766,D41,'93_REF_ANCHORS'!$C$7:$C$766,"&lt;="&amp;G41)-1)/(2*(H41-1)))</x:f>
        <x:v>0.7456140350877193</x:v>
      </x:c>
      <x:c r="J41" s="34" t="str">
        <x:f>IF(B41="","",IF(COUNT(E41)=0,"MISSING",IF(NOT(ISNUMBER(E41)),"INVALID",IF(E41*F41&lt;K41,"WINSORIZED LOW",IF(E41*F41&gt;L41,"WINSORIZED HIGH","OK")))))</x:f>
        <x:v>OK</x:v>
      </x:c>
      <x:c r="K41" s="34" t="n">
        <x:v>-0.4430292903</x:v>
      </x:c>
      <x:c r="L41" s="34" t="n">
        <x:v>0.5068913103</x:v>
      </x:c>
      <x:c r="M41" s="34" t="n">
        <x:v>0.08333333333333333</x:v>
      </x:c>
      <x:c r="N41" s="34" t="str">
        <x:v>no</x:v>
      </x:c>
    </x:row>
    <x:row r="42">
      <x:c r="A42" s="34" t="n">
        <x:v>4</x:v>
      </x:c>
      <x:c r="B42" s="34" t="str">
        <x:f>IF('01_INPUT_COMPANIES'!$A$10="","",'01_INPUT_COMPANIES'!$A$10)</x:f>
        <x:v>SYN-D</x:v>
      </x:c>
      <x:c r="C42" s="34" t="str">
        <x:f>IF(B42="","",'01_INPUT_COMPANIES'!$B$10)</x:f>
        <x:v>라온 플레이</x:v>
      </x:c>
      <x:c r="D42" s="34" t="str">
        <x:v>investment_recovery_ratio</x:v>
      </x:c>
      <x:c r="E42" s="42" t="n">
        <x:f>IF(OR(B42="",COUNT('01_INPUT_COMPANIES'!$Y$10)=0),"",'01_INPUT_COMPANIES'!$Y$10)</x:f>
        <x:v>3.55</x:v>
      </x:c>
      <x:c r="F42" s="42" t="n">
        <x:v>-1</x:v>
      </x:c>
      <x:c r="G42" s="42" t="n">
        <x:f>IF(NOT(ISNUMBER(E42)),"",MAX(K42,MIN(L42,E42*F42)))</x:f>
        <x:v>-3.55</x:v>
      </x:c>
      <x:c r="H42" s="42" t="n">
        <x:v>95</x:v>
      </x:c>
      <x:c r="I42" s="42" t="n">
        <x:f>IF(COUNT(G42)=0,"",(COUNTIFS('93_REF_ANCHORS'!$A$7:$A$766,D42,'93_REF_ANCHORS'!$C$7:$C$766,"&lt;"&amp;G42)+COUNTIFS('93_REF_ANCHORS'!$A$7:$A$766,D42,'93_REF_ANCHORS'!$C$7:$C$766,"&lt;="&amp;G42)-1)/(2*(H42-1)))</x:f>
        <x:v>0.6968085106382979</x:v>
      </x:c>
      <x:c r="J42" s="34" t="str">
        <x:f>IF(B42="","",IF(COUNT(E42)=0,"MISSING",IF(NOT(ISNUMBER(E42)),"INVALID",IF(E42*F42&lt;K42,"WINSORIZED LOW",IF(E42*F42&gt;L42,"WINSORIZED HIGH","OK")))))</x:f>
        <x:v>OK</x:v>
      </x:c>
      <x:c r="K42" s="34" t="n">
        <x:v>-3163.7500000000014</x:v>
      </x:c>
      <x:c r="L42" s="34" t="n">
        <x:v>189.68191301719997</x:v>
      </x:c>
      <x:c r="M42" s="34" t="n">
        <x:v>0.08333333333333333</x:v>
      </x:c>
      <x:c r="N42" s="34" t="str">
        <x:v>no</x:v>
      </x:c>
    </x:row>
    <x:row r="43">
      <x:c r="A43" s="34" t="n">
        <x:v>4</x:v>
      </x:c>
      <x:c r="B43" s="34" t="str">
        <x:f>IF('01_INPUT_COMPANIES'!$A$10="","",'01_INPUT_COMPANIES'!$A$10)</x:f>
        <x:v>SYN-D</x:v>
      </x:c>
      <x:c r="C43" s="34" t="str">
        <x:f>IF(B43="","",'01_INPUT_COMPANIES'!$B$10)</x:f>
        <x:v>라온 플레이</x:v>
      </x:c>
      <x:c r="D43" s="34" t="str">
        <x:v>ip_assetization_gap</x:v>
      </x:c>
      <x:c r="E43" s="42" t="n">
        <x:f>IF(OR(B43="",COUNT('01_INPUT_COMPANIES'!$Z$10)=0),"",'01_INPUT_COMPANIES'!$Z$10)</x:f>
        <x:v>0.065</x:v>
      </x:c>
      <x:c r="F43" s="42" t="n">
        <x:v>1</x:v>
      </x:c>
      <x:c r="G43" s="42" t="n">
        <x:f>IF(NOT(ISNUMBER(E43)),"",MAX(K43,MIN(L43,E43*F43)))</x:f>
        <x:v>0.065</x:v>
      </x:c>
      <x:c r="H43" s="42" t="n">
        <x:v>92</x:v>
      </x:c>
      <x:c r="I43" s="42" t="n">
        <x:f>IF(COUNT(G43)=0,"",(COUNTIFS('93_REF_ANCHORS'!$A$7:$A$766,D43,'93_REF_ANCHORS'!$C$7:$C$766,"&lt;"&amp;G43)+COUNTIFS('93_REF_ANCHORS'!$A$7:$A$766,D43,'93_REF_ANCHORS'!$C$7:$C$766,"&lt;="&amp;G43)-1)/(2*(H43-1)))</x:f>
        <x:v>0.7637362637362637</x:v>
      </x:c>
      <x:c r="J43" s="34" t="str">
        <x:f>IF(B43="","",IF(COUNT(E43)=0,"MISSING",IF(NOT(ISNUMBER(E43)),"INVALID",IF(E43*F43&lt;K43,"WINSORIZED LOW",IF(E43*F43&gt;L43,"WINSORIZED HIGH","OK")))))</x:f>
        <x:v>OK</x:v>
      </x:c>
      <x:c r="K43" s="34" t="n">
        <x:v>-1.6707152386</x:v>
      </x:c>
      <x:c r="L43" s="34" t="n">
        <x:v>0.7716332556000001</x:v>
      </x:c>
      <x:c r="M43" s="34" t="n">
        <x:v>0.08333333333333333</x:v>
      </x:c>
      <x:c r="N43" s="34" t="str">
        <x:v>no</x:v>
      </x:c>
    </x:row>
    <x:row r="44">
      <x:c r="A44" s="34" t="n">
        <x:v>4</x:v>
      </x:c>
      <x:c r="B44" s="34" t="str">
        <x:f>IF('01_INPUT_COMPANIES'!$A$10="","",'01_INPUT_COMPANIES'!$A$10)</x:f>
        <x:v>SYN-D</x:v>
      </x:c>
      <x:c r="C44" s="34" t="str">
        <x:f>IF(B44="","",'01_INPUT_COMPANIES'!$B$10)</x:f>
        <x:v>라온 플레이</x:v>
      </x:c>
      <x:c r="D44" s="34" t="str">
        <x:v>cross_market_transfer_index</x:v>
      </x:c>
      <x:c r="E44" s="42" t="n">
        <x:f>IF(OR(B44="",COUNT('01_INPUT_COMPANIES'!$AA$10)=0),"",'01_INPUT_COMPANIES'!$AA$10)</x:f>
        <x:v>0.24</x:v>
      </x:c>
      <x:c r="F44" s="42" t="n">
        <x:v>1</x:v>
      </x:c>
      <x:c r="G44" s="42" t="n">
        <x:f>IF(NOT(ISNUMBER(E44)),"",MAX(K44,MIN(L44,E44*F44)))</x:f>
        <x:v>0.24</x:v>
      </x:c>
      <x:c r="H44" s="42" t="n">
        <x:v>4</x:v>
      </x:c>
      <x:c r="I44" s="42" t="n">
        <x:f>IF(COUNT(G44)=0,"",(COUNTIFS('93_REF_ANCHORS'!$A$7:$A$766,D44,'93_REF_ANCHORS'!$C$7:$C$766,"&lt;"&amp;G44)+COUNTIFS('93_REF_ANCHORS'!$A$7:$A$766,D44,'93_REF_ANCHORS'!$C$7:$C$766,"&lt;="&amp;G44)-1)/(2*(H44-1)))</x:f>
        <x:v>0.5</x:v>
      </x:c>
      <x:c r="J44" s="34" t="str">
        <x:f>IF(B44="","",IF(COUNT(E44)=0,"MISSING",IF(NOT(ISNUMBER(E44)),"INVALID",IF(E44*F44&lt;K44,"WINSORIZED LOW",IF(E44*F44&gt;L44,"WINSORIZED HIGH","OK")))))</x:f>
        <x:v>OK</x:v>
      </x:c>
      <x:c r="K44" s="34" t="n">
        <x:v>0</x:v>
      </x:c>
      <x:c r="L44" s="34" t="n">
        <x:v>0.7587051325360435</x:v>
      </x:c>
      <x:c r="M44" s="34" t="n">
        <x:v>0.1111111111111111</x:v>
      </x:c>
      <x:c r="N44" s="34" t="str">
        <x:v>yes</x:v>
      </x:c>
    </x:row>
    <x:row r="45">
      <x:c r="A45" s="34" t="n">
        <x:v>4</x:v>
      </x:c>
      <x:c r="B45" s="34" t="str">
        <x:f>IF('01_INPUT_COMPANIES'!$A$10="","",'01_INPUT_COMPANIES'!$A$10)</x:f>
        <x:v>SYN-D</x:v>
      </x:c>
      <x:c r="C45" s="34" t="str">
        <x:f>IF(B45="","",'01_INPUT_COMPANIES'!$B$10)</x:f>
        <x:v>라온 플레이</x:v>
      </x:c>
      <x:c r="D45" s="34" t="str">
        <x:v>foreign_dependency_ratio</x:v>
      </x:c>
      <x:c r="E45" s="42" t="n">
        <x:f>IF(OR(B45="",COUNT('01_INPUT_COMPANIES'!$AB$10)=0),"",'01_INPUT_COMPANIES'!$AB$10)</x:f>
        <x:v>0.71</x:v>
      </x:c>
      <x:c r="F45" s="42" t="n">
        <x:v>1</x:v>
      </x:c>
      <x:c r="G45" s="42" t="n">
        <x:f>IF(NOT(ISNUMBER(E45)),"",MAX(K45,MIN(L45,E45*F45)))</x:f>
        <x:v>0.728196</x:v>
      </x:c>
      <x:c r="H45" s="42" t="n">
        <x:v>84</x:v>
      </x:c>
      <x:c r="I45" s="42" t="n">
        <x:f>IF(COUNT(G45)=0,"",(COUNTIFS('93_REF_ANCHORS'!$A$7:$A$766,D45,'93_REF_ANCHORS'!$C$7:$C$766,"&lt;"&amp;G45)+COUNTIFS('93_REF_ANCHORS'!$A$7:$A$766,D45,'93_REF_ANCHORS'!$C$7:$C$766,"&lt;="&amp;G45)-1)/(2*(H45-1)))</x:f>
        <x:v>0.10240963855421686</x:v>
      </x:c>
      <x:c r="J45" s="34" t="str">
        <x:f>IF(B45="","",IF(COUNT(E45)=0,"MISSING",IF(NOT(ISNUMBER(E45)),"INVALID",IF(E45*F45&lt;K45,"WINSORIZED LOW",IF(E45*F45&gt;L45,"WINSORIZED HIGH","OK")))))</x:f>
        <x:v>WINSORIZED LOW</x:v>
      </x:c>
      <x:c r="K45" s="34" t="n">
        <x:v>0.728196</x:v>
      </x:c>
      <x:c r="L45" s="34" t="n">
        <x:v>0.94</x:v>
      </x:c>
      <x:c r="M45" s="34" t="n">
        <x:v>0.1111111111111111</x:v>
      </x:c>
      <x:c r="N45" s="34" t="str">
        <x:v>yes</x:v>
      </x:c>
    </x:row>
    <x:row r="46">
      <x:c r="A46" s="34" t="n">
        <x:v>4</x:v>
      </x:c>
      <x:c r="B46" s="34" t="str">
        <x:f>IF('01_INPUT_COMPANIES'!$A$10="","",'01_INPUT_COMPANIES'!$A$10)</x:f>
        <x:v>SYN-D</x:v>
      </x:c>
      <x:c r="C46" s="34" t="str">
        <x:f>IF(B46="","",'01_INPUT_COMPANIES'!$B$10)</x:f>
        <x:v>라온 플레이</x:v>
      </x:c>
      <x:c r="D46" s="34" t="str">
        <x:v>outflow_to_capex_ratio</x:v>
      </x:c>
      <x:c r="E46" s="42" t="n">
        <x:f>IF(OR(B46="",COUNT('01_INPUT_COMPANIES'!$AC$10)=0),"",'01_INPUT_COMPANIES'!$AC$10)</x:f>
        <x:v>7.4</x:v>
      </x:c>
      <x:c r="F46" s="42" t="n">
        <x:v>1</x:v>
      </x:c>
      <x:c r="G46" s="42" t="n">
        <x:f>IF(NOT(ISNUMBER(E46)),"",MAX(K46,MIN(L46,E46*F46)))</x:f>
        <x:v>7.4</x:v>
      </x:c>
      <x:c r="H46" s="42" t="n">
        <x:v>97</x:v>
      </x:c>
      <x:c r="I46" s="42" t="n">
        <x:f>IF(COUNT(G46)=0,"",(COUNTIFS('93_REF_ANCHORS'!$A$7:$A$766,D46,'93_REF_ANCHORS'!$C$7:$C$766,"&lt;"&amp;G46)+COUNTIFS('93_REF_ANCHORS'!$A$7:$A$766,D46,'93_REF_ANCHORS'!$C$7:$C$766,"&lt;="&amp;G46)-1)/(2*(H46-1)))</x:f>
        <x:v>0.22395833333333334</x:v>
      </x:c>
      <x:c r="J46" s="34" t="str">
        <x:f>IF(B46="","",IF(COUNT(E46)=0,"MISSING",IF(NOT(ISNUMBER(E46)),"INVALID",IF(E46*F46&lt;K46,"WINSORIZED LOW",IF(E46*F46&gt;L46,"WINSORIZED HIGH","OK")))))</x:f>
        <x:v>OK</x:v>
      </x:c>
      <x:c r="K46" s="34" t="n">
        <x:v>-123.5385890408</x:v>
      </x:c>
      <x:c r="L46" s="34" t="n">
        <x:v>974.1666666666999</x:v>
      </x:c>
      <x:c r="M46" s="34" t="n">
        <x:v>0.1111111111111111</x:v>
      </x:c>
      <x:c r="N46" s="34" t="str">
        <x:v>no</x:v>
      </x:c>
    </x:row>
    <x:row r="47">
      <x:c r="A47" s="34" t="n">
        <x:v>5</x:v>
      </x:c>
      <x:c r="B47" s="34" t="str">
        <x:f>IF('01_INPUT_COMPANIES'!$A$11="","",'01_INPUT_COMPANIES'!$A$11)</x:f>
      </x:c>
      <x:c r="C47" s="34" t="str">
        <x:f>IF(B47="","",'01_INPUT_COMPANIES'!$B$11)</x:f>
      </x:c>
      <x:c r="D47" s="34" t="str">
        <x:v>effective_tax_rate_gap</x:v>
      </x:c>
      <x:c r="E47" s="42" t="str">
        <x:f>IF(OR(B47="",COUNT('01_INPUT_COMPANIES'!$T$11)=0),"",'01_INPUT_COMPANIES'!$T$11)</x:f>
      </x:c>
      <x:c r="F47" s="42" t="n">
        <x:v>1</x:v>
      </x:c>
      <x:c r="G47" s="42" t="str">
        <x:f>IF(NOT(ISNUMBER(E47)),"",MAX(K47,MIN(L47,E47*F47)))</x:f>
      </x:c>
      <x:c r="H47" s="42" t="n">
        <x:v>74</x:v>
      </x:c>
      <x:c r="I47" s="42" t="str">
        <x:f>IF(COUNT(G47)=0,"",(COUNTIFS('93_REF_ANCHORS'!$A$7:$A$766,D47,'93_REF_ANCHORS'!$C$7:$C$766,"&lt;"&amp;G47)+COUNTIFS('93_REF_ANCHORS'!$A$7:$A$766,D47,'93_REF_ANCHORS'!$C$7:$C$766,"&lt;="&amp;G47)-1)/(2*(H47-1)))</x:f>
      </x:c>
      <x:c r="J47" s="34" t="str">
        <x:f>IF(B47="","",IF(COUNT(E47)=0,"MISSING",IF(NOT(ISNUMBER(E47)),"INVALID",IF(E47*F47&lt;K47,"WINSORIZED LOW",IF(E47*F47&gt;L47,"WINSORIZED HIGH","OK")))))</x:f>
      </x:c>
      <x:c r="K47" s="34" t="n">
        <x:v>-0.1416111014</x:v>
      </x:c>
      <x:c r="L47" s="34" t="n">
        <x:v>0.2683650488</x:v>
      </x:c>
      <x:c r="M47" s="34" t="n">
        <x:v>0.1111111111111111</x:v>
      </x:c>
      <x:c r="N47" s="34" t="str">
        <x:v>no</x:v>
      </x:c>
    </x:row>
    <x:row r="48">
      <x:c r="A48" s="34" t="n">
        <x:v>5</x:v>
      </x:c>
      <x:c r="B48" s="34" t="str">
        <x:f>IF('01_INPUT_COMPANIES'!$A$11="","",'01_INPUT_COMPANIES'!$A$11)</x:f>
      </x:c>
      <x:c r="C48" s="34" t="str">
        <x:f>IF(B48="","",'01_INPUT_COMPANIES'!$B$11)</x:f>
      </x:c>
      <x:c r="D48" s="34" t="str">
        <x:v>infra_dependency_ratio</x:v>
      </x:c>
      <x:c r="E48" s="42" t="str">
        <x:f>IF(OR(B48="",COUNT('01_INPUT_COMPANIES'!$U$11)=0),"",'01_INPUT_COMPANIES'!$U$11)</x:f>
      </x:c>
      <x:c r="F48" s="42" t="n">
        <x:v>1</x:v>
      </x:c>
      <x:c r="G48" s="42" t="str">
        <x:f>IF(NOT(ISNUMBER(E48)),"",MAX(K48,MIN(L48,E48*F48)))</x:f>
      </x:c>
      <x:c r="H48" s="42" t="n">
        <x:v>64</x:v>
      </x:c>
      <x:c r="I48" s="42" t="str">
        <x:f>IF(COUNT(G48)=0,"",(COUNTIFS('93_REF_ANCHORS'!$A$7:$A$766,D48,'93_REF_ANCHORS'!$C$7:$C$766,"&lt;"&amp;G48)+COUNTIFS('93_REF_ANCHORS'!$A$7:$A$766,D48,'93_REF_ANCHORS'!$C$7:$C$766,"&lt;="&amp;G48)-1)/(2*(H48-1)))</x:f>
      </x:c>
      <x:c r="J48" s="34" t="str">
        <x:f>IF(B48="","",IF(COUNT(E48)=0,"MISSING",IF(NOT(ISNUMBER(E48)),"INVALID",IF(E48*F48&lt;K48,"WINSORIZED LOW",IF(E48*F48&gt;L48,"WINSORIZED HIGH","OK")))))</x:f>
      </x:c>
      <x:c r="K48" s="34" t="n">
        <x:v>-0.10705024705171803</x:v>
      </x:c>
      <x:c r="L48" s="34" t="n">
        <x:v>0.8008753865408955</x:v>
      </x:c>
      <x:c r="M48" s="34" t="n">
        <x:v>0.1111111111111111</x:v>
      </x:c>
      <x:c r="N48" s="34" t="str">
        <x:v>no</x:v>
      </x:c>
    </x:row>
    <x:row r="49">
      <x:c r="A49" s="34" t="n">
        <x:v>5</x:v>
      </x:c>
      <x:c r="B49" s="34" t="str">
        <x:f>IF('01_INPUT_COMPANIES'!$A$11="","",'01_INPUT_COMPANIES'!$A$11)</x:f>
      </x:c>
      <x:c r="C49" s="34" t="str">
        <x:f>IF(B49="","",'01_INPUT_COMPANIES'!$B$11)</x:f>
      </x:c>
      <x:c r="D49" s="34" t="str">
        <x:v>network_cost_ratio</x:v>
      </x:c>
      <x:c r="E49" s="42" t="str">
        <x:f>IF(OR(B49="",COUNT('01_INPUT_COMPANIES'!$V$11)=0),"",'01_INPUT_COMPANIES'!$V$11)</x:f>
      </x:c>
      <x:c r="F49" s="42" t="n">
        <x:v>1</x:v>
      </x:c>
      <x:c r="G49" s="42" t="str">
        <x:f>IF(NOT(ISNUMBER(E49)),"",MAX(K49,MIN(L49,E49*F49)))</x:f>
      </x:c>
      <x:c r="H49" s="42" t="n">
        <x:v>97</x:v>
      </x:c>
      <x:c r="I49" s="42" t="str">
        <x:f>IF(COUNT(G49)=0,"",(COUNTIFS('93_REF_ANCHORS'!$A$7:$A$766,D49,'93_REF_ANCHORS'!$C$7:$C$766,"&lt;"&amp;G49)+COUNTIFS('93_REF_ANCHORS'!$A$7:$A$766,D49,'93_REF_ANCHORS'!$C$7:$C$766,"&lt;="&amp;G49)-1)/(2*(H49-1)))</x:f>
      </x:c>
      <x:c r="J49" s="34" t="str">
        <x:f>IF(B49="","",IF(COUNT(E49)=0,"MISSING",IF(NOT(ISNUMBER(E49)),"INVALID",IF(E49*F49&lt;K49,"WINSORIZED LOW",IF(E49*F49&gt;L49,"WINSORIZED HIGH","OK")))))</x:f>
      </x:c>
      <x:c r="K49" s="34" t="n">
        <x:v>-0.1395374353</x:v>
      </x:c>
      <x:c r="L49" s="34" t="n">
        <x:v>0.9274274845000001</x:v>
      </x:c>
      <x:c r="M49" s="34" t="n">
        <x:v>0.1111111111111111</x:v>
      </x:c>
      <x:c r="N49" s="34" t="str">
        <x:v>no</x:v>
      </x:c>
    </x:row>
    <x:row r="50">
      <x:c r="A50" s="34" t="n">
        <x:v>5</x:v>
      </x:c>
      <x:c r="B50" s="34" t="str">
        <x:f>IF('01_INPUT_COMPANIES'!$A$11="","",'01_INPUT_COMPANIES'!$A$11)</x:f>
      </x:c>
      <x:c r="C50" s="34" t="str">
        <x:f>IF(B50="","",'01_INPUT_COMPANIES'!$B$11)</x:f>
      </x:c>
      <x:c r="D50" s="34" t="str">
        <x:v>cashflow_recovery_ratio</x:v>
      </x:c>
      <x:c r="E50" s="42" t="str">
        <x:f>IF(OR(B50="",COUNT('01_INPUT_COMPANIES'!$W$11)=0),"",'01_INPUT_COMPANIES'!$W$11)</x:f>
      </x:c>
      <x:c r="F50" s="42" t="n">
        <x:v>-1</x:v>
      </x:c>
      <x:c r="G50" s="42" t="str">
        <x:f>IF(NOT(ISNUMBER(E50)),"",MAX(K50,MIN(L50,E50*F50)))</x:f>
      </x:c>
      <x:c r="H50" s="42" t="n">
        <x:v>95</x:v>
      </x:c>
      <x:c r="I50" s="42" t="str">
        <x:f>IF(COUNT(G50)=0,"",(COUNTIFS('93_REF_ANCHORS'!$A$7:$A$766,D50,'93_REF_ANCHORS'!$C$7:$C$766,"&lt;"&amp;G50)+COUNTIFS('93_REF_ANCHORS'!$A$7:$A$766,D50,'93_REF_ANCHORS'!$C$7:$C$766,"&lt;="&amp;G50)-1)/(2*(H50-1)))</x:f>
      </x:c>
      <x:c r="J50" s="34" t="str">
        <x:f>IF(B50="","",IF(COUNT(E50)=0,"MISSING",IF(NOT(ISNUMBER(E50)),"INVALID",IF(E50*F50&lt;K50,"WINSORIZED LOW",IF(E50*F50&gt;L50,"WINSORIZED HIGH","OK")))))</x:f>
      </x:c>
      <x:c r="K50" s="34" t="n">
        <x:v>-300.75</x:v>
      </x:c>
      <x:c r="L50" s="34" t="n">
        <x:v>42.6920305469</x:v>
      </x:c>
      <x:c r="M50" s="34" t="n">
        <x:v>0.08333333333333333</x:v>
      </x:c>
      <x:c r="N50" s="34" t="str">
        <x:v>no</x:v>
      </x:c>
    </x:row>
    <x:row r="51">
      <x:c r="A51" s="34" t="n">
        <x:v>5</x:v>
      </x:c>
      <x:c r="B51" s="34" t="str">
        <x:f>IF('01_INPUT_COMPANIES'!$A$11="","",'01_INPUT_COMPANIES'!$A$11)</x:f>
      </x:c>
      <x:c r="C51" s="34" t="str">
        <x:f>IF(B51="","",'01_INPUT_COMPANIES'!$B$11)</x:f>
      </x:c>
      <x:c r="D51" s="34" t="str">
        <x:v>funding_cost_spread</x:v>
      </x:c>
      <x:c r="E51" s="42" t="str">
        <x:f>IF(OR(B51="",COUNT('01_INPUT_COMPANIES'!$X$11)=0),"",'01_INPUT_COMPANIES'!$X$11)</x:f>
      </x:c>
      <x:c r="F51" s="42" t="n">
        <x:v>1</x:v>
      </x:c>
      <x:c r="G51" s="42" t="str">
        <x:f>IF(NOT(ISNUMBER(E51)),"",MAX(K51,MIN(L51,E51*F51)))</x:f>
      </x:c>
      <x:c r="H51" s="42" t="n">
        <x:v>58</x:v>
      </x:c>
      <x:c r="I51" s="42" t="str">
        <x:f>IF(COUNT(G51)=0,"",(COUNTIFS('93_REF_ANCHORS'!$A$7:$A$766,D51,'93_REF_ANCHORS'!$C$7:$C$766,"&lt;"&amp;G51)+COUNTIFS('93_REF_ANCHORS'!$A$7:$A$766,D51,'93_REF_ANCHORS'!$C$7:$C$766,"&lt;="&amp;G51)-1)/(2*(H51-1)))</x:f>
      </x:c>
      <x:c r="J51" s="34" t="str">
        <x:f>IF(B51="","",IF(COUNT(E51)=0,"MISSING",IF(NOT(ISNUMBER(E51)),"INVALID",IF(E51*F51&lt;K51,"WINSORIZED LOW",IF(E51*F51&gt;L51,"WINSORIZED HIGH","OK")))))</x:f>
      </x:c>
      <x:c r="K51" s="34" t="n">
        <x:v>-0.4430292903</x:v>
      </x:c>
      <x:c r="L51" s="34" t="n">
        <x:v>0.5068913103</x:v>
      </x:c>
      <x:c r="M51" s="34" t="n">
        <x:v>0.08333333333333333</x:v>
      </x:c>
      <x:c r="N51" s="34" t="str">
        <x:v>no</x:v>
      </x:c>
    </x:row>
    <x:row r="52">
      <x:c r="A52" s="34" t="n">
        <x:v>5</x:v>
      </x:c>
      <x:c r="B52" s="34" t="str">
        <x:f>IF('01_INPUT_COMPANIES'!$A$11="","",'01_INPUT_COMPANIES'!$A$11)</x:f>
      </x:c>
      <x:c r="C52" s="34" t="str">
        <x:f>IF(B52="","",'01_INPUT_COMPANIES'!$B$11)</x:f>
      </x:c>
      <x:c r="D52" s="34" t="str">
        <x:v>investment_recovery_ratio</x:v>
      </x:c>
      <x:c r="E52" s="42" t="str">
        <x:f>IF(OR(B52="",COUNT('01_INPUT_COMPANIES'!$Y$11)=0),"",'01_INPUT_COMPANIES'!$Y$11)</x:f>
      </x:c>
      <x:c r="F52" s="42" t="n">
        <x:v>-1</x:v>
      </x:c>
      <x:c r="G52" s="42" t="str">
        <x:f>IF(NOT(ISNUMBER(E52)),"",MAX(K52,MIN(L52,E52*F52)))</x:f>
      </x:c>
      <x:c r="H52" s="42" t="n">
        <x:v>95</x:v>
      </x:c>
      <x:c r="I52" s="42" t="str">
        <x:f>IF(COUNT(G52)=0,"",(COUNTIFS('93_REF_ANCHORS'!$A$7:$A$766,D52,'93_REF_ANCHORS'!$C$7:$C$766,"&lt;"&amp;G52)+COUNTIFS('93_REF_ANCHORS'!$A$7:$A$766,D52,'93_REF_ANCHORS'!$C$7:$C$766,"&lt;="&amp;G52)-1)/(2*(H52-1)))</x:f>
      </x:c>
      <x:c r="J52" s="34" t="str">
        <x:f>IF(B52="","",IF(COUNT(E52)=0,"MISSING",IF(NOT(ISNUMBER(E52)),"INVALID",IF(E52*F52&lt;K52,"WINSORIZED LOW",IF(E52*F52&gt;L52,"WINSORIZED HIGH","OK")))))</x:f>
      </x:c>
      <x:c r="K52" s="34" t="n">
        <x:v>-3163.7500000000014</x:v>
      </x:c>
      <x:c r="L52" s="34" t="n">
        <x:v>189.68191301719997</x:v>
      </x:c>
      <x:c r="M52" s="34" t="n">
        <x:v>0.08333333333333333</x:v>
      </x:c>
      <x:c r="N52" s="34" t="str">
        <x:v>no</x:v>
      </x:c>
    </x:row>
    <x:row r="53">
      <x:c r="A53" s="34" t="n">
        <x:v>5</x:v>
      </x:c>
      <x:c r="B53" s="34" t="str">
        <x:f>IF('01_INPUT_COMPANIES'!$A$11="","",'01_INPUT_COMPANIES'!$A$11)</x:f>
      </x:c>
      <x:c r="C53" s="34" t="str">
        <x:f>IF(B53="","",'01_INPUT_COMPANIES'!$B$11)</x:f>
      </x:c>
      <x:c r="D53" s="34" t="str">
        <x:v>ip_assetization_gap</x:v>
      </x:c>
      <x:c r="E53" s="42" t="str">
        <x:f>IF(OR(B53="",COUNT('01_INPUT_COMPANIES'!$Z$11)=0),"",'01_INPUT_COMPANIES'!$Z$11)</x:f>
      </x:c>
      <x:c r="F53" s="42" t="n">
        <x:v>1</x:v>
      </x:c>
      <x:c r="G53" s="42" t="str">
        <x:f>IF(NOT(ISNUMBER(E53)),"",MAX(K53,MIN(L53,E53*F53)))</x:f>
      </x:c>
      <x:c r="H53" s="42" t="n">
        <x:v>92</x:v>
      </x:c>
      <x:c r="I53" s="42" t="str">
        <x:f>IF(COUNT(G53)=0,"",(COUNTIFS('93_REF_ANCHORS'!$A$7:$A$766,D53,'93_REF_ANCHORS'!$C$7:$C$766,"&lt;"&amp;G53)+COUNTIFS('93_REF_ANCHORS'!$A$7:$A$766,D53,'93_REF_ANCHORS'!$C$7:$C$766,"&lt;="&amp;G53)-1)/(2*(H53-1)))</x:f>
      </x:c>
      <x:c r="J53" s="34" t="str">
        <x:f>IF(B53="","",IF(COUNT(E53)=0,"MISSING",IF(NOT(ISNUMBER(E53)),"INVALID",IF(E53*F53&lt;K53,"WINSORIZED LOW",IF(E53*F53&gt;L53,"WINSORIZED HIGH","OK")))))</x:f>
      </x:c>
      <x:c r="K53" s="34" t="n">
        <x:v>-1.6707152386</x:v>
      </x:c>
      <x:c r="L53" s="34" t="n">
        <x:v>0.7716332556000001</x:v>
      </x:c>
      <x:c r="M53" s="34" t="n">
        <x:v>0.08333333333333333</x:v>
      </x:c>
      <x:c r="N53" s="34" t="str">
        <x:v>no</x:v>
      </x:c>
    </x:row>
    <x:row r="54">
      <x:c r="A54" s="34" t="n">
        <x:v>5</x:v>
      </x:c>
      <x:c r="B54" s="34" t="str">
        <x:f>IF('01_INPUT_COMPANIES'!$A$11="","",'01_INPUT_COMPANIES'!$A$11)</x:f>
      </x:c>
      <x:c r="C54" s="34" t="str">
        <x:f>IF(B54="","",'01_INPUT_COMPANIES'!$B$11)</x:f>
      </x:c>
      <x:c r="D54" s="34" t="str">
        <x:v>cross_market_transfer_index</x:v>
      </x:c>
      <x:c r="E54" s="42" t="str">
        <x:f>IF(OR(B54="",COUNT('01_INPUT_COMPANIES'!$AA$11)=0),"",'01_INPUT_COMPANIES'!$AA$11)</x:f>
      </x:c>
      <x:c r="F54" s="42" t="n">
        <x:v>1</x:v>
      </x:c>
      <x:c r="G54" s="42" t="str">
        <x:f>IF(NOT(ISNUMBER(E54)),"",MAX(K54,MIN(L54,E54*F54)))</x:f>
      </x:c>
      <x:c r="H54" s="42" t="n">
        <x:v>4</x:v>
      </x:c>
      <x:c r="I54" s="42" t="str">
        <x:f>IF(COUNT(G54)=0,"",(COUNTIFS('93_REF_ANCHORS'!$A$7:$A$766,D54,'93_REF_ANCHORS'!$C$7:$C$766,"&lt;"&amp;G54)+COUNTIFS('93_REF_ANCHORS'!$A$7:$A$766,D54,'93_REF_ANCHORS'!$C$7:$C$766,"&lt;="&amp;G54)-1)/(2*(H54-1)))</x:f>
      </x:c>
      <x:c r="J54" s="34" t="str">
        <x:f>IF(B54="","",IF(COUNT(E54)=0,"MISSING",IF(NOT(ISNUMBER(E54)),"INVALID",IF(E54*F54&lt;K54,"WINSORIZED LOW",IF(E54*F54&gt;L54,"WINSORIZED HIGH","OK")))))</x:f>
      </x:c>
      <x:c r="K54" s="34" t="n">
        <x:v>0</x:v>
      </x:c>
      <x:c r="L54" s="34" t="n">
        <x:v>0.7587051325360435</x:v>
      </x:c>
      <x:c r="M54" s="34" t="n">
        <x:v>0.1111111111111111</x:v>
      </x:c>
      <x:c r="N54" s="34" t="str">
        <x:v>yes</x:v>
      </x:c>
    </x:row>
    <x:row r="55">
      <x:c r="A55" s="34" t="n">
        <x:v>5</x:v>
      </x:c>
      <x:c r="B55" s="34" t="str">
        <x:f>IF('01_INPUT_COMPANIES'!$A$11="","",'01_INPUT_COMPANIES'!$A$11)</x:f>
      </x:c>
      <x:c r="C55" s="34" t="str">
        <x:f>IF(B55="","",'01_INPUT_COMPANIES'!$B$11)</x:f>
      </x:c>
      <x:c r="D55" s="34" t="str">
        <x:v>foreign_dependency_ratio</x:v>
      </x:c>
      <x:c r="E55" s="42" t="str">
        <x:f>IF(OR(B55="",COUNT('01_INPUT_COMPANIES'!$AB$11)=0),"",'01_INPUT_COMPANIES'!$AB$11)</x:f>
      </x:c>
      <x:c r="F55" s="42" t="n">
        <x:v>1</x:v>
      </x:c>
      <x:c r="G55" s="42" t="str">
        <x:f>IF(NOT(ISNUMBER(E55)),"",MAX(K55,MIN(L55,E55*F55)))</x:f>
      </x:c>
      <x:c r="H55" s="42" t="n">
        <x:v>84</x:v>
      </x:c>
      <x:c r="I55" s="42" t="str">
        <x:f>IF(COUNT(G55)=0,"",(COUNTIFS('93_REF_ANCHORS'!$A$7:$A$766,D55,'93_REF_ANCHORS'!$C$7:$C$766,"&lt;"&amp;G55)+COUNTIFS('93_REF_ANCHORS'!$A$7:$A$766,D55,'93_REF_ANCHORS'!$C$7:$C$766,"&lt;="&amp;G55)-1)/(2*(H55-1)))</x:f>
      </x:c>
      <x:c r="J55" s="34" t="str">
        <x:f>IF(B55="","",IF(COUNT(E55)=0,"MISSING",IF(NOT(ISNUMBER(E55)),"INVALID",IF(E55*F55&lt;K55,"WINSORIZED LOW",IF(E55*F55&gt;L55,"WINSORIZED HIGH","OK")))))</x:f>
      </x:c>
      <x:c r="K55" s="34" t="n">
        <x:v>0.728196</x:v>
      </x:c>
      <x:c r="L55" s="34" t="n">
        <x:v>0.94</x:v>
      </x:c>
      <x:c r="M55" s="34" t="n">
        <x:v>0.1111111111111111</x:v>
      </x:c>
      <x:c r="N55" s="34" t="str">
        <x:v>yes</x:v>
      </x:c>
    </x:row>
    <x:row r="56">
      <x:c r="A56" s="34" t="n">
        <x:v>5</x:v>
      </x:c>
      <x:c r="B56" s="34" t="str">
        <x:f>IF('01_INPUT_COMPANIES'!$A$11="","",'01_INPUT_COMPANIES'!$A$11)</x:f>
      </x:c>
      <x:c r="C56" s="34" t="str">
        <x:f>IF(B56="","",'01_INPUT_COMPANIES'!$B$11)</x:f>
      </x:c>
      <x:c r="D56" s="34" t="str">
        <x:v>outflow_to_capex_ratio</x:v>
      </x:c>
      <x:c r="E56" s="42" t="str">
        <x:f>IF(OR(B56="",COUNT('01_INPUT_COMPANIES'!$AC$11)=0),"",'01_INPUT_COMPANIES'!$AC$11)</x:f>
      </x:c>
      <x:c r="F56" s="42" t="n">
        <x:v>1</x:v>
      </x:c>
      <x:c r="G56" s="42" t="str">
        <x:f>IF(NOT(ISNUMBER(E56)),"",MAX(K56,MIN(L56,E56*F56)))</x:f>
      </x:c>
      <x:c r="H56" s="42" t="n">
        <x:v>97</x:v>
      </x:c>
      <x:c r="I56" s="42" t="str">
        <x:f>IF(COUNT(G56)=0,"",(COUNTIFS('93_REF_ANCHORS'!$A$7:$A$766,D56,'93_REF_ANCHORS'!$C$7:$C$766,"&lt;"&amp;G56)+COUNTIFS('93_REF_ANCHORS'!$A$7:$A$766,D56,'93_REF_ANCHORS'!$C$7:$C$766,"&lt;="&amp;G56)-1)/(2*(H56-1)))</x:f>
      </x:c>
      <x:c r="J56" s="34" t="str">
        <x:f>IF(B56="","",IF(COUNT(E56)=0,"MISSING",IF(NOT(ISNUMBER(E56)),"INVALID",IF(E56*F56&lt;K56,"WINSORIZED LOW",IF(E56*F56&gt;L56,"WINSORIZED HIGH","OK")))))</x:f>
      </x:c>
      <x:c r="K56" s="34" t="n">
        <x:v>-123.5385890408</x:v>
      </x:c>
      <x:c r="L56" s="34" t="n">
        <x:v>974.1666666666999</x:v>
      </x:c>
      <x:c r="M56" s="34" t="n">
        <x:v>0.1111111111111111</x:v>
      </x:c>
      <x:c r="N56" s="34" t="str">
        <x:v>no</x:v>
      </x:c>
    </x:row>
    <x:row r="57">
      <x:c r="A57" s="34" t="n">
        <x:v>6</x:v>
      </x:c>
      <x:c r="B57" s="34" t="str">
        <x:f>IF('01_INPUT_COMPANIES'!$A$12="","",'01_INPUT_COMPANIES'!$A$12)</x:f>
      </x:c>
      <x:c r="C57" s="34" t="str">
        <x:f>IF(B57="","",'01_INPUT_COMPANIES'!$B$12)</x:f>
      </x:c>
      <x:c r="D57" s="34" t="str">
        <x:v>effective_tax_rate_gap</x:v>
      </x:c>
      <x:c r="E57" s="42" t="str">
        <x:f>IF(OR(B57="",COUNT('01_INPUT_COMPANIES'!$T$12)=0),"",'01_INPUT_COMPANIES'!$T$12)</x:f>
      </x:c>
      <x:c r="F57" s="42" t="n">
        <x:v>1</x:v>
      </x:c>
      <x:c r="G57" s="42" t="str">
        <x:f>IF(NOT(ISNUMBER(E57)),"",MAX(K57,MIN(L57,E57*F57)))</x:f>
      </x:c>
      <x:c r="H57" s="42" t="n">
        <x:v>74</x:v>
      </x:c>
      <x:c r="I57" s="42" t="str">
        <x:f>IF(COUNT(G57)=0,"",(COUNTIFS('93_REF_ANCHORS'!$A$7:$A$766,D57,'93_REF_ANCHORS'!$C$7:$C$766,"&lt;"&amp;G57)+COUNTIFS('93_REF_ANCHORS'!$A$7:$A$766,D57,'93_REF_ANCHORS'!$C$7:$C$766,"&lt;="&amp;G57)-1)/(2*(H57-1)))</x:f>
      </x:c>
      <x:c r="J57" s="34" t="str">
        <x:f>IF(B57="","",IF(COUNT(E57)=0,"MISSING",IF(NOT(ISNUMBER(E57)),"INVALID",IF(E57*F57&lt;K57,"WINSORIZED LOW",IF(E57*F57&gt;L57,"WINSORIZED HIGH","OK")))))</x:f>
      </x:c>
      <x:c r="K57" s="34" t="n">
        <x:v>-0.1416111014</x:v>
      </x:c>
      <x:c r="L57" s="34" t="n">
        <x:v>0.2683650488</x:v>
      </x:c>
      <x:c r="M57" s="34" t="n">
        <x:v>0.1111111111111111</x:v>
      </x:c>
      <x:c r="N57" s="34" t="str">
        <x:v>no</x:v>
      </x:c>
    </x:row>
    <x:row r="58">
      <x:c r="A58" s="34" t="n">
        <x:v>6</x:v>
      </x:c>
      <x:c r="B58" s="34" t="str">
        <x:f>IF('01_INPUT_COMPANIES'!$A$12="","",'01_INPUT_COMPANIES'!$A$12)</x:f>
      </x:c>
      <x:c r="C58" s="34" t="str">
        <x:f>IF(B58="","",'01_INPUT_COMPANIES'!$B$12)</x:f>
      </x:c>
      <x:c r="D58" s="34" t="str">
        <x:v>infra_dependency_ratio</x:v>
      </x:c>
      <x:c r="E58" s="42" t="str">
        <x:f>IF(OR(B58="",COUNT('01_INPUT_COMPANIES'!$U$12)=0),"",'01_INPUT_COMPANIES'!$U$12)</x:f>
      </x:c>
      <x:c r="F58" s="42" t="n">
        <x:v>1</x:v>
      </x:c>
      <x:c r="G58" s="42" t="str">
        <x:f>IF(NOT(ISNUMBER(E58)),"",MAX(K58,MIN(L58,E58*F58)))</x:f>
      </x:c>
      <x:c r="H58" s="42" t="n">
        <x:v>64</x:v>
      </x:c>
      <x:c r="I58" s="42" t="str">
        <x:f>IF(COUNT(G58)=0,"",(COUNTIFS('93_REF_ANCHORS'!$A$7:$A$766,D58,'93_REF_ANCHORS'!$C$7:$C$766,"&lt;"&amp;G58)+COUNTIFS('93_REF_ANCHORS'!$A$7:$A$766,D58,'93_REF_ANCHORS'!$C$7:$C$766,"&lt;="&amp;G58)-1)/(2*(H58-1)))</x:f>
      </x:c>
      <x:c r="J58" s="34" t="str">
        <x:f>IF(B58="","",IF(COUNT(E58)=0,"MISSING",IF(NOT(ISNUMBER(E58)),"INVALID",IF(E58*F58&lt;K58,"WINSORIZED LOW",IF(E58*F58&gt;L58,"WINSORIZED HIGH","OK")))))</x:f>
      </x:c>
      <x:c r="K58" s="34" t="n">
        <x:v>-0.10705024705171803</x:v>
      </x:c>
      <x:c r="L58" s="34" t="n">
        <x:v>0.8008753865408955</x:v>
      </x:c>
      <x:c r="M58" s="34" t="n">
        <x:v>0.1111111111111111</x:v>
      </x:c>
      <x:c r="N58" s="34" t="str">
        <x:v>no</x:v>
      </x:c>
    </x:row>
    <x:row r="59">
      <x:c r="A59" s="34" t="n">
        <x:v>6</x:v>
      </x:c>
      <x:c r="B59" s="34" t="str">
        <x:f>IF('01_INPUT_COMPANIES'!$A$12="","",'01_INPUT_COMPANIES'!$A$12)</x:f>
      </x:c>
      <x:c r="C59" s="34" t="str">
        <x:f>IF(B59="","",'01_INPUT_COMPANIES'!$B$12)</x:f>
      </x:c>
      <x:c r="D59" s="34" t="str">
        <x:v>network_cost_ratio</x:v>
      </x:c>
      <x:c r="E59" s="42" t="str">
        <x:f>IF(OR(B59="",COUNT('01_INPUT_COMPANIES'!$V$12)=0),"",'01_INPUT_COMPANIES'!$V$12)</x:f>
      </x:c>
      <x:c r="F59" s="42" t="n">
        <x:v>1</x:v>
      </x:c>
      <x:c r="G59" s="42" t="str">
        <x:f>IF(NOT(ISNUMBER(E59)),"",MAX(K59,MIN(L59,E59*F59)))</x:f>
      </x:c>
      <x:c r="H59" s="42" t="n">
        <x:v>97</x:v>
      </x:c>
      <x:c r="I59" s="42" t="str">
        <x:f>IF(COUNT(G59)=0,"",(COUNTIFS('93_REF_ANCHORS'!$A$7:$A$766,D59,'93_REF_ANCHORS'!$C$7:$C$766,"&lt;"&amp;G59)+COUNTIFS('93_REF_ANCHORS'!$A$7:$A$766,D59,'93_REF_ANCHORS'!$C$7:$C$766,"&lt;="&amp;G59)-1)/(2*(H59-1)))</x:f>
      </x:c>
      <x:c r="J59" s="34" t="str">
        <x:f>IF(B59="","",IF(COUNT(E59)=0,"MISSING",IF(NOT(ISNUMBER(E59)),"INVALID",IF(E59*F59&lt;K59,"WINSORIZED LOW",IF(E59*F59&gt;L59,"WINSORIZED HIGH","OK")))))</x:f>
      </x:c>
      <x:c r="K59" s="34" t="n">
        <x:v>-0.1395374353</x:v>
      </x:c>
      <x:c r="L59" s="34" t="n">
        <x:v>0.9274274845000001</x:v>
      </x:c>
      <x:c r="M59" s="34" t="n">
        <x:v>0.1111111111111111</x:v>
      </x:c>
      <x:c r="N59" s="34" t="str">
        <x:v>no</x:v>
      </x:c>
    </x:row>
    <x:row r="60">
      <x:c r="A60" s="34" t="n">
        <x:v>6</x:v>
      </x:c>
      <x:c r="B60" s="34" t="str">
        <x:f>IF('01_INPUT_COMPANIES'!$A$12="","",'01_INPUT_COMPANIES'!$A$12)</x:f>
      </x:c>
      <x:c r="C60" s="34" t="str">
        <x:f>IF(B60="","",'01_INPUT_COMPANIES'!$B$12)</x:f>
      </x:c>
      <x:c r="D60" s="34" t="str">
        <x:v>cashflow_recovery_ratio</x:v>
      </x:c>
      <x:c r="E60" s="42" t="str">
        <x:f>IF(OR(B60="",COUNT('01_INPUT_COMPANIES'!$W$12)=0),"",'01_INPUT_COMPANIES'!$W$12)</x:f>
      </x:c>
      <x:c r="F60" s="42" t="n">
        <x:v>-1</x:v>
      </x:c>
      <x:c r="G60" s="42" t="str">
        <x:f>IF(NOT(ISNUMBER(E60)),"",MAX(K60,MIN(L60,E60*F60)))</x:f>
      </x:c>
      <x:c r="H60" s="42" t="n">
        <x:v>95</x:v>
      </x:c>
      <x:c r="I60" s="42" t="str">
        <x:f>IF(COUNT(G60)=0,"",(COUNTIFS('93_REF_ANCHORS'!$A$7:$A$766,D60,'93_REF_ANCHORS'!$C$7:$C$766,"&lt;"&amp;G60)+COUNTIFS('93_REF_ANCHORS'!$A$7:$A$766,D60,'93_REF_ANCHORS'!$C$7:$C$766,"&lt;="&amp;G60)-1)/(2*(H60-1)))</x:f>
      </x:c>
      <x:c r="J60" s="34" t="str">
        <x:f>IF(B60="","",IF(COUNT(E60)=0,"MISSING",IF(NOT(ISNUMBER(E60)),"INVALID",IF(E60*F60&lt;K60,"WINSORIZED LOW",IF(E60*F60&gt;L60,"WINSORIZED HIGH","OK")))))</x:f>
      </x:c>
      <x:c r="K60" s="34" t="n">
        <x:v>-300.75</x:v>
      </x:c>
      <x:c r="L60" s="34" t="n">
        <x:v>42.6920305469</x:v>
      </x:c>
      <x:c r="M60" s="34" t="n">
        <x:v>0.08333333333333333</x:v>
      </x:c>
      <x:c r="N60" s="34" t="str">
        <x:v>no</x:v>
      </x:c>
    </x:row>
    <x:row r="61">
      <x:c r="A61" s="34" t="n">
        <x:v>6</x:v>
      </x:c>
      <x:c r="B61" s="34" t="str">
        <x:f>IF('01_INPUT_COMPANIES'!$A$12="","",'01_INPUT_COMPANIES'!$A$12)</x:f>
      </x:c>
      <x:c r="C61" s="34" t="str">
        <x:f>IF(B61="","",'01_INPUT_COMPANIES'!$B$12)</x:f>
      </x:c>
      <x:c r="D61" s="34" t="str">
        <x:v>funding_cost_spread</x:v>
      </x:c>
      <x:c r="E61" s="42" t="str">
        <x:f>IF(OR(B61="",COUNT('01_INPUT_COMPANIES'!$X$12)=0),"",'01_INPUT_COMPANIES'!$X$12)</x:f>
      </x:c>
      <x:c r="F61" s="42" t="n">
        <x:v>1</x:v>
      </x:c>
      <x:c r="G61" s="42" t="str">
        <x:f>IF(NOT(ISNUMBER(E61)),"",MAX(K61,MIN(L61,E61*F61)))</x:f>
      </x:c>
      <x:c r="H61" s="42" t="n">
        <x:v>58</x:v>
      </x:c>
      <x:c r="I61" s="42" t="str">
        <x:f>IF(COUNT(G61)=0,"",(COUNTIFS('93_REF_ANCHORS'!$A$7:$A$766,D61,'93_REF_ANCHORS'!$C$7:$C$766,"&lt;"&amp;G61)+COUNTIFS('93_REF_ANCHORS'!$A$7:$A$766,D61,'93_REF_ANCHORS'!$C$7:$C$766,"&lt;="&amp;G61)-1)/(2*(H61-1)))</x:f>
      </x:c>
      <x:c r="J61" s="34" t="str">
        <x:f>IF(B61="","",IF(COUNT(E61)=0,"MISSING",IF(NOT(ISNUMBER(E61)),"INVALID",IF(E61*F61&lt;K61,"WINSORIZED LOW",IF(E61*F61&gt;L61,"WINSORIZED HIGH","OK")))))</x:f>
      </x:c>
      <x:c r="K61" s="34" t="n">
        <x:v>-0.4430292903</x:v>
      </x:c>
      <x:c r="L61" s="34" t="n">
        <x:v>0.5068913103</x:v>
      </x:c>
      <x:c r="M61" s="34" t="n">
        <x:v>0.08333333333333333</x:v>
      </x:c>
      <x:c r="N61" s="34" t="str">
        <x:v>no</x:v>
      </x:c>
    </x:row>
    <x:row r="62">
      <x:c r="A62" s="34" t="n">
        <x:v>6</x:v>
      </x:c>
      <x:c r="B62" s="34" t="str">
        <x:f>IF('01_INPUT_COMPANIES'!$A$12="","",'01_INPUT_COMPANIES'!$A$12)</x:f>
      </x:c>
      <x:c r="C62" s="34" t="str">
        <x:f>IF(B62="","",'01_INPUT_COMPANIES'!$B$12)</x:f>
      </x:c>
      <x:c r="D62" s="34" t="str">
        <x:v>investment_recovery_ratio</x:v>
      </x:c>
      <x:c r="E62" s="42" t="str">
        <x:f>IF(OR(B62="",COUNT('01_INPUT_COMPANIES'!$Y$12)=0),"",'01_INPUT_COMPANIES'!$Y$12)</x:f>
      </x:c>
      <x:c r="F62" s="42" t="n">
        <x:v>-1</x:v>
      </x:c>
      <x:c r="G62" s="42" t="str">
        <x:f>IF(NOT(ISNUMBER(E62)),"",MAX(K62,MIN(L62,E62*F62)))</x:f>
      </x:c>
      <x:c r="H62" s="42" t="n">
        <x:v>95</x:v>
      </x:c>
      <x:c r="I62" s="42" t="str">
        <x:f>IF(COUNT(G62)=0,"",(COUNTIFS('93_REF_ANCHORS'!$A$7:$A$766,D62,'93_REF_ANCHORS'!$C$7:$C$766,"&lt;"&amp;G62)+COUNTIFS('93_REF_ANCHORS'!$A$7:$A$766,D62,'93_REF_ANCHORS'!$C$7:$C$766,"&lt;="&amp;G62)-1)/(2*(H62-1)))</x:f>
      </x:c>
      <x:c r="J62" s="34" t="str">
        <x:f>IF(B62="","",IF(COUNT(E62)=0,"MISSING",IF(NOT(ISNUMBER(E62)),"INVALID",IF(E62*F62&lt;K62,"WINSORIZED LOW",IF(E62*F62&gt;L62,"WINSORIZED HIGH","OK")))))</x:f>
      </x:c>
      <x:c r="K62" s="34" t="n">
        <x:v>-3163.7500000000014</x:v>
      </x:c>
      <x:c r="L62" s="34" t="n">
        <x:v>189.68191301719997</x:v>
      </x:c>
      <x:c r="M62" s="34" t="n">
        <x:v>0.08333333333333333</x:v>
      </x:c>
      <x:c r="N62" s="34" t="str">
        <x:v>no</x:v>
      </x:c>
    </x:row>
    <x:row r="63">
      <x:c r="A63" s="34" t="n">
        <x:v>6</x:v>
      </x:c>
      <x:c r="B63" s="34" t="str">
        <x:f>IF('01_INPUT_COMPANIES'!$A$12="","",'01_INPUT_COMPANIES'!$A$12)</x:f>
      </x:c>
      <x:c r="C63" s="34" t="str">
        <x:f>IF(B63="","",'01_INPUT_COMPANIES'!$B$12)</x:f>
      </x:c>
      <x:c r="D63" s="34" t="str">
        <x:v>ip_assetization_gap</x:v>
      </x:c>
      <x:c r="E63" s="42" t="str">
        <x:f>IF(OR(B63="",COUNT('01_INPUT_COMPANIES'!$Z$12)=0),"",'01_INPUT_COMPANIES'!$Z$12)</x:f>
      </x:c>
      <x:c r="F63" s="42" t="n">
        <x:v>1</x:v>
      </x:c>
      <x:c r="G63" s="42" t="str">
        <x:f>IF(NOT(ISNUMBER(E63)),"",MAX(K63,MIN(L63,E63*F63)))</x:f>
      </x:c>
      <x:c r="H63" s="42" t="n">
        <x:v>92</x:v>
      </x:c>
      <x:c r="I63" s="42" t="str">
        <x:f>IF(COUNT(G63)=0,"",(COUNTIFS('93_REF_ANCHORS'!$A$7:$A$766,D63,'93_REF_ANCHORS'!$C$7:$C$766,"&lt;"&amp;G63)+COUNTIFS('93_REF_ANCHORS'!$A$7:$A$766,D63,'93_REF_ANCHORS'!$C$7:$C$766,"&lt;="&amp;G63)-1)/(2*(H63-1)))</x:f>
      </x:c>
      <x:c r="J63" s="34" t="str">
        <x:f>IF(B63="","",IF(COUNT(E63)=0,"MISSING",IF(NOT(ISNUMBER(E63)),"INVALID",IF(E63*F63&lt;K63,"WINSORIZED LOW",IF(E63*F63&gt;L63,"WINSORIZED HIGH","OK")))))</x:f>
      </x:c>
      <x:c r="K63" s="34" t="n">
        <x:v>-1.6707152386</x:v>
      </x:c>
      <x:c r="L63" s="34" t="n">
        <x:v>0.7716332556000001</x:v>
      </x:c>
      <x:c r="M63" s="34" t="n">
        <x:v>0.08333333333333333</x:v>
      </x:c>
      <x:c r="N63" s="34" t="str">
        <x:v>no</x:v>
      </x:c>
    </x:row>
    <x:row r="64">
      <x:c r="A64" s="34" t="n">
        <x:v>6</x:v>
      </x:c>
      <x:c r="B64" s="34" t="str">
        <x:f>IF('01_INPUT_COMPANIES'!$A$12="","",'01_INPUT_COMPANIES'!$A$12)</x:f>
      </x:c>
      <x:c r="C64" s="34" t="str">
        <x:f>IF(B64="","",'01_INPUT_COMPANIES'!$B$12)</x:f>
      </x:c>
      <x:c r="D64" s="34" t="str">
        <x:v>cross_market_transfer_index</x:v>
      </x:c>
      <x:c r="E64" s="42" t="str">
        <x:f>IF(OR(B64="",COUNT('01_INPUT_COMPANIES'!$AA$12)=0),"",'01_INPUT_COMPANIES'!$AA$12)</x:f>
      </x:c>
      <x:c r="F64" s="42" t="n">
        <x:v>1</x:v>
      </x:c>
      <x:c r="G64" s="42" t="str">
        <x:f>IF(NOT(ISNUMBER(E64)),"",MAX(K64,MIN(L64,E64*F64)))</x:f>
      </x:c>
      <x:c r="H64" s="42" t="n">
        <x:v>4</x:v>
      </x:c>
      <x:c r="I64" s="42" t="str">
        <x:f>IF(COUNT(G64)=0,"",(COUNTIFS('93_REF_ANCHORS'!$A$7:$A$766,D64,'93_REF_ANCHORS'!$C$7:$C$766,"&lt;"&amp;G64)+COUNTIFS('93_REF_ANCHORS'!$A$7:$A$766,D64,'93_REF_ANCHORS'!$C$7:$C$766,"&lt;="&amp;G64)-1)/(2*(H64-1)))</x:f>
      </x:c>
      <x:c r="J64" s="34" t="str">
        <x:f>IF(B64="","",IF(COUNT(E64)=0,"MISSING",IF(NOT(ISNUMBER(E64)),"INVALID",IF(E64*F64&lt;K64,"WINSORIZED LOW",IF(E64*F64&gt;L64,"WINSORIZED HIGH","OK")))))</x:f>
      </x:c>
      <x:c r="K64" s="34" t="n">
        <x:v>0</x:v>
      </x:c>
      <x:c r="L64" s="34" t="n">
        <x:v>0.7587051325360435</x:v>
      </x:c>
      <x:c r="M64" s="34" t="n">
        <x:v>0.1111111111111111</x:v>
      </x:c>
      <x:c r="N64" s="34" t="str">
        <x:v>yes</x:v>
      </x:c>
    </x:row>
    <x:row r="65">
      <x:c r="A65" s="34" t="n">
        <x:v>6</x:v>
      </x:c>
      <x:c r="B65" s="34" t="str">
        <x:f>IF('01_INPUT_COMPANIES'!$A$12="","",'01_INPUT_COMPANIES'!$A$12)</x:f>
      </x:c>
      <x:c r="C65" s="34" t="str">
        <x:f>IF(B65="","",'01_INPUT_COMPANIES'!$B$12)</x:f>
      </x:c>
      <x:c r="D65" s="34" t="str">
        <x:v>foreign_dependency_ratio</x:v>
      </x:c>
      <x:c r="E65" s="42" t="str">
        <x:f>IF(OR(B65="",COUNT('01_INPUT_COMPANIES'!$AB$12)=0),"",'01_INPUT_COMPANIES'!$AB$12)</x:f>
      </x:c>
      <x:c r="F65" s="42" t="n">
        <x:v>1</x:v>
      </x:c>
      <x:c r="G65" s="42" t="str">
        <x:f>IF(NOT(ISNUMBER(E65)),"",MAX(K65,MIN(L65,E65*F65)))</x:f>
      </x:c>
      <x:c r="H65" s="42" t="n">
        <x:v>84</x:v>
      </x:c>
      <x:c r="I65" s="42" t="str">
        <x:f>IF(COUNT(G65)=0,"",(COUNTIFS('93_REF_ANCHORS'!$A$7:$A$766,D65,'93_REF_ANCHORS'!$C$7:$C$766,"&lt;"&amp;G65)+COUNTIFS('93_REF_ANCHORS'!$A$7:$A$766,D65,'93_REF_ANCHORS'!$C$7:$C$766,"&lt;="&amp;G65)-1)/(2*(H65-1)))</x:f>
      </x:c>
      <x:c r="J65" s="34" t="str">
        <x:f>IF(B65="","",IF(COUNT(E65)=0,"MISSING",IF(NOT(ISNUMBER(E65)),"INVALID",IF(E65*F65&lt;K65,"WINSORIZED LOW",IF(E65*F65&gt;L65,"WINSORIZED HIGH","OK")))))</x:f>
      </x:c>
      <x:c r="K65" s="34" t="n">
        <x:v>0.728196</x:v>
      </x:c>
      <x:c r="L65" s="34" t="n">
        <x:v>0.94</x:v>
      </x:c>
      <x:c r="M65" s="34" t="n">
        <x:v>0.1111111111111111</x:v>
      </x:c>
      <x:c r="N65" s="34" t="str">
        <x:v>yes</x:v>
      </x:c>
    </x:row>
    <x:row r="66">
      <x:c r="A66" s="34" t="n">
        <x:v>6</x:v>
      </x:c>
      <x:c r="B66" s="34" t="str">
        <x:f>IF('01_INPUT_COMPANIES'!$A$12="","",'01_INPUT_COMPANIES'!$A$12)</x:f>
      </x:c>
      <x:c r="C66" s="34" t="str">
        <x:f>IF(B66="","",'01_INPUT_COMPANIES'!$B$12)</x:f>
      </x:c>
      <x:c r="D66" s="34" t="str">
        <x:v>outflow_to_capex_ratio</x:v>
      </x:c>
      <x:c r="E66" s="42" t="str">
        <x:f>IF(OR(B66="",COUNT('01_INPUT_COMPANIES'!$AC$12)=0),"",'01_INPUT_COMPANIES'!$AC$12)</x:f>
      </x:c>
      <x:c r="F66" s="42" t="n">
        <x:v>1</x:v>
      </x:c>
      <x:c r="G66" s="42" t="str">
        <x:f>IF(NOT(ISNUMBER(E66)),"",MAX(K66,MIN(L66,E66*F66)))</x:f>
      </x:c>
      <x:c r="H66" s="42" t="n">
        <x:v>97</x:v>
      </x:c>
      <x:c r="I66" s="42" t="str">
        <x:f>IF(COUNT(G66)=0,"",(COUNTIFS('93_REF_ANCHORS'!$A$7:$A$766,D66,'93_REF_ANCHORS'!$C$7:$C$766,"&lt;"&amp;G66)+COUNTIFS('93_REF_ANCHORS'!$A$7:$A$766,D66,'93_REF_ANCHORS'!$C$7:$C$766,"&lt;="&amp;G66)-1)/(2*(H66-1)))</x:f>
      </x:c>
      <x:c r="J66" s="34" t="str">
        <x:f>IF(B66="","",IF(COUNT(E66)=0,"MISSING",IF(NOT(ISNUMBER(E66)),"INVALID",IF(E66*F66&lt;K66,"WINSORIZED LOW",IF(E66*F66&gt;L66,"WINSORIZED HIGH","OK")))))</x:f>
      </x:c>
      <x:c r="K66" s="34" t="n">
        <x:v>-123.5385890408</x:v>
      </x:c>
      <x:c r="L66" s="34" t="n">
        <x:v>974.1666666666999</x:v>
      </x:c>
      <x:c r="M66" s="34" t="n">
        <x:v>0.1111111111111111</x:v>
      </x:c>
      <x:c r="N66" s="34" t="str">
        <x:v>no</x:v>
      </x:c>
    </x:row>
    <x:row r="67">
      <x:c r="A67" s="34" t="n">
        <x:v>7</x:v>
      </x:c>
      <x:c r="B67" s="34" t="str">
        <x:f>IF('01_INPUT_COMPANIES'!$A$13="","",'01_INPUT_COMPANIES'!$A$13)</x:f>
      </x:c>
      <x:c r="C67" s="34" t="str">
        <x:f>IF(B67="","",'01_INPUT_COMPANIES'!$B$13)</x:f>
      </x:c>
      <x:c r="D67" s="34" t="str">
        <x:v>effective_tax_rate_gap</x:v>
      </x:c>
      <x:c r="E67" s="42" t="str">
        <x:f>IF(OR(B67="",COUNT('01_INPUT_COMPANIES'!$T$13)=0),"",'01_INPUT_COMPANIES'!$T$13)</x:f>
      </x:c>
      <x:c r="F67" s="42" t="n">
        <x:v>1</x:v>
      </x:c>
      <x:c r="G67" s="42" t="str">
        <x:f>IF(NOT(ISNUMBER(E67)),"",MAX(K67,MIN(L67,E67*F67)))</x:f>
      </x:c>
      <x:c r="H67" s="42" t="n">
        <x:v>74</x:v>
      </x:c>
      <x:c r="I67" s="42" t="str">
        <x:f>IF(COUNT(G67)=0,"",(COUNTIFS('93_REF_ANCHORS'!$A$7:$A$766,D67,'93_REF_ANCHORS'!$C$7:$C$766,"&lt;"&amp;G67)+COUNTIFS('93_REF_ANCHORS'!$A$7:$A$766,D67,'93_REF_ANCHORS'!$C$7:$C$766,"&lt;="&amp;G67)-1)/(2*(H67-1)))</x:f>
      </x:c>
      <x:c r="J67" s="34" t="str">
        <x:f>IF(B67="","",IF(COUNT(E67)=0,"MISSING",IF(NOT(ISNUMBER(E67)),"INVALID",IF(E67*F67&lt;K67,"WINSORIZED LOW",IF(E67*F67&gt;L67,"WINSORIZED HIGH","OK")))))</x:f>
      </x:c>
      <x:c r="K67" s="34" t="n">
        <x:v>-0.1416111014</x:v>
      </x:c>
      <x:c r="L67" s="34" t="n">
        <x:v>0.2683650488</x:v>
      </x:c>
      <x:c r="M67" s="34" t="n">
        <x:v>0.1111111111111111</x:v>
      </x:c>
      <x:c r="N67" s="34" t="str">
        <x:v>no</x:v>
      </x:c>
    </x:row>
    <x:row r="68">
      <x:c r="A68" s="34" t="n">
        <x:v>7</x:v>
      </x:c>
      <x:c r="B68" s="34" t="str">
        <x:f>IF('01_INPUT_COMPANIES'!$A$13="","",'01_INPUT_COMPANIES'!$A$13)</x:f>
      </x:c>
      <x:c r="C68" s="34" t="str">
        <x:f>IF(B68="","",'01_INPUT_COMPANIES'!$B$13)</x:f>
      </x:c>
      <x:c r="D68" s="34" t="str">
        <x:v>infra_dependency_ratio</x:v>
      </x:c>
      <x:c r="E68" s="42" t="str">
        <x:f>IF(OR(B68="",COUNT('01_INPUT_COMPANIES'!$U$13)=0),"",'01_INPUT_COMPANIES'!$U$13)</x:f>
      </x:c>
      <x:c r="F68" s="42" t="n">
        <x:v>1</x:v>
      </x:c>
      <x:c r="G68" s="42" t="str">
        <x:f>IF(NOT(ISNUMBER(E68)),"",MAX(K68,MIN(L68,E68*F68)))</x:f>
      </x:c>
      <x:c r="H68" s="42" t="n">
        <x:v>64</x:v>
      </x:c>
      <x:c r="I68" s="42" t="str">
        <x:f>IF(COUNT(G68)=0,"",(COUNTIFS('93_REF_ANCHORS'!$A$7:$A$766,D68,'93_REF_ANCHORS'!$C$7:$C$766,"&lt;"&amp;G68)+COUNTIFS('93_REF_ANCHORS'!$A$7:$A$766,D68,'93_REF_ANCHORS'!$C$7:$C$766,"&lt;="&amp;G68)-1)/(2*(H68-1)))</x:f>
      </x:c>
      <x:c r="J68" s="34" t="str">
        <x:f>IF(B68="","",IF(COUNT(E68)=0,"MISSING",IF(NOT(ISNUMBER(E68)),"INVALID",IF(E68*F68&lt;K68,"WINSORIZED LOW",IF(E68*F68&gt;L68,"WINSORIZED HIGH","OK")))))</x:f>
      </x:c>
      <x:c r="K68" s="34" t="n">
        <x:v>-0.10705024705171803</x:v>
      </x:c>
      <x:c r="L68" s="34" t="n">
        <x:v>0.8008753865408955</x:v>
      </x:c>
      <x:c r="M68" s="34" t="n">
        <x:v>0.1111111111111111</x:v>
      </x:c>
      <x:c r="N68" s="34" t="str">
        <x:v>no</x:v>
      </x:c>
    </x:row>
    <x:row r="69">
      <x:c r="A69" s="34" t="n">
        <x:v>7</x:v>
      </x:c>
      <x:c r="B69" s="34" t="str">
        <x:f>IF('01_INPUT_COMPANIES'!$A$13="","",'01_INPUT_COMPANIES'!$A$13)</x:f>
      </x:c>
      <x:c r="C69" s="34" t="str">
        <x:f>IF(B69="","",'01_INPUT_COMPANIES'!$B$13)</x:f>
      </x:c>
      <x:c r="D69" s="34" t="str">
        <x:v>network_cost_ratio</x:v>
      </x:c>
      <x:c r="E69" s="42" t="str">
        <x:f>IF(OR(B69="",COUNT('01_INPUT_COMPANIES'!$V$13)=0),"",'01_INPUT_COMPANIES'!$V$13)</x:f>
      </x:c>
      <x:c r="F69" s="42" t="n">
        <x:v>1</x:v>
      </x:c>
      <x:c r="G69" s="42" t="str">
        <x:f>IF(NOT(ISNUMBER(E69)),"",MAX(K69,MIN(L69,E69*F69)))</x:f>
      </x:c>
      <x:c r="H69" s="42" t="n">
        <x:v>97</x:v>
      </x:c>
      <x:c r="I69" s="42" t="str">
        <x:f>IF(COUNT(G69)=0,"",(COUNTIFS('93_REF_ANCHORS'!$A$7:$A$766,D69,'93_REF_ANCHORS'!$C$7:$C$766,"&lt;"&amp;G69)+COUNTIFS('93_REF_ANCHORS'!$A$7:$A$766,D69,'93_REF_ANCHORS'!$C$7:$C$766,"&lt;="&amp;G69)-1)/(2*(H69-1)))</x:f>
      </x:c>
      <x:c r="J69" s="34" t="str">
        <x:f>IF(B69="","",IF(COUNT(E69)=0,"MISSING",IF(NOT(ISNUMBER(E69)),"INVALID",IF(E69*F69&lt;K69,"WINSORIZED LOW",IF(E69*F69&gt;L69,"WINSORIZED HIGH","OK")))))</x:f>
      </x:c>
      <x:c r="K69" s="34" t="n">
        <x:v>-0.1395374353</x:v>
      </x:c>
      <x:c r="L69" s="34" t="n">
        <x:v>0.9274274845000001</x:v>
      </x:c>
      <x:c r="M69" s="34" t="n">
        <x:v>0.1111111111111111</x:v>
      </x:c>
      <x:c r="N69" s="34" t="str">
        <x:v>no</x:v>
      </x:c>
    </x:row>
    <x:row r="70">
      <x:c r="A70" s="34" t="n">
        <x:v>7</x:v>
      </x:c>
      <x:c r="B70" s="34" t="str">
        <x:f>IF('01_INPUT_COMPANIES'!$A$13="","",'01_INPUT_COMPANIES'!$A$13)</x:f>
      </x:c>
      <x:c r="C70" s="34" t="str">
        <x:f>IF(B70="","",'01_INPUT_COMPANIES'!$B$13)</x:f>
      </x:c>
      <x:c r="D70" s="34" t="str">
        <x:v>cashflow_recovery_ratio</x:v>
      </x:c>
      <x:c r="E70" s="42" t="str">
        <x:f>IF(OR(B70="",COUNT('01_INPUT_COMPANIES'!$W$13)=0),"",'01_INPUT_COMPANIES'!$W$13)</x:f>
      </x:c>
      <x:c r="F70" s="42" t="n">
        <x:v>-1</x:v>
      </x:c>
      <x:c r="G70" s="42" t="str">
        <x:f>IF(NOT(ISNUMBER(E70)),"",MAX(K70,MIN(L70,E70*F70)))</x:f>
      </x:c>
      <x:c r="H70" s="42" t="n">
        <x:v>95</x:v>
      </x:c>
      <x:c r="I70" s="42" t="str">
        <x:f>IF(COUNT(G70)=0,"",(COUNTIFS('93_REF_ANCHORS'!$A$7:$A$766,D70,'93_REF_ANCHORS'!$C$7:$C$766,"&lt;"&amp;G70)+COUNTIFS('93_REF_ANCHORS'!$A$7:$A$766,D70,'93_REF_ANCHORS'!$C$7:$C$766,"&lt;="&amp;G70)-1)/(2*(H70-1)))</x:f>
      </x:c>
      <x:c r="J70" s="34" t="str">
        <x:f>IF(B70="","",IF(COUNT(E70)=0,"MISSING",IF(NOT(ISNUMBER(E70)),"INVALID",IF(E70*F70&lt;K70,"WINSORIZED LOW",IF(E70*F70&gt;L70,"WINSORIZED HIGH","OK")))))</x:f>
      </x:c>
      <x:c r="K70" s="34" t="n">
        <x:v>-300.75</x:v>
      </x:c>
      <x:c r="L70" s="34" t="n">
        <x:v>42.6920305469</x:v>
      </x:c>
      <x:c r="M70" s="34" t="n">
        <x:v>0.08333333333333333</x:v>
      </x:c>
      <x:c r="N70" s="34" t="str">
        <x:v>no</x:v>
      </x:c>
    </x:row>
    <x:row r="71">
      <x:c r="A71" s="34" t="n">
        <x:v>7</x:v>
      </x:c>
      <x:c r="B71" s="34" t="str">
        <x:f>IF('01_INPUT_COMPANIES'!$A$13="","",'01_INPUT_COMPANIES'!$A$13)</x:f>
      </x:c>
      <x:c r="C71" s="34" t="str">
        <x:f>IF(B71="","",'01_INPUT_COMPANIES'!$B$13)</x:f>
      </x:c>
      <x:c r="D71" s="34" t="str">
        <x:v>funding_cost_spread</x:v>
      </x:c>
      <x:c r="E71" s="42" t="str">
        <x:f>IF(OR(B71="",COUNT('01_INPUT_COMPANIES'!$X$13)=0),"",'01_INPUT_COMPANIES'!$X$13)</x:f>
      </x:c>
      <x:c r="F71" s="42" t="n">
        <x:v>1</x:v>
      </x:c>
      <x:c r="G71" s="42" t="str">
        <x:f>IF(NOT(ISNUMBER(E71)),"",MAX(K71,MIN(L71,E71*F71)))</x:f>
      </x:c>
      <x:c r="H71" s="42" t="n">
        <x:v>58</x:v>
      </x:c>
      <x:c r="I71" s="42" t="str">
        <x:f>IF(COUNT(G71)=0,"",(COUNTIFS('93_REF_ANCHORS'!$A$7:$A$766,D71,'93_REF_ANCHORS'!$C$7:$C$766,"&lt;"&amp;G71)+COUNTIFS('93_REF_ANCHORS'!$A$7:$A$766,D71,'93_REF_ANCHORS'!$C$7:$C$766,"&lt;="&amp;G71)-1)/(2*(H71-1)))</x:f>
      </x:c>
      <x:c r="J71" s="34" t="str">
        <x:f>IF(B71="","",IF(COUNT(E71)=0,"MISSING",IF(NOT(ISNUMBER(E71)),"INVALID",IF(E71*F71&lt;K71,"WINSORIZED LOW",IF(E71*F71&gt;L71,"WINSORIZED HIGH","OK")))))</x:f>
      </x:c>
      <x:c r="K71" s="34" t="n">
        <x:v>-0.4430292903</x:v>
      </x:c>
      <x:c r="L71" s="34" t="n">
        <x:v>0.5068913103</x:v>
      </x:c>
      <x:c r="M71" s="34" t="n">
        <x:v>0.08333333333333333</x:v>
      </x:c>
      <x:c r="N71" s="34" t="str">
        <x:v>no</x:v>
      </x:c>
    </x:row>
    <x:row r="72">
      <x:c r="A72" s="34" t="n">
        <x:v>7</x:v>
      </x:c>
      <x:c r="B72" s="34" t="str">
        <x:f>IF('01_INPUT_COMPANIES'!$A$13="","",'01_INPUT_COMPANIES'!$A$13)</x:f>
      </x:c>
      <x:c r="C72" s="34" t="str">
        <x:f>IF(B72="","",'01_INPUT_COMPANIES'!$B$13)</x:f>
      </x:c>
      <x:c r="D72" s="34" t="str">
        <x:v>investment_recovery_ratio</x:v>
      </x:c>
      <x:c r="E72" s="42" t="str">
        <x:f>IF(OR(B72="",COUNT('01_INPUT_COMPANIES'!$Y$13)=0),"",'01_INPUT_COMPANIES'!$Y$13)</x:f>
      </x:c>
      <x:c r="F72" s="42" t="n">
        <x:v>-1</x:v>
      </x:c>
      <x:c r="G72" s="42" t="str">
        <x:f>IF(NOT(ISNUMBER(E72)),"",MAX(K72,MIN(L72,E72*F72)))</x:f>
      </x:c>
      <x:c r="H72" s="42" t="n">
        <x:v>95</x:v>
      </x:c>
      <x:c r="I72" s="42" t="str">
        <x:f>IF(COUNT(G72)=0,"",(COUNTIFS('93_REF_ANCHORS'!$A$7:$A$766,D72,'93_REF_ANCHORS'!$C$7:$C$766,"&lt;"&amp;G72)+COUNTIFS('93_REF_ANCHORS'!$A$7:$A$766,D72,'93_REF_ANCHORS'!$C$7:$C$766,"&lt;="&amp;G72)-1)/(2*(H72-1)))</x:f>
      </x:c>
      <x:c r="J72" s="34" t="str">
        <x:f>IF(B72="","",IF(COUNT(E72)=0,"MISSING",IF(NOT(ISNUMBER(E72)),"INVALID",IF(E72*F72&lt;K72,"WINSORIZED LOW",IF(E72*F72&gt;L72,"WINSORIZED HIGH","OK")))))</x:f>
      </x:c>
      <x:c r="K72" s="34" t="n">
        <x:v>-3163.7500000000014</x:v>
      </x:c>
      <x:c r="L72" s="34" t="n">
        <x:v>189.68191301719997</x:v>
      </x:c>
      <x:c r="M72" s="34" t="n">
        <x:v>0.08333333333333333</x:v>
      </x:c>
      <x:c r="N72" s="34" t="str">
        <x:v>no</x:v>
      </x:c>
    </x:row>
    <x:row r="73">
      <x:c r="A73" s="34" t="n">
        <x:v>7</x:v>
      </x:c>
      <x:c r="B73" s="34" t="str">
        <x:f>IF('01_INPUT_COMPANIES'!$A$13="","",'01_INPUT_COMPANIES'!$A$13)</x:f>
      </x:c>
      <x:c r="C73" s="34" t="str">
        <x:f>IF(B73="","",'01_INPUT_COMPANIES'!$B$13)</x:f>
      </x:c>
      <x:c r="D73" s="34" t="str">
        <x:v>ip_assetization_gap</x:v>
      </x:c>
      <x:c r="E73" s="42" t="str">
        <x:f>IF(OR(B73="",COUNT('01_INPUT_COMPANIES'!$Z$13)=0),"",'01_INPUT_COMPANIES'!$Z$13)</x:f>
      </x:c>
      <x:c r="F73" s="42" t="n">
        <x:v>1</x:v>
      </x:c>
      <x:c r="G73" s="42" t="str">
        <x:f>IF(NOT(ISNUMBER(E73)),"",MAX(K73,MIN(L73,E73*F73)))</x:f>
      </x:c>
      <x:c r="H73" s="42" t="n">
        <x:v>92</x:v>
      </x:c>
      <x:c r="I73" s="42" t="str">
        <x:f>IF(COUNT(G73)=0,"",(COUNTIFS('93_REF_ANCHORS'!$A$7:$A$766,D73,'93_REF_ANCHORS'!$C$7:$C$766,"&lt;"&amp;G73)+COUNTIFS('93_REF_ANCHORS'!$A$7:$A$766,D73,'93_REF_ANCHORS'!$C$7:$C$766,"&lt;="&amp;G73)-1)/(2*(H73-1)))</x:f>
      </x:c>
      <x:c r="J73" s="34" t="str">
        <x:f>IF(B73="","",IF(COUNT(E73)=0,"MISSING",IF(NOT(ISNUMBER(E73)),"INVALID",IF(E73*F73&lt;K73,"WINSORIZED LOW",IF(E73*F73&gt;L73,"WINSORIZED HIGH","OK")))))</x:f>
      </x:c>
      <x:c r="K73" s="34" t="n">
        <x:v>-1.6707152386</x:v>
      </x:c>
      <x:c r="L73" s="34" t="n">
        <x:v>0.7716332556000001</x:v>
      </x:c>
      <x:c r="M73" s="34" t="n">
        <x:v>0.08333333333333333</x:v>
      </x:c>
      <x:c r="N73" s="34" t="str">
        <x:v>no</x:v>
      </x:c>
    </x:row>
    <x:row r="74">
      <x:c r="A74" s="34" t="n">
        <x:v>7</x:v>
      </x:c>
      <x:c r="B74" s="34" t="str">
        <x:f>IF('01_INPUT_COMPANIES'!$A$13="","",'01_INPUT_COMPANIES'!$A$13)</x:f>
      </x:c>
      <x:c r="C74" s="34" t="str">
        <x:f>IF(B74="","",'01_INPUT_COMPANIES'!$B$13)</x:f>
      </x:c>
      <x:c r="D74" s="34" t="str">
        <x:v>cross_market_transfer_index</x:v>
      </x:c>
      <x:c r="E74" s="42" t="str">
        <x:f>IF(OR(B74="",COUNT('01_INPUT_COMPANIES'!$AA$13)=0),"",'01_INPUT_COMPANIES'!$AA$13)</x:f>
      </x:c>
      <x:c r="F74" s="42" t="n">
        <x:v>1</x:v>
      </x:c>
      <x:c r="G74" s="42" t="str">
        <x:f>IF(NOT(ISNUMBER(E74)),"",MAX(K74,MIN(L74,E74*F74)))</x:f>
      </x:c>
      <x:c r="H74" s="42" t="n">
        <x:v>4</x:v>
      </x:c>
      <x:c r="I74" s="42" t="str">
        <x:f>IF(COUNT(G74)=0,"",(COUNTIFS('93_REF_ANCHORS'!$A$7:$A$766,D74,'93_REF_ANCHORS'!$C$7:$C$766,"&lt;"&amp;G74)+COUNTIFS('93_REF_ANCHORS'!$A$7:$A$766,D74,'93_REF_ANCHORS'!$C$7:$C$766,"&lt;="&amp;G74)-1)/(2*(H74-1)))</x:f>
      </x:c>
      <x:c r="J74" s="34" t="str">
        <x:f>IF(B74="","",IF(COUNT(E74)=0,"MISSING",IF(NOT(ISNUMBER(E74)),"INVALID",IF(E74*F74&lt;K74,"WINSORIZED LOW",IF(E74*F74&gt;L74,"WINSORIZED HIGH","OK")))))</x:f>
      </x:c>
      <x:c r="K74" s="34" t="n">
        <x:v>0</x:v>
      </x:c>
      <x:c r="L74" s="34" t="n">
        <x:v>0.7587051325360435</x:v>
      </x:c>
      <x:c r="M74" s="34" t="n">
        <x:v>0.1111111111111111</x:v>
      </x:c>
      <x:c r="N74" s="34" t="str">
        <x:v>yes</x:v>
      </x:c>
    </x:row>
    <x:row r="75">
      <x:c r="A75" s="34" t="n">
        <x:v>7</x:v>
      </x:c>
      <x:c r="B75" s="34" t="str">
        <x:f>IF('01_INPUT_COMPANIES'!$A$13="","",'01_INPUT_COMPANIES'!$A$13)</x:f>
      </x:c>
      <x:c r="C75" s="34" t="str">
        <x:f>IF(B75="","",'01_INPUT_COMPANIES'!$B$13)</x:f>
      </x:c>
      <x:c r="D75" s="34" t="str">
        <x:v>foreign_dependency_ratio</x:v>
      </x:c>
      <x:c r="E75" s="42" t="str">
        <x:f>IF(OR(B75="",COUNT('01_INPUT_COMPANIES'!$AB$13)=0),"",'01_INPUT_COMPANIES'!$AB$13)</x:f>
      </x:c>
      <x:c r="F75" s="42" t="n">
        <x:v>1</x:v>
      </x:c>
      <x:c r="G75" s="42" t="str">
        <x:f>IF(NOT(ISNUMBER(E75)),"",MAX(K75,MIN(L75,E75*F75)))</x:f>
      </x:c>
      <x:c r="H75" s="42" t="n">
        <x:v>84</x:v>
      </x:c>
      <x:c r="I75" s="42" t="str">
        <x:f>IF(COUNT(G75)=0,"",(COUNTIFS('93_REF_ANCHORS'!$A$7:$A$766,D75,'93_REF_ANCHORS'!$C$7:$C$766,"&lt;"&amp;G75)+COUNTIFS('93_REF_ANCHORS'!$A$7:$A$766,D75,'93_REF_ANCHORS'!$C$7:$C$766,"&lt;="&amp;G75)-1)/(2*(H75-1)))</x:f>
      </x:c>
      <x:c r="J75" s="34" t="str">
        <x:f>IF(B75="","",IF(COUNT(E75)=0,"MISSING",IF(NOT(ISNUMBER(E75)),"INVALID",IF(E75*F75&lt;K75,"WINSORIZED LOW",IF(E75*F75&gt;L75,"WINSORIZED HIGH","OK")))))</x:f>
      </x:c>
      <x:c r="K75" s="34" t="n">
        <x:v>0.728196</x:v>
      </x:c>
      <x:c r="L75" s="34" t="n">
        <x:v>0.94</x:v>
      </x:c>
      <x:c r="M75" s="34" t="n">
        <x:v>0.1111111111111111</x:v>
      </x:c>
      <x:c r="N75" s="34" t="str">
        <x:v>yes</x:v>
      </x:c>
    </x:row>
    <x:row r="76">
      <x:c r="A76" s="34" t="n">
        <x:v>7</x:v>
      </x:c>
      <x:c r="B76" s="34" t="str">
        <x:f>IF('01_INPUT_COMPANIES'!$A$13="","",'01_INPUT_COMPANIES'!$A$13)</x:f>
      </x:c>
      <x:c r="C76" s="34" t="str">
        <x:f>IF(B76="","",'01_INPUT_COMPANIES'!$B$13)</x:f>
      </x:c>
      <x:c r="D76" s="34" t="str">
        <x:v>outflow_to_capex_ratio</x:v>
      </x:c>
      <x:c r="E76" s="42" t="str">
        <x:f>IF(OR(B76="",COUNT('01_INPUT_COMPANIES'!$AC$13)=0),"",'01_INPUT_COMPANIES'!$AC$13)</x:f>
      </x:c>
      <x:c r="F76" s="42" t="n">
        <x:v>1</x:v>
      </x:c>
      <x:c r="G76" s="42" t="str">
        <x:f>IF(NOT(ISNUMBER(E76)),"",MAX(K76,MIN(L76,E76*F76)))</x:f>
      </x:c>
      <x:c r="H76" s="42" t="n">
        <x:v>97</x:v>
      </x:c>
      <x:c r="I76" s="42" t="str">
        <x:f>IF(COUNT(G76)=0,"",(COUNTIFS('93_REF_ANCHORS'!$A$7:$A$766,D76,'93_REF_ANCHORS'!$C$7:$C$766,"&lt;"&amp;G76)+COUNTIFS('93_REF_ANCHORS'!$A$7:$A$766,D76,'93_REF_ANCHORS'!$C$7:$C$766,"&lt;="&amp;G76)-1)/(2*(H76-1)))</x:f>
      </x:c>
      <x:c r="J76" s="34" t="str">
        <x:f>IF(B76="","",IF(COUNT(E76)=0,"MISSING",IF(NOT(ISNUMBER(E76)),"INVALID",IF(E76*F76&lt;K76,"WINSORIZED LOW",IF(E76*F76&gt;L76,"WINSORIZED HIGH","OK")))))</x:f>
      </x:c>
      <x:c r="K76" s="34" t="n">
        <x:v>-123.5385890408</x:v>
      </x:c>
      <x:c r="L76" s="34" t="n">
        <x:v>974.1666666666999</x:v>
      </x:c>
      <x:c r="M76" s="34" t="n">
        <x:v>0.1111111111111111</x:v>
      </x:c>
      <x:c r="N76" s="34" t="str">
        <x:v>no</x:v>
      </x:c>
    </x:row>
    <x:row r="77">
      <x:c r="A77" s="34" t="n">
        <x:v>8</x:v>
      </x:c>
      <x:c r="B77" s="34" t="str">
        <x:f>IF('01_INPUT_COMPANIES'!$A$14="","",'01_INPUT_COMPANIES'!$A$14)</x:f>
      </x:c>
      <x:c r="C77" s="34" t="str">
        <x:f>IF(B77="","",'01_INPUT_COMPANIES'!$B$14)</x:f>
      </x:c>
      <x:c r="D77" s="34" t="str">
        <x:v>effective_tax_rate_gap</x:v>
      </x:c>
      <x:c r="E77" s="42" t="str">
        <x:f>IF(OR(B77="",COUNT('01_INPUT_COMPANIES'!$T$14)=0),"",'01_INPUT_COMPANIES'!$T$14)</x:f>
      </x:c>
      <x:c r="F77" s="42" t="n">
        <x:v>1</x:v>
      </x:c>
      <x:c r="G77" s="42" t="str">
        <x:f>IF(NOT(ISNUMBER(E77)),"",MAX(K77,MIN(L77,E77*F77)))</x:f>
      </x:c>
      <x:c r="H77" s="42" t="n">
        <x:v>74</x:v>
      </x:c>
      <x:c r="I77" s="42" t="str">
        <x:f>IF(COUNT(G77)=0,"",(COUNTIFS('93_REF_ANCHORS'!$A$7:$A$766,D77,'93_REF_ANCHORS'!$C$7:$C$766,"&lt;"&amp;G77)+COUNTIFS('93_REF_ANCHORS'!$A$7:$A$766,D77,'93_REF_ANCHORS'!$C$7:$C$766,"&lt;="&amp;G77)-1)/(2*(H77-1)))</x:f>
      </x:c>
      <x:c r="J77" s="34" t="str">
        <x:f>IF(B77="","",IF(COUNT(E77)=0,"MISSING",IF(NOT(ISNUMBER(E77)),"INVALID",IF(E77*F77&lt;K77,"WINSORIZED LOW",IF(E77*F77&gt;L77,"WINSORIZED HIGH","OK")))))</x:f>
      </x:c>
      <x:c r="K77" s="34" t="n">
        <x:v>-0.1416111014</x:v>
      </x:c>
      <x:c r="L77" s="34" t="n">
        <x:v>0.2683650488</x:v>
      </x:c>
      <x:c r="M77" s="34" t="n">
        <x:v>0.1111111111111111</x:v>
      </x:c>
      <x:c r="N77" s="34" t="str">
        <x:v>no</x:v>
      </x:c>
    </x:row>
    <x:row r="78">
      <x:c r="A78" s="34" t="n">
        <x:v>8</x:v>
      </x:c>
      <x:c r="B78" s="34" t="str">
        <x:f>IF('01_INPUT_COMPANIES'!$A$14="","",'01_INPUT_COMPANIES'!$A$14)</x:f>
      </x:c>
      <x:c r="C78" s="34" t="str">
        <x:f>IF(B78="","",'01_INPUT_COMPANIES'!$B$14)</x:f>
      </x:c>
      <x:c r="D78" s="34" t="str">
        <x:v>infra_dependency_ratio</x:v>
      </x:c>
      <x:c r="E78" s="42" t="str">
        <x:f>IF(OR(B78="",COUNT('01_INPUT_COMPANIES'!$U$14)=0),"",'01_INPUT_COMPANIES'!$U$14)</x:f>
      </x:c>
      <x:c r="F78" s="42" t="n">
        <x:v>1</x:v>
      </x:c>
      <x:c r="G78" s="42" t="str">
        <x:f>IF(NOT(ISNUMBER(E78)),"",MAX(K78,MIN(L78,E78*F78)))</x:f>
      </x:c>
      <x:c r="H78" s="42" t="n">
        <x:v>64</x:v>
      </x:c>
      <x:c r="I78" s="42" t="str">
        <x:f>IF(COUNT(G78)=0,"",(COUNTIFS('93_REF_ANCHORS'!$A$7:$A$766,D78,'93_REF_ANCHORS'!$C$7:$C$766,"&lt;"&amp;G78)+COUNTIFS('93_REF_ANCHORS'!$A$7:$A$766,D78,'93_REF_ANCHORS'!$C$7:$C$766,"&lt;="&amp;G78)-1)/(2*(H78-1)))</x:f>
      </x:c>
      <x:c r="J78" s="34" t="str">
        <x:f>IF(B78="","",IF(COUNT(E78)=0,"MISSING",IF(NOT(ISNUMBER(E78)),"INVALID",IF(E78*F78&lt;K78,"WINSORIZED LOW",IF(E78*F78&gt;L78,"WINSORIZED HIGH","OK")))))</x:f>
      </x:c>
      <x:c r="K78" s="34" t="n">
        <x:v>-0.10705024705171803</x:v>
      </x:c>
      <x:c r="L78" s="34" t="n">
        <x:v>0.8008753865408955</x:v>
      </x:c>
      <x:c r="M78" s="34" t="n">
        <x:v>0.1111111111111111</x:v>
      </x:c>
      <x:c r="N78" s="34" t="str">
        <x:v>no</x:v>
      </x:c>
    </x:row>
    <x:row r="79">
      <x:c r="A79" s="34" t="n">
        <x:v>8</x:v>
      </x:c>
      <x:c r="B79" s="34" t="str">
        <x:f>IF('01_INPUT_COMPANIES'!$A$14="","",'01_INPUT_COMPANIES'!$A$14)</x:f>
      </x:c>
      <x:c r="C79" s="34" t="str">
        <x:f>IF(B79="","",'01_INPUT_COMPANIES'!$B$14)</x:f>
      </x:c>
      <x:c r="D79" s="34" t="str">
        <x:v>network_cost_ratio</x:v>
      </x:c>
      <x:c r="E79" s="42" t="str">
        <x:f>IF(OR(B79="",COUNT('01_INPUT_COMPANIES'!$V$14)=0),"",'01_INPUT_COMPANIES'!$V$14)</x:f>
      </x:c>
      <x:c r="F79" s="42" t="n">
        <x:v>1</x:v>
      </x:c>
      <x:c r="G79" s="42" t="str">
        <x:f>IF(NOT(ISNUMBER(E79)),"",MAX(K79,MIN(L79,E79*F79)))</x:f>
      </x:c>
      <x:c r="H79" s="42" t="n">
        <x:v>97</x:v>
      </x:c>
      <x:c r="I79" s="42" t="str">
        <x:f>IF(COUNT(G79)=0,"",(COUNTIFS('93_REF_ANCHORS'!$A$7:$A$766,D79,'93_REF_ANCHORS'!$C$7:$C$766,"&lt;"&amp;G79)+COUNTIFS('93_REF_ANCHORS'!$A$7:$A$766,D79,'93_REF_ANCHORS'!$C$7:$C$766,"&lt;="&amp;G79)-1)/(2*(H79-1)))</x:f>
      </x:c>
      <x:c r="J79" s="34" t="str">
        <x:f>IF(B79="","",IF(COUNT(E79)=0,"MISSING",IF(NOT(ISNUMBER(E79)),"INVALID",IF(E79*F79&lt;K79,"WINSORIZED LOW",IF(E79*F79&gt;L79,"WINSORIZED HIGH","OK")))))</x:f>
      </x:c>
      <x:c r="K79" s="34" t="n">
        <x:v>-0.1395374353</x:v>
      </x:c>
      <x:c r="L79" s="34" t="n">
        <x:v>0.9274274845000001</x:v>
      </x:c>
      <x:c r="M79" s="34" t="n">
        <x:v>0.1111111111111111</x:v>
      </x:c>
      <x:c r="N79" s="34" t="str">
        <x:v>no</x:v>
      </x:c>
    </x:row>
    <x:row r="80">
      <x:c r="A80" s="34" t="n">
        <x:v>8</x:v>
      </x:c>
      <x:c r="B80" s="34" t="str">
        <x:f>IF('01_INPUT_COMPANIES'!$A$14="","",'01_INPUT_COMPANIES'!$A$14)</x:f>
      </x:c>
      <x:c r="C80" s="34" t="str">
        <x:f>IF(B80="","",'01_INPUT_COMPANIES'!$B$14)</x:f>
      </x:c>
      <x:c r="D80" s="34" t="str">
        <x:v>cashflow_recovery_ratio</x:v>
      </x:c>
      <x:c r="E80" s="42" t="str">
        <x:f>IF(OR(B80="",COUNT('01_INPUT_COMPANIES'!$W$14)=0),"",'01_INPUT_COMPANIES'!$W$14)</x:f>
      </x:c>
      <x:c r="F80" s="42" t="n">
        <x:v>-1</x:v>
      </x:c>
      <x:c r="G80" s="42" t="str">
        <x:f>IF(NOT(ISNUMBER(E80)),"",MAX(K80,MIN(L80,E80*F80)))</x:f>
      </x:c>
      <x:c r="H80" s="42" t="n">
        <x:v>95</x:v>
      </x:c>
      <x:c r="I80" s="42" t="str">
        <x:f>IF(COUNT(G80)=0,"",(COUNTIFS('93_REF_ANCHORS'!$A$7:$A$766,D80,'93_REF_ANCHORS'!$C$7:$C$766,"&lt;"&amp;G80)+COUNTIFS('93_REF_ANCHORS'!$A$7:$A$766,D80,'93_REF_ANCHORS'!$C$7:$C$766,"&lt;="&amp;G80)-1)/(2*(H80-1)))</x:f>
      </x:c>
      <x:c r="J80" s="34" t="str">
        <x:f>IF(B80="","",IF(COUNT(E80)=0,"MISSING",IF(NOT(ISNUMBER(E80)),"INVALID",IF(E80*F80&lt;K80,"WINSORIZED LOW",IF(E80*F80&gt;L80,"WINSORIZED HIGH","OK")))))</x:f>
      </x:c>
      <x:c r="K80" s="34" t="n">
        <x:v>-300.75</x:v>
      </x:c>
      <x:c r="L80" s="34" t="n">
        <x:v>42.6920305469</x:v>
      </x:c>
      <x:c r="M80" s="34" t="n">
        <x:v>0.08333333333333333</x:v>
      </x:c>
      <x:c r="N80" s="34" t="str">
        <x:v>no</x:v>
      </x:c>
    </x:row>
    <x:row r="81">
      <x:c r="A81" s="34" t="n">
        <x:v>8</x:v>
      </x:c>
      <x:c r="B81" s="34" t="str">
        <x:f>IF('01_INPUT_COMPANIES'!$A$14="","",'01_INPUT_COMPANIES'!$A$14)</x:f>
      </x:c>
      <x:c r="C81" s="34" t="str">
        <x:f>IF(B81="","",'01_INPUT_COMPANIES'!$B$14)</x:f>
      </x:c>
      <x:c r="D81" s="34" t="str">
        <x:v>funding_cost_spread</x:v>
      </x:c>
      <x:c r="E81" s="42" t="str">
        <x:f>IF(OR(B81="",COUNT('01_INPUT_COMPANIES'!$X$14)=0),"",'01_INPUT_COMPANIES'!$X$14)</x:f>
      </x:c>
      <x:c r="F81" s="42" t="n">
        <x:v>1</x:v>
      </x:c>
      <x:c r="G81" s="42" t="str">
        <x:f>IF(NOT(ISNUMBER(E81)),"",MAX(K81,MIN(L81,E81*F81)))</x:f>
      </x:c>
      <x:c r="H81" s="42" t="n">
        <x:v>58</x:v>
      </x:c>
      <x:c r="I81" s="42" t="str">
        <x:f>IF(COUNT(G81)=0,"",(COUNTIFS('93_REF_ANCHORS'!$A$7:$A$766,D81,'93_REF_ANCHORS'!$C$7:$C$766,"&lt;"&amp;G81)+COUNTIFS('93_REF_ANCHORS'!$A$7:$A$766,D81,'93_REF_ANCHORS'!$C$7:$C$766,"&lt;="&amp;G81)-1)/(2*(H81-1)))</x:f>
      </x:c>
      <x:c r="J81" s="34" t="str">
        <x:f>IF(B81="","",IF(COUNT(E81)=0,"MISSING",IF(NOT(ISNUMBER(E81)),"INVALID",IF(E81*F81&lt;K81,"WINSORIZED LOW",IF(E81*F81&gt;L81,"WINSORIZED HIGH","OK")))))</x:f>
      </x:c>
      <x:c r="K81" s="34" t="n">
        <x:v>-0.4430292903</x:v>
      </x:c>
      <x:c r="L81" s="34" t="n">
        <x:v>0.5068913103</x:v>
      </x:c>
      <x:c r="M81" s="34" t="n">
        <x:v>0.08333333333333333</x:v>
      </x:c>
      <x:c r="N81" s="34" t="str">
        <x:v>no</x:v>
      </x:c>
    </x:row>
    <x:row r="82">
      <x:c r="A82" s="34" t="n">
        <x:v>8</x:v>
      </x:c>
      <x:c r="B82" s="34" t="str">
        <x:f>IF('01_INPUT_COMPANIES'!$A$14="","",'01_INPUT_COMPANIES'!$A$14)</x:f>
      </x:c>
      <x:c r="C82" s="34" t="str">
        <x:f>IF(B82="","",'01_INPUT_COMPANIES'!$B$14)</x:f>
      </x:c>
      <x:c r="D82" s="34" t="str">
        <x:v>investment_recovery_ratio</x:v>
      </x:c>
      <x:c r="E82" s="42" t="str">
        <x:f>IF(OR(B82="",COUNT('01_INPUT_COMPANIES'!$Y$14)=0),"",'01_INPUT_COMPANIES'!$Y$14)</x:f>
      </x:c>
      <x:c r="F82" s="42" t="n">
        <x:v>-1</x:v>
      </x:c>
      <x:c r="G82" s="42" t="str">
        <x:f>IF(NOT(ISNUMBER(E82)),"",MAX(K82,MIN(L82,E82*F82)))</x:f>
      </x:c>
      <x:c r="H82" s="42" t="n">
        <x:v>95</x:v>
      </x:c>
      <x:c r="I82" s="42" t="str">
        <x:f>IF(COUNT(G82)=0,"",(COUNTIFS('93_REF_ANCHORS'!$A$7:$A$766,D82,'93_REF_ANCHORS'!$C$7:$C$766,"&lt;"&amp;G82)+COUNTIFS('93_REF_ANCHORS'!$A$7:$A$766,D82,'93_REF_ANCHORS'!$C$7:$C$766,"&lt;="&amp;G82)-1)/(2*(H82-1)))</x:f>
      </x:c>
      <x:c r="J82" s="34" t="str">
        <x:f>IF(B82="","",IF(COUNT(E82)=0,"MISSING",IF(NOT(ISNUMBER(E82)),"INVALID",IF(E82*F82&lt;K82,"WINSORIZED LOW",IF(E82*F82&gt;L82,"WINSORIZED HIGH","OK")))))</x:f>
      </x:c>
      <x:c r="K82" s="34" t="n">
        <x:v>-3163.7500000000014</x:v>
      </x:c>
      <x:c r="L82" s="34" t="n">
        <x:v>189.68191301719997</x:v>
      </x:c>
      <x:c r="M82" s="34" t="n">
        <x:v>0.08333333333333333</x:v>
      </x:c>
      <x:c r="N82" s="34" t="str">
        <x:v>no</x:v>
      </x:c>
    </x:row>
    <x:row r="83">
      <x:c r="A83" s="34" t="n">
        <x:v>8</x:v>
      </x:c>
      <x:c r="B83" s="34" t="str">
        <x:f>IF('01_INPUT_COMPANIES'!$A$14="","",'01_INPUT_COMPANIES'!$A$14)</x:f>
      </x:c>
      <x:c r="C83" s="34" t="str">
        <x:f>IF(B83="","",'01_INPUT_COMPANIES'!$B$14)</x:f>
      </x:c>
      <x:c r="D83" s="34" t="str">
        <x:v>ip_assetization_gap</x:v>
      </x:c>
      <x:c r="E83" s="42" t="str">
        <x:f>IF(OR(B83="",COUNT('01_INPUT_COMPANIES'!$Z$14)=0),"",'01_INPUT_COMPANIES'!$Z$14)</x:f>
      </x:c>
      <x:c r="F83" s="42" t="n">
        <x:v>1</x:v>
      </x:c>
      <x:c r="G83" s="42" t="str">
        <x:f>IF(NOT(ISNUMBER(E83)),"",MAX(K83,MIN(L83,E83*F83)))</x:f>
      </x:c>
      <x:c r="H83" s="42" t="n">
        <x:v>92</x:v>
      </x:c>
      <x:c r="I83" s="42" t="str">
        <x:f>IF(COUNT(G83)=0,"",(COUNTIFS('93_REF_ANCHORS'!$A$7:$A$766,D83,'93_REF_ANCHORS'!$C$7:$C$766,"&lt;"&amp;G83)+COUNTIFS('93_REF_ANCHORS'!$A$7:$A$766,D83,'93_REF_ANCHORS'!$C$7:$C$766,"&lt;="&amp;G83)-1)/(2*(H83-1)))</x:f>
      </x:c>
      <x:c r="J83" s="34" t="str">
        <x:f>IF(B83="","",IF(COUNT(E83)=0,"MISSING",IF(NOT(ISNUMBER(E83)),"INVALID",IF(E83*F83&lt;K83,"WINSORIZED LOW",IF(E83*F83&gt;L83,"WINSORIZED HIGH","OK")))))</x:f>
      </x:c>
      <x:c r="K83" s="34" t="n">
        <x:v>-1.6707152386</x:v>
      </x:c>
      <x:c r="L83" s="34" t="n">
        <x:v>0.7716332556000001</x:v>
      </x:c>
      <x:c r="M83" s="34" t="n">
        <x:v>0.08333333333333333</x:v>
      </x:c>
      <x:c r="N83" s="34" t="str">
        <x:v>no</x:v>
      </x:c>
    </x:row>
    <x:row r="84">
      <x:c r="A84" s="34" t="n">
        <x:v>8</x:v>
      </x:c>
      <x:c r="B84" s="34" t="str">
        <x:f>IF('01_INPUT_COMPANIES'!$A$14="","",'01_INPUT_COMPANIES'!$A$14)</x:f>
      </x:c>
      <x:c r="C84" s="34" t="str">
        <x:f>IF(B84="","",'01_INPUT_COMPANIES'!$B$14)</x:f>
      </x:c>
      <x:c r="D84" s="34" t="str">
        <x:v>cross_market_transfer_index</x:v>
      </x:c>
      <x:c r="E84" s="42" t="str">
        <x:f>IF(OR(B84="",COUNT('01_INPUT_COMPANIES'!$AA$14)=0),"",'01_INPUT_COMPANIES'!$AA$14)</x:f>
      </x:c>
      <x:c r="F84" s="42" t="n">
        <x:v>1</x:v>
      </x:c>
      <x:c r="G84" s="42" t="str">
        <x:f>IF(NOT(ISNUMBER(E84)),"",MAX(K84,MIN(L84,E84*F84)))</x:f>
      </x:c>
      <x:c r="H84" s="42" t="n">
        <x:v>4</x:v>
      </x:c>
      <x:c r="I84" s="42" t="str">
        <x:f>IF(COUNT(G84)=0,"",(COUNTIFS('93_REF_ANCHORS'!$A$7:$A$766,D84,'93_REF_ANCHORS'!$C$7:$C$766,"&lt;"&amp;G84)+COUNTIFS('93_REF_ANCHORS'!$A$7:$A$766,D84,'93_REF_ANCHORS'!$C$7:$C$766,"&lt;="&amp;G84)-1)/(2*(H84-1)))</x:f>
      </x:c>
      <x:c r="J84" s="34" t="str">
        <x:f>IF(B84="","",IF(COUNT(E84)=0,"MISSING",IF(NOT(ISNUMBER(E84)),"INVALID",IF(E84*F84&lt;K84,"WINSORIZED LOW",IF(E84*F84&gt;L84,"WINSORIZED HIGH","OK")))))</x:f>
      </x:c>
      <x:c r="K84" s="34" t="n">
        <x:v>0</x:v>
      </x:c>
      <x:c r="L84" s="34" t="n">
        <x:v>0.7587051325360435</x:v>
      </x:c>
      <x:c r="M84" s="34" t="n">
        <x:v>0.1111111111111111</x:v>
      </x:c>
      <x:c r="N84" s="34" t="str">
        <x:v>yes</x:v>
      </x:c>
    </x:row>
    <x:row r="85">
      <x:c r="A85" s="34" t="n">
        <x:v>8</x:v>
      </x:c>
      <x:c r="B85" s="34" t="str">
        <x:f>IF('01_INPUT_COMPANIES'!$A$14="","",'01_INPUT_COMPANIES'!$A$14)</x:f>
      </x:c>
      <x:c r="C85" s="34" t="str">
        <x:f>IF(B85="","",'01_INPUT_COMPANIES'!$B$14)</x:f>
      </x:c>
      <x:c r="D85" s="34" t="str">
        <x:v>foreign_dependency_ratio</x:v>
      </x:c>
      <x:c r="E85" s="42" t="str">
        <x:f>IF(OR(B85="",COUNT('01_INPUT_COMPANIES'!$AB$14)=0),"",'01_INPUT_COMPANIES'!$AB$14)</x:f>
      </x:c>
      <x:c r="F85" s="42" t="n">
        <x:v>1</x:v>
      </x:c>
      <x:c r="G85" s="42" t="str">
        <x:f>IF(NOT(ISNUMBER(E85)),"",MAX(K85,MIN(L85,E85*F85)))</x:f>
      </x:c>
      <x:c r="H85" s="42" t="n">
        <x:v>84</x:v>
      </x:c>
      <x:c r="I85" s="42" t="str">
        <x:f>IF(COUNT(G85)=0,"",(COUNTIFS('93_REF_ANCHORS'!$A$7:$A$766,D85,'93_REF_ANCHORS'!$C$7:$C$766,"&lt;"&amp;G85)+COUNTIFS('93_REF_ANCHORS'!$A$7:$A$766,D85,'93_REF_ANCHORS'!$C$7:$C$766,"&lt;="&amp;G85)-1)/(2*(H85-1)))</x:f>
      </x:c>
      <x:c r="J85" s="34" t="str">
        <x:f>IF(B85="","",IF(COUNT(E85)=0,"MISSING",IF(NOT(ISNUMBER(E85)),"INVALID",IF(E85*F85&lt;K85,"WINSORIZED LOW",IF(E85*F85&gt;L85,"WINSORIZED HIGH","OK")))))</x:f>
      </x:c>
      <x:c r="K85" s="34" t="n">
        <x:v>0.728196</x:v>
      </x:c>
      <x:c r="L85" s="34" t="n">
        <x:v>0.94</x:v>
      </x:c>
      <x:c r="M85" s="34" t="n">
        <x:v>0.1111111111111111</x:v>
      </x:c>
      <x:c r="N85" s="34" t="str">
        <x:v>yes</x:v>
      </x:c>
    </x:row>
    <x:row r="86">
      <x:c r="A86" s="34" t="n">
        <x:v>8</x:v>
      </x:c>
      <x:c r="B86" s="34" t="str">
        <x:f>IF('01_INPUT_COMPANIES'!$A$14="","",'01_INPUT_COMPANIES'!$A$14)</x:f>
      </x:c>
      <x:c r="C86" s="34" t="str">
        <x:f>IF(B86="","",'01_INPUT_COMPANIES'!$B$14)</x:f>
      </x:c>
      <x:c r="D86" s="34" t="str">
        <x:v>outflow_to_capex_ratio</x:v>
      </x:c>
      <x:c r="E86" s="42" t="str">
        <x:f>IF(OR(B86="",COUNT('01_INPUT_COMPANIES'!$AC$14)=0),"",'01_INPUT_COMPANIES'!$AC$14)</x:f>
      </x:c>
      <x:c r="F86" s="42" t="n">
        <x:v>1</x:v>
      </x:c>
      <x:c r="G86" s="42" t="str">
        <x:f>IF(NOT(ISNUMBER(E86)),"",MAX(K86,MIN(L86,E86*F86)))</x:f>
      </x:c>
      <x:c r="H86" s="42" t="n">
        <x:v>97</x:v>
      </x:c>
      <x:c r="I86" s="42" t="str">
        <x:f>IF(COUNT(G86)=0,"",(COUNTIFS('93_REF_ANCHORS'!$A$7:$A$766,D86,'93_REF_ANCHORS'!$C$7:$C$766,"&lt;"&amp;G86)+COUNTIFS('93_REF_ANCHORS'!$A$7:$A$766,D86,'93_REF_ANCHORS'!$C$7:$C$766,"&lt;="&amp;G86)-1)/(2*(H86-1)))</x:f>
      </x:c>
      <x:c r="J86" s="34" t="str">
        <x:f>IF(B86="","",IF(COUNT(E86)=0,"MISSING",IF(NOT(ISNUMBER(E86)),"INVALID",IF(E86*F86&lt;K86,"WINSORIZED LOW",IF(E86*F86&gt;L86,"WINSORIZED HIGH","OK")))))</x:f>
      </x:c>
      <x:c r="K86" s="34" t="n">
        <x:v>-123.5385890408</x:v>
      </x:c>
      <x:c r="L86" s="34" t="n">
        <x:v>974.1666666666999</x:v>
      </x:c>
      <x:c r="M86" s="34" t="n">
        <x:v>0.1111111111111111</x:v>
      </x:c>
      <x:c r="N86" s="34" t="str">
        <x:v>no</x:v>
      </x:c>
    </x:row>
    <x:row r="87">
      <x:c r="A87" s="34" t="n">
        <x:v>9</x:v>
      </x:c>
      <x:c r="B87" s="34" t="str">
        <x:f>IF('01_INPUT_COMPANIES'!$A$15="","",'01_INPUT_COMPANIES'!$A$15)</x:f>
      </x:c>
      <x:c r="C87" s="34" t="str">
        <x:f>IF(B87="","",'01_INPUT_COMPANIES'!$B$15)</x:f>
      </x:c>
      <x:c r="D87" s="34" t="str">
        <x:v>effective_tax_rate_gap</x:v>
      </x:c>
      <x:c r="E87" s="42" t="str">
        <x:f>IF(OR(B87="",COUNT('01_INPUT_COMPANIES'!$T$15)=0),"",'01_INPUT_COMPANIES'!$T$15)</x:f>
      </x:c>
      <x:c r="F87" s="42" t="n">
        <x:v>1</x:v>
      </x:c>
      <x:c r="G87" s="42" t="str">
        <x:f>IF(NOT(ISNUMBER(E87)),"",MAX(K87,MIN(L87,E87*F87)))</x:f>
      </x:c>
      <x:c r="H87" s="42" t="n">
        <x:v>74</x:v>
      </x:c>
      <x:c r="I87" s="42" t="str">
        <x:f>IF(COUNT(G87)=0,"",(COUNTIFS('93_REF_ANCHORS'!$A$7:$A$766,D87,'93_REF_ANCHORS'!$C$7:$C$766,"&lt;"&amp;G87)+COUNTIFS('93_REF_ANCHORS'!$A$7:$A$766,D87,'93_REF_ANCHORS'!$C$7:$C$766,"&lt;="&amp;G87)-1)/(2*(H87-1)))</x:f>
      </x:c>
      <x:c r="J87" s="34" t="str">
        <x:f>IF(B87="","",IF(COUNT(E87)=0,"MISSING",IF(NOT(ISNUMBER(E87)),"INVALID",IF(E87*F87&lt;K87,"WINSORIZED LOW",IF(E87*F87&gt;L87,"WINSORIZED HIGH","OK")))))</x:f>
      </x:c>
      <x:c r="K87" s="34" t="n">
        <x:v>-0.1416111014</x:v>
      </x:c>
      <x:c r="L87" s="34" t="n">
        <x:v>0.2683650488</x:v>
      </x:c>
      <x:c r="M87" s="34" t="n">
        <x:v>0.1111111111111111</x:v>
      </x:c>
      <x:c r="N87" s="34" t="str">
        <x:v>no</x:v>
      </x:c>
    </x:row>
    <x:row r="88">
      <x:c r="A88" s="34" t="n">
        <x:v>9</x:v>
      </x:c>
      <x:c r="B88" s="34" t="str">
        <x:f>IF('01_INPUT_COMPANIES'!$A$15="","",'01_INPUT_COMPANIES'!$A$15)</x:f>
      </x:c>
      <x:c r="C88" s="34" t="str">
        <x:f>IF(B88="","",'01_INPUT_COMPANIES'!$B$15)</x:f>
      </x:c>
      <x:c r="D88" s="34" t="str">
        <x:v>infra_dependency_ratio</x:v>
      </x:c>
      <x:c r="E88" s="42" t="str">
        <x:f>IF(OR(B88="",COUNT('01_INPUT_COMPANIES'!$U$15)=0),"",'01_INPUT_COMPANIES'!$U$15)</x:f>
      </x:c>
      <x:c r="F88" s="42" t="n">
        <x:v>1</x:v>
      </x:c>
      <x:c r="G88" s="42" t="str">
        <x:f>IF(NOT(ISNUMBER(E88)),"",MAX(K88,MIN(L88,E88*F88)))</x:f>
      </x:c>
      <x:c r="H88" s="42" t="n">
        <x:v>64</x:v>
      </x:c>
      <x:c r="I88" s="42" t="str">
        <x:f>IF(COUNT(G88)=0,"",(COUNTIFS('93_REF_ANCHORS'!$A$7:$A$766,D88,'93_REF_ANCHORS'!$C$7:$C$766,"&lt;"&amp;G88)+COUNTIFS('93_REF_ANCHORS'!$A$7:$A$766,D88,'93_REF_ANCHORS'!$C$7:$C$766,"&lt;="&amp;G88)-1)/(2*(H88-1)))</x:f>
      </x:c>
      <x:c r="J88" s="34" t="str">
        <x:f>IF(B88="","",IF(COUNT(E88)=0,"MISSING",IF(NOT(ISNUMBER(E88)),"INVALID",IF(E88*F88&lt;K88,"WINSORIZED LOW",IF(E88*F88&gt;L88,"WINSORIZED HIGH","OK")))))</x:f>
      </x:c>
      <x:c r="K88" s="34" t="n">
        <x:v>-0.10705024705171803</x:v>
      </x:c>
      <x:c r="L88" s="34" t="n">
        <x:v>0.8008753865408955</x:v>
      </x:c>
      <x:c r="M88" s="34" t="n">
        <x:v>0.1111111111111111</x:v>
      </x:c>
      <x:c r="N88" s="34" t="str">
        <x:v>no</x:v>
      </x:c>
    </x:row>
    <x:row r="89">
      <x:c r="A89" s="34" t="n">
        <x:v>9</x:v>
      </x:c>
      <x:c r="B89" s="34" t="str">
        <x:f>IF('01_INPUT_COMPANIES'!$A$15="","",'01_INPUT_COMPANIES'!$A$15)</x:f>
      </x:c>
      <x:c r="C89" s="34" t="str">
        <x:f>IF(B89="","",'01_INPUT_COMPANIES'!$B$15)</x:f>
      </x:c>
      <x:c r="D89" s="34" t="str">
        <x:v>network_cost_ratio</x:v>
      </x:c>
      <x:c r="E89" s="42" t="str">
        <x:f>IF(OR(B89="",COUNT('01_INPUT_COMPANIES'!$V$15)=0),"",'01_INPUT_COMPANIES'!$V$15)</x:f>
      </x:c>
      <x:c r="F89" s="42" t="n">
        <x:v>1</x:v>
      </x:c>
      <x:c r="G89" s="42" t="str">
        <x:f>IF(NOT(ISNUMBER(E89)),"",MAX(K89,MIN(L89,E89*F89)))</x:f>
      </x:c>
      <x:c r="H89" s="42" t="n">
        <x:v>97</x:v>
      </x:c>
      <x:c r="I89" s="42" t="str">
        <x:f>IF(COUNT(G89)=0,"",(COUNTIFS('93_REF_ANCHORS'!$A$7:$A$766,D89,'93_REF_ANCHORS'!$C$7:$C$766,"&lt;"&amp;G89)+COUNTIFS('93_REF_ANCHORS'!$A$7:$A$766,D89,'93_REF_ANCHORS'!$C$7:$C$766,"&lt;="&amp;G89)-1)/(2*(H89-1)))</x:f>
      </x:c>
      <x:c r="J89" s="34" t="str">
        <x:f>IF(B89="","",IF(COUNT(E89)=0,"MISSING",IF(NOT(ISNUMBER(E89)),"INVALID",IF(E89*F89&lt;K89,"WINSORIZED LOW",IF(E89*F89&gt;L89,"WINSORIZED HIGH","OK")))))</x:f>
      </x:c>
      <x:c r="K89" s="34" t="n">
        <x:v>-0.1395374353</x:v>
      </x:c>
      <x:c r="L89" s="34" t="n">
        <x:v>0.9274274845000001</x:v>
      </x:c>
      <x:c r="M89" s="34" t="n">
        <x:v>0.1111111111111111</x:v>
      </x:c>
      <x:c r="N89" s="34" t="str">
        <x:v>no</x:v>
      </x:c>
    </x:row>
    <x:row r="90">
      <x:c r="A90" s="34" t="n">
        <x:v>9</x:v>
      </x:c>
      <x:c r="B90" s="34" t="str">
        <x:f>IF('01_INPUT_COMPANIES'!$A$15="","",'01_INPUT_COMPANIES'!$A$15)</x:f>
      </x:c>
      <x:c r="C90" s="34" t="str">
        <x:f>IF(B90="","",'01_INPUT_COMPANIES'!$B$15)</x:f>
      </x:c>
      <x:c r="D90" s="34" t="str">
        <x:v>cashflow_recovery_ratio</x:v>
      </x:c>
      <x:c r="E90" s="42" t="str">
        <x:f>IF(OR(B90="",COUNT('01_INPUT_COMPANIES'!$W$15)=0),"",'01_INPUT_COMPANIES'!$W$15)</x:f>
      </x:c>
      <x:c r="F90" s="42" t="n">
        <x:v>-1</x:v>
      </x:c>
      <x:c r="G90" s="42" t="str">
        <x:f>IF(NOT(ISNUMBER(E90)),"",MAX(K90,MIN(L90,E90*F90)))</x:f>
      </x:c>
      <x:c r="H90" s="42" t="n">
        <x:v>95</x:v>
      </x:c>
      <x:c r="I90" s="42" t="str">
        <x:f>IF(COUNT(G90)=0,"",(COUNTIFS('93_REF_ANCHORS'!$A$7:$A$766,D90,'93_REF_ANCHORS'!$C$7:$C$766,"&lt;"&amp;G90)+COUNTIFS('93_REF_ANCHORS'!$A$7:$A$766,D90,'93_REF_ANCHORS'!$C$7:$C$766,"&lt;="&amp;G90)-1)/(2*(H90-1)))</x:f>
      </x:c>
      <x:c r="J90" s="34" t="str">
        <x:f>IF(B90="","",IF(COUNT(E90)=0,"MISSING",IF(NOT(ISNUMBER(E90)),"INVALID",IF(E90*F90&lt;K90,"WINSORIZED LOW",IF(E90*F90&gt;L90,"WINSORIZED HIGH","OK")))))</x:f>
      </x:c>
      <x:c r="K90" s="34" t="n">
        <x:v>-300.75</x:v>
      </x:c>
      <x:c r="L90" s="34" t="n">
        <x:v>42.6920305469</x:v>
      </x:c>
      <x:c r="M90" s="34" t="n">
        <x:v>0.08333333333333333</x:v>
      </x:c>
      <x:c r="N90" s="34" t="str">
        <x:v>no</x:v>
      </x:c>
    </x:row>
    <x:row r="91">
      <x:c r="A91" s="34" t="n">
        <x:v>9</x:v>
      </x:c>
      <x:c r="B91" s="34" t="str">
        <x:f>IF('01_INPUT_COMPANIES'!$A$15="","",'01_INPUT_COMPANIES'!$A$15)</x:f>
      </x:c>
      <x:c r="C91" s="34" t="str">
        <x:f>IF(B91="","",'01_INPUT_COMPANIES'!$B$15)</x:f>
      </x:c>
      <x:c r="D91" s="34" t="str">
        <x:v>funding_cost_spread</x:v>
      </x:c>
      <x:c r="E91" s="42" t="str">
        <x:f>IF(OR(B91="",COUNT('01_INPUT_COMPANIES'!$X$15)=0),"",'01_INPUT_COMPANIES'!$X$15)</x:f>
      </x:c>
      <x:c r="F91" s="42" t="n">
        <x:v>1</x:v>
      </x:c>
      <x:c r="G91" s="42" t="str">
        <x:f>IF(NOT(ISNUMBER(E91)),"",MAX(K91,MIN(L91,E91*F91)))</x:f>
      </x:c>
      <x:c r="H91" s="42" t="n">
        <x:v>58</x:v>
      </x:c>
      <x:c r="I91" s="42" t="str">
        <x:f>IF(COUNT(G91)=0,"",(COUNTIFS('93_REF_ANCHORS'!$A$7:$A$766,D91,'93_REF_ANCHORS'!$C$7:$C$766,"&lt;"&amp;G91)+COUNTIFS('93_REF_ANCHORS'!$A$7:$A$766,D91,'93_REF_ANCHORS'!$C$7:$C$766,"&lt;="&amp;G91)-1)/(2*(H91-1)))</x:f>
      </x:c>
      <x:c r="J91" s="34" t="str">
        <x:f>IF(B91="","",IF(COUNT(E91)=0,"MISSING",IF(NOT(ISNUMBER(E91)),"INVALID",IF(E91*F91&lt;K91,"WINSORIZED LOW",IF(E91*F91&gt;L91,"WINSORIZED HIGH","OK")))))</x:f>
      </x:c>
      <x:c r="K91" s="34" t="n">
        <x:v>-0.4430292903</x:v>
      </x:c>
      <x:c r="L91" s="34" t="n">
        <x:v>0.5068913103</x:v>
      </x:c>
      <x:c r="M91" s="34" t="n">
        <x:v>0.08333333333333333</x:v>
      </x:c>
      <x:c r="N91" s="34" t="str">
        <x:v>no</x:v>
      </x:c>
    </x:row>
    <x:row r="92">
      <x:c r="A92" s="34" t="n">
        <x:v>9</x:v>
      </x:c>
      <x:c r="B92" s="34" t="str">
        <x:f>IF('01_INPUT_COMPANIES'!$A$15="","",'01_INPUT_COMPANIES'!$A$15)</x:f>
      </x:c>
      <x:c r="C92" s="34" t="str">
        <x:f>IF(B92="","",'01_INPUT_COMPANIES'!$B$15)</x:f>
      </x:c>
      <x:c r="D92" s="34" t="str">
        <x:v>investment_recovery_ratio</x:v>
      </x:c>
      <x:c r="E92" s="42" t="str">
        <x:f>IF(OR(B92="",COUNT('01_INPUT_COMPANIES'!$Y$15)=0),"",'01_INPUT_COMPANIES'!$Y$15)</x:f>
      </x:c>
      <x:c r="F92" s="42" t="n">
        <x:v>-1</x:v>
      </x:c>
      <x:c r="G92" s="42" t="str">
        <x:f>IF(NOT(ISNUMBER(E92)),"",MAX(K92,MIN(L92,E92*F92)))</x:f>
      </x:c>
      <x:c r="H92" s="42" t="n">
        <x:v>95</x:v>
      </x:c>
      <x:c r="I92" s="42" t="str">
        <x:f>IF(COUNT(G92)=0,"",(COUNTIFS('93_REF_ANCHORS'!$A$7:$A$766,D92,'93_REF_ANCHORS'!$C$7:$C$766,"&lt;"&amp;G92)+COUNTIFS('93_REF_ANCHORS'!$A$7:$A$766,D92,'93_REF_ANCHORS'!$C$7:$C$766,"&lt;="&amp;G92)-1)/(2*(H92-1)))</x:f>
      </x:c>
      <x:c r="J92" s="34" t="str">
        <x:f>IF(B92="","",IF(COUNT(E92)=0,"MISSING",IF(NOT(ISNUMBER(E92)),"INVALID",IF(E92*F92&lt;K92,"WINSORIZED LOW",IF(E92*F92&gt;L92,"WINSORIZED HIGH","OK")))))</x:f>
      </x:c>
      <x:c r="K92" s="34" t="n">
        <x:v>-3163.7500000000014</x:v>
      </x:c>
      <x:c r="L92" s="34" t="n">
        <x:v>189.68191301719997</x:v>
      </x:c>
      <x:c r="M92" s="34" t="n">
        <x:v>0.08333333333333333</x:v>
      </x:c>
      <x:c r="N92" s="34" t="str">
        <x:v>no</x:v>
      </x:c>
    </x:row>
    <x:row r="93">
      <x:c r="A93" s="34" t="n">
        <x:v>9</x:v>
      </x:c>
      <x:c r="B93" s="34" t="str">
        <x:f>IF('01_INPUT_COMPANIES'!$A$15="","",'01_INPUT_COMPANIES'!$A$15)</x:f>
      </x:c>
      <x:c r="C93" s="34" t="str">
        <x:f>IF(B93="","",'01_INPUT_COMPANIES'!$B$15)</x:f>
      </x:c>
      <x:c r="D93" s="34" t="str">
        <x:v>ip_assetization_gap</x:v>
      </x:c>
      <x:c r="E93" s="42" t="str">
        <x:f>IF(OR(B93="",COUNT('01_INPUT_COMPANIES'!$Z$15)=0),"",'01_INPUT_COMPANIES'!$Z$15)</x:f>
      </x:c>
      <x:c r="F93" s="42" t="n">
        <x:v>1</x:v>
      </x:c>
      <x:c r="G93" s="42" t="str">
        <x:f>IF(NOT(ISNUMBER(E93)),"",MAX(K93,MIN(L93,E93*F93)))</x:f>
      </x:c>
      <x:c r="H93" s="42" t="n">
        <x:v>92</x:v>
      </x:c>
      <x:c r="I93" s="42" t="str">
        <x:f>IF(COUNT(G93)=0,"",(COUNTIFS('93_REF_ANCHORS'!$A$7:$A$766,D93,'93_REF_ANCHORS'!$C$7:$C$766,"&lt;"&amp;G93)+COUNTIFS('93_REF_ANCHORS'!$A$7:$A$766,D93,'93_REF_ANCHORS'!$C$7:$C$766,"&lt;="&amp;G93)-1)/(2*(H93-1)))</x:f>
      </x:c>
      <x:c r="J93" s="34" t="str">
        <x:f>IF(B93="","",IF(COUNT(E93)=0,"MISSING",IF(NOT(ISNUMBER(E93)),"INVALID",IF(E93*F93&lt;K93,"WINSORIZED LOW",IF(E93*F93&gt;L93,"WINSORIZED HIGH","OK")))))</x:f>
      </x:c>
      <x:c r="K93" s="34" t="n">
        <x:v>-1.6707152386</x:v>
      </x:c>
      <x:c r="L93" s="34" t="n">
        <x:v>0.7716332556000001</x:v>
      </x:c>
      <x:c r="M93" s="34" t="n">
        <x:v>0.08333333333333333</x:v>
      </x:c>
      <x:c r="N93" s="34" t="str">
        <x:v>no</x:v>
      </x:c>
    </x:row>
    <x:row r="94">
      <x:c r="A94" s="34" t="n">
        <x:v>9</x:v>
      </x:c>
      <x:c r="B94" s="34" t="str">
        <x:f>IF('01_INPUT_COMPANIES'!$A$15="","",'01_INPUT_COMPANIES'!$A$15)</x:f>
      </x:c>
      <x:c r="C94" s="34" t="str">
        <x:f>IF(B94="","",'01_INPUT_COMPANIES'!$B$15)</x:f>
      </x:c>
      <x:c r="D94" s="34" t="str">
        <x:v>cross_market_transfer_index</x:v>
      </x:c>
      <x:c r="E94" s="42" t="str">
        <x:f>IF(OR(B94="",COUNT('01_INPUT_COMPANIES'!$AA$15)=0),"",'01_INPUT_COMPANIES'!$AA$15)</x:f>
      </x:c>
      <x:c r="F94" s="42" t="n">
        <x:v>1</x:v>
      </x:c>
      <x:c r="G94" s="42" t="str">
        <x:f>IF(NOT(ISNUMBER(E94)),"",MAX(K94,MIN(L94,E94*F94)))</x:f>
      </x:c>
      <x:c r="H94" s="42" t="n">
        <x:v>4</x:v>
      </x:c>
      <x:c r="I94" s="42" t="str">
        <x:f>IF(COUNT(G94)=0,"",(COUNTIFS('93_REF_ANCHORS'!$A$7:$A$766,D94,'93_REF_ANCHORS'!$C$7:$C$766,"&lt;"&amp;G94)+COUNTIFS('93_REF_ANCHORS'!$A$7:$A$766,D94,'93_REF_ANCHORS'!$C$7:$C$766,"&lt;="&amp;G94)-1)/(2*(H94-1)))</x:f>
      </x:c>
      <x:c r="J94" s="34" t="str">
        <x:f>IF(B94="","",IF(COUNT(E94)=0,"MISSING",IF(NOT(ISNUMBER(E94)),"INVALID",IF(E94*F94&lt;K94,"WINSORIZED LOW",IF(E94*F94&gt;L94,"WINSORIZED HIGH","OK")))))</x:f>
      </x:c>
      <x:c r="K94" s="34" t="n">
        <x:v>0</x:v>
      </x:c>
      <x:c r="L94" s="34" t="n">
        <x:v>0.7587051325360435</x:v>
      </x:c>
      <x:c r="M94" s="34" t="n">
        <x:v>0.1111111111111111</x:v>
      </x:c>
      <x:c r="N94" s="34" t="str">
        <x:v>yes</x:v>
      </x:c>
    </x:row>
    <x:row r="95">
      <x:c r="A95" s="34" t="n">
        <x:v>9</x:v>
      </x:c>
      <x:c r="B95" s="34" t="str">
        <x:f>IF('01_INPUT_COMPANIES'!$A$15="","",'01_INPUT_COMPANIES'!$A$15)</x:f>
      </x:c>
      <x:c r="C95" s="34" t="str">
        <x:f>IF(B95="","",'01_INPUT_COMPANIES'!$B$15)</x:f>
      </x:c>
      <x:c r="D95" s="34" t="str">
        <x:v>foreign_dependency_ratio</x:v>
      </x:c>
      <x:c r="E95" s="42" t="str">
        <x:f>IF(OR(B95="",COUNT('01_INPUT_COMPANIES'!$AB$15)=0),"",'01_INPUT_COMPANIES'!$AB$15)</x:f>
      </x:c>
      <x:c r="F95" s="42" t="n">
        <x:v>1</x:v>
      </x:c>
      <x:c r="G95" s="42" t="str">
        <x:f>IF(NOT(ISNUMBER(E95)),"",MAX(K95,MIN(L95,E95*F95)))</x:f>
      </x:c>
      <x:c r="H95" s="42" t="n">
        <x:v>84</x:v>
      </x:c>
      <x:c r="I95" s="42" t="str">
        <x:f>IF(COUNT(G95)=0,"",(COUNTIFS('93_REF_ANCHORS'!$A$7:$A$766,D95,'93_REF_ANCHORS'!$C$7:$C$766,"&lt;"&amp;G95)+COUNTIFS('93_REF_ANCHORS'!$A$7:$A$766,D95,'93_REF_ANCHORS'!$C$7:$C$766,"&lt;="&amp;G95)-1)/(2*(H95-1)))</x:f>
      </x:c>
      <x:c r="J95" s="34" t="str">
        <x:f>IF(B95="","",IF(COUNT(E95)=0,"MISSING",IF(NOT(ISNUMBER(E95)),"INVALID",IF(E95*F95&lt;K95,"WINSORIZED LOW",IF(E95*F95&gt;L95,"WINSORIZED HIGH","OK")))))</x:f>
      </x:c>
      <x:c r="K95" s="34" t="n">
        <x:v>0.728196</x:v>
      </x:c>
      <x:c r="L95" s="34" t="n">
        <x:v>0.94</x:v>
      </x:c>
      <x:c r="M95" s="34" t="n">
        <x:v>0.1111111111111111</x:v>
      </x:c>
      <x:c r="N95" s="34" t="str">
        <x:v>yes</x:v>
      </x:c>
    </x:row>
    <x:row r="96">
      <x:c r="A96" s="34" t="n">
        <x:v>9</x:v>
      </x:c>
      <x:c r="B96" s="34" t="str">
        <x:f>IF('01_INPUT_COMPANIES'!$A$15="","",'01_INPUT_COMPANIES'!$A$15)</x:f>
      </x:c>
      <x:c r="C96" s="34" t="str">
        <x:f>IF(B96="","",'01_INPUT_COMPANIES'!$B$15)</x:f>
      </x:c>
      <x:c r="D96" s="34" t="str">
        <x:v>outflow_to_capex_ratio</x:v>
      </x:c>
      <x:c r="E96" s="42" t="str">
        <x:f>IF(OR(B96="",COUNT('01_INPUT_COMPANIES'!$AC$15)=0),"",'01_INPUT_COMPANIES'!$AC$15)</x:f>
      </x:c>
      <x:c r="F96" s="42" t="n">
        <x:v>1</x:v>
      </x:c>
      <x:c r="G96" s="42" t="str">
        <x:f>IF(NOT(ISNUMBER(E96)),"",MAX(K96,MIN(L96,E96*F96)))</x:f>
      </x:c>
      <x:c r="H96" s="42" t="n">
        <x:v>97</x:v>
      </x:c>
      <x:c r="I96" s="42" t="str">
        <x:f>IF(COUNT(G96)=0,"",(COUNTIFS('93_REF_ANCHORS'!$A$7:$A$766,D96,'93_REF_ANCHORS'!$C$7:$C$766,"&lt;"&amp;G96)+COUNTIFS('93_REF_ANCHORS'!$A$7:$A$766,D96,'93_REF_ANCHORS'!$C$7:$C$766,"&lt;="&amp;G96)-1)/(2*(H96-1)))</x:f>
      </x:c>
      <x:c r="J96" s="34" t="str">
        <x:f>IF(B96="","",IF(COUNT(E96)=0,"MISSING",IF(NOT(ISNUMBER(E96)),"INVALID",IF(E96*F96&lt;K96,"WINSORIZED LOW",IF(E96*F96&gt;L96,"WINSORIZED HIGH","OK")))))</x:f>
      </x:c>
      <x:c r="K96" s="34" t="n">
        <x:v>-123.5385890408</x:v>
      </x:c>
      <x:c r="L96" s="34" t="n">
        <x:v>974.1666666666999</x:v>
      </x:c>
      <x:c r="M96" s="34" t="n">
        <x:v>0.1111111111111111</x:v>
      </x:c>
      <x:c r="N96" s="34" t="str">
        <x:v>no</x:v>
      </x:c>
    </x:row>
    <x:row r="97">
      <x:c r="A97" s="34" t="n">
        <x:v>10</x:v>
      </x:c>
      <x:c r="B97" s="34" t="str">
        <x:f>IF('01_INPUT_COMPANIES'!$A$16="","",'01_INPUT_COMPANIES'!$A$16)</x:f>
      </x:c>
      <x:c r="C97" s="34" t="str">
        <x:f>IF(B97="","",'01_INPUT_COMPANIES'!$B$16)</x:f>
      </x:c>
      <x:c r="D97" s="34" t="str">
        <x:v>effective_tax_rate_gap</x:v>
      </x:c>
      <x:c r="E97" s="42" t="str">
        <x:f>IF(OR(B97="",COUNT('01_INPUT_COMPANIES'!$T$16)=0),"",'01_INPUT_COMPANIES'!$T$16)</x:f>
      </x:c>
      <x:c r="F97" s="42" t="n">
        <x:v>1</x:v>
      </x:c>
      <x:c r="G97" s="42" t="str">
        <x:f>IF(NOT(ISNUMBER(E97)),"",MAX(K97,MIN(L97,E97*F97)))</x:f>
      </x:c>
      <x:c r="H97" s="42" t="n">
        <x:v>74</x:v>
      </x:c>
      <x:c r="I97" s="42" t="str">
        <x:f>IF(COUNT(G97)=0,"",(COUNTIFS('93_REF_ANCHORS'!$A$7:$A$766,D97,'93_REF_ANCHORS'!$C$7:$C$766,"&lt;"&amp;G97)+COUNTIFS('93_REF_ANCHORS'!$A$7:$A$766,D97,'93_REF_ANCHORS'!$C$7:$C$766,"&lt;="&amp;G97)-1)/(2*(H97-1)))</x:f>
      </x:c>
      <x:c r="J97" s="34" t="str">
        <x:f>IF(B97="","",IF(COUNT(E97)=0,"MISSING",IF(NOT(ISNUMBER(E97)),"INVALID",IF(E97*F97&lt;K97,"WINSORIZED LOW",IF(E97*F97&gt;L97,"WINSORIZED HIGH","OK")))))</x:f>
      </x:c>
      <x:c r="K97" s="34" t="n">
        <x:v>-0.1416111014</x:v>
      </x:c>
      <x:c r="L97" s="34" t="n">
        <x:v>0.2683650488</x:v>
      </x:c>
      <x:c r="M97" s="34" t="n">
        <x:v>0.1111111111111111</x:v>
      </x:c>
      <x:c r="N97" s="34" t="str">
        <x:v>no</x:v>
      </x:c>
    </x:row>
    <x:row r="98">
      <x:c r="A98" s="34" t="n">
        <x:v>10</x:v>
      </x:c>
      <x:c r="B98" s="34" t="str">
        <x:f>IF('01_INPUT_COMPANIES'!$A$16="","",'01_INPUT_COMPANIES'!$A$16)</x:f>
      </x:c>
      <x:c r="C98" s="34" t="str">
        <x:f>IF(B98="","",'01_INPUT_COMPANIES'!$B$16)</x:f>
      </x:c>
      <x:c r="D98" s="34" t="str">
        <x:v>infra_dependency_ratio</x:v>
      </x:c>
      <x:c r="E98" s="42" t="str">
        <x:f>IF(OR(B98="",COUNT('01_INPUT_COMPANIES'!$U$16)=0),"",'01_INPUT_COMPANIES'!$U$16)</x:f>
      </x:c>
      <x:c r="F98" s="42" t="n">
        <x:v>1</x:v>
      </x:c>
      <x:c r="G98" s="42" t="str">
        <x:f>IF(NOT(ISNUMBER(E98)),"",MAX(K98,MIN(L98,E98*F98)))</x:f>
      </x:c>
      <x:c r="H98" s="42" t="n">
        <x:v>64</x:v>
      </x:c>
      <x:c r="I98" s="42" t="str">
        <x:f>IF(COUNT(G98)=0,"",(COUNTIFS('93_REF_ANCHORS'!$A$7:$A$766,D98,'93_REF_ANCHORS'!$C$7:$C$766,"&lt;"&amp;G98)+COUNTIFS('93_REF_ANCHORS'!$A$7:$A$766,D98,'93_REF_ANCHORS'!$C$7:$C$766,"&lt;="&amp;G98)-1)/(2*(H98-1)))</x:f>
      </x:c>
      <x:c r="J98" s="34" t="str">
        <x:f>IF(B98="","",IF(COUNT(E98)=0,"MISSING",IF(NOT(ISNUMBER(E98)),"INVALID",IF(E98*F98&lt;K98,"WINSORIZED LOW",IF(E98*F98&gt;L98,"WINSORIZED HIGH","OK")))))</x:f>
      </x:c>
      <x:c r="K98" s="34" t="n">
        <x:v>-0.10705024705171803</x:v>
      </x:c>
      <x:c r="L98" s="34" t="n">
        <x:v>0.8008753865408955</x:v>
      </x:c>
      <x:c r="M98" s="34" t="n">
        <x:v>0.1111111111111111</x:v>
      </x:c>
      <x:c r="N98" s="34" t="str">
        <x:v>no</x:v>
      </x:c>
    </x:row>
    <x:row r="99">
      <x:c r="A99" s="34" t="n">
        <x:v>10</x:v>
      </x:c>
      <x:c r="B99" s="34" t="str">
        <x:f>IF('01_INPUT_COMPANIES'!$A$16="","",'01_INPUT_COMPANIES'!$A$16)</x:f>
      </x:c>
      <x:c r="C99" s="34" t="str">
        <x:f>IF(B99="","",'01_INPUT_COMPANIES'!$B$16)</x:f>
      </x:c>
      <x:c r="D99" s="34" t="str">
        <x:v>network_cost_ratio</x:v>
      </x:c>
      <x:c r="E99" s="42" t="str">
        <x:f>IF(OR(B99="",COUNT('01_INPUT_COMPANIES'!$V$16)=0),"",'01_INPUT_COMPANIES'!$V$16)</x:f>
      </x:c>
      <x:c r="F99" s="42" t="n">
        <x:v>1</x:v>
      </x:c>
      <x:c r="G99" s="42" t="str">
        <x:f>IF(NOT(ISNUMBER(E99)),"",MAX(K99,MIN(L99,E99*F99)))</x:f>
      </x:c>
      <x:c r="H99" s="42" t="n">
        <x:v>97</x:v>
      </x:c>
      <x:c r="I99" s="42" t="str">
        <x:f>IF(COUNT(G99)=0,"",(COUNTIFS('93_REF_ANCHORS'!$A$7:$A$766,D99,'93_REF_ANCHORS'!$C$7:$C$766,"&lt;"&amp;G99)+COUNTIFS('93_REF_ANCHORS'!$A$7:$A$766,D99,'93_REF_ANCHORS'!$C$7:$C$766,"&lt;="&amp;G99)-1)/(2*(H99-1)))</x:f>
      </x:c>
      <x:c r="J99" s="34" t="str">
        <x:f>IF(B99="","",IF(COUNT(E99)=0,"MISSING",IF(NOT(ISNUMBER(E99)),"INVALID",IF(E99*F99&lt;K99,"WINSORIZED LOW",IF(E99*F99&gt;L99,"WINSORIZED HIGH","OK")))))</x:f>
      </x:c>
      <x:c r="K99" s="34" t="n">
        <x:v>-0.1395374353</x:v>
      </x:c>
      <x:c r="L99" s="34" t="n">
        <x:v>0.9274274845000001</x:v>
      </x:c>
      <x:c r="M99" s="34" t="n">
        <x:v>0.1111111111111111</x:v>
      </x:c>
      <x:c r="N99" s="34" t="str">
        <x:v>no</x:v>
      </x:c>
    </x:row>
    <x:row r="100">
      <x:c r="A100" s="34" t="n">
        <x:v>10</x:v>
      </x:c>
      <x:c r="B100" s="34" t="str">
        <x:f>IF('01_INPUT_COMPANIES'!$A$16="","",'01_INPUT_COMPANIES'!$A$16)</x:f>
      </x:c>
      <x:c r="C100" s="34" t="str">
        <x:f>IF(B100="","",'01_INPUT_COMPANIES'!$B$16)</x:f>
      </x:c>
      <x:c r="D100" s="34" t="str">
        <x:v>cashflow_recovery_ratio</x:v>
      </x:c>
      <x:c r="E100" s="42" t="str">
        <x:f>IF(OR(B100="",COUNT('01_INPUT_COMPANIES'!$W$16)=0),"",'01_INPUT_COMPANIES'!$W$16)</x:f>
      </x:c>
      <x:c r="F100" s="42" t="n">
        <x:v>-1</x:v>
      </x:c>
      <x:c r="G100" s="42" t="str">
        <x:f>IF(NOT(ISNUMBER(E100)),"",MAX(K100,MIN(L100,E100*F100)))</x:f>
      </x:c>
      <x:c r="H100" s="42" t="n">
        <x:v>95</x:v>
      </x:c>
      <x:c r="I100" s="42" t="str">
        <x:f>IF(COUNT(G100)=0,"",(COUNTIFS('93_REF_ANCHORS'!$A$7:$A$766,D100,'93_REF_ANCHORS'!$C$7:$C$766,"&lt;"&amp;G100)+COUNTIFS('93_REF_ANCHORS'!$A$7:$A$766,D100,'93_REF_ANCHORS'!$C$7:$C$766,"&lt;="&amp;G100)-1)/(2*(H100-1)))</x:f>
      </x:c>
      <x:c r="J100" s="34" t="str">
        <x:f>IF(B100="","",IF(COUNT(E100)=0,"MISSING",IF(NOT(ISNUMBER(E100)),"INVALID",IF(E100*F100&lt;K100,"WINSORIZED LOW",IF(E100*F100&gt;L100,"WINSORIZED HIGH","OK")))))</x:f>
      </x:c>
      <x:c r="K100" s="34" t="n">
        <x:v>-300.75</x:v>
      </x:c>
      <x:c r="L100" s="34" t="n">
        <x:v>42.6920305469</x:v>
      </x:c>
      <x:c r="M100" s="34" t="n">
        <x:v>0.08333333333333333</x:v>
      </x:c>
      <x:c r="N100" s="34" t="str">
        <x:v>no</x:v>
      </x:c>
    </x:row>
    <x:row r="101">
      <x:c r="A101" s="34" t="n">
        <x:v>10</x:v>
      </x:c>
      <x:c r="B101" s="34" t="str">
        <x:f>IF('01_INPUT_COMPANIES'!$A$16="","",'01_INPUT_COMPANIES'!$A$16)</x:f>
      </x:c>
      <x:c r="C101" s="34" t="str">
        <x:f>IF(B101="","",'01_INPUT_COMPANIES'!$B$16)</x:f>
      </x:c>
      <x:c r="D101" s="34" t="str">
        <x:v>funding_cost_spread</x:v>
      </x:c>
      <x:c r="E101" s="42" t="str">
        <x:f>IF(OR(B101="",COUNT('01_INPUT_COMPANIES'!$X$16)=0),"",'01_INPUT_COMPANIES'!$X$16)</x:f>
      </x:c>
      <x:c r="F101" s="42" t="n">
        <x:v>1</x:v>
      </x:c>
      <x:c r="G101" s="42" t="str">
        <x:f>IF(NOT(ISNUMBER(E101)),"",MAX(K101,MIN(L101,E101*F101)))</x:f>
      </x:c>
      <x:c r="H101" s="42" t="n">
        <x:v>58</x:v>
      </x:c>
      <x:c r="I101" s="42" t="str">
        <x:f>IF(COUNT(G101)=0,"",(COUNTIFS('93_REF_ANCHORS'!$A$7:$A$766,D101,'93_REF_ANCHORS'!$C$7:$C$766,"&lt;"&amp;G101)+COUNTIFS('93_REF_ANCHORS'!$A$7:$A$766,D101,'93_REF_ANCHORS'!$C$7:$C$766,"&lt;="&amp;G101)-1)/(2*(H101-1)))</x:f>
      </x:c>
      <x:c r="J101" s="34" t="str">
        <x:f>IF(B101="","",IF(COUNT(E101)=0,"MISSING",IF(NOT(ISNUMBER(E101)),"INVALID",IF(E101*F101&lt;K101,"WINSORIZED LOW",IF(E101*F101&gt;L101,"WINSORIZED HIGH","OK")))))</x:f>
      </x:c>
      <x:c r="K101" s="34" t="n">
        <x:v>-0.4430292903</x:v>
      </x:c>
      <x:c r="L101" s="34" t="n">
        <x:v>0.5068913103</x:v>
      </x:c>
      <x:c r="M101" s="34" t="n">
        <x:v>0.08333333333333333</x:v>
      </x:c>
      <x:c r="N101" s="34" t="str">
        <x:v>no</x:v>
      </x:c>
    </x:row>
    <x:row r="102">
      <x:c r="A102" s="34" t="n">
        <x:v>10</x:v>
      </x:c>
      <x:c r="B102" s="34" t="str">
        <x:f>IF('01_INPUT_COMPANIES'!$A$16="","",'01_INPUT_COMPANIES'!$A$16)</x:f>
      </x:c>
      <x:c r="C102" s="34" t="str">
        <x:f>IF(B102="","",'01_INPUT_COMPANIES'!$B$16)</x:f>
      </x:c>
      <x:c r="D102" s="34" t="str">
        <x:v>investment_recovery_ratio</x:v>
      </x:c>
      <x:c r="E102" s="42" t="str">
        <x:f>IF(OR(B102="",COUNT('01_INPUT_COMPANIES'!$Y$16)=0),"",'01_INPUT_COMPANIES'!$Y$16)</x:f>
      </x:c>
      <x:c r="F102" s="42" t="n">
        <x:v>-1</x:v>
      </x:c>
      <x:c r="G102" s="42" t="str">
        <x:f>IF(NOT(ISNUMBER(E102)),"",MAX(K102,MIN(L102,E102*F102)))</x:f>
      </x:c>
      <x:c r="H102" s="42" t="n">
        <x:v>95</x:v>
      </x:c>
      <x:c r="I102" s="42" t="str">
        <x:f>IF(COUNT(G102)=0,"",(COUNTIFS('93_REF_ANCHORS'!$A$7:$A$766,D102,'93_REF_ANCHORS'!$C$7:$C$766,"&lt;"&amp;G102)+COUNTIFS('93_REF_ANCHORS'!$A$7:$A$766,D102,'93_REF_ANCHORS'!$C$7:$C$766,"&lt;="&amp;G102)-1)/(2*(H102-1)))</x:f>
      </x:c>
      <x:c r="J102" s="34" t="str">
        <x:f>IF(B102="","",IF(COUNT(E102)=0,"MISSING",IF(NOT(ISNUMBER(E102)),"INVALID",IF(E102*F102&lt;K102,"WINSORIZED LOW",IF(E102*F102&gt;L102,"WINSORIZED HIGH","OK")))))</x:f>
      </x:c>
      <x:c r="K102" s="34" t="n">
        <x:v>-3163.7500000000014</x:v>
      </x:c>
      <x:c r="L102" s="34" t="n">
        <x:v>189.68191301719997</x:v>
      </x:c>
      <x:c r="M102" s="34" t="n">
        <x:v>0.08333333333333333</x:v>
      </x:c>
      <x:c r="N102" s="34" t="str">
        <x:v>no</x:v>
      </x:c>
    </x:row>
    <x:row r="103">
      <x:c r="A103" s="34" t="n">
        <x:v>10</x:v>
      </x:c>
      <x:c r="B103" s="34" t="str">
        <x:f>IF('01_INPUT_COMPANIES'!$A$16="","",'01_INPUT_COMPANIES'!$A$16)</x:f>
      </x:c>
      <x:c r="C103" s="34" t="str">
        <x:f>IF(B103="","",'01_INPUT_COMPANIES'!$B$16)</x:f>
      </x:c>
      <x:c r="D103" s="34" t="str">
        <x:v>ip_assetization_gap</x:v>
      </x:c>
      <x:c r="E103" s="42" t="str">
        <x:f>IF(OR(B103="",COUNT('01_INPUT_COMPANIES'!$Z$16)=0),"",'01_INPUT_COMPANIES'!$Z$16)</x:f>
      </x:c>
      <x:c r="F103" s="42" t="n">
        <x:v>1</x:v>
      </x:c>
      <x:c r="G103" s="42" t="str">
        <x:f>IF(NOT(ISNUMBER(E103)),"",MAX(K103,MIN(L103,E103*F103)))</x:f>
      </x:c>
      <x:c r="H103" s="42" t="n">
        <x:v>92</x:v>
      </x:c>
      <x:c r="I103" s="42" t="str">
        <x:f>IF(COUNT(G103)=0,"",(COUNTIFS('93_REF_ANCHORS'!$A$7:$A$766,D103,'93_REF_ANCHORS'!$C$7:$C$766,"&lt;"&amp;G103)+COUNTIFS('93_REF_ANCHORS'!$A$7:$A$766,D103,'93_REF_ANCHORS'!$C$7:$C$766,"&lt;="&amp;G103)-1)/(2*(H103-1)))</x:f>
      </x:c>
      <x:c r="J103" s="34" t="str">
        <x:f>IF(B103="","",IF(COUNT(E103)=0,"MISSING",IF(NOT(ISNUMBER(E103)),"INVALID",IF(E103*F103&lt;K103,"WINSORIZED LOW",IF(E103*F103&gt;L103,"WINSORIZED HIGH","OK")))))</x:f>
      </x:c>
      <x:c r="K103" s="34" t="n">
        <x:v>-1.6707152386</x:v>
      </x:c>
      <x:c r="L103" s="34" t="n">
        <x:v>0.7716332556000001</x:v>
      </x:c>
      <x:c r="M103" s="34" t="n">
        <x:v>0.08333333333333333</x:v>
      </x:c>
      <x:c r="N103" s="34" t="str">
        <x:v>no</x:v>
      </x:c>
    </x:row>
    <x:row r="104">
      <x:c r="A104" s="34" t="n">
        <x:v>10</x:v>
      </x:c>
      <x:c r="B104" s="34" t="str">
        <x:f>IF('01_INPUT_COMPANIES'!$A$16="","",'01_INPUT_COMPANIES'!$A$16)</x:f>
      </x:c>
      <x:c r="C104" s="34" t="str">
        <x:f>IF(B104="","",'01_INPUT_COMPANIES'!$B$16)</x:f>
      </x:c>
      <x:c r="D104" s="34" t="str">
        <x:v>cross_market_transfer_index</x:v>
      </x:c>
      <x:c r="E104" s="42" t="str">
        <x:f>IF(OR(B104="",COUNT('01_INPUT_COMPANIES'!$AA$16)=0),"",'01_INPUT_COMPANIES'!$AA$16)</x:f>
      </x:c>
      <x:c r="F104" s="42" t="n">
        <x:v>1</x:v>
      </x:c>
      <x:c r="G104" s="42" t="str">
        <x:f>IF(NOT(ISNUMBER(E104)),"",MAX(K104,MIN(L104,E104*F104)))</x:f>
      </x:c>
      <x:c r="H104" s="42" t="n">
        <x:v>4</x:v>
      </x:c>
      <x:c r="I104" s="42" t="str">
        <x:f>IF(COUNT(G104)=0,"",(COUNTIFS('93_REF_ANCHORS'!$A$7:$A$766,D104,'93_REF_ANCHORS'!$C$7:$C$766,"&lt;"&amp;G104)+COUNTIFS('93_REF_ANCHORS'!$A$7:$A$766,D104,'93_REF_ANCHORS'!$C$7:$C$766,"&lt;="&amp;G104)-1)/(2*(H104-1)))</x:f>
      </x:c>
      <x:c r="J104" s="34" t="str">
        <x:f>IF(B104="","",IF(COUNT(E104)=0,"MISSING",IF(NOT(ISNUMBER(E104)),"INVALID",IF(E104*F104&lt;K104,"WINSORIZED LOW",IF(E104*F104&gt;L104,"WINSORIZED HIGH","OK")))))</x:f>
      </x:c>
      <x:c r="K104" s="34" t="n">
        <x:v>0</x:v>
      </x:c>
      <x:c r="L104" s="34" t="n">
        <x:v>0.7587051325360435</x:v>
      </x:c>
      <x:c r="M104" s="34" t="n">
        <x:v>0.1111111111111111</x:v>
      </x:c>
      <x:c r="N104" s="34" t="str">
        <x:v>yes</x:v>
      </x:c>
    </x:row>
    <x:row r="105">
      <x:c r="A105" s="34" t="n">
        <x:v>10</x:v>
      </x:c>
      <x:c r="B105" s="34" t="str">
        <x:f>IF('01_INPUT_COMPANIES'!$A$16="","",'01_INPUT_COMPANIES'!$A$16)</x:f>
      </x:c>
      <x:c r="C105" s="34" t="str">
        <x:f>IF(B105="","",'01_INPUT_COMPANIES'!$B$16)</x:f>
      </x:c>
      <x:c r="D105" s="34" t="str">
        <x:v>foreign_dependency_ratio</x:v>
      </x:c>
      <x:c r="E105" s="42" t="str">
        <x:f>IF(OR(B105="",COUNT('01_INPUT_COMPANIES'!$AB$16)=0),"",'01_INPUT_COMPANIES'!$AB$16)</x:f>
      </x:c>
      <x:c r="F105" s="42" t="n">
        <x:v>1</x:v>
      </x:c>
      <x:c r="G105" s="42" t="str">
        <x:f>IF(NOT(ISNUMBER(E105)),"",MAX(K105,MIN(L105,E105*F105)))</x:f>
      </x:c>
      <x:c r="H105" s="42" t="n">
        <x:v>84</x:v>
      </x:c>
      <x:c r="I105" s="42" t="str">
        <x:f>IF(COUNT(G105)=0,"",(COUNTIFS('93_REF_ANCHORS'!$A$7:$A$766,D105,'93_REF_ANCHORS'!$C$7:$C$766,"&lt;"&amp;G105)+COUNTIFS('93_REF_ANCHORS'!$A$7:$A$766,D105,'93_REF_ANCHORS'!$C$7:$C$766,"&lt;="&amp;G105)-1)/(2*(H105-1)))</x:f>
      </x:c>
      <x:c r="J105" s="34" t="str">
        <x:f>IF(B105="","",IF(COUNT(E105)=0,"MISSING",IF(NOT(ISNUMBER(E105)),"INVALID",IF(E105*F105&lt;K105,"WINSORIZED LOW",IF(E105*F105&gt;L105,"WINSORIZED HIGH","OK")))))</x:f>
      </x:c>
      <x:c r="K105" s="34" t="n">
        <x:v>0.728196</x:v>
      </x:c>
      <x:c r="L105" s="34" t="n">
        <x:v>0.94</x:v>
      </x:c>
      <x:c r="M105" s="34" t="n">
        <x:v>0.1111111111111111</x:v>
      </x:c>
      <x:c r="N105" s="34" t="str">
        <x:v>yes</x:v>
      </x:c>
    </x:row>
    <x:row r="106">
      <x:c r="A106" s="34" t="n">
        <x:v>10</x:v>
      </x:c>
      <x:c r="B106" s="34" t="str">
        <x:f>IF('01_INPUT_COMPANIES'!$A$16="","",'01_INPUT_COMPANIES'!$A$16)</x:f>
      </x:c>
      <x:c r="C106" s="34" t="str">
        <x:f>IF(B106="","",'01_INPUT_COMPANIES'!$B$16)</x:f>
      </x:c>
      <x:c r="D106" s="34" t="str">
        <x:v>outflow_to_capex_ratio</x:v>
      </x:c>
      <x:c r="E106" s="42" t="str">
        <x:f>IF(OR(B106="",COUNT('01_INPUT_COMPANIES'!$AC$16)=0),"",'01_INPUT_COMPANIES'!$AC$16)</x:f>
      </x:c>
      <x:c r="F106" s="42" t="n">
        <x:v>1</x:v>
      </x:c>
      <x:c r="G106" s="42" t="str">
        <x:f>IF(NOT(ISNUMBER(E106)),"",MAX(K106,MIN(L106,E106*F106)))</x:f>
      </x:c>
      <x:c r="H106" s="42" t="n">
        <x:v>97</x:v>
      </x:c>
      <x:c r="I106" s="42" t="str">
        <x:f>IF(COUNT(G106)=0,"",(COUNTIFS('93_REF_ANCHORS'!$A$7:$A$766,D106,'93_REF_ANCHORS'!$C$7:$C$766,"&lt;"&amp;G106)+COUNTIFS('93_REF_ANCHORS'!$A$7:$A$766,D106,'93_REF_ANCHORS'!$C$7:$C$766,"&lt;="&amp;G106)-1)/(2*(H106-1)))</x:f>
      </x:c>
      <x:c r="J106" s="34" t="str">
        <x:f>IF(B106="","",IF(COUNT(E106)=0,"MISSING",IF(NOT(ISNUMBER(E106)),"INVALID",IF(E106*F106&lt;K106,"WINSORIZED LOW",IF(E106*F106&gt;L106,"WINSORIZED HIGH","OK")))))</x:f>
      </x:c>
      <x:c r="K106" s="34" t="n">
        <x:v>-123.5385890408</x:v>
      </x:c>
      <x:c r="L106" s="34" t="n">
        <x:v>974.1666666666999</x:v>
      </x:c>
      <x:c r="M106" s="34" t="n">
        <x:v>0.1111111111111111</x:v>
      </x:c>
      <x:c r="N106" s="34" t="str">
        <x:v>no</x:v>
      </x:c>
    </x:row>
    <x:row r="107">
      <x:c r="A107" s="34" t="n">
        <x:v>11</x:v>
      </x:c>
      <x:c r="B107" s="34" t="str">
        <x:f>IF('01_INPUT_COMPANIES'!$A$17="","",'01_INPUT_COMPANIES'!$A$17)</x:f>
      </x:c>
      <x:c r="C107" s="34" t="str">
        <x:f>IF(B107="","",'01_INPUT_COMPANIES'!$B$17)</x:f>
      </x:c>
      <x:c r="D107" s="34" t="str">
        <x:v>effective_tax_rate_gap</x:v>
      </x:c>
      <x:c r="E107" s="42" t="str">
        <x:f>IF(OR(B107="",COUNT('01_INPUT_COMPANIES'!$T$17)=0),"",'01_INPUT_COMPANIES'!$T$17)</x:f>
      </x:c>
      <x:c r="F107" s="42" t="n">
        <x:v>1</x:v>
      </x:c>
      <x:c r="G107" s="42" t="str">
        <x:f>IF(NOT(ISNUMBER(E107)),"",MAX(K107,MIN(L107,E107*F107)))</x:f>
      </x:c>
      <x:c r="H107" s="42" t="n">
        <x:v>74</x:v>
      </x:c>
      <x:c r="I107" s="42" t="str">
        <x:f>IF(COUNT(G107)=0,"",(COUNTIFS('93_REF_ANCHORS'!$A$7:$A$766,D107,'93_REF_ANCHORS'!$C$7:$C$766,"&lt;"&amp;G107)+COUNTIFS('93_REF_ANCHORS'!$A$7:$A$766,D107,'93_REF_ANCHORS'!$C$7:$C$766,"&lt;="&amp;G107)-1)/(2*(H107-1)))</x:f>
      </x:c>
      <x:c r="J107" s="34" t="str">
        <x:f>IF(B107="","",IF(COUNT(E107)=0,"MISSING",IF(NOT(ISNUMBER(E107)),"INVALID",IF(E107*F107&lt;K107,"WINSORIZED LOW",IF(E107*F107&gt;L107,"WINSORIZED HIGH","OK")))))</x:f>
      </x:c>
      <x:c r="K107" s="34" t="n">
        <x:v>-0.1416111014</x:v>
      </x:c>
      <x:c r="L107" s="34" t="n">
        <x:v>0.2683650488</x:v>
      </x:c>
      <x:c r="M107" s="34" t="n">
        <x:v>0.1111111111111111</x:v>
      </x:c>
      <x:c r="N107" s="34" t="str">
        <x:v>no</x:v>
      </x:c>
    </x:row>
    <x:row r="108">
      <x:c r="A108" s="34" t="n">
        <x:v>11</x:v>
      </x:c>
      <x:c r="B108" s="34" t="str">
        <x:f>IF('01_INPUT_COMPANIES'!$A$17="","",'01_INPUT_COMPANIES'!$A$17)</x:f>
      </x:c>
      <x:c r="C108" s="34" t="str">
        <x:f>IF(B108="","",'01_INPUT_COMPANIES'!$B$17)</x:f>
      </x:c>
      <x:c r="D108" s="34" t="str">
        <x:v>infra_dependency_ratio</x:v>
      </x:c>
      <x:c r="E108" s="42" t="str">
        <x:f>IF(OR(B108="",COUNT('01_INPUT_COMPANIES'!$U$17)=0),"",'01_INPUT_COMPANIES'!$U$17)</x:f>
      </x:c>
      <x:c r="F108" s="42" t="n">
        <x:v>1</x:v>
      </x:c>
      <x:c r="G108" s="42" t="str">
        <x:f>IF(NOT(ISNUMBER(E108)),"",MAX(K108,MIN(L108,E108*F108)))</x:f>
      </x:c>
      <x:c r="H108" s="42" t="n">
        <x:v>64</x:v>
      </x:c>
      <x:c r="I108" s="42" t="str">
        <x:f>IF(COUNT(G108)=0,"",(COUNTIFS('93_REF_ANCHORS'!$A$7:$A$766,D108,'93_REF_ANCHORS'!$C$7:$C$766,"&lt;"&amp;G108)+COUNTIFS('93_REF_ANCHORS'!$A$7:$A$766,D108,'93_REF_ANCHORS'!$C$7:$C$766,"&lt;="&amp;G108)-1)/(2*(H108-1)))</x:f>
      </x:c>
      <x:c r="J108" s="34" t="str">
        <x:f>IF(B108="","",IF(COUNT(E108)=0,"MISSING",IF(NOT(ISNUMBER(E108)),"INVALID",IF(E108*F108&lt;K108,"WINSORIZED LOW",IF(E108*F108&gt;L108,"WINSORIZED HIGH","OK")))))</x:f>
      </x:c>
      <x:c r="K108" s="34" t="n">
        <x:v>-0.10705024705171803</x:v>
      </x:c>
      <x:c r="L108" s="34" t="n">
        <x:v>0.8008753865408955</x:v>
      </x:c>
      <x:c r="M108" s="34" t="n">
        <x:v>0.1111111111111111</x:v>
      </x:c>
      <x:c r="N108" s="34" t="str">
        <x:v>no</x:v>
      </x:c>
    </x:row>
    <x:row r="109">
      <x:c r="A109" s="34" t="n">
        <x:v>11</x:v>
      </x:c>
      <x:c r="B109" s="34" t="str">
        <x:f>IF('01_INPUT_COMPANIES'!$A$17="","",'01_INPUT_COMPANIES'!$A$17)</x:f>
      </x:c>
      <x:c r="C109" s="34" t="str">
        <x:f>IF(B109="","",'01_INPUT_COMPANIES'!$B$17)</x:f>
      </x:c>
      <x:c r="D109" s="34" t="str">
        <x:v>network_cost_ratio</x:v>
      </x:c>
      <x:c r="E109" s="42" t="str">
        <x:f>IF(OR(B109="",COUNT('01_INPUT_COMPANIES'!$V$17)=0),"",'01_INPUT_COMPANIES'!$V$17)</x:f>
      </x:c>
      <x:c r="F109" s="42" t="n">
        <x:v>1</x:v>
      </x:c>
      <x:c r="G109" s="42" t="str">
        <x:f>IF(NOT(ISNUMBER(E109)),"",MAX(K109,MIN(L109,E109*F109)))</x:f>
      </x:c>
      <x:c r="H109" s="42" t="n">
        <x:v>97</x:v>
      </x:c>
      <x:c r="I109" s="42" t="str">
        <x:f>IF(COUNT(G109)=0,"",(COUNTIFS('93_REF_ANCHORS'!$A$7:$A$766,D109,'93_REF_ANCHORS'!$C$7:$C$766,"&lt;"&amp;G109)+COUNTIFS('93_REF_ANCHORS'!$A$7:$A$766,D109,'93_REF_ANCHORS'!$C$7:$C$766,"&lt;="&amp;G109)-1)/(2*(H109-1)))</x:f>
      </x:c>
      <x:c r="J109" s="34" t="str">
        <x:f>IF(B109="","",IF(COUNT(E109)=0,"MISSING",IF(NOT(ISNUMBER(E109)),"INVALID",IF(E109*F109&lt;K109,"WINSORIZED LOW",IF(E109*F109&gt;L109,"WINSORIZED HIGH","OK")))))</x:f>
      </x:c>
      <x:c r="K109" s="34" t="n">
        <x:v>-0.1395374353</x:v>
      </x:c>
      <x:c r="L109" s="34" t="n">
        <x:v>0.9274274845000001</x:v>
      </x:c>
      <x:c r="M109" s="34" t="n">
        <x:v>0.1111111111111111</x:v>
      </x:c>
      <x:c r="N109" s="34" t="str">
        <x:v>no</x:v>
      </x:c>
    </x:row>
    <x:row r="110">
      <x:c r="A110" s="34" t="n">
        <x:v>11</x:v>
      </x:c>
      <x:c r="B110" s="34" t="str">
        <x:f>IF('01_INPUT_COMPANIES'!$A$17="","",'01_INPUT_COMPANIES'!$A$17)</x:f>
      </x:c>
      <x:c r="C110" s="34" t="str">
        <x:f>IF(B110="","",'01_INPUT_COMPANIES'!$B$17)</x:f>
      </x:c>
      <x:c r="D110" s="34" t="str">
        <x:v>cashflow_recovery_ratio</x:v>
      </x:c>
      <x:c r="E110" s="42" t="str">
        <x:f>IF(OR(B110="",COUNT('01_INPUT_COMPANIES'!$W$17)=0),"",'01_INPUT_COMPANIES'!$W$17)</x:f>
      </x:c>
      <x:c r="F110" s="42" t="n">
        <x:v>-1</x:v>
      </x:c>
      <x:c r="G110" s="42" t="str">
        <x:f>IF(NOT(ISNUMBER(E110)),"",MAX(K110,MIN(L110,E110*F110)))</x:f>
      </x:c>
      <x:c r="H110" s="42" t="n">
        <x:v>95</x:v>
      </x:c>
      <x:c r="I110" s="42" t="str">
        <x:f>IF(COUNT(G110)=0,"",(COUNTIFS('93_REF_ANCHORS'!$A$7:$A$766,D110,'93_REF_ANCHORS'!$C$7:$C$766,"&lt;"&amp;G110)+COUNTIFS('93_REF_ANCHORS'!$A$7:$A$766,D110,'93_REF_ANCHORS'!$C$7:$C$766,"&lt;="&amp;G110)-1)/(2*(H110-1)))</x:f>
      </x:c>
      <x:c r="J110" s="34" t="str">
        <x:f>IF(B110="","",IF(COUNT(E110)=0,"MISSING",IF(NOT(ISNUMBER(E110)),"INVALID",IF(E110*F110&lt;K110,"WINSORIZED LOW",IF(E110*F110&gt;L110,"WINSORIZED HIGH","OK")))))</x:f>
      </x:c>
      <x:c r="K110" s="34" t="n">
        <x:v>-300.75</x:v>
      </x:c>
      <x:c r="L110" s="34" t="n">
        <x:v>42.6920305469</x:v>
      </x:c>
      <x:c r="M110" s="34" t="n">
        <x:v>0.08333333333333333</x:v>
      </x:c>
      <x:c r="N110" s="34" t="str">
        <x:v>no</x:v>
      </x:c>
    </x:row>
    <x:row r="111">
      <x:c r="A111" s="34" t="n">
        <x:v>11</x:v>
      </x:c>
      <x:c r="B111" s="34" t="str">
        <x:f>IF('01_INPUT_COMPANIES'!$A$17="","",'01_INPUT_COMPANIES'!$A$17)</x:f>
      </x:c>
      <x:c r="C111" s="34" t="str">
        <x:f>IF(B111="","",'01_INPUT_COMPANIES'!$B$17)</x:f>
      </x:c>
      <x:c r="D111" s="34" t="str">
        <x:v>funding_cost_spread</x:v>
      </x:c>
      <x:c r="E111" s="42" t="str">
        <x:f>IF(OR(B111="",COUNT('01_INPUT_COMPANIES'!$X$17)=0),"",'01_INPUT_COMPANIES'!$X$17)</x:f>
      </x:c>
      <x:c r="F111" s="42" t="n">
        <x:v>1</x:v>
      </x:c>
      <x:c r="G111" s="42" t="str">
        <x:f>IF(NOT(ISNUMBER(E111)),"",MAX(K111,MIN(L111,E111*F111)))</x:f>
      </x:c>
      <x:c r="H111" s="42" t="n">
        <x:v>58</x:v>
      </x:c>
      <x:c r="I111" s="42" t="str">
        <x:f>IF(COUNT(G111)=0,"",(COUNTIFS('93_REF_ANCHORS'!$A$7:$A$766,D111,'93_REF_ANCHORS'!$C$7:$C$766,"&lt;"&amp;G111)+COUNTIFS('93_REF_ANCHORS'!$A$7:$A$766,D111,'93_REF_ANCHORS'!$C$7:$C$766,"&lt;="&amp;G111)-1)/(2*(H111-1)))</x:f>
      </x:c>
      <x:c r="J111" s="34" t="str">
        <x:f>IF(B111="","",IF(COUNT(E111)=0,"MISSING",IF(NOT(ISNUMBER(E111)),"INVALID",IF(E111*F111&lt;K111,"WINSORIZED LOW",IF(E111*F111&gt;L111,"WINSORIZED HIGH","OK")))))</x:f>
      </x:c>
      <x:c r="K111" s="34" t="n">
        <x:v>-0.4430292903</x:v>
      </x:c>
      <x:c r="L111" s="34" t="n">
        <x:v>0.5068913103</x:v>
      </x:c>
      <x:c r="M111" s="34" t="n">
        <x:v>0.08333333333333333</x:v>
      </x:c>
      <x:c r="N111" s="34" t="str">
        <x:v>no</x:v>
      </x:c>
    </x:row>
    <x:row r="112">
      <x:c r="A112" s="34" t="n">
        <x:v>11</x:v>
      </x:c>
      <x:c r="B112" s="34" t="str">
        <x:f>IF('01_INPUT_COMPANIES'!$A$17="","",'01_INPUT_COMPANIES'!$A$17)</x:f>
      </x:c>
      <x:c r="C112" s="34" t="str">
        <x:f>IF(B112="","",'01_INPUT_COMPANIES'!$B$17)</x:f>
      </x:c>
      <x:c r="D112" s="34" t="str">
        <x:v>investment_recovery_ratio</x:v>
      </x:c>
      <x:c r="E112" s="42" t="str">
        <x:f>IF(OR(B112="",COUNT('01_INPUT_COMPANIES'!$Y$17)=0),"",'01_INPUT_COMPANIES'!$Y$17)</x:f>
      </x:c>
      <x:c r="F112" s="42" t="n">
        <x:v>-1</x:v>
      </x:c>
      <x:c r="G112" s="42" t="str">
        <x:f>IF(NOT(ISNUMBER(E112)),"",MAX(K112,MIN(L112,E112*F112)))</x:f>
      </x:c>
      <x:c r="H112" s="42" t="n">
        <x:v>95</x:v>
      </x:c>
      <x:c r="I112" s="42" t="str">
        <x:f>IF(COUNT(G112)=0,"",(COUNTIFS('93_REF_ANCHORS'!$A$7:$A$766,D112,'93_REF_ANCHORS'!$C$7:$C$766,"&lt;"&amp;G112)+COUNTIFS('93_REF_ANCHORS'!$A$7:$A$766,D112,'93_REF_ANCHORS'!$C$7:$C$766,"&lt;="&amp;G112)-1)/(2*(H112-1)))</x:f>
      </x:c>
      <x:c r="J112" s="34" t="str">
        <x:f>IF(B112="","",IF(COUNT(E112)=0,"MISSING",IF(NOT(ISNUMBER(E112)),"INVALID",IF(E112*F112&lt;K112,"WINSORIZED LOW",IF(E112*F112&gt;L112,"WINSORIZED HIGH","OK")))))</x:f>
      </x:c>
      <x:c r="K112" s="34" t="n">
        <x:v>-3163.7500000000014</x:v>
      </x:c>
      <x:c r="L112" s="34" t="n">
        <x:v>189.68191301719997</x:v>
      </x:c>
      <x:c r="M112" s="34" t="n">
        <x:v>0.08333333333333333</x:v>
      </x:c>
      <x:c r="N112" s="34" t="str">
        <x:v>no</x:v>
      </x:c>
    </x:row>
    <x:row r="113">
      <x:c r="A113" s="34" t="n">
        <x:v>11</x:v>
      </x:c>
      <x:c r="B113" s="34" t="str">
        <x:f>IF('01_INPUT_COMPANIES'!$A$17="","",'01_INPUT_COMPANIES'!$A$17)</x:f>
      </x:c>
      <x:c r="C113" s="34" t="str">
        <x:f>IF(B113="","",'01_INPUT_COMPANIES'!$B$17)</x:f>
      </x:c>
      <x:c r="D113" s="34" t="str">
        <x:v>ip_assetization_gap</x:v>
      </x:c>
      <x:c r="E113" s="42" t="str">
        <x:f>IF(OR(B113="",COUNT('01_INPUT_COMPANIES'!$Z$17)=0),"",'01_INPUT_COMPANIES'!$Z$17)</x:f>
      </x:c>
      <x:c r="F113" s="42" t="n">
        <x:v>1</x:v>
      </x:c>
      <x:c r="G113" s="42" t="str">
        <x:f>IF(NOT(ISNUMBER(E113)),"",MAX(K113,MIN(L113,E113*F113)))</x:f>
      </x:c>
      <x:c r="H113" s="42" t="n">
        <x:v>92</x:v>
      </x:c>
      <x:c r="I113" s="42" t="str">
        <x:f>IF(COUNT(G113)=0,"",(COUNTIFS('93_REF_ANCHORS'!$A$7:$A$766,D113,'93_REF_ANCHORS'!$C$7:$C$766,"&lt;"&amp;G113)+COUNTIFS('93_REF_ANCHORS'!$A$7:$A$766,D113,'93_REF_ANCHORS'!$C$7:$C$766,"&lt;="&amp;G113)-1)/(2*(H113-1)))</x:f>
      </x:c>
      <x:c r="J113" s="34" t="str">
        <x:f>IF(B113="","",IF(COUNT(E113)=0,"MISSING",IF(NOT(ISNUMBER(E113)),"INVALID",IF(E113*F113&lt;K113,"WINSORIZED LOW",IF(E113*F113&gt;L113,"WINSORIZED HIGH","OK")))))</x:f>
      </x:c>
      <x:c r="K113" s="34" t="n">
        <x:v>-1.6707152386</x:v>
      </x:c>
      <x:c r="L113" s="34" t="n">
        <x:v>0.7716332556000001</x:v>
      </x:c>
      <x:c r="M113" s="34" t="n">
        <x:v>0.08333333333333333</x:v>
      </x:c>
      <x:c r="N113" s="34" t="str">
        <x:v>no</x:v>
      </x:c>
    </x:row>
    <x:row r="114">
      <x:c r="A114" s="34" t="n">
        <x:v>11</x:v>
      </x:c>
      <x:c r="B114" s="34" t="str">
        <x:f>IF('01_INPUT_COMPANIES'!$A$17="","",'01_INPUT_COMPANIES'!$A$17)</x:f>
      </x:c>
      <x:c r="C114" s="34" t="str">
        <x:f>IF(B114="","",'01_INPUT_COMPANIES'!$B$17)</x:f>
      </x:c>
      <x:c r="D114" s="34" t="str">
        <x:v>cross_market_transfer_index</x:v>
      </x:c>
      <x:c r="E114" s="42" t="str">
        <x:f>IF(OR(B114="",COUNT('01_INPUT_COMPANIES'!$AA$17)=0),"",'01_INPUT_COMPANIES'!$AA$17)</x:f>
      </x:c>
      <x:c r="F114" s="42" t="n">
        <x:v>1</x:v>
      </x:c>
      <x:c r="G114" s="42" t="str">
        <x:f>IF(NOT(ISNUMBER(E114)),"",MAX(K114,MIN(L114,E114*F114)))</x:f>
      </x:c>
      <x:c r="H114" s="42" t="n">
        <x:v>4</x:v>
      </x:c>
      <x:c r="I114" s="42" t="str">
        <x:f>IF(COUNT(G114)=0,"",(COUNTIFS('93_REF_ANCHORS'!$A$7:$A$766,D114,'93_REF_ANCHORS'!$C$7:$C$766,"&lt;"&amp;G114)+COUNTIFS('93_REF_ANCHORS'!$A$7:$A$766,D114,'93_REF_ANCHORS'!$C$7:$C$766,"&lt;="&amp;G114)-1)/(2*(H114-1)))</x:f>
      </x:c>
      <x:c r="J114" s="34" t="str">
        <x:f>IF(B114="","",IF(COUNT(E114)=0,"MISSING",IF(NOT(ISNUMBER(E114)),"INVALID",IF(E114*F114&lt;K114,"WINSORIZED LOW",IF(E114*F114&gt;L114,"WINSORIZED HIGH","OK")))))</x:f>
      </x:c>
      <x:c r="K114" s="34" t="n">
        <x:v>0</x:v>
      </x:c>
      <x:c r="L114" s="34" t="n">
        <x:v>0.7587051325360435</x:v>
      </x:c>
      <x:c r="M114" s="34" t="n">
        <x:v>0.1111111111111111</x:v>
      </x:c>
      <x:c r="N114" s="34" t="str">
        <x:v>yes</x:v>
      </x:c>
    </x:row>
    <x:row r="115">
      <x:c r="A115" s="34" t="n">
        <x:v>11</x:v>
      </x:c>
      <x:c r="B115" s="34" t="str">
        <x:f>IF('01_INPUT_COMPANIES'!$A$17="","",'01_INPUT_COMPANIES'!$A$17)</x:f>
      </x:c>
      <x:c r="C115" s="34" t="str">
        <x:f>IF(B115="","",'01_INPUT_COMPANIES'!$B$17)</x:f>
      </x:c>
      <x:c r="D115" s="34" t="str">
        <x:v>foreign_dependency_ratio</x:v>
      </x:c>
      <x:c r="E115" s="42" t="str">
        <x:f>IF(OR(B115="",COUNT('01_INPUT_COMPANIES'!$AB$17)=0),"",'01_INPUT_COMPANIES'!$AB$17)</x:f>
      </x:c>
      <x:c r="F115" s="42" t="n">
        <x:v>1</x:v>
      </x:c>
      <x:c r="G115" s="42" t="str">
        <x:f>IF(NOT(ISNUMBER(E115)),"",MAX(K115,MIN(L115,E115*F115)))</x:f>
      </x:c>
      <x:c r="H115" s="42" t="n">
        <x:v>84</x:v>
      </x:c>
      <x:c r="I115" s="42" t="str">
        <x:f>IF(COUNT(G115)=0,"",(COUNTIFS('93_REF_ANCHORS'!$A$7:$A$766,D115,'93_REF_ANCHORS'!$C$7:$C$766,"&lt;"&amp;G115)+COUNTIFS('93_REF_ANCHORS'!$A$7:$A$766,D115,'93_REF_ANCHORS'!$C$7:$C$766,"&lt;="&amp;G115)-1)/(2*(H115-1)))</x:f>
      </x:c>
      <x:c r="J115" s="34" t="str">
        <x:f>IF(B115="","",IF(COUNT(E115)=0,"MISSING",IF(NOT(ISNUMBER(E115)),"INVALID",IF(E115*F115&lt;K115,"WINSORIZED LOW",IF(E115*F115&gt;L115,"WINSORIZED HIGH","OK")))))</x:f>
      </x:c>
      <x:c r="K115" s="34" t="n">
        <x:v>0.728196</x:v>
      </x:c>
      <x:c r="L115" s="34" t="n">
        <x:v>0.94</x:v>
      </x:c>
      <x:c r="M115" s="34" t="n">
        <x:v>0.1111111111111111</x:v>
      </x:c>
      <x:c r="N115" s="34" t="str">
        <x:v>yes</x:v>
      </x:c>
    </x:row>
    <x:row r="116">
      <x:c r="A116" s="34" t="n">
        <x:v>11</x:v>
      </x:c>
      <x:c r="B116" s="34" t="str">
        <x:f>IF('01_INPUT_COMPANIES'!$A$17="","",'01_INPUT_COMPANIES'!$A$17)</x:f>
      </x:c>
      <x:c r="C116" s="34" t="str">
        <x:f>IF(B116="","",'01_INPUT_COMPANIES'!$B$17)</x:f>
      </x:c>
      <x:c r="D116" s="34" t="str">
        <x:v>outflow_to_capex_ratio</x:v>
      </x:c>
      <x:c r="E116" s="42" t="str">
        <x:f>IF(OR(B116="",COUNT('01_INPUT_COMPANIES'!$AC$17)=0),"",'01_INPUT_COMPANIES'!$AC$17)</x:f>
      </x:c>
      <x:c r="F116" s="42" t="n">
        <x:v>1</x:v>
      </x:c>
      <x:c r="G116" s="42" t="str">
        <x:f>IF(NOT(ISNUMBER(E116)),"",MAX(K116,MIN(L116,E116*F116)))</x:f>
      </x:c>
      <x:c r="H116" s="42" t="n">
        <x:v>97</x:v>
      </x:c>
      <x:c r="I116" s="42" t="str">
        <x:f>IF(COUNT(G116)=0,"",(COUNTIFS('93_REF_ANCHORS'!$A$7:$A$766,D116,'93_REF_ANCHORS'!$C$7:$C$766,"&lt;"&amp;G116)+COUNTIFS('93_REF_ANCHORS'!$A$7:$A$766,D116,'93_REF_ANCHORS'!$C$7:$C$766,"&lt;="&amp;G116)-1)/(2*(H116-1)))</x:f>
      </x:c>
      <x:c r="J116" s="34" t="str">
        <x:f>IF(B116="","",IF(COUNT(E116)=0,"MISSING",IF(NOT(ISNUMBER(E116)),"INVALID",IF(E116*F116&lt;K116,"WINSORIZED LOW",IF(E116*F116&gt;L116,"WINSORIZED HIGH","OK")))))</x:f>
      </x:c>
      <x:c r="K116" s="34" t="n">
        <x:v>-123.5385890408</x:v>
      </x:c>
      <x:c r="L116" s="34" t="n">
        <x:v>974.1666666666999</x:v>
      </x:c>
      <x:c r="M116" s="34" t="n">
        <x:v>0.1111111111111111</x:v>
      </x:c>
      <x:c r="N116" s="34" t="str">
        <x:v>no</x:v>
      </x:c>
    </x:row>
    <x:row r="117">
      <x:c r="A117" s="34" t="n">
        <x:v>12</x:v>
      </x:c>
      <x:c r="B117" s="34" t="str">
        <x:f>IF('01_INPUT_COMPANIES'!$A$18="","",'01_INPUT_COMPANIES'!$A$18)</x:f>
      </x:c>
      <x:c r="C117" s="34" t="str">
        <x:f>IF(B117="","",'01_INPUT_COMPANIES'!$B$18)</x:f>
      </x:c>
      <x:c r="D117" s="34" t="str">
        <x:v>effective_tax_rate_gap</x:v>
      </x:c>
      <x:c r="E117" s="42" t="str">
        <x:f>IF(OR(B117="",COUNT('01_INPUT_COMPANIES'!$T$18)=0),"",'01_INPUT_COMPANIES'!$T$18)</x:f>
      </x:c>
      <x:c r="F117" s="42" t="n">
        <x:v>1</x:v>
      </x:c>
      <x:c r="G117" s="42" t="str">
        <x:f>IF(NOT(ISNUMBER(E117)),"",MAX(K117,MIN(L117,E117*F117)))</x:f>
      </x:c>
      <x:c r="H117" s="42" t="n">
        <x:v>74</x:v>
      </x:c>
      <x:c r="I117" s="42" t="str">
        <x:f>IF(COUNT(G117)=0,"",(COUNTIFS('93_REF_ANCHORS'!$A$7:$A$766,D117,'93_REF_ANCHORS'!$C$7:$C$766,"&lt;"&amp;G117)+COUNTIFS('93_REF_ANCHORS'!$A$7:$A$766,D117,'93_REF_ANCHORS'!$C$7:$C$766,"&lt;="&amp;G117)-1)/(2*(H117-1)))</x:f>
      </x:c>
      <x:c r="J117" s="34" t="str">
        <x:f>IF(B117="","",IF(COUNT(E117)=0,"MISSING",IF(NOT(ISNUMBER(E117)),"INVALID",IF(E117*F117&lt;K117,"WINSORIZED LOW",IF(E117*F117&gt;L117,"WINSORIZED HIGH","OK")))))</x:f>
      </x:c>
      <x:c r="K117" s="34" t="n">
        <x:v>-0.1416111014</x:v>
      </x:c>
      <x:c r="L117" s="34" t="n">
        <x:v>0.2683650488</x:v>
      </x:c>
      <x:c r="M117" s="34" t="n">
        <x:v>0.1111111111111111</x:v>
      </x:c>
      <x:c r="N117" s="34" t="str">
        <x:v>no</x:v>
      </x:c>
    </x:row>
    <x:row r="118">
      <x:c r="A118" s="34" t="n">
        <x:v>12</x:v>
      </x:c>
      <x:c r="B118" s="34" t="str">
        <x:f>IF('01_INPUT_COMPANIES'!$A$18="","",'01_INPUT_COMPANIES'!$A$18)</x:f>
      </x:c>
      <x:c r="C118" s="34" t="str">
        <x:f>IF(B118="","",'01_INPUT_COMPANIES'!$B$18)</x:f>
      </x:c>
      <x:c r="D118" s="34" t="str">
        <x:v>infra_dependency_ratio</x:v>
      </x:c>
      <x:c r="E118" s="42" t="str">
        <x:f>IF(OR(B118="",COUNT('01_INPUT_COMPANIES'!$U$18)=0),"",'01_INPUT_COMPANIES'!$U$18)</x:f>
      </x:c>
      <x:c r="F118" s="42" t="n">
        <x:v>1</x:v>
      </x:c>
      <x:c r="G118" s="42" t="str">
        <x:f>IF(NOT(ISNUMBER(E118)),"",MAX(K118,MIN(L118,E118*F118)))</x:f>
      </x:c>
      <x:c r="H118" s="42" t="n">
        <x:v>64</x:v>
      </x:c>
      <x:c r="I118" s="42" t="str">
        <x:f>IF(COUNT(G118)=0,"",(COUNTIFS('93_REF_ANCHORS'!$A$7:$A$766,D118,'93_REF_ANCHORS'!$C$7:$C$766,"&lt;"&amp;G118)+COUNTIFS('93_REF_ANCHORS'!$A$7:$A$766,D118,'93_REF_ANCHORS'!$C$7:$C$766,"&lt;="&amp;G118)-1)/(2*(H118-1)))</x:f>
      </x:c>
      <x:c r="J118" s="34" t="str">
        <x:f>IF(B118="","",IF(COUNT(E118)=0,"MISSING",IF(NOT(ISNUMBER(E118)),"INVALID",IF(E118*F118&lt;K118,"WINSORIZED LOW",IF(E118*F118&gt;L118,"WINSORIZED HIGH","OK")))))</x:f>
      </x:c>
      <x:c r="K118" s="34" t="n">
        <x:v>-0.10705024705171803</x:v>
      </x:c>
      <x:c r="L118" s="34" t="n">
        <x:v>0.8008753865408955</x:v>
      </x:c>
      <x:c r="M118" s="34" t="n">
        <x:v>0.1111111111111111</x:v>
      </x:c>
      <x:c r="N118" s="34" t="str">
        <x:v>no</x:v>
      </x:c>
    </x:row>
    <x:row r="119">
      <x:c r="A119" s="34" t="n">
        <x:v>12</x:v>
      </x:c>
      <x:c r="B119" s="34" t="str">
        <x:f>IF('01_INPUT_COMPANIES'!$A$18="","",'01_INPUT_COMPANIES'!$A$18)</x:f>
      </x:c>
      <x:c r="C119" s="34" t="str">
        <x:f>IF(B119="","",'01_INPUT_COMPANIES'!$B$18)</x:f>
      </x:c>
      <x:c r="D119" s="34" t="str">
        <x:v>network_cost_ratio</x:v>
      </x:c>
      <x:c r="E119" s="42" t="str">
        <x:f>IF(OR(B119="",COUNT('01_INPUT_COMPANIES'!$V$18)=0),"",'01_INPUT_COMPANIES'!$V$18)</x:f>
      </x:c>
      <x:c r="F119" s="42" t="n">
        <x:v>1</x:v>
      </x:c>
      <x:c r="G119" s="42" t="str">
        <x:f>IF(NOT(ISNUMBER(E119)),"",MAX(K119,MIN(L119,E119*F119)))</x:f>
      </x:c>
      <x:c r="H119" s="42" t="n">
        <x:v>97</x:v>
      </x:c>
      <x:c r="I119" s="42" t="str">
        <x:f>IF(COUNT(G119)=0,"",(COUNTIFS('93_REF_ANCHORS'!$A$7:$A$766,D119,'93_REF_ANCHORS'!$C$7:$C$766,"&lt;"&amp;G119)+COUNTIFS('93_REF_ANCHORS'!$A$7:$A$766,D119,'93_REF_ANCHORS'!$C$7:$C$766,"&lt;="&amp;G119)-1)/(2*(H119-1)))</x:f>
      </x:c>
      <x:c r="J119" s="34" t="str">
        <x:f>IF(B119="","",IF(COUNT(E119)=0,"MISSING",IF(NOT(ISNUMBER(E119)),"INVALID",IF(E119*F119&lt;K119,"WINSORIZED LOW",IF(E119*F119&gt;L119,"WINSORIZED HIGH","OK")))))</x:f>
      </x:c>
      <x:c r="K119" s="34" t="n">
        <x:v>-0.1395374353</x:v>
      </x:c>
      <x:c r="L119" s="34" t="n">
        <x:v>0.9274274845000001</x:v>
      </x:c>
      <x:c r="M119" s="34" t="n">
        <x:v>0.1111111111111111</x:v>
      </x:c>
      <x:c r="N119" s="34" t="str">
        <x:v>no</x:v>
      </x:c>
    </x:row>
    <x:row r="120">
      <x:c r="A120" s="34" t="n">
        <x:v>12</x:v>
      </x:c>
      <x:c r="B120" s="34" t="str">
        <x:f>IF('01_INPUT_COMPANIES'!$A$18="","",'01_INPUT_COMPANIES'!$A$18)</x:f>
      </x:c>
      <x:c r="C120" s="34" t="str">
        <x:f>IF(B120="","",'01_INPUT_COMPANIES'!$B$18)</x:f>
      </x:c>
      <x:c r="D120" s="34" t="str">
        <x:v>cashflow_recovery_ratio</x:v>
      </x:c>
      <x:c r="E120" s="42" t="str">
        <x:f>IF(OR(B120="",COUNT('01_INPUT_COMPANIES'!$W$18)=0),"",'01_INPUT_COMPANIES'!$W$18)</x:f>
      </x:c>
      <x:c r="F120" s="42" t="n">
        <x:v>-1</x:v>
      </x:c>
      <x:c r="G120" s="42" t="str">
        <x:f>IF(NOT(ISNUMBER(E120)),"",MAX(K120,MIN(L120,E120*F120)))</x:f>
      </x:c>
      <x:c r="H120" s="42" t="n">
        <x:v>95</x:v>
      </x:c>
      <x:c r="I120" s="42" t="str">
        <x:f>IF(COUNT(G120)=0,"",(COUNTIFS('93_REF_ANCHORS'!$A$7:$A$766,D120,'93_REF_ANCHORS'!$C$7:$C$766,"&lt;"&amp;G120)+COUNTIFS('93_REF_ANCHORS'!$A$7:$A$766,D120,'93_REF_ANCHORS'!$C$7:$C$766,"&lt;="&amp;G120)-1)/(2*(H120-1)))</x:f>
      </x:c>
      <x:c r="J120" s="34" t="str">
        <x:f>IF(B120="","",IF(COUNT(E120)=0,"MISSING",IF(NOT(ISNUMBER(E120)),"INVALID",IF(E120*F120&lt;K120,"WINSORIZED LOW",IF(E120*F120&gt;L120,"WINSORIZED HIGH","OK")))))</x:f>
      </x:c>
      <x:c r="K120" s="34" t="n">
        <x:v>-300.75</x:v>
      </x:c>
      <x:c r="L120" s="34" t="n">
        <x:v>42.6920305469</x:v>
      </x:c>
      <x:c r="M120" s="34" t="n">
        <x:v>0.08333333333333333</x:v>
      </x:c>
      <x:c r="N120" s="34" t="str">
        <x:v>no</x:v>
      </x:c>
    </x:row>
    <x:row r="121">
      <x:c r="A121" s="34" t="n">
        <x:v>12</x:v>
      </x:c>
      <x:c r="B121" s="34" t="str">
        <x:f>IF('01_INPUT_COMPANIES'!$A$18="","",'01_INPUT_COMPANIES'!$A$18)</x:f>
      </x:c>
      <x:c r="C121" s="34" t="str">
        <x:f>IF(B121="","",'01_INPUT_COMPANIES'!$B$18)</x:f>
      </x:c>
      <x:c r="D121" s="34" t="str">
        <x:v>funding_cost_spread</x:v>
      </x:c>
      <x:c r="E121" s="42" t="str">
        <x:f>IF(OR(B121="",COUNT('01_INPUT_COMPANIES'!$X$18)=0),"",'01_INPUT_COMPANIES'!$X$18)</x:f>
      </x:c>
      <x:c r="F121" s="42" t="n">
        <x:v>1</x:v>
      </x:c>
      <x:c r="G121" s="42" t="str">
        <x:f>IF(NOT(ISNUMBER(E121)),"",MAX(K121,MIN(L121,E121*F121)))</x:f>
      </x:c>
      <x:c r="H121" s="42" t="n">
        <x:v>58</x:v>
      </x:c>
      <x:c r="I121" s="42" t="str">
        <x:f>IF(COUNT(G121)=0,"",(COUNTIFS('93_REF_ANCHORS'!$A$7:$A$766,D121,'93_REF_ANCHORS'!$C$7:$C$766,"&lt;"&amp;G121)+COUNTIFS('93_REF_ANCHORS'!$A$7:$A$766,D121,'93_REF_ANCHORS'!$C$7:$C$766,"&lt;="&amp;G121)-1)/(2*(H121-1)))</x:f>
      </x:c>
      <x:c r="J121" s="34" t="str">
        <x:f>IF(B121="","",IF(COUNT(E121)=0,"MISSING",IF(NOT(ISNUMBER(E121)),"INVALID",IF(E121*F121&lt;K121,"WINSORIZED LOW",IF(E121*F121&gt;L121,"WINSORIZED HIGH","OK")))))</x:f>
      </x:c>
      <x:c r="K121" s="34" t="n">
        <x:v>-0.4430292903</x:v>
      </x:c>
      <x:c r="L121" s="34" t="n">
        <x:v>0.5068913103</x:v>
      </x:c>
      <x:c r="M121" s="34" t="n">
        <x:v>0.08333333333333333</x:v>
      </x:c>
      <x:c r="N121" s="34" t="str">
        <x:v>no</x:v>
      </x:c>
    </x:row>
    <x:row r="122">
      <x:c r="A122" s="34" t="n">
        <x:v>12</x:v>
      </x:c>
      <x:c r="B122" s="34" t="str">
        <x:f>IF('01_INPUT_COMPANIES'!$A$18="","",'01_INPUT_COMPANIES'!$A$18)</x:f>
      </x:c>
      <x:c r="C122" s="34" t="str">
        <x:f>IF(B122="","",'01_INPUT_COMPANIES'!$B$18)</x:f>
      </x:c>
      <x:c r="D122" s="34" t="str">
        <x:v>investment_recovery_ratio</x:v>
      </x:c>
      <x:c r="E122" s="42" t="str">
        <x:f>IF(OR(B122="",COUNT('01_INPUT_COMPANIES'!$Y$18)=0),"",'01_INPUT_COMPANIES'!$Y$18)</x:f>
      </x:c>
      <x:c r="F122" s="42" t="n">
        <x:v>-1</x:v>
      </x:c>
      <x:c r="G122" s="42" t="str">
        <x:f>IF(NOT(ISNUMBER(E122)),"",MAX(K122,MIN(L122,E122*F122)))</x:f>
      </x:c>
      <x:c r="H122" s="42" t="n">
        <x:v>95</x:v>
      </x:c>
      <x:c r="I122" s="42" t="str">
        <x:f>IF(COUNT(G122)=0,"",(COUNTIFS('93_REF_ANCHORS'!$A$7:$A$766,D122,'93_REF_ANCHORS'!$C$7:$C$766,"&lt;"&amp;G122)+COUNTIFS('93_REF_ANCHORS'!$A$7:$A$766,D122,'93_REF_ANCHORS'!$C$7:$C$766,"&lt;="&amp;G122)-1)/(2*(H122-1)))</x:f>
      </x:c>
      <x:c r="J122" s="34" t="str">
        <x:f>IF(B122="","",IF(COUNT(E122)=0,"MISSING",IF(NOT(ISNUMBER(E122)),"INVALID",IF(E122*F122&lt;K122,"WINSORIZED LOW",IF(E122*F122&gt;L122,"WINSORIZED HIGH","OK")))))</x:f>
      </x:c>
      <x:c r="K122" s="34" t="n">
        <x:v>-3163.7500000000014</x:v>
      </x:c>
      <x:c r="L122" s="34" t="n">
        <x:v>189.68191301719997</x:v>
      </x:c>
      <x:c r="M122" s="34" t="n">
        <x:v>0.08333333333333333</x:v>
      </x:c>
      <x:c r="N122" s="34" t="str">
        <x:v>no</x:v>
      </x:c>
    </x:row>
    <x:row r="123">
      <x:c r="A123" s="34" t="n">
        <x:v>12</x:v>
      </x:c>
      <x:c r="B123" s="34" t="str">
        <x:f>IF('01_INPUT_COMPANIES'!$A$18="","",'01_INPUT_COMPANIES'!$A$18)</x:f>
      </x:c>
      <x:c r="C123" s="34" t="str">
        <x:f>IF(B123="","",'01_INPUT_COMPANIES'!$B$18)</x:f>
      </x:c>
      <x:c r="D123" s="34" t="str">
        <x:v>ip_assetization_gap</x:v>
      </x:c>
      <x:c r="E123" s="42" t="str">
        <x:f>IF(OR(B123="",COUNT('01_INPUT_COMPANIES'!$Z$18)=0),"",'01_INPUT_COMPANIES'!$Z$18)</x:f>
      </x:c>
      <x:c r="F123" s="42" t="n">
        <x:v>1</x:v>
      </x:c>
      <x:c r="G123" s="42" t="str">
        <x:f>IF(NOT(ISNUMBER(E123)),"",MAX(K123,MIN(L123,E123*F123)))</x:f>
      </x:c>
      <x:c r="H123" s="42" t="n">
        <x:v>92</x:v>
      </x:c>
      <x:c r="I123" s="42" t="str">
        <x:f>IF(COUNT(G123)=0,"",(COUNTIFS('93_REF_ANCHORS'!$A$7:$A$766,D123,'93_REF_ANCHORS'!$C$7:$C$766,"&lt;"&amp;G123)+COUNTIFS('93_REF_ANCHORS'!$A$7:$A$766,D123,'93_REF_ANCHORS'!$C$7:$C$766,"&lt;="&amp;G123)-1)/(2*(H123-1)))</x:f>
      </x:c>
      <x:c r="J123" s="34" t="str">
        <x:f>IF(B123="","",IF(COUNT(E123)=0,"MISSING",IF(NOT(ISNUMBER(E123)),"INVALID",IF(E123*F123&lt;K123,"WINSORIZED LOW",IF(E123*F123&gt;L123,"WINSORIZED HIGH","OK")))))</x:f>
      </x:c>
      <x:c r="K123" s="34" t="n">
        <x:v>-1.6707152386</x:v>
      </x:c>
      <x:c r="L123" s="34" t="n">
        <x:v>0.7716332556000001</x:v>
      </x:c>
      <x:c r="M123" s="34" t="n">
        <x:v>0.08333333333333333</x:v>
      </x:c>
      <x:c r="N123" s="34" t="str">
        <x:v>no</x:v>
      </x:c>
    </x:row>
    <x:row r="124">
      <x:c r="A124" s="34" t="n">
        <x:v>12</x:v>
      </x:c>
      <x:c r="B124" s="34" t="str">
        <x:f>IF('01_INPUT_COMPANIES'!$A$18="","",'01_INPUT_COMPANIES'!$A$18)</x:f>
      </x:c>
      <x:c r="C124" s="34" t="str">
        <x:f>IF(B124="","",'01_INPUT_COMPANIES'!$B$18)</x:f>
      </x:c>
      <x:c r="D124" s="34" t="str">
        <x:v>cross_market_transfer_index</x:v>
      </x:c>
      <x:c r="E124" s="42" t="str">
        <x:f>IF(OR(B124="",COUNT('01_INPUT_COMPANIES'!$AA$18)=0),"",'01_INPUT_COMPANIES'!$AA$18)</x:f>
      </x:c>
      <x:c r="F124" s="42" t="n">
        <x:v>1</x:v>
      </x:c>
      <x:c r="G124" s="42" t="str">
        <x:f>IF(NOT(ISNUMBER(E124)),"",MAX(K124,MIN(L124,E124*F124)))</x:f>
      </x:c>
      <x:c r="H124" s="42" t="n">
        <x:v>4</x:v>
      </x:c>
      <x:c r="I124" s="42" t="str">
        <x:f>IF(COUNT(G124)=0,"",(COUNTIFS('93_REF_ANCHORS'!$A$7:$A$766,D124,'93_REF_ANCHORS'!$C$7:$C$766,"&lt;"&amp;G124)+COUNTIFS('93_REF_ANCHORS'!$A$7:$A$766,D124,'93_REF_ANCHORS'!$C$7:$C$766,"&lt;="&amp;G124)-1)/(2*(H124-1)))</x:f>
      </x:c>
      <x:c r="J124" s="34" t="str">
        <x:f>IF(B124="","",IF(COUNT(E124)=0,"MISSING",IF(NOT(ISNUMBER(E124)),"INVALID",IF(E124*F124&lt;K124,"WINSORIZED LOW",IF(E124*F124&gt;L124,"WINSORIZED HIGH","OK")))))</x:f>
      </x:c>
      <x:c r="K124" s="34" t="n">
        <x:v>0</x:v>
      </x:c>
      <x:c r="L124" s="34" t="n">
        <x:v>0.7587051325360435</x:v>
      </x:c>
      <x:c r="M124" s="34" t="n">
        <x:v>0.1111111111111111</x:v>
      </x:c>
      <x:c r="N124" s="34" t="str">
        <x:v>yes</x:v>
      </x:c>
    </x:row>
    <x:row r="125">
      <x:c r="A125" s="34" t="n">
        <x:v>12</x:v>
      </x:c>
      <x:c r="B125" s="34" t="str">
        <x:f>IF('01_INPUT_COMPANIES'!$A$18="","",'01_INPUT_COMPANIES'!$A$18)</x:f>
      </x:c>
      <x:c r="C125" s="34" t="str">
        <x:f>IF(B125="","",'01_INPUT_COMPANIES'!$B$18)</x:f>
      </x:c>
      <x:c r="D125" s="34" t="str">
        <x:v>foreign_dependency_ratio</x:v>
      </x:c>
      <x:c r="E125" s="42" t="str">
        <x:f>IF(OR(B125="",COUNT('01_INPUT_COMPANIES'!$AB$18)=0),"",'01_INPUT_COMPANIES'!$AB$18)</x:f>
      </x:c>
      <x:c r="F125" s="42" t="n">
        <x:v>1</x:v>
      </x:c>
      <x:c r="G125" s="42" t="str">
        <x:f>IF(NOT(ISNUMBER(E125)),"",MAX(K125,MIN(L125,E125*F125)))</x:f>
      </x:c>
      <x:c r="H125" s="42" t="n">
        <x:v>84</x:v>
      </x:c>
      <x:c r="I125" s="42" t="str">
        <x:f>IF(COUNT(G125)=0,"",(COUNTIFS('93_REF_ANCHORS'!$A$7:$A$766,D125,'93_REF_ANCHORS'!$C$7:$C$766,"&lt;"&amp;G125)+COUNTIFS('93_REF_ANCHORS'!$A$7:$A$766,D125,'93_REF_ANCHORS'!$C$7:$C$766,"&lt;="&amp;G125)-1)/(2*(H125-1)))</x:f>
      </x:c>
      <x:c r="J125" s="34" t="str">
        <x:f>IF(B125="","",IF(COUNT(E125)=0,"MISSING",IF(NOT(ISNUMBER(E125)),"INVALID",IF(E125*F125&lt;K125,"WINSORIZED LOW",IF(E125*F125&gt;L125,"WINSORIZED HIGH","OK")))))</x:f>
      </x:c>
      <x:c r="K125" s="34" t="n">
        <x:v>0.728196</x:v>
      </x:c>
      <x:c r="L125" s="34" t="n">
        <x:v>0.94</x:v>
      </x:c>
      <x:c r="M125" s="34" t="n">
        <x:v>0.1111111111111111</x:v>
      </x:c>
      <x:c r="N125" s="34" t="str">
        <x:v>yes</x:v>
      </x:c>
    </x:row>
    <x:row r="126">
      <x:c r="A126" s="34" t="n">
        <x:v>12</x:v>
      </x:c>
      <x:c r="B126" s="34" t="str">
        <x:f>IF('01_INPUT_COMPANIES'!$A$18="","",'01_INPUT_COMPANIES'!$A$18)</x:f>
      </x:c>
      <x:c r="C126" s="34" t="str">
        <x:f>IF(B126="","",'01_INPUT_COMPANIES'!$B$18)</x:f>
      </x:c>
      <x:c r="D126" s="34" t="str">
        <x:v>outflow_to_capex_ratio</x:v>
      </x:c>
      <x:c r="E126" s="42" t="str">
        <x:f>IF(OR(B126="",COUNT('01_INPUT_COMPANIES'!$AC$18)=0),"",'01_INPUT_COMPANIES'!$AC$18)</x:f>
      </x:c>
      <x:c r="F126" s="42" t="n">
        <x:v>1</x:v>
      </x:c>
      <x:c r="G126" s="42" t="str">
        <x:f>IF(NOT(ISNUMBER(E126)),"",MAX(K126,MIN(L126,E126*F126)))</x:f>
      </x:c>
      <x:c r="H126" s="42" t="n">
        <x:v>97</x:v>
      </x:c>
      <x:c r="I126" s="42" t="str">
        <x:f>IF(COUNT(G126)=0,"",(COUNTIFS('93_REF_ANCHORS'!$A$7:$A$766,D126,'93_REF_ANCHORS'!$C$7:$C$766,"&lt;"&amp;G126)+COUNTIFS('93_REF_ANCHORS'!$A$7:$A$766,D126,'93_REF_ANCHORS'!$C$7:$C$766,"&lt;="&amp;G126)-1)/(2*(H126-1)))</x:f>
      </x:c>
      <x:c r="J126" s="34" t="str">
        <x:f>IF(B126="","",IF(COUNT(E126)=0,"MISSING",IF(NOT(ISNUMBER(E126)),"INVALID",IF(E126*F126&lt;K126,"WINSORIZED LOW",IF(E126*F126&gt;L126,"WINSORIZED HIGH","OK")))))</x:f>
      </x:c>
      <x:c r="K126" s="34" t="n">
        <x:v>-123.5385890408</x:v>
      </x:c>
      <x:c r="L126" s="34" t="n">
        <x:v>974.1666666666999</x:v>
      </x:c>
      <x:c r="M126" s="34" t="n">
        <x:v>0.1111111111111111</x:v>
      </x:c>
      <x:c r="N126" s="34" t="str">
        <x:v>no</x:v>
      </x:c>
    </x:row>
    <x:row r="127">
      <x:c r="A127" s="34" t="n">
        <x:v>13</x:v>
      </x:c>
      <x:c r="B127" s="34" t="str">
        <x:f>IF('01_INPUT_COMPANIES'!$A$19="","",'01_INPUT_COMPANIES'!$A$19)</x:f>
      </x:c>
      <x:c r="C127" s="34" t="str">
        <x:f>IF(B127="","",'01_INPUT_COMPANIES'!$B$19)</x:f>
      </x:c>
      <x:c r="D127" s="34" t="str">
        <x:v>effective_tax_rate_gap</x:v>
      </x:c>
      <x:c r="E127" s="42" t="str">
        <x:f>IF(OR(B127="",COUNT('01_INPUT_COMPANIES'!$T$19)=0),"",'01_INPUT_COMPANIES'!$T$19)</x:f>
      </x:c>
      <x:c r="F127" s="42" t="n">
        <x:v>1</x:v>
      </x:c>
      <x:c r="G127" s="42" t="str">
        <x:f>IF(NOT(ISNUMBER(E127)),"",MAX(K127,MIN(L127,E127*F127)))</x:f>
      </x:c>
      <x:c r="H127" s="42" t="n">
        <x:v>74</x:v>
      </x:c>
      <x:c r="I127" s="42" t="str">
        <x:f>IF(COUNT(G127)=0,"",(COUNTIFS('93_REF_ANCHORS'!$A$7:$A$766,D127,'93_REF_ANCHORS'!$C$7:$C$766,"&lt;"&amp;G127)+COUNTIFS('93_REF_ANCHORS'!$A$7:$A$766,D127,'93_REF_ANCHORS'!$C$7:$C$766,"&lt;="&amp;G127)-1)/(2*(H127-1)))</x:f>
      </x:c>
      <x:c r="J127" s="34" t="str">
        <x:f>IF(B127="","",IF(COUNT(E127)=0,"MISSING",IF(NOT(ISNUMBER(E127)),"INVALID",IF(E127*F127&lt;K127,"WINSORIZED LOW",IF(E127*F127&gt;L127,"WINSORIZED HIGH","OK")))))</x:f>
      </x:c>
      <x:c r="K127" s="34" t="n">
        <x:v>-0.1416111014</x:v>
      </x:c>
      <x:c r="L127" s="34" t="n">
        <x:v>0.2683650488</x:v>
      </x:c>
      <x:c r="M127" s="34" t="n">
        <x:v>0.1111111111111111</x:v>
      </x:c>
      <x:c r="N127" s="34" t="str">
        <x:v>no</x:v>
      </x:c>
    </x:row>
    <x:row r="128">
      <x:c r="A128" s="34" t="n">
        <x:v>13</x:v>
      </x:c>
      <x:c r="B128" s="34" t="str">
        <x:f>IF('01_INPUT_COMPANIES'!$A$19="","",'01_INPUT_COMPANIES'!$A$19)</x:f>
      </x:c>
      <x:c r="C128" s="34" t="str">
        <x:f>IF(B128="","",'01_INPUT_COMPANIES'!$B$19)</x:f>
      </x:c>
      <x:c r="D128" s="34" t="str">
        <x:v>infra_dependency_ratio</x:v>
      </x:c>
      <x:c r="E128" s="42" t="str">
        <x:f>IF(OR(B128="",COUNT('01_INPUT_COMPANIES'!$U$19)=0),"",'01_INPUT_COMPANIES'!$U$19)</x:f>
      </x:c>
      <x:c r="F128" s="42" t="n">
        <x:v>1</x:v>
      </x:c>
      <x:c r="G128" s="42" t="str">
        <x:f>IF(NOT(ISNUMBER(E128)),"",MAX(K128,MIN(L128,E128*F128)))</x:f>
      </x:c>
      <x:c r="H128" s="42" t="n">
        <x:v>64</x:v>
      </x:c>
      <x:c r="I128" s="42" t="str">
        <x:f>IF(COUNT(G128)=0,"",(COUNTIFS('93_REF_ANCHORS'!$A$7:$A$766,D128,'93_REF_ANCHORS'!$C$7:$C$766,"&lt;"&amp;G128)+COUNTIFS('93_REF_ANCHORS'!$A$7:$A$766,D128,'93_REF_ANCHORS'!$C$7:$C$766,"&lt;="&amp;G128)-1)/(2*(H128-1)))</x:f>
      </x:c>
      <x:c r="J128" s="34" t="str">
        <x:f>IF(B128="","",IF(COUNT(E128)=0,"MISSING",IF(NOT(ISNUMBER(E128)),"INVALID",IF(E128*F128&lt;K128,"WINSORIZED LOW",IF(E128*F128&gt;L128,"WINSORIZED HIGH","OK")))))</x:f>
      </x:c>
      <x:c r="K128" s="34" t="n">
        <x:v>-0.10705024705171803</x:v>
      </x:c>
      <x:c r="L128" s="34" t="n">
        <x:v>0.8008753865408955</x:v>
      </x:c>
      <x:c r="M128" s="34" t="n">
        <x:v>0.1111111111111111</x:v>
      </x:c>
      <x:c r="N128" s="34" t="str">
        <x:v>no</x:v>
      </x:c>
    </x:row>
    <x:row r="129">
      <x:c r="A129" s="34" t="n">
        <x:v>13</x:v>
      </x:c>
      <x:c r="B129" s="34" t="str">
        <x:f>IF('01_INPUT_COMPANIES'!$A$19="","",'01_INPUT_COMPANIES'!$A$19)</x:f>
      </x:c>
      <x:c r="C129" s="34" t="str">
        <x:f>IF(B129="","",'01_INPUT_COMPANIES'!$B$19)</x:f>
      </x:c>
      <x:c r="D129" s="34" t="str">
        <x:v>network_cost_ratio</x:v>
      </x:c>
      <x:c r="E129" s="42" t="str">
        <x:f>IF(OR(B129="",COUNT('01_INPUT_COMPANIES'!$V$19)=0),"",'01_INPUT_COMPANIES'!$V$19)</x:f>
      </x:c>
      <x:c r="F129" s="42" t="n">
        <x:v>1</x:v>
      </x:c>
      <x:c r="G129" s="42" t="str">
        <x:f>IF(NOT(ISNUMBER(E129)),"",MAX(K129,MIN(L129,E129*F129)))</x:f>
      </x:c>
      <x:c r="H129" s="42" t="n">
        <x:v>97</x:v>
      </x:c>
      <x:c r="I129" s="42" t="str">
        <x:f>IF(COUNT(G129)=0,"",(COUNTIFS('93_REF_ANCHORS'!$A$7:$A$766,D129,'93_REF_ANCHORS'!$C$7:$C$766,"&lt;"&amp;G129)+COUNTIFS('93_REF_ANCHORS'!$A$7:$A$766,D129,'93_REF_ANCHORS'!$C$7:$C$766,"&lt;="&amp;G129)-1)/(2*(H129-1)))</x:f>
      </x:c>
      <x:c r="J129" s="34" t="str">
        <x:f>IF(B129="","",IF(COUNT(E129)=0,"MISSING",IF(NOT(ISNUMBER(E129)),"INVALID",IF(E129*F129&lt;K129,"WINSORIZED LOW",IF(E129*F129&gt;L129,"WINSORIZED HIGH","OK")))))</x:f>
      </x:c>
      <x:c r="K129" s="34" t="n">
        <x:v>-0.1395374353</x:v>
      </x:c>
      <x:c r="L129" s="34" t="n">
        <x:v>0.9274274845000001</x:v>
      </x:c>
      <x:c r="M129" s="34" t="n">
        <x:v>0.1111111111111111</x:v>
      </x:c>
      <x:c r="N129" s="34" t="str">
        <x:v>no</x:v>
      </x:c>
    </x:row>
    <x:row r="130">
      <x:c r="A130" s="34" t="n">
        <x:v>13</x:v>
      </x:c>
      <x:c r="B130" s="34" t="str">
        <x:f>IF('01_INPUT_COMPANIES'!$A$19="","",'01_INPUT_COMPANIES'!$A$19)</x:f>
      </x:c>
      <x:c r="C130" s="34" t="str">
        <x:f>IF(B130="","",'01_INPUT_COMPANIES'!$B$19)</x:f>
      </x:c>
      <x:c r="D130" s="34" t="str">
        <x:v>cashflow_recovery_ratio</x:v>
      </x:c>
      <x:c r="E130" s="42" t="str">
        <x:f>IF(OR(B130="",COUNT('01_INPUT_COMPANIES'!$W$19)=0),"",'01_INPUT_COMPANIES'!$W$19)</x:f>
      </x:c>
      <x:c r="F130" s="42" t="n">
        <x:v>-1</x:v>
      </x:c>
      <x:c r="G130" s="42" t="str">
        <x:f>IF(NOT(ISNUMBER(E130)),"",MAX(K130,MIN(L130,E130*F130)))</x:f>
      </x:c>
      <x:c r="H130" s="42" t="n">
        <x:v>95</x:v>
      </x:c>
      <x:c r="I130" s="42" t="str">
        <x:f>IF(COUNT(G130)=0,"",(COUNTIFS('93_REF_ANCHORS'!$A$7:$A$766,D130,'93_REF_ANCHORS'!$C$7:$C$766,"&lt;"&amp;G130)+COUNTIFS('93_REF_ANCHORS'!$A$7:$A$766,D130,'93_REF_ANCHORS'!$C$7:$C$766,"&lt;="&amp;G130)-1)/(2*(H130-1)))</x:f>
      </x:c>
      <x:c r="J130" s="34" t="str">
        <x:f>IF(B130="","",IF(COUNT(E130)=0,"MISSING",IF(NOT(ISNUMBER(E130)),"INVALID",IF(E130*F130&lt;K130,"WINSORIZED LOW",IF(E130*F130&gt;L130,"WINSORIZED HIGH","OK")))))</x:f>
      </x:c>
      <x:c r="K130" s="34" t="n">
        <x:v>-300.75</x:v>
      </x:c>
      <x:c r="L130" s="34" t="n">
        <x:v>42.6920305469</x:v>
      </x:c>
      <x:c r="M130" s="34" t="n">
        <x:v>0.08333333333333333</x:v>
      </x:c>
      <x:c r="N130" s="34" t="str">
        <x:v>no</x:v>
      </x:c>
    </x:row>
    <x:row r="131">
      <x:c r="A131" s="34" t="n">
        <x:v>13</x:v>
      </x:c>
      <x:c r="B131" s="34" t="str">
        <x:f>IF('01_INPUT_COMPANIES'!$A$19="","",'01_INPUT_COMPANIES'!$A$19)</x:f>
      </x:c>
      <x:c r="C131" s="34" t="str">
        <x:f>IF(B131="","",'01_INPUT_COMPANIES'!$B$19)</x:f>
      </x:c>
      <x:c r="D131" s="34" t="str">
        <x:v>funding_cost_spread</x:v>
      </x:c>
      <x:c r="E131" s="42" t="str">
        <x:f>IF(OR(B131="",COUNT('01_INPUT_COMPANIES'!$X$19)=0),"",'01_INPUT_COMPANIES'!$X$19)</x:f>
      </x:c>
      <x:c r="F131" s="42" t="n">
        <x:v>1</x:v>
      </x:c>
      <x:c r="G131" s="42" t="str">
        <x:f>IF(NOT(ISNUMBER(E131)),"",MAX(K131,MIN(L131,E131*F131)))</x:f>
      </x:c>
      <x:c r="H131" s="42" t="n">
        <x:v>58</x:v>
      </x:c>
      <x:c r="I131" s="42" t="str">
        <x:f>IF(COUNT(G131)=0,"",(COUNTIFS('93_REF_ANCHORS'!$A$7:$A$766,D131,'93_REF_ANCHORS'!$C$7:$C$766,"&lt;"&amp;G131)+COUNTIFS('93_REF_ANCHORS'!$A$7:$A$766,D131,'93_REF_ANCHORS'!$C$7:$C$766,"&lt;="&amp;G131)-1)/(2*(H131-1)))</x:f>
      </x:c>
      <x:c r="J131" s="34" t="str">
        <x:f>IF(B131="","",IF(COUNT(E131)=0,"MISSING",IF(NOT(ISNUMBER(E131)),"INVALID",IF(E131*F131&lt;K131,"WINSORIZED LOW",IF(E131*F131&gt;L131,"WINSORIZED HIGH","OK")))))</x:f>
      </x:c>
      <x:c r="K131" s="34" t="n">
        <x:v>-0.4430292903</x:v>
      </x:c>
      <x:c r="L131" s="34" t="n">
        <x:v>0.5068913103</x:v>
      </x:c>
      <x:c r="M131" s="34" t="n">
        <x:v>0.08333333333333333</x:v>
      </x:c>
      <x:c r="N131" s="34" t="str">
        <x:v>no</x:v>
      </x:c>
    </x:row>
    <x:row r="132">
      <x:c r="A132" s="34" t="n">
        <x:v>13</x:v>
      </x:c>
      <x:c r="B132" s="34" t="str">
        <x:f>IF('01_INPUT_COMPANIES'!$A$19="","",'01_INPUT_COMPANIES'!$A$19)</x:f>
      </x:c>
      <x:c r="C132" s="34" t="str">
        <x:f>IF(B132="","",'01_INPUT_COMPANIES'!$B$19)</x:f>
      </x:c>
      <x:c r="D132" s="34" t="str">
        <x:v>investment_recovery_ratio</x:v>
      </x:c>
      <x:c r="E132" s="42" t="str">
        <x:f>IF(OR(B132="",COUNT('01_INPUT_COMPANIES'!$Y$19)=0),"",'01_INPUT_COMPANIES'!$Y$19)</x:f>
      </x:c>
      <x:c r="F132" s="42" t="n">
        <x:v>-1</x:v>
      </x:c>
      <x:c r="G132" s="42" t="str">
        <x:f>IF(NOT(ISNUMBER(E132)),"",MAX(K132,MIN(L132,E132*F132)))</x:f>
      </x:c>
      <x:c r="H132" s="42" t="n">
        <x:v>95</x:v>
      </x:c>
      <x:c r="I132" s="42" t="str">
        <x:f>IF(COUNT(G132)=0,"",(COUNTIFS('93_REF_ANCHORS'!$A$7:$A$766,D132,'93_REF_ANCHORS'!$C$7:$C$766,"&lt;"&amp;G132)+COUNTIFS('93_REF_ANCHORS'!$A$7:$A$766,D132,'93_REF_ANCHORS'!$C$7:$C$766,"&lt;="&amp;G132)-1)/(2*(H132-1)))</x:f>
      </x:c>
      <x:c r="J132" s="34" t="str">
        <x:f>IF(B132="","",IF(COUNT(E132)=0,"MISSING",IF(NOT(ISNUMBER(E132)),"INVALID",IF(E132*F132&lt;K132,"WINSORIZED LOW",IF(E132*F132&gt;L132,"WINSORIZED HIGH","OK")))))</x:f>
      </x:c>
      <x:c r="K132" s="34" t="n">
        <x:v>-3163.7500000000014</x:v>
      </x:c>
      <x:c r="L132" s="34" t="n">
        <x:v>189.68191301719997</x:v>
      </x:c>
      <x:c r="M132" s="34" t="n">
        <x:v>0.08333333333333333</x:v>
      </x:c>
      <x:c r="N132" s="34" t="str">
        <x:v>no</x:v>
      </x:c>
    </x:row>
    <x:row r="133">
      <x:c r="A133" s="34" t="n">
        <x:v>13</x:v>
      </x:c>
      <x:c r="B133" s="34" t="str">
        <x:f>IF('01_INPUT_COMPANIES'!$A$19="","",'01_INPUT_COMPANIES'!$A$19)</x:f>
      </x:c>
      <x:c r="C133" s="34" t="str">
        <x:f>IF(B133="","",'01_INPUT_COMPANIES'!$B$19)</x:f>
      </x:c>
      <x:c r="D133" s="34" t="str">
        <x:v>ip_assetization_gap</x:v>
      </x:c>
      <x:c r="E133" s="42" t="str">
        <x:f>IF(OR(B133="",COUNT('01_INPUT_COMPANIES'!$Z$19)=0),"",'01_INPUT_COMPANIES'!$Z$19)</x:f>
      </x:c>
      <x:c r="F133" s="42" t="n">
        <x:v>1</x:v>
      </x:c>
      <x:c r="G133" s="42" t="str">
        <x:f>IF(NOT(ISNUMBER(E133)),"",MAX(K133,MIN(L133,E133*F133)))</x:f>
      </x:c>
      <x:c r="H133" s="42" t="n">
        <x:v>92</x:v>
      </x:c>
      <x:c r="I133" s="42" t="str">
        <x:f>IF(COUNT(G133)=0,"",(COUNTIFS('93_REF_ANCHORS'!$A$7:$A$766,D133,'93_REF_ANCHORS'!$C$7:$C$766,"&lt;"&amp;G133)+COUNTIFS('93_REF_ANCHORS'!$A$7:$A$766,D133,'93_REF_ANCHORS'!$C$7:$C$766,"&lt;="&amp;G133)-1)/(2*(H133-1)))</x:f>
      </x:c>
      <x:c r="J133" s="34" t="str">
        <x:f>IF(B133="","",IF(COUNT(E133)=0,"MISSING",IF(NOT(ISNUMBER(E133)),"INVALID",IF(E133*F133&lt;K133,"WINSORIZED LOW",IF(E133*F133&gt;L133,"WINSORIZED HIGH","OK")))))</x:f>
      </x:c>
      <x:c r="K133" s="34" t="n">
        <x:v>-1.6707152386</x:v>
      </x:c>
      <x:c r="L133" s="34" t="n">
        <x:v>0.7716332556000001</x:v>
      </x:c>
      <x:c r="M133" s="34" t="n">
        <x:v>0.08333333333333333</x:v>
      </x:c>
      <x:c r="N133" s="34" t="str">
        <x:v>no</x:v>
      </x:c>
    </x:row>
    <x:row r="134">
      <x:c r="A134" s="34" t="n">
        <x:v>13</x:v>
      </x:c>
      <x:c r="B134" s="34" t="str">
        <x:f>IF('01_INPUT_COMPANIES'!$A$19="","",'01_INPUT_COMPANIES'!$A$19)</x:f>
      </x:c>
      <x:c r="C134" s="34" t="str">
        <x:f>IF(B134="","",'01_INPUT_COMPANIES'!$B$19)</x:f>
      </x:c>
      <x:c r="D134" s="34" t="str">
        <x:v>cross_market_transfer_index</x:v>
      </x:c>
      <x:c r="E134" s="42" t="str">
        <x:f>IF(OR(B134="",COUNT('01_INPUT_COMPANIES'!$AA$19)=0),"",'01_INPUT_COMPANIES'!$AA$19)</x:f>
      </x:c>
      <x:c r="F134" s="42" t="n">
        <x:v>1</x:v>
      </x:c>
      <x:c r="G134" s="42" t="str">
        <x:f>IF(NOT(ISNUMBER(E134)),"",MAX(K134,MIN(L134,E134*F134)))</x:f>
      </x:c>
      <x:c r="H134" s="42" t="n">
        <x:v>4</x:v>
      </x:c>
      <x:c r="I134" s="42" t="str">
        <x:f>IF(COUNT(G134)=0,"",(COUNTIFS('93_REF_ANCHORS'!$A$7:$A$766,D134,'93_REF_ANCHORS'!$C$7:$C$766,"&lt;"&amp;G134)+COUNTIFS('93_REF_ANCHORS'!$A$7:$A$766,D134,'93_REF_ANCHORS'!$C$7:$C$766,"&lt;="&amp;G134)-1)/(2*(H134-1)))</x:f>
      </x:c>
      <x:c r="J134" s="34" t="str">
        <x:f>IF(B134="","",IF(COUNT(E134)=0,"MISSING",IF(NOT(ISNUMBER(E134)),"INVALID",IF(E134*F134&lt;K134,"WINSORIZED LOW",IF(E134*F134&gt;L134,"WINSORIZED HIGH","OK")))))</x:f>
      </x:c>
      <x:c r="K134" s="34" t="n">
        <x:v>0</x:v>
      </x:c>
      <x:c r="L134" s="34" t="n">
        <x:v>0.7587051325360435</x:v>
      </x:c>
      <x:c r="M134" s="34" t="n">
        <x:v>0.1111111111111111</x:v>
      </x:c>
      <x:c r="N134" s="34" t="str">
        <x:v>yes</x:v>
      </x:c>
    </x:row>
    <x:row r="135">
      <x:c r="A135" s="34" t="n">
        <x:v>13</x:v>
      </x:c>
      <x:c r="B135" s="34" t="str">
        <x:f>IF('01_INPUT_COMPANIES'!$A$19="","",'01_INPUT_COMPANIES'!$A$19)</x:f>
      </x:c>
      <x:c r="C135" s="34" t="str">
        <x:f>IF(B135="","",'01_INPUT_COMPANIES'!$B$19)</x:f>
      </x:c>
      <x:c r="D135" s="34" t="str">
        <x:v>foreign_dependency_ratio</x:v>
      </x:c>
      <x:c r="E135" s="42" t="str">
        <x:f>IF(OR(B135="",COUNT('01_INPUT_COMPANIES'!$AB$19)=0),"",'01_INPUT_COMPANIES'!$AB$19)</x:f>
      </x:c>
      <x:c r="F135" s="42" t="n">
        <x:v>1</x:v>
      </x:c>
      <x:c r="G135" s="42" t="str">
        <x:f>IF(NOT(ISNUMBER(E135)),"",MAX(K135,MIN(L135,E135*F135)))</x:f>
      </x:c>
      <x:c r="H135" s="42" t="n">
        <x:v>84</x:v>
      </x:c>
      <x:c r="I135" s="42" t="str">
        <x:f>IF(COUNT(G135)=0,"",(COUNTIFS('93_REF_ANCHORS'!$A$7:$A$766,D135,'93_REF_ANCHORS'!$C$7:$C$766,"&lt;"&amp;G135)+COUNTIFS('93_REF_ANCHORS'!$A$7:$A$766,D135,'93_REF_ANCHORS'!$C$7:$C$766,"&lt;="&amp;G135)-1)/(2*(H135-1)))</x:f>
      </x:c>
      <x:c r="J135" s="34" t="str">
        <x:f>IF(B135="","",IF(COUNT(E135)=0,"MISSING",IF(NOT(ISNUMBER(E135)),"INVALID",IF(E135*F135&lt;K135,"WINSORIZED LOW",IF(E135*F135&gt;L135,"WINSORIZED HIGH","OK")))))</x:f>
      </x:c>
      <x:c r="K135" s="34" t="n">
        <x:v>0.728196</x:v>
      </x:c>
      <x:c r="L135" s="34" t="n">
        <x:v>0.94</x:v>
      </x:c>
      <x:c r="M135" s="34" t="n">
        <x:v>0.1111111111111111</x:v>
      </x:c>
      <x:c r="N135" s="34" t="str">
        <x:v>yes</x:v>
      </x:c>
    </x:row>
    <x:row r="136">
      <x:c r="A136" s="34" t="n">
        <x:v>13</x:v>
      </x:c>
      <x:c r="B136" s="34" t="str">
        <x:f>IF('01_INPUT_COMPANIES'!$A$19="","",'01_INPUT_COMPANIES'!$A$19)</x:f>
      </x:c>
      <x:c r="C136" s="34" t="str">
        <x:f>IF(B136="","",'01_INPUT_COMPANIES'!$B$19)</x:f>
      </x:c>
      <x:c r="D136" s="34" t="str">
        <x:v>outflow_to_capex_ratio</x:v>
      </x:c>
      <x:c r="E136" s="42" t="str">
        <x:f>IF(OR(B136="",COUNT('01_INPUT_COMPANIES'!$AC$19)=0),"",'01_INPUT_COMPANIES'!$AC$19)</x:f>
      </x:c>
      <x:c r="F136" s="42" t="n">
        <x:v>1</x:v>
      </x:c>
      <x:c r="G136" s="42" t="str">
        <x:f>IF(NOT(ISNUMBER(E136)),"",MAX(K136,MIN(L136,E136*F136)))</x:f>
      </x:c>
      <x:c r="H136" s="42" t="n">
        <x:v>97</x:v>
      </x:c>
      <x:c r="I136" s="42" t="str">
        <x:f>IF(COUNT(G136)=0,"",(COUNTIFS('93_REF_ANCHORS'!$A$7:$A$766,D136,'93_REF_ANCHORS'!$C$7:$C$766,"&lt;"&amp;G136)+COUNTIFS('93_REF_ANCHORS'!$A$7:$A$766,D136,'93_REF_ANCHORS'!$C$7:$C$766,"&lt;="&amp;G136)-1)/(2*(H136-1)))</x:f>
      </x:c>
      <x:c r="J136" s="34" t="str">
        <x:f>IF(B136="","",IF(COUNT(E136)=0,"MISSING",IF(NOT(ISNUMBER(E136)),"INVALID",IF(E136*F136&lt;K136,"WINSORIZED LOW",IF(E136*F136&gt;L136,"WINSORIZED HIGH","OK")))))</x:f>
      </x:c>
      <x:c r="K136" s="34" t="n">
        <x:v>-123.5385890408</x:v>
      </x:c>
      <x:c r="L136" s="34" t="n">
        <x:v>974.1666666666999</x:v>
      </x:c>
      <x:c r="M136" s="34" t="n">
        <x:v>0.1111111111111111</x:v>
      </x:c>
      <x:c r="N136" s="34" t="str">
        <x:v>no</x:v>
      </x:c>
    </x:row>
    <x:row r="137">
      <x:c r="A137" s="34" t="n">
        <x:v>14</x:v>
      </x:c>
      <x:c r="B137" s="34" t="str">
        <x:f>IF('01_INPUT_COMPANIES'!$A$20="","",'01_INPUT_COMPANIES'!$A$20)</x:f>
      </x:c>
      <x:c r="C137" s="34" t="str">
        <x:f>IF(B137="","",'01_INPUT_COMPANIES'!$B$20)</x:f>
      </x:c>
      <x:c r="D137" s="34" t="str">
        <x:v>effective_tax_rate_gap</x:v>
      </x:c>
      <x:c r="E137" s="42" t="str">
        <x:f>IF(OR(B137="",COUNT('01_INPUT_COMPANIES'!$T$20)=0),"",'01_INPUT_COMPANIES'!$T$20)</x:f>
      </x:c>
      <x:c r="F137" s="42" t="n">
        <x:v>1</x:v>
      </x:c>
      <x:c r="G137" s="42" t="str">
        <x:f>IF(NOT(ISNUMBER(E137)),"",MAX(K137,MIN(L137,E137*F137)))</x:f>
      </x:c>
      <x:c r="H137" s="42" t="n">
        <x:v>74</x:v>
      </x:c>
      <x:c r="I137" s="42" t="str">
        <x:f>IF(COUNT(G137)=0,"",(COUNTIFS('93_REF_ANCHORS'!$A$7:$A$766,D137,'93_REF_ANCHORS'!$C$7:$C$766,"&lt;"&amp;G137)+COUNTIFS('93_REF_ANCHORS'!$A$7:$A$766,D137,'93_REF_ANCHORS'!$C$7:$C$766,"&lt;="&amp;G137)-1)/(2*(H137-1)))</x:f>
      </x:c>
      <x:c r="J137" s="34" t="str">
        <x:f>IF(B137="","",IF(COUNT(E137)=0,"MISSING",IF(NOT(ISNUMBER(E137)),"INVALID",IF(E137*F137&lt;K137,"WINSORIZED LOW",IF(E137*F137&gt;L137,"WINSORIZED HIGH","OK")))))</x:f>
      </x:c>
      <x:c r="K137" s="34" t="n">
        <x:v>-0.1416111014</x:v>
      </x:c>
      <x:c r="L137" s="34" t="n">
        <x:v>0.2683650488</x:v>
      </x:c>
      <x:c r="M137" s="34" t="n">
        <x:v>0.1111111111111111</x:v>
      </x:c>
      <x:c r="N137" s="34" t="str">
        <x:v>no</x:v>
      </x:c>
    </x:row>
    <x:row r="138">
      <x:c r="A138" s="34" t="n">
        <x:v>14</x:v>
      </x:c>
      <x:c r="B138" s="34" t="str">
        <x:f>IF('01_INPUT_COMPANIES'!$A$20="","",'01_INPUT_COMPANIES'!$A$20)</x:f>
      </x:c>
      <x:c r="C138" s="34" t="str">
        <x:f>IF(B138="","",'01_INPUT_COMPANIES'!$B$20)</x:f>
      </x:c>
      <x:c r="D138" s="34" t="str">
        <x:v>infra_dependency_ratio</x:v>
      </x:c>
      <x:c r="E138" s="42" t="str">
        <x:f>IF(OR(B138="",COUNT('01_INPUT_COMPANIES'!$U$20)=0),"",'01_INPUT_COMPANIES'!$U$20)</x:f>
      </x:c>
      <x:c r="F138" s="42" t="n">
        <x:v>1</x:v>
      </x:c>
      <x:c r="G138" s="42" t="str">
        <x:f>IF(NOT(ISNUMBER(E138)),"",MAX(K138,MIN(L138,E138*F138)))</x:f>
      </x:c>
      <x:c r="H138" s="42" t="n">
        <x:v>64</x:v>
      </x:c>
      <x:c r="I138" s="42" t="str">
        <x:f>IF(COUNT(G138)=0,"",(COUNTIFS('93_REF_ANCHORS'!$A$7:$A$766,D138,'93_REF_ANCHORS'!$C$7:$C$766,"&lt;"&amp;G138)+COUNTIFS('93_REF_ANCHORS'!$A$7:$A$766,D138,'93_REF_ANCHORS'!$C$7:$C$766,"&lt;="&amp;G138)-1)/(2*(H138-1)))</x:f>
      </x:c>
      <x:c r="J138" s="34" t="str">
        <x:f>IF(B138="","",IF(COUNT(E138)=0,"MISSING",IF(NOT(ISNUMBER(E138)),"INVALID",IF(E138*F138&lt;K138,"WINSORIZED LOW",IF(E138*F138&gt;L138,"WINSORIZED HIGH","OK")))))</x:f>
      </x:c>
      <x:c r="K138" s="34" t="n">
        <x:v>-0.10705024705171803</x:v>
      </x:c>
      <x:c r="L138" s="34" t="n">
        <x:v>0.8008753865408955</x:v>
      </x:c>
      <x:c r="M138" s="34" t="n">
        <x:v>0.1111111111111111</x:v>
      </x:c>
      <x:c r="N138" s="34" t="str">
        <x:v>no</x:v>
      </x:c>
    </x:row>
    <x:row r="139">
      <x:c r="A139" s="34" t="n">
        <x:v>14</x:v>
      </x:c>
      <x:c r="B139" s="34" t="str">
        <x:f>IF('01_INPUT_COMPANIES'!$A$20="","",'01_INPUT_COMPANIES'!$A$20)</x:f>
      </x:c>
      <x:c r="C139" s="34" t="str">
        <x:f>IF(B139="","",'01_INPUT_COMPANIES'!$B$20)</x:f>
      </x:c>
      <x:c r="D139" s="34" t="str">
        <x:v>network_cost_ratio</x:v>
      </x:c>
      <x:c r="E139" s="42" t="str">
        <x:f>IF(OR(B139="",COUNT('01_INPUT_COMPANIES'!$V$20)=0),"",'01_INPUT_COMPANIES'!$V$20)</x:f>
      </x:c>
      <x:c r="F139" s="42" t="n">
        <x:v>1</x:v>
      </x:c>
      <x:c r="G139" s="42" t="str">
        <x:f>IF(NOT(ISNUMBER(E139)),"",MAX(K139,MIN(L139,E139*F139)))</x:f>
      </x:c>
      <x:c r="H139" s="42" t="n">
        <x:v>97</x:v>
      </x:c>
      <x:c r="I139" s="42" t="str">
        <x:f>IF(COUNT(G139)=0,"",(COUNTIFS('93_REF_ANCHORS'!$A$7:$A$766,D139,'93_REF_ANCHORS'!$C$7:$C$766,"&lt;"&amp;G139)+COUNTIFS('93_REF_ANCHORS'!$A$7:$A$766,D139,'93_REF_ANCHORS'!$C$7:$C$766,"&lt;="&amp;G139)-1)/(2*(H139-1)))</x:f>
      </x:c>
      <x:c r="J139" s="34" t="str">
        <x:f>IF(B139="","",IF(COUNT(E139)=0,"MISSING",IF(NOT(ISNUMBER(E139)),"INVALID",IF(E139*F139&lt;K139,"WINSORIZED LOW",IF(E139*F139&gt;L139,"WINSORIZED HIGH","OK")))))</x:f>
      </x:c>
      <x:c r="K139" s="34" t="n">
        <x:v>-0.1395374353</x:v>
      </x:c>
      <x:c r="L139" s="34" t="n">
        <x:v>0.9274274845000001</x:v>
      </x:c>
      <x:c r="M139" s="34" t="n">
        <x:v>0.1111111111111111</x:v>
      </x:c>
      <x:c r="N139" s="34" t="str">
        <x:v>no</x:v>
      </x:c>
    </x:row>
    <x:row r="140">
      <x:c r="A140" s="34" t="n">
        <x:v>14</x:v>
      </x:c>
      <x:c r="B140" s="34" t="str">
        <x:f>IF('01_INPUT_COMPANIES'!$A$20="","",'01_INPUT_COMPANIES'!$A$20)</x:f>
      </x:c>
      <x:c r="C140" s="34" t="str">
        <x:f>IF(B140="","",'01_INPUT_COMPANIES'!$B$20)</x:f>
      </x:c>
      <x:c r="D140" s="34" t="str">
        <x:v>cashflow_recovery_ratio</x:v>
      </x:c>
      <x:c r="E140" s="42" t="str">
        <x:f>IF(OR(B140="",COUNT('01_INPUT_COMPANIES'!$W$20)=0),"",'01_INPUT_COMPANIES'!$W$20)</x:f>
      </x:c>
      <x:c r="F140" s="42" t="n">
        <x:v>-1</x:v>
      </x:c>
      <x:c r="G140" s="42" t="str">
        <x:f>IF(NOT(ISNUMBER(E140)),"",MAX(K140,MIN(L140,E140*F140)))</x:f>
      </x:c>
      <x:c r="H140" s="42" t="n">
        <x:v>95</x:v>
      </x:c>
      <x:c r="I140" s="42" t="str">
        <x:f>IF(COUNT(G140)=0,"",(COUNTIFS('93_REF_ANCHORS'!$A$7:$A$766,D140,'93_REF_ANCHORS'!$C$7:$C$766,"&lt;"&amp;G140)+COUNTIFS('93_REF_ANCHORS'!$A$7:$A$766,D140,'93_REF_ANCHORS'!$C$7:$C$766,"&lt;="&amp;G140)-1)/(2*(H140-1)))</x:f>
      </x:c>
      <x:c r="J140" s="34" t="str">
        <x:f>IF(B140="","",IF(COUNT(E140)=0,"MISSING",IF(NOT(ISNUMBER(E140)),"INVALID",IF(E140*F140&lt;K140,"WINSORIZED LOW",IF(E140*F140&gt;L140,"WINSORIZED HIGH","OK")))))</x:f>
      </x:c>
      <x:c r="K140" s="34" t="n">
        <x:v>-300.75</x:v>
      </x:c>
      <x:c r="L140" s="34" t="n">
        <x:v>42.6920305469</x:v>
      </x:c>
      <x:c r="M140" s="34" t="n">
        <x:v>0.08333333333333333</x:v>
      </x:c>
      <x:c r="N140" s="34" t="str">
        <x:v>no</x:v>
      </x:c>
    </x:row>
    <x:row r="141">
      <x:c r="A141" s="34" t="n">
        <x:v>14</x:v>
      </x:c>
      <x:c r="B141" s="34" t="str">
        <x:f>IF('01_INPUT_COMPANIES'!$A$20="","",'01_INPUT_COMPANIES'!$A$20)</x:f>
      </x:c>
      <x:c r="C141" s="34" t="str">
        <x:f>IF(B141="","",'01_INPUT_COMPANIES'!$B$20)</x:f>
      </x:c>
      <x:c r="D141" s="34" t="str">
        <x:v>funding_cost_spread</x:v>
      </x:c>
      <x:c r="E141" s="42" t="str">
        <x:f>IF(OR(B141="",COUNT('01_INPUT_COMPANIES'!$X$20)=0),"",'01_INPUT_COMPANIES'!$X$20)</x:f>
      </x:c>
      <x:c r="F141" s="42" t="n">
        <x:v>1</x:v>
      </x:c>
      <x:c r="G141" s="42" t="str">
        <x:f>IF(NOT(ISNUMBER(E141)),"",MAX(K141,MIN(L141,E141*F141)))</x:f>
      </x:c>
      <x:c r="H141" s="42" t="n">
        <x:v>58</x:v>
      </x:c>
      <x:c r="I141" s="42" t="str">
        <x:f>IF(COUNT(G141)=0,"",(COUNTIFS('93_REF_ANCHORS'!$A$7:$A$766,D141,'93_REF_ANCHORS'!$C$7:$C$766,"&lt;"&amp;G141)+COUNTIFS('93_REF_ANCHORS'!$A$7:$A$766,D141,'93_REF_ANCHORS'!$C$7:$C$766,"&lt;="&amp;G141)-1)/(2*(H141-1)))</x:f>
      </x:c>
      <x:c r="J141" s="34" t="str">
        <x:f>IF(B141="","",IF(COUNT(E141)=0,"MISSING",IF(NOT(ISNUMBER(E141)),"INVALID",IF(E141*F141&lt;K141,"WINSORIZED LOW",IF(E141*F141&gt;L141,"WINSORIZED HIGH","OK")))))</x:f>
      </x:c>
      <x:c r="K141" s="34" t="n">
        <x:v>-0.4430292903</x:v>
      </x:c>
      <x:c r="L141" s="34" t="n">
        <x:v>0.5068913103</x:v>
      </x:c>
      <x:c r="M141" s="34" t="n">
        <x:v>0.08333333333333333</x:v>
      </x:c>
      <x:c r="N141" s="34" t="str">
        <x:v>no</x:v>
      </x:c>
    </x:row>
    <x:row r="142">
      <x:c r="A142" s="34" t="n">
        <x:v>14</x:v>
      </x:c>
      <x:c r="B142" s="34" t="str">
        <x:f>IF('01_INPUT_COMPANIES'!$A$20="","",'01_INPUT_COMPANIES'!$A$20)</x:f>
      </x:c>
      <x:c r="C142" s="34" t="str">
        <x:f>IF(B142="","",'01_INPUT_COMPANIES'!$B$20)</x:f>
      </x:c>
      <x:c r="D142" s="34" t="str">
        <x:v>investment_recovery_ratio</x:v>
      </x:c>
      <x:c r="E142" s="42" t="str">
        <x:f>IF(OR(B142="",COUNT('01_INPUT_COMPANIES'!$Y$20)=0),"",'01_INPUT_COMPANIES'!$Y$20)</x:f>
      </x:c>
      <x:c r="F142" s="42" t="n">
        <x:v>-1</x:v>
      </x:c>
      <x:c r="G142" s="42" t="str">
        <x:f>IF(NOT(ISNUMBER(E142)),"",MAX(K142,MIN(L142,E142*F142)))</x:f>
      </x:c>
      <x:c r="H142" s="42" t="n">
        <x:v>95</x:v>
      </x:c>
      <x:c r="I142" s="42" t="str">
        <x:f>IF(COUNT(G142)=0,"",(COUNTIFS('93_REF_ANCHORS'!$A$7:$A$766,D142,'93_REF_ANCHORS'!$C$7:$C$766,"&lt;"&amp;G142)+COUNTIFS('93_REF_ANCHORS'!$A$7:$A$766,D142,'93_REF_ANCHORS'!$C$7:$C$766,"&lt;="&amp;G142)-1)/(2*(H142-1)))</x:f>
      </x:c>
      <x:c r="J142" s="34" t="str">
        <x:f>IF(B142="","",IF(COUNT(E142)=0,"MISSING",IF(NOT(ISNUMBER(E142)),"INVALID",IF(E142*F142&lt;K142,"WINSORIZED LOW",IF(E142*F142&gt;L142,"WINSORIZED HIGH","OK")))))</x:f>
      </x:c>
      <x:c r="K142" s="34" t="n">
        <x:v>-3163.7500000000014</x:v>
      </x:c>
      <x:c r="L142" s="34" t="n">
        <x:v>189.68191301719997</x:v>
      </x:c>
      <x:c r="M142" s="34" t="n">
        <x:v>0.08333333333333333</x:v>
      </x:c>
      <x:c r="N142" s="34" t="str">
        <x:v>no</x:v>
      </x:c>
    </x:row>
    <x:row r="143">
      <x:c r="A143" s="34" t="n">
        <x:v>14</x:v>
      </x:c>
      <x:c r="B143" s="34" t="str">
        <x:f>IF('01_INPUT_COMPANIES'!$A$20="","",'01_INPUT_COMPANIES'!$A$20)</x:f>
      </x:c>
      <x:c r="C143" s="34" t="str">
        <x:f>IF(B143="","",'01_INPUT_COMPANIES'!$B$20)</x:f>
      </x:c>
      <x:c r="D143" s="34" t="str">
        <x:v>ip_assetization_gap</x:v>
      </x:c>
      <x:c r="E143" s="42" t="str">
        <x:f>IF(OR(B143="",COUNT('01_INPUT_COMPANIES'!$Z$20)=0),"",'01_INPUT_COMPANIES'!$Z$20)</x:f>
      </x:c>
      <x:c r="F143" s="42" t="n">
        <x:v>1</x:v>
      </x:c>
      <x:c r="G143" s="42" t="str">
        <x:f>IF(NOT(ISNUMBER(E143)),"",MAX(K143,MIN(L143,E143*F143)))</x:f>
      </x:c>
      <x:c r="H143" s="42" t="n">
        <x:v>92</x:v>
      </x:c>
      <x:c r="I143" s="42" t="str">
        <x:f>IF(COUNT(G143)=0,"",(COUNTIFS('93_REF_ANCHORS'!$A$7:$A$766,D143,'93_REF_ANCHORS'!$C$7:$C$766,"&lt;"&amp;G143)+COUNTIFS('93_REF_ANCHORS'!$A$7:$A$766,D143,'93_REF_ANCHORS'!$C$7:$C$766,"&lt;="&amp;G143)-1)/(2*(H143-1)))</x:f>
      </x:c>
      <x:c r="J143" s="34" t="str">
        <x:f>IF(B143="","",IF(COUNT(E143)=0,"MISSING",IF(NOT(ISNUMBER(E143)),"INVALID",IF(E143*F143&lt;K143,"WINSORIZED LOW",IF(E143*F143&gt;L143,"WINSORIZED HIGH","OK")))))</x:f>
      </x:c>
      <x:c r="K143" s="34" t="n">
        <x:v>-1.6707152386</x:v>
      </x:c>
      <x:c r="L143" s="34" t="n">
        <x:v>0.7716332556000001</x:v>
      </x:c>
      <x:c r="M143" s="34" t="n">
        <x:v>0.08333333333333333</x:v>
      </x:c>
      <x:c r="N143" s="34" t="str">
        <x:v>no</x:v>
      </x:c>
    </x:row>
    <x:row r="144">
      <x:c r="A144" s="34" t="n">
        <x:v>14</x:v>
      </x:c>
      <x:c r="B144" s="34" t="str">
        <x:f>IF('01_INPUT_COMPANIES'!$A$20="","",'01_INPUT_COMPANIES'!$A$20)</x:f>
      </x:c>
      <x:c r="C144" s="34" t="str">
        <x:f>IF(B144="","",'01_INPUT_COMPANIES'!$B$20)</x:f>
      </x:c>
      <x:c r="D144" s="34" t="str">
        <x:v>cross_market_transfer_index</x:v>
      </x:c>
      <x:c r="E144" s="42" t="str">
        <x:f>IF(OR(B144="",COUNT('01_INPUT_COMPANIES'!$AA$20)=0),"",'01_INPUT_COMPANIES'!$AA$20)</x:f>
      </x:c>
      <x:c r="F144" s="42" t="n">
        <x:v>1</x:v>
      </x:c>
      <x:c r="G144" s="42" t="str">
        <x:f>IF(NOT(ISNUMBER(E144)),"",MAX(K144,MIN(L144,E144*F144)))</x:f>
      </x:c>
      <x:c r="H144" s="42" t="n">
        <x:v>4</x:v>
      </x:c>
      <x:c r="I144" s="42" t="str">
        <x:f>IF(COUNT(G144)=0,"",(COUNTIFS('93_REF_ANCHORS'!$A$7:$A$766,D144,'93_REF_ANCHORS'!$C$7:$C$766,"&lt;"&amp;G144)+COUNTIFS('93_REF_ANCHORS'!$A$7:$A$766,D144,'93_REF_ANCHORS'!$C$7:$C$766,"&lt;="&amp;G144)-1)/(2*(H144-1)))</x:f>
      </x:c>
      <x:c r="J144" s="34" t="str">
        <x:f>IF(B144="","",IF(COUNT(E144)=0,"MISSING",IF(NOT(ISNUMBER(E144)),"INVALID",IF(E144*F144&lt;K144,"WINSORIZED LOW",IF(E144*F144&gt;L144,"WINSORIZED HIGH","OK")))))</x:f>
      </x:c>
      <x:c r="K144" s="34" t="n">
        <x:v>0</x:v>
      </x:c>
      <x:c r="L144" s="34" t="n">
        <x:v>0.7587051325360435</x:v>
      </x:c>
      <x:c r="M144" s="34" t="n">
        <x:v>0.1111111111111111</x:v>
      </x:c>
      <x:c r="N144" s="34" t="str">
        <x:v>yes</x:v>
      </x:c>
    </x:row>
    <x:row r="145">
      <x:c r="A145" s="34" t="n">
        <x:v>14</x:v>
      </x:c>
      <x:c r="B145" s="34" t="str">
        <x:f>IF('01_INPUT_COMPANIES'!$A$20="","",'01_INPUT_COMPANIES'!$A$20)</x:f>
      </x:c>
      <x:c r="C145" s="34" t="str">
        <x:f>IF(B145="","",'01_INPUT_COMPANIES'!$B$20)</x:f>
      </x:c>
      <x:c r="D145" s="34" t="str">
        <x:v>foreign_dependency_ratio</x:v>
      </x:c>
      <x:c r="E145" s="42" t="str">
        <x:f>IF(OR(B145="",COUNT('01_INPUT_COMPANIES'!$AB$20)=0),"",'01_INPUT_COMPANIES'!$AB$20)</x:f>
      </x:c>
      <x:c r="F145" s="42" t="n">
        <x:v>1</x:v>
      </x:c>
      <x:c r="G145" s="42" t="str">
        <x:f>IF(NOT(ISNUMBER(E145)),"",MAX(K145,MIN(L145,E145*F145)))</x:f>
      </x:c>
      <x:c r="H145" s="42" t="n">
        <x:v>84</x:v>
      </x:c>
      <x:c r="I145" s="42" t="str">
        <x:f>IF(COUNT(G145)=0,"",(COUNTIFS('93_REF_ANCHORS'!$A$7:$A$766,D145,'93_REF_ANCHORS'!$C$7:$C$766,"&lt;"&amp;G145)+COUNTIFS('93_REF_ANCHORS'!$A$7:$A$766,D145,'93_REF_ANCHORS'!$C$7:$C$766,"&lt;="&amp;G145)-1)/(2*(H145-1)))</x:f>
      </x:c>
      <x:c r="J145" s="34" t="str">
        <x:f>IF(B145="","",IF(COUNT(E145)=0,"MISSING",IF(NOT(ISNUMBER(E145)),"INVALID",IF(E145*F145&lt;K145,"WINSORIZED LOW",IF(E145*F145&gt;L145,"WINSORIZED HIGH","OK")))))</x:f>
      </x:c>
      <x:c r="K145" s="34" t="n">
        <x:v>0.728196</x:v>
      </x:c>
      <x:c r="L145" s="34" t="n">
        <x:v>0.94</x:v>
      </x:c>
      <x:c r="M145" s="34" t="n">
        <x:v>0.1111111111111111</x:v>
      </x:c>
      <x:c r="N145" s="34" t="str">
        <x:v>yes</x:v>
      </x:c>
    </x:row>
    <x:row r="146">
      <x:c r="A146" s="34" t="n">
        <x:v>14</x:v>
      </x:c>
      <x:c r="B146" s="34" t="str">
        <x:f>IF('01_INPUT_COMPANIES'!$A$20="","",'01_INPUT_COMPANIES'!$A$20)</x:f>
      </x:c>
      <x:c r="C146" s="34" t="str">
        <x:f>IF(B146="","",'01_INPUT_COMPANIES'!$B$20)</x:f>
      </x:c>
      <x:c r="D146" s="34" t="str">
        <x:v>outflow_to_capex_ratio</x:v>
      </x:c>
      <x:c r="E146" s="42" t="str">
        <x:f>IF(OR(B146="",COUNT('01_INPUT_COMPANIES'!$AC$20)=0),"",'01_INPUT_COMPANIES'!$AC$20)</x:f>
      </x:c>
      <x:c r="F146" s="42" t="n">
        <x:v>1</x:v>
      </x:c>
      <x:c r="G146" s="42" t="str">
        <x:f>IF(NOT(ISNUMBER(E146)),"",MAX(K146,MIN(L146,E146*F146)))</x:f>
      </x:c>
      <x:c r="H146" s="42" t="n">
        <x:v>97</x:v>
      </x:c>
      <x:c r="I146" s="42" t="str">
        <x:f>IF(COUNT(G146)=0,"",(COUNTIFS('93_REF_ANCHORS'!$A$7:$A$766,D146,'93_REF_ANCHORS'!$C$7:$C$766,"&lt;"&amp;G146)+COUNTIFS('93_REF_ANCHORS'!$A$7:$A$766,D146,'93_REF_ANCHORS'!$C$7:$C$766,"&lt;="&amp;G146)-1)/(2*(H146-1)))</x:f>
      </x:c>
      <x:c r="J146" s="34" t="str">
        <x:f>IF(B146="","",IF(COUNT(E146)=0,"MISSING",IF(NOT(ISNUMBER(E146)),"INVALID",IF(E146*F146&lt;K146,"WINSORIZED LOW",IF(E146*F146&gt;L146,"WINSORIZED HIGH","OK")))))</x:f>
      </x:c>
      <x:c r="K146" s="34" t="n">
        <x:v>-123.5385890408</x:v>
      </x:c>
      <x:c r="L146" s="34" t="n">
        <x:v>974.1666666666999</x:v>
      </x:c>
      <x:c r="M146" s="34" t="n">
        <x:v>0.1111111111111111</x:v>
      </x:c>
      <x:c r="N146" s="34" t="str">
        <x:v>no</x:v>
      </x:c>
    </x:row>
    <x:row r="147">
      <x:c r="A147" s="34" t="n">
        <x:v>15</x:v>
      </x:c>
      <x:c r="B147" s="34" t="str">
        <x:f>IF('01_INPUT_COMPANIES'!$A$21="","",'01_INPUT_COMPANIES'!$A$21)</x:f>
      </x:c>
      <x:c r="C147" s="34" t="str">
        <x:f>IF(B147="","",'01_INPUT_COMPANIES'!$B$21)</x:f>
      </x:c>
      <x:c r="D147" s="34" t="str">
        <x:v>effective_tax_rate_gap</x:v>
      </x:c>
      <x:c r="E147" s="42" t="str">
        <x:f>IF(OR(B147="",COUNT('01_INPUT_COMPANIES'!$T$21)=0),"",'01_INPUT_COMPANIES'!$T$21)</x:f>
      </x:c>
      <x:c r="F147" s="42" t="n">
        <x:v>1</x:v>
      </x:c>
      <x:c r="G147" s="42" t="str">
        <x:f>IF(NOT(ISNUMBER(E147)),"",MAX(K147,MIN(L147,E147*F147)))</x:f>
      </x:c>
      <x:c r="H147" s="42" t="n">
        <x:v>74</x:v>
      </x:c>
      <x:c r="I147" s="42" t="str">
        <x:f>IF(COUNT(G147)=0,"",(COUNTIFS('93_REF_ANCHORS'!$A$7:$A$766,D147,'93_REF_ANCHORS'!$C$7:$C$766,"&lt;"&amp;G147)+COUNTIFS('93_REF_ANCHORS'!$A$7:$A$766,D147,'93_REF_ANCHORS'!$C$7:$C$766,"&lt;="&amp;G147)-1)/(2*(H147-1)))</x:f>
      </x:c>
      <x:c r="J147" s="34" t="str">
        <x:f>IF(B147="","",IF(COUNT(E147)=0,"MISSING",IF(NOT(ISNUMBER(E147)),"INVALID",IF(E147*F147&lt;K147,"WINSORIZED LOW",IF(E147*F147&gt;L147,"WINSORIZED HIGH","OK")))))</x:f>
      </x:c>
      <x:c r="K147" s="34" t="n">
        <x:v>-0.1416111014</x:v>
      </x:c>
      <x:c r="L147" s="34" t="n">
        <x:v>0.2683650488</x:v>
      </x:c>
      <x:c r="M147" s="34" t="n">
        <x:v>0.1111111111111111</x:v>
      </x:c>
      <x:c r="N147" s="34" t="str">
        <x:v>no</x:v>
      </x:c>
    </x:row>
    <x:row r="148">
      <x:c r="A148" s="34" t="n">
        <x:v>15</x:v>
      </x:c>
      <x:c r="B148" s="34" t="str">
        <x:f>IF('01_INPUT_COMPANIES'!$A$21="","",'01_INPUT_COMPANIES'!$A$21)</x:f>
      </x:c>
      <x:c r="C148" s="34" t="str">
        <x:f>IF(B148="","",'01_INPUT_COMPANIES'!$B$21)</x:f>
      </x:c>
      <x:c r="D148" s="34" t="str">
        <x:v>infra_dependency_ratio</x:v>
      </x:c>
      <x:c r="E148" s="42" t="str">
        <x:f>IF(OR(B148="",COUNT('01_INPUT_COMPANIES'!$U$21)=0),"",'01_INPUT_COMPANIES'!$U$21)</x:f>
      </x:c>
      <x:c r="F148" s="42" t="n">
        <x:v>1</x:v>
      </x:c>
      <x:c r="G148" s="42" t="str">
        <x:f>IF(NOT(ISNUMBER(E148)),"",MAX(K148,MIN(L148,E148*F148)))</x:f>
      </x:c>
      <x:c r="H148" s="42" t="n">
        <x:v>64</x:v>
      </x:c>
      <x:c r="I148" s="42" t="str">
        <x:f>IF(COUNT(G148)=0,"",(COUNTIFS('93_REF_ANCHORS'!$A$7:$A$766,D148,'93_REF_ANCHORS'!$C$7:$C$766,"&lt;"&amp;G148)+COUNTIFS('93_REF_ANCHORS'!$A$7:$A$766,D148,'93_REF_ANCHORS'!$C$7:$C$766,"&lt;="&amp;G148)-1)/(2*(H148-1)))</x:f>
      </x:c>
      <x:c r="J148" s="34" t="str">
        <x:f>IF(B148="","",IF(COUNT(E148)=0,"MISSING",IF(NOT(ISNUMBER(E148)),"INVALID",IF(E148*F148&lt;K148,"WINSORIZED LOW",IF(E148*F148&gt;L148,"WINSORIZED HIGH","OK")))))</x:f>
      </x:c>
      <x:c r="K148" s="34" t="n">
        <x:v>-0.10705024705171803</x:v>
      </x:c>
      <x:c r="L148" s="34" t="n">
        <x:v>0.8008753865408955</x:v>
      </x:c>
      <x:c r="M148" s="34" t="n">
        <x:v>0.1111111111111111</x:v>
      </x:c>
      <x:c r="N148" s="34" t="str">
        <x:v>no</x:v>
      </x:c>
    </x:row>
    <x:row r="149">
      <x:c r="A149" s="34" t="n">
        <x:v>15</x:v>
      </x:c>
      <x:c r="B149" s="34" t="str">
        <x:f>IF('01_INPUT_COMPANIES'!$A$21="","",'01_INPUT_COMPANIES'!$A$21)</x:f>
      </x:c>
      <x:c r="C149" s="34" t="str">
        <x:f>IF(B149="","",'01_INPUT_COMPANIES'!$B$21)</x:f>
      </x:c>
      <x:c r="D149" s="34" t="str">
        <x:v>network_cost_ratio</x:v>
      </x:c>
      <x:c r="E149" s="42" t="str">
        <x:f>IF(OR(B149="",COUNT('01_INPUT_COMPANIES'!$V$21)=0),"",'01_INPUT_COMPANIES'!$V$21)</x:f>
      </x:c>
      <x:c r="F149" s="42" t="n">
        <x:v>1</x:v>
      </x:c>
      <x:c r="G149" s="42" t="str">
        <x:f>IF(NOT(ISNUMBER(E149)),"",MAX(K149,MIN(L149,E149*F149)))</x:f>
      </x:c>
      <x:c r="H149" s="42" t="n">
        <x:v>97</x:v>
      </x:c>
      <x:c r="I149" s="42" t="str">
        <x:f>IF(COUNT(G149)=0,"",(COUNTIFS('93_REF_ANCHORS'!$A$7:$A$766,D149,'93_REF_ANCHORS'!$C$7:$C$766,"&lt;"&amp;G149)+COUNTIFS('93_REF_ANCHORS'!$A$7:$A$766,D149,'93_REF_ANCHORS'!$C$7:$C$766,"&lt;="&amp;G149)-1)/(2*(H149-1)))</x:f>
      </x:c>
      <x:c r="J149" s="34" t="str">
        <x:f>IF(B149="","",IF(COUNT(E149)=0,"MISSING",IF(NOT(ISNUMBER(E149)),"INVALID",IF(E149*F149&lt;K149,"WINSORIZED LOW",IF(E149*F149&gt;L149,"WINSORIZED HIGH","OK")))))</x:f>
      </x:c>
      <x:c r="K149" s="34" t="n">
        <x:v>-0.1395374353</x:v>
      </x:c>
      <x:c r="L149" s="34" t="n">
        <x:v>0.9274274845000001</x:v>
      </x:c>
      <x:c r="M149" s="34" t="n">
        <x:v>0.1111111111111111</x:v>
      </x:c>
      <x:c r="N149" s="34" t="str">
        <x:v>no</x:v>
      </x:c>
    </x:row>
    <x:row r="150">
      <x:c r="A150" s="34" t="n">
        <x:v>15</x:v>
      </x:c>
      <x:c r="B150" s="34" t="str">
        <x:f>IF('01_INPUT_COMPANIES'!$A$21="","",'01_INPUT_COMPANIES'!$A$21)</x:f>
      </x:c>
      <x:c r="C150" s="34" t="str">
        <x:f>IF(B150="","",'01_INPUT_COMPANIES'!$B$21)</x:f>
      </x:c>
      <x:c r="D150" s="34" t="str">
        <x:v>cashflow_recovery_ratio</x:v>
      </x:c>
      <x:c r="E150" s="42" t="str">
        <x:f>IF(OR(B150="",COUNT('01_INPUT_COMPANIES'!$W$21)=0),"",'01_INPUT_COMPANIES'!$W$21)</x:f>
      </x:c>
      <x:c r="F150" s="42" t="n">
        <x:v>-1</x:v>
      </x:c>
      <x:c r="G150" s="42" t="str">
        <x:f>IF(NOT(ISNUMBER(E150)),"",MAX(K150,MIN(L150,E150*F150)))</x:f>
      </x:c>
      <x:c r="H150" s="42" t="n">
        <x:v>95</x:v>
      </x:c>
      <x:c r="I150" s="42" t="str">
        <x:f>IF(COUNT(G150)=0,"",(COUNTIFS('93_REF_ANCHORS'!$A$7:$A$766,D150,'93_REF_ANCHORS'!$C$7:$C$766,"&lt;"&amp;G150)+COUNTIFS('93_REF_ANCHORS'!$A$7:$A$766,D150,'93_REF_ANCHORS'!$C$7:$C$766,"&lt;="&amp;G150)-1)/(2*(H150-1)))</x:f>
      </x:c>
      <x:c r="J150" s="34" t="str">
        <x:f>IF(B150="","",IF(COUNT(E150)=0,"MISSING",IF(NOT(ISNUMBER(E150)),"INVALID",IF(E150*F150&lt;K150,"WINSORIZED LOW",IF(E150*F150&gt;L150,"WINSORIZED HIGH","OK")))))</x:f>
      </x:c>
      <x:c r="K150" s="34" t="n">
        <x:v>-300.75</x:v>
      </x:c>
      <x:c r="L150" s="34" t="n">
        <x:v>42.6920305469</x:v>
      </x:c>
      <x:c r="M150" s="34" t="n">
        <x:v>0.08333333333333333</x:v>
      </x:c>
      <x:c r="N150" s="34" t="str">
        <x:v>no</x:v>
      </x:c>
    </x:row>
    <x:row r="151">
      <x:c r="A151" s="34" t="n">
        <x:v>15</x:v>
      </x:c>
      <x:c r="B151" s="34" t="str">
        <x:f>IF('01_INPUT_COMPANIES'!$A$21="","",'01_INPUT_COMPANIES'!$A$21)</x:f>
      </x:c>
      <x:c r="C151" s="34" t="str">
        <x:f>IF(B151="","",'01_INPUT_COMPANIES'!$B$21)</x:f>
      </x:c>
      <x:c r="D151" s="34" t="str">
        <x:v>funding_cost_spread</x:v>
      </x:c>
      <x:c r="E151" s="42" t="str">
        <x:f>IF(OR(B151="",COUNT('01_INPUT_COMPANIES'!$X$21)=0),"",'01_INPUT_COMPANIES'!$X$21)</x:f>
      </x:c>
      <x:c r="F151" s="42" t="n">
        <x:v>1</x:v>
      </x:c>
      <x:c r="G151" s="42" t="str">
        <x:f>IF(NOT(ISNUMBER(E151)),"",MAX(K151,MIN(L151,E151*F151)))</x:f>
      </x:c>
      <x:c r="H151" s="42" t="n">
        <x:v>58</x:v>
      </x:c>
      <x:c r="I151" s="42" t="str">
        <x:f>IF(COUNT(G151)=0,"",(COUNTIFS('93_REF_ANCHORS'!$A$7:$A$766,D151,'93_REF_ANCHORS'!$C$7:$C$766,"&lt;"&amp;G151)+COUNTIFS('93_REF_ANCHORS'!$A$7:$A$766,D151,'93_REF_ANCHORS'!$C$7:$C$766,"&lt;="&amp;G151)-1)/(2*(H151-1)))</x:f>
      </x:c>
      <x:c r="J151" s="34" t="str">
        <x:f>IF(B151="","",IF(COUNT(E151)=0,"MISSING",IF(NOT(ISNUMBER(E151)),"INVALID",IF(E151*F151&lt;K151,"WINSORIZED LOW",IF(E151*F151&gt;L151,"WINSORIZED HIGH","OK")))))</x:f>
      </x:c>
      <x:c r="K151" s="34" t="n">
        <x:v>-0.4430292903</x:v>
      </x:c>
      <x:c r="L151" s="34" t="n">
        <x:v>0.5068913103</x:v>
      </x:c>
      <x:c r="M151" s="34" t="n">
        <x:v>0.08333333333333333</x:v>
      </x:c>
      <x:c r="N151" s="34" t="str">
        <x:v>no</x:v>
      </x:c>
    </x:row>
    <x:row r="152">
      <x:c r="A152" s="34" t="n">
        <x:v>15</x:v>
      </x:c>
      <x:c r="B152" s="34" t="str">
        <x:f>IF('01_INPUT_COMPANIES'!$A$21="","",'01_INPUT_COMPANIES'!$A$21)</x:f>
      </x:c>
      <x:c r="C152" s="34" t="str">
        <x:f>IF(B152="","",'01_INPUT_COMPANIES'!$B$21)</x:f>
      </x:c>
      <x:c r="D152" s="34" t="str">
        <x:v>investment_recovery_ratio</x:v>
      </x:c>
      <x:c r="E152" s="42" t="str">
        <x:f>IF(OR(B152="",COUNT('01_INPUT_COMPANIES'!$Y$21)=0),"",'01_INPUT_COMPANIES'!$Y$21)</x:f>
      </x:c>
      <x:c r="F152" s="42" t="n">
        <x:v>-1</x:v>
      </x:c>
      <x:c r="G152" s="42" t="str">
        <x:f>IF(NOT(ISNUMBER(E152)),"",MAX(K152,MIN(L152,E152*F152)))</x:f>
      </x:c>
      <x:c r="H152" s="42" t="n">
        <x:v>95</x:v>
      </x:c>
      <x:c r="I152" s="42" t="str">
        <x:f>IF(COUNT(G152)=0,"",(COUNTIFS('93_REF_ANCHORS'!$A$7:$A$766,D152,'93_REF_ANCHORS'!$C$7:$C$766,"&lt;"&amp;G152)+COUNTIFS('93_REF_ANCHORS'!$A$7:$A$766,D152,'93_REF_ANCHORS'!$C$7:$C$766,"&lt;="&amp;G152)-1)/(2*(H152-1)))</x:f>
      </x:c>
      <x:c r="J152" s="34" t="str">
        <x:f>IF(B152="","",IF(COUNT(E152)=0,"MISSING",IF(NOT(ISNUMBER(E152)),"INVALID",IF(E152*F152&lt;K152,"WINSORIZED LOW",IF(E152*F152&gt;L152,"WINSORIZED HIGH","OK")))))</x:f>
      </x:c>
      <x:c r="K152" s="34" t="n">
        <x:v>-3163.7500000000014</x:v>
      </x:c>
      <x:c r="L152" s="34" t="n">
        <x:v>189.68191301719997</x:v>
      </x:c>
      <x:c r="M152" s="34" t="n">
        <x:v>0.08333333333333333</x:v>
      </x:c>
      <x:c r="N152" s="34" t="str">
        <x:v>no</x:v>
      </x:c>
    </x:row>
    <x:row r="153">
      <x:c r="A153" s="34" t="n">
        <x:v>15</x:v>
      </x:c>
      <x:c r="B153" s="34" t="str">
        <x:f>IF('01_INPUT_COMPANIES'!$A$21="","",'01_INPUT_COMPANIES'!$A$21)</x:f>
      </x:c>
      <x:c r="C153" s="34" t="str">
        <x:f>IF(B153="","",'01_INPUT_COMPANIES'!$B$21)</x:f>
      </x:c>
      <x:c r="D153" s="34" t="str">
        <x:v>ip_assetization_gap</x:v>
      </x:c>
      <x:c r="E153" s="42" t="str">
        <x:f>IF(OR(B153="",COUNT('01_INPUT_COMPANIES'!$Z$21)=0),"",'01_INPUT_COMPANIES'!$Z$21)</x:f>
      </x:c>
      <x:c r="F153" s="42" t="n">
        <x:v>1</x:v>
      </x:c>
      <x:c r="G153" s="42" t="str">
        <x:f>IF(NOT(ISNUMBER(E153)),"",MAX(K153,MIN(L153,E153*F153)))</x:f>
      </x:c>
      <x:c r="H153" s="42" t="n">
        <x:v>92</x:v>
      </x:c>
      <x:c r="I153" s="42" t="str">
        <x:f>IF(COUNT(G153)=0,"",(COUNTIFS('93_REF_ANCHORS'!$A$7:$A$766,D153,'93_REF_ANCHORS'!$C$7:$C$766,"&lt;"&amp;G153)+COUNTIFS('93_REF_ANCHORS'!$A$7:$A$766,D153,'93_REF_ANCHORS'!$C$7:$C$766,"&lt;="&amp;G153)-1)/(2*(H153-1)))</x:f>
      </x:c>
      <x:c r="J153" s="34" t="str">
        <x:f>IF(B153="","",IF(COUNT(E153)=0,"MISSING",IF(NOT(ISNUMBER(E153)),"INVALID",IF(E153*F153&lt;K153,"WINSORIZED LOW",IF(E153*F153&gt;L153,"WINSORIZED HIGH","OK")))))</x:f>
      </x:c>
      <x:c r="K153" s="34" t="n">
        <x:v>-1.6707152386</x:v>
      </x:c>
      <x:c r="L153" s="34" t="n">
        <x:v>0.7716332556000001</x:v>
      </x:c>
      <x:c r="M153" s="34" t="n">
        <x:v>0.08333333333333333</x:v>
      </x:c>
      <x:c r="N153" s="34" t="str">
        <x:v>no</x:v>
      </x:c>
    </x:row>
    <x:row r="154">
      <x:c r="A154" s="34" t="n">
        <x:v>15</x:v>
      </x:c>
      <x:c r="B154" s="34" t="str">
        <x:f>IF('01_INPUT_COMPANIES'!$A$21="","",'01_INPUT_COMPANIES'!$A$21)</x:f>
      </x:c>
      <x:c r="C154" s="34" t="str">
        <x:f>IF(B154="","",'01_INPUT_COMPANIES'!$B$21)</x:f>
      </x:c>
      <x:c r="D154" s="34" t="str">
        <x:v>cross_market_transfer_index</x:v>
      </x:c>
      <x:c r="E154" s="42" t="str">
        <x:f>IF(OR(B154="",COUNT('01_INPUT_COMPANIES'!$AA$21)=0),"",'01_INPUT_COMPANIES'!$AA$21)</x:f>
      </x:c>
      <x:c r="F154" s="42" t="n">
        <x:v>1</x:v>
      </x:c>
      <x:c r="G154" s="42" t="str">
        <x:f>IF(NOT(ISNUMBER(E154)),"",MAX(K154,MIN(L154,E154*F154)))</x:f>
      </x:c>
      <x:c r="H154" s="42" t="n">
        <x:v>4</x:v>
      </x:c>
      <x:c r="I154" s="42" t="str">
        <x:f>IF(COUNT(G154)=0,"",(COUNTIFS('93_REF_ANCHORS'!$A$7:$A$766,D154,'93_REF_ANCHORS'!$C$7:$C$766,"&lt;"&amp;G154)+COUNTIFS('93_REF_ANCHORS'!$A$7:$A$766,D154,'93_REF_ANCHORS'!$C$7:$C$766,"&lt;="&amp;G154)-1)/(2*(H154-1)))</x:f>
      </x:c>
      <x:c r="J154" s="34" t="str">
        <x:f>IF(B154="","",IF(COUNT(E154)=0,"MISSING",IF(NOT(ISNUMBER(E154)),"INVALID",IF(E154*F154&lt;K154,"WINSORIZED LOW",IF(E154*F154&gt;L154,"WINSORIZED HIGH","OK")))))</x:f>
      </x:c>
      <x:c r="K154" s="34" t="n">
        <x:v>0</x:v>
      </x:c>
      <x:c r="L154" s="34" t="n">
        <x:v>0.7587051325360435</x:v>
      </x:c>
      <x:c r="M154" s="34" t="n">
        <x:v>0.1111111111111111</x:v>
      </x:c>
      <x:c r="N154" s="34" t="str">
        <x:v>yes</x:v>
      </x:c>
    </x:row>
    <x:row r="155">
      <x:c r="A155" s="34" t="n">
        <x:v>15</x:v>
      </x:c>
      <x:c r="B155" s="34" t="str">
        <x:f>IF('01_INPUT_COMPANIES'!$A$21="","",'01_INPUT_COMPANIES'!$A$21)</x:f>
      </x:c>
      <x:c r="C155" s="34" t="str">
        <x:f>IF(B155="","",'01_INPUT_COMPANIES'!$B$21)</x:f>
      </x:c>
      <x:c r="D155" s="34" t="str">
        <x:v>foreign_dependency_ratio</x:v>
      </x:c>
      <x:c r="E155" s="42" t="str">
        <x:f>IF(OR(B155="",COUNT('01_INPUT_COMPANIES'!$AB$21)=0),"",'01_INPUT_COMPANIES'!$AB$21)</x:f>
      </x:c>
      <x:c r="F155" s="42" t="n">
        <x:v>1</x:v>
      </x:c>
      <x:c r="G155" s="42" t="str">
        <x:f>IF(NOT(ISNUMBER(E155)),"",MAX(K155,MIN(L155,E155*F155)))</x:f>
      </x:c>
      <x:c r="H155" s="42" t="n">
        <x:v>84</x:v>
      </x:c>
      <x:c r="I155" s="42" t="str">
        <x:f>IF(COUNT(G155)=0,"",(COUNTIFS('93_REF_ANCHORS'!$A$7:$A$766,D155,'93_REF_ANCHORS'!$C$7:$C$766,"&lt;"&amp;G155)+COUNTIFS('93_REF_ANCHORS'!$A$7:$A$766,D155,'93_REF_ANCHORS'!$C$7:$C$766,"&lt;="&amp;G155)-1)/(2*(H155-1)))</x:f>
      </x:c>
      <x:c r="J155" s="34" t="str">
        <x:f>IF(B155="","",IF(COUNT(E155)=0,"MISSING",IF(NOT(ISNUMBER(E155)),"INVALID",IF(E155*F155&lt;K155,"WINSORIZED LOW",IF(E155*F155&gt;L155,"WINSORIZED HIGH","OK")))))</x:f>
      </x:c>
      <x:c r="K155" s="34" t="n">
        <x:v>0.728196</x:v>
      </x:c>
      <x:c r="L155" s="34" t="n">
        <x:v>0.94</x:v>
      </x:c>
      <x:c r="M155" s="34" t="n">
        <x:v>0.1111111111111111</x:v>
      </x:c>
      <x:c r="N155" s="34" t="str">
        <x:v>yes</x:v>
      </x:c>
    </x:row>
    <x:row r="156">
      <x:c r="A156" s="34" t="n">
        <x:v>15</x:v>
      </x:c>
      <x:c r="B156" s="34" t="str">
        <x:f>IF('01_INPUT_COMPANIES'!$A$21="","",'01_INPUT_COMPANIES'!$A$21)</x:f>
      </x:c>
      <x:c r="C156" s="34" t="str">
        <x:f>IF(B156="","",'01_INPUT_COMPANIES'!$B$21)</x:f>
      </x:c>
      <x:c r="D156" s="34" t="str">
        <x:v>outflow_to_capex_ratio</x:v>
      </x:c>
      <x:c r="E156" s="42" t="str">
        <x:f>IF(OR(B156="",COUNT('01_INPUT_COMPANIES'!$AC$21)=0),"",'01_INPUT_COMPANIES'!$AC$21)</x:f>
      </x:c>
      <x:c r="F156" s="42" t="n">
        <x:v>1</x:v>
      </x:c>
      <x:c r="G156" s="42" t="str">
        <x:f>IF(NOT(ISNUMBER(E156)),"",MAX(K156,MIN(L156,E156*F156)))</x:f>
      </x:c>
      <x:c r="H156" s="42" t="n">
        <x:v>97</x:v>
      </x:c>
      <x:c r="I156" s="42" t="str">
        <x:f>IF(COUNT(G156)=0,"",(COUNTIFS('93_REF_ANCHORS'!$A$7:$A$766,D156,'93_REF_ANCHORS'!$C$7:$C$766,"&lt;"&amp;G156)+COUNTIFS('93_REF_ANCHORS'!$A$7:$A$766,D156,'93_REF_ANCHORS'!$C$7:$C$766,"&lt;="&amp;G156)-1)/(2*(H156-1)))</x:f>
      </x:c>
      <x:c r="J156" s="34" t="str">
        <x:f>IF(B156="","",IF(COUNT(E156)=0,"MISSING",IF(NOT(ISNUMBER(E156)),"INVALID",IF(E156*F156&lt;K156,"WINSORIZED LOW",IF(E156*F156&gt;L156,"WINSORIZED HIGH","OK")))))</x:f>
      </x:c>
      <x:c r="K156" s="34" t="n">
        <x:v>-123.5385890408</x:v>
      </x:c>
      <x:c r="L156" s="34" t="n">
        <x:v>974.1666666666999</x:v>
      </x:c>
      <x:c r="M156" s="34" t="n">
        <x:v>0.1111111111111111</x:v>
      </x:c>
      <x:c r="N156" s="34" t="str">
        <x:v>no</x:v>
      </x:c>
    </x:row>
    <x:row r="157">
      <x:c r="A157" s="34" t="n">
        <x:v>16</x:v>
      </x:c>
      <x:c r="B157" s="34" t="str">
        <x:f>IF('01_INPUT_COMPANIES'!$A$22="","",'01_INPUT_COMPANIES'!$A$22)</x:f>
      </x:c>
      <x:c r="C157" s="34" t="str">
        <x:f>IF(B157="","",'01_INPUT_COMPANIES'!$B$22)</x:f>
      </x:c>
      <x:c r="D157" s="34" t="str">
        <x:v>effective_tax_rate_gap</x:v>
      </x:c>
      <x:c r="E157" s="42" t="str">
        <x:f>IF(OR(B157="",COUNT('01_INPUT_COMPANIES'!$T$22)=0),"",'01_INPUT_COMPANIES'!$T$22)</x:f>
      </x:c>
      <x:c r="F157" s="42" t="n">
        <x:v>1</x:v>
      </x:c>
      <x:c r="G157" s="42" t="str">
        <x:f>IF(NOT(ISNUMBER(E157)),"",MAX(K157,MIN(L157,E157*F157)))</x:f>
      </x:c>
      <x:c r="H157" s="42" t="n">
        <x:v>74</x:v>
      </x:c>
      <x:c r="I157" s="42" t="str">
        <x:f>IF(COUNT(G157)=0,"",(COUNTIFS('93_REF_ANCHORS'!$A$7:$A$766,D157,'93_REF_ANCHORS'!$C$7:$C$766,"&lt;"&amp;G157)+COUNTIFS('93_REF_ANCHORS'!$A$7:$A$766,D157,'93_REF_ANCHORS'!$C$7:$C$766,"&lt;="&amp;G157)-1)/(2*(H157-1)))</x:f>
      </x:c>
      <x:c r="J157" s="34" t="str">
        <x:f>IF(B157="","",IF(COUNT(E157)=0,"MISSING",IF(NOT(ISNUMBER(E157)),"INVALID",IF(E157*F157&lt;K157,"WINSORIZED LOW",IF(E157*F157&gt;L157,"WINSORIZED HIGH","OK")))))</x:f>
      </x:c>
      <x:c r="K157" s="34" t="n">
        <x:v>-0.1416111014</x:v>
      </x:c>
      <x:c r="L157" s="34" t="n">
        <x:v>0.2683650488</x:v>
      </x:c>
      <x:c r="M157" s="34" t="n">
        <x:v>0.1111111111111111</x:v>
      </x:c>
      <x:c r="N157" s="34" t="str">
        <x:v>no</x:v>
      </x:c>
    </x:row>
    <x:row r="158">
      <x:c r="A158" s="34" t="n">
        <x:v>16</x:v>
      </x:c>
      <x:c r="B158" s="34" t="str">
        <x:f>IF('01_INPUT_COMPANIES'!$A$22="","",'01_INPUT_COMPANIES'!$A$22)</x:f>
      </x:c>
      <x:c r="C158" s="34" t="str">
        <x:f>IF(B158="","",'01_INPUT_COMPANIES'!$B$22)</x:f>
      </x:c>
      <x:c r="D158" s="34" t="str">
        <x:v>infra_dependency_ratio</x:v>
      </x:c>
      <x:c r="E158" s="42" t="str">
        <x:f>IF(OR(B158="",COUNT('01_INPUT_COMPANIES'!$U$22)=0),"",'01_INPUT_COMPANIES'!$U$22)</x:f>
      </x:c>
      <x:c r="F158" s="42" t="n">
        <x:v>1</x:v>
      </x:c>
      <x:c r="G158" s="42" t="str">
        <x:f>IF(NOT(ISNUMBER(E158)),"",MAX(K158,MIN(L158,E158*F158)))</x:f>
      </x:c>
      <x:c r="H158" s="42" t="n">
        <x:v>64</x:v>
      </x:c>
      <x:c r="I158" s="42" t="str">
        <x:f>IF(COUNT(G158)=0,"",(COUNTIFS('93_REF_ANCHORS'!$A$7:$A$766,D158,'93_REF_ANCHORS'!$C$7:$C$766,"&lt;"&amp;G158)+COUNTIFS('93_REF_ANCHORS'!$A$7:$A$766,D158,'93_REF_ANCHORS'!$C$7:$C$766,"&lt;="&amp;G158)-1)/(2*(H158-1)))</x:f>
      </x:c>
      <x:c r="J158" s="34" t="str">
        <x:f>IF(B158="","",IF(COUNT(E158)=0,"MISSING",IF(NOT(ISNUMBER(E158)),"INVALID",IF(E158*F158&lt;K158,"WINSORIZED LOW",IF(E158*F158&gt;L158,"WINSORIZED HIGH","OK")))))</x:f>
      </x:c>
      <x:c r="K158" s="34" t="n">
        <x:v>-0.10705024705171803</x:v>
      </x:c>
      <x:c r="L158" s="34" t="n">
        <x:v>0.8008753865408955</x:v>
      </x:c>
      <x:c r="M158" s="34" t="n">
        <x:v>0.1111111111111111</x:v>
      </x:c>
      <x:c r="N158" s="34" t="str">
        <x:v>no</x:v>
      </x:c>
    </x:row>
    <x:row r="159">
      <x:c r="A159" s="34" t="n">
        <x:v>16</x:v>
      </x:c>
      <x:c r="B159" s="34" t="str">
        <x:f>IF('01_INPUT_COMPANIES'!$A$22="","",'01_INPUT_COMPANIES'!$A$22)</x:f>
      </x:c>
      <x:c r="C159" s="34" t="str">
        <x:f>IF(B159="","",'01_INPUT_COMPANIES'!$B$22)</x:f>
      </x:c>
      <x:c r="D159" s="34" t="str">
        <x:v>network_cost_ratio</x:v>
      </x:c>
      <x:c r="E159" s="42" t="str">
        <x:f>IF(OR(B159="",COUNT('01_INPUT_COMPANIES'!$V$22)=0),"",'01_INPUT_COMPANIES'!$V$22)</x:f>
      </x:c>
      <x:c r="F159" s="42" t="n">
        <x:v>1</x:v>
      </x:c>
      <x:c r="G159" s="42" t="str">
        <x:f>IF(NOT(ISNUMBER(E159)),"",MAX(K159,MIN(L159,E159*F159)))</x:f>
      </x:c>
      <x:c r="H159" s="42" t="n">
        <x:v>97</x:v>
      </x:c>
      <x:c r="I159" s="42" t="str">
        <x:f>IF(COUNT(G159)=0,"",(COUNTIFS('93_REF_ANCHORS'!$A$7:$A$766,D159,'93_REF_ANCHORS'!$C$7:$C$766,"&lt;"&amp;G159)+COUNTIFS('93_REF_ANCHORS'!$A$7:$A$766,D159,'93_REF_ANCHORS'!$C$7:$C$766,"&lt;="&amp;G159)-1)/(2*(H159-1)))</x:f>
      </x:c>
      <x:c r="J159" s="34" t="str">
        <x:f>IF(B159="","",IF(COUNT(E159)=0,"MISSING",IF(NOT(ISNUMBER(E159)),"INVALID",IF(E159*F159&lt;K159,"WINSORIZED LOW",IF(E159*F159&gt;L159,"WINSORIZED HIGH","OK")))))</x:f>
      </x:c>
      <x:c r="K159" s="34" t="n">
        <x:v>-0.1395374353</x:v>
      </x:c>
      <x:c r="L159" s="34" t="n">
        <x:v>0.9274274845000001</x:v>
      </x:c>
      <x:c r="M159" s="34" t="n">
        <x:v>0.1111111111111111</x:v>
      </x:c>
      <x:c r="N159" s="34" t="str">
        <x:v>no</x:v>
      </x:c>
    </x:row>
    <x:row r="160">
      <x:c r="A160" s="34" t="n">
        <x:v>16</x:v>
      </x:c>
      <x:c r="B160" s="34" t="str">
        <x:f>IF('01_INPUT_COMPANIES'!$A$22="","",'01_INPUT_COMPANIES'!$A$22)</x:f>
      </x:c>
      <x:c r="C160" s="34" t="str">
        <x:f>IF(B160="","",'01_INPUT_COMPANIES'!$B$22)</x:f>
      </x:c>
      <x:c r="D160" s="34" t="str">
        <x:v>cashflow_recovery_ratio</x:v>
      </x:c>
      <x:c r="E160" s="42" t="str">
        <x:f>IF(OR(B160="",COUNT('01_INPUT_COMPANIES'!$W$22)=0),"",'01_INPUT_COMPANIES'!$W$22)</x:f>
      </x:c>
      <x:c r="F160" s="42" t="n">
        <x:v>-1</x:v>
      </x:c>
      <x:c r="G160" s="42" t="str">
        <x:f>IF(NOT(ISNUMBER(E160)),"",MAX(K160,MIN(L160,E160*F160)))</x:f>
      </x:c>
      <x:c r="H160" s="42" t="n">
        <x:v>95</x:v>
      </x:c>
      <x:c r="I160" s="42" t="str">
        <x:f>IF(COUNT(G160)=0,"",(COUNTIFS('93_REF_ANCHORS'!$A$7:$A$766,D160,'93_REF_ANCHORS'!$C$7:$C$766,"&lt;"&amp;G160)+COUNTIFS('93_REF_ANCHORS'!$A$7:$A$766,D160,'93_REF_ANCHORS'!$C$7:$C$766,"&lt;="&amp;G160)-1)/(2*(H160-1)))</x:f>
      </x:c>
      <x:c r="J160" s="34" t="str">
        <x:f>IF(B160="","",IF(COUNT(E160)=0,"MISSING",IF(NOT(ISNUMBER(E160)),"INVALID",IF(E160*F160&lt;K160,"WINSORIZED LOW",IF(E160*F160&gt;L160,"WINSORIZED HIGH","OK")))))</x:f>
      </x:c>
      <x:c r="K160" s="34" t="n">
        <x:v>-300.75</x:v>
      </x:c>
      <x:c r="L160" s="34" t="n">
        <x:v>42.6920305469</x:v>
      </x:c>
      <x:c r="M160" s="34" t="n">
        <x:v>0.08333333333333333</x:v>
      </x:c>
      <x:c r="N160" s="34" t="str">
        <x:v>no</x:v>
      </x:c>
    </x:row>
    <x:row r="161">
      <x:c r="A161" s="34" t="n">
        <x:v>16</x:v>
      </x:c>
      <x:c r="B161" s="34" t="str">
        <x:f>IF('01_INPUT_COMPANIES'!$A$22="","",'01_INPUT_COMPANIES'!$A$22)</x:f>
      </x:c>
      <x:c r="C161" s="34" t="str">
        <x:f>IF(B161="","",'01_INPUT_COMPANIES'!$B$22)</x:f>
      </x:c>
      <x:c r="D161" s="34" t="str">
        <x:v>funding_cost_spread</x:v>
      </x:c>
      <x:c r="E161" s="42" t="str">
        <x:f>IF(OR(B161="",COUNT('01_INPUT_COMPANIES'!$X$22)=0),"",'01_INPUT_COMPANIES'!$X$22)</x:f>
      </x:c>
      <x:c r="F161" s="42" t="n">
        <x:v>1</x:v>
      </x:c>
      <x:c r="G161" s="42" t="str">
        <x:f>IF(NOT(ISNUMBER(E161)),"",MAX(K161,MIN(L161,E161*F161)))</x:f>
      </x:c>
      <x:c r="H161" s="42" t="n">
        <x:v>58</x:v>
      </x:c>
      <x:c r="I161" s="42" t="str">
        <x:f>IF(COUNT(G161)=0,"",(COUNTIFS('93_REF_ANCHORS'!$A$7:$A$766,D161,'93_REF_ANCHORS'!$C$7:$C$766,"&lt;"&amp;G161)+COUNTIFS('93_REF_ANCHORS'!$A$7:$A$766,D161,'93_REF_ANCHORS'!$C$7:$C$766,"&lt;="&amp;G161)-1)/(2*(H161-1)))</x:f>
      </x:c>
      <x:c r="J161" s="34" t="str">
        <x:f>IF(B161="","",IF(COUNT(E161)=0,"MISSING",IF(NOT(ISNUMBER(E161)),"INVALID",IF(E161*F161&lt;K161,"WINSORIZED LOW",IF(E161*F161&gt;L161,"WINSORIZED HIGH","OK")))))</x:f>
      </x:c>
      <x:c r="K161" s="34" t="n">
        <x:v>-0.4430292903</x:v>
      </x:c>
      <x:c r="L161" s="34" t="n">
        <x:v>0.5068913103</x:v>
      </x:c>
      <x:c r="M161" s="34" t="n">
        <x:v>0.08333333333333333</x:v>
      </x:c>
      <x:c r="N161" s="34" t="str">
        <x:v>no</x:v>
      </x:c>
    </x:row>
    <x:row r="162">
      <x:c r="A162" s="34" t="n">
        <x:v>16</x:v>
      </x:c>
      <x:c r="B162" s="34" t="str">
        <x:f>IF('01_INPUT_COMPANIES'!$A$22="","",'01_INPUT_COMPANIES'!$A$22)</x:f>
      </x:c>
      <x:c r="C162" s="34" t="str">
        <x:f>IF(B162="","",'01_INPUT_COMPANIES'!$B$22)</x:f>
      </x:c>
      <x:c r="D162" s="34" t="str">
        <x:v>investment_recovery_ratio</x:v>
      </x:c>
      <x:c r="E162" s="42" t="str">
        <x:f>IF(OR(B162="",COUNT('01_INPUT_COMPANIES'!$Y$22)=0),"",'01_INPUT_COMPANIES'!$Y$22)</x:f>
      </x:c>
      <x:c r="F162" s="42" t="n">
        <x:v>-1</x:v>
      </x:c>
      <x:c r="G162" s="42" t="str">
        <x:f>IF(NOT(ISNUMBER(E162)),"",MAX(K162,MIN(L162,E162*F162)))</x:f>
      </x:c>
      <x:c r="H162" s="42" t="n">
        <x:v>95</x:v>
      </x:c>
      <x:c r="I162" s="42" t="str">
        <x:f>IF(COUNT(G162)=0,"",(COUNTIFS('93_REF_ANCHORS'!$A$7:$A$766,D162,'93_REF_ANCHORS'!$C$7:$C$766,"&lt;"&amp;G162)+COUNTIFS('93_REF_ANCHORS'!$A$7:$A$766,D162,'93_REF_ANCHORS'!$C$7:$C$766,"&lt;="&amp;G162)-1)/(2*(H162-1)))</x:f>
      </x:c>
      <x:c r="J162" s="34" t="str">
        <x:f>IF(B162="","",IF(COUNT(E162)=0,"MISSING",IF(NOT(ISNUMBER(E162)),"INVALID",IF(E162*F162&lt;K162,"WINSORIZED LOW",IF(E162*F162&gt;L162,"WINSORIZED HIGH","OK")))))</x:f>
      </x:c>
      <x:c r="K162" s="34" t="n">
        <x:v>-3163.7500000000014</x:v>
      </x:c>
      <x:c r="L162" s="34" t="n">
        <x:v>189.68191301719997</x:v>
      </x:c>
      <x:c r="M162" s="34" t="n">
        <x:v>0.08333333333333333</x:v>
      </x:c>
      <x:c r="N162" s="34" t="str">
        <x:v>no</x:v>
      </x:c>
    </x:row>
    <x:row r="163">
      <x:c r="A163" s="34" t="n">
        <x:v>16</x:v>
      </x:c>
      <x:c r="B163" s="34" t="str">
        <x:f>IF('01_INPUT_COMPANIES'!$A$22="","",'01_INPUT_COMPANIES'!$A$22)</x:f>
      </x:c>
      <x:c r="C163" s="34" t="str">
        <x:f>IF(B163="","",'01_INPUT_COMPANIES'!$B$22)</x:f>
      </x:c>
      <x:c r="D163" s="34" t="str">
        <x:v>ip_assetization_gap</x:v>
      </x:c>
      <x:c r="E163" s="42" t="str">
        <x:f>IF(OR(B163="",COUNT('01_INPUT_COMPANIES'!$Z$22)=0),"",'01_INPUT_COMPANIES'!$Z$22)</x:f>
      </x:c>
      <x:c r="F163" s="42" t="n">
        <x:v>1</x:v>
      </x:c>
      <x:c r="G163" s="42" t="str">
        <x:f>IF(NOT(ISNUMBER(E163)),"",MAX(K163,MIN(L163,E163*F163)))</x:f>
      </x:c>
      <x:c r="H163" s="42" t="n">
        <x:v>92</x:v>
      </x:c>
      <x:c r="I163" s="42" t="str">
        <x:f>IF(COUNT(G163)=0,"",(COUNTIFS('93_REF_ANCHORS'!$A$7:$A$766,D163,'93_REF_ANCHORS'!$C$7:$C$766,"&lt;"&amp;G163)+COUNTIFS('93_REF_ANCHORS'!$A$7:$A$766,D163,'93_REF_ANCHORS'!$C$7:$C$766,"&lt;="&amp;G163)-1)/(2*(H163-1)))</x:f>
      </x:c>
      <x:c r="J163" s="34" t="str">
        <x:f>IF(B163="","",IF(COUNT(E163)=0,"MISSING",IF(NOT(ISNUMBER(E163)),"INVALID",IF(E163*F163&lt;K163,"WINSORIZED LOW",IF(E163*F163&gt;L163,"WINSORIZED HIGH","OK")))))</x:f>
      </x:c>
      <x:c r="K163" s="34" t="n">
        <x:v>-1.6707152386</x:v>
      </x:c>
      <x:c r="L163" s="34" t="n">
        <x:v>0.7716332556000001</x:v>
      </x:c>
      <x:c r="M163" s="34" t="n">
        <x:v>0.08333333333333333</x:v>
      </x:c>
      <x:c r="N163" s="34" t="str">
        <x:v>no</x:v>
      </x:c>
    </x:row>
    <x:row r="164">
      <x:c r="A164" s="34" t="n">
        <x:v>16</x:v>
      </x:c>
      <x:c r="B164" s="34" t="str">
        <x:f>IF('01_INPUT_COMPANIES'!$A$22="","",'01_INPUT_COMPANIES'!$A$22)</x:f>
      </x:c>
      <x:c r="C164" s="34" t="str">
        <x:f>IF(B164="","",'01_INPUT_COMPANIES'!$B$22)</x:f>
      </x:c>
      <x:c r="D164" s="34" t="str">
        <x:v>cross_market_transfer_index</x:v>
      </x:c>
      <x:c r="E164" s="42" t="str">
        <x:f>IF(OR(B164="",COUNT('01_INPUT_COMPANIES'!$AA$22)=0),"",'01_INPUT_COMPANIES'!$AA$22)</x:f>
      </x:c>
      <x:c r="F164" s="42" t="n">
        <x:v>1</x:v>
      </x:c>
      <x:c r="G164" s="42" t="str">
        <x:f>IF(NOT(ISNUMBER(E164)),"",MAX(K164,MIN(L164,E164*F164)))</x:f>
      </x:c>
      <x:c r="H164" s="42" t="n">
        <x:v>4</x:v>
      </x:c>
      <x:c r="I164" s="42" t="str">
        <x:f>IF(COUNT(G164)=0,"",(COUNTIFS('93_REF_ANCHORS'!$A$7:$A$766,D164,'93_REF_ANCHORS'!$C$7:$C$766,"&lt;"&amp;G164)+COUNTIFS('93_REF_ANCHORS'!$A$7:$A$766,D164,'93_REF_ANCHORS'!$C$7:$C$766,"&lt;="&amp;G164)-1)/(2*(H164-1)))</x:f>
      </x:c>
      <x:c r="J164" s="34" t="str">
        <x:f>IF(B164="","",IF(COUNT(E164)=0,"MISSING",IF(NOT(ISNUMBER(E164)),"INVALID",IF(E164*F164&lt;K164,"WINSORIZED LOW",IF(E164*F164&gt;L164,"WINSORIZED HIGH","OK")))))</x:f>
      </x:c>
      <x:c r="K164" s="34" t="n">
        <x:v>0</x:v>
      </x:c>
      <x:c r="L164" s="34" t="n">
        <x:v>0.7587051325360435</x:v>
      </x:c>
      <x:c r="M164" s="34" t="n">
        <x:v>0.1111111111111111</x:v>
      </x:c>
      <x:c r="N164" s="34" t="str">
        <x:v>yes</x:v>
      </x:c>
    </x:row>
    <x:row r="165">
      <x:c r="A165" s="34" t="n">
        <x:v>16</x:v>
      </x:c>
      <x:c r="B165" s="34" t="str">
        <x:f>IF('01_INPUT_COMPANIES'!$A$22="","",'01_INPUT_COMPANIES'!$A$22)</x:f>
      </x:c>
      <x:c r="C165" s="34" t="str">
        <x:f>IF(B165="","",'01_INPUT_COMPANIES'!$B$22)</x:f>
      </x:c>
      <x:c r="D165" s="34" t="str">
        <x:v>foreign_dependency_ratio</x:v>
      </x:c>
      <x:c r="E165" s="42" t="str">
        <x:f>IF(OR(B165="",COUNT('01_INPUT_COMPANIES'!$AB$22)=0),"",'01_INPUT_COMPANIES'!$AB$22)</x:f>
      </x:c>
      <x:c r="F165" s="42" t="n">
        <x:v>1</x:v>
      </x:c>
      <x:c r="G165" s="42" t="str">
        <x:f>IF(NOT(ISNUMBER(E165)),"",MAX(K165,MIN(L165,E165*F165)))</x:f>
      </x:c>
      <x:c r="H165" s="42" t="n">
        <x:v>84</x:v>
      </x:c>
      <x:c r="I165" s="42" t="str">
        <x:f>IF(COUNT(G165)=0,"",(COUNTIFS('93_REF_ANCHORS'!$A$7:$A$766,D165,'93_REF_ANCHORS'!$C$7:$C$766,"&lt;"&amp;G165)+COUNTIFS('93_REF_ANCHORS'!$A$7:$A$766,D165,'93_REF_ANCHORS'!$C$7:$C$766,"&lt;="&amp;G165)-1)/(2*(H165-1)))</x:f>
      </x:c>
      <x:c r="J165" s="34" t="str">
        <x:f>IF(B165="","",IF(COUNT(E165)=0,"MISSING",IF(NOT(ISNUMBER(E165)),"INVALID",IF(E165*F165&lt;K165,"WINSORIZED LOW",IF(E165*F165&gt;L165,"WINSORIZED HIGH","OK")))))</x:f>
      </x:c>
      <x:c r="K165" s="34" t="n">
        <x:v>0.728196</x:v>
      </x:c>
      <x:c r="L165" s="34" t="n">
        <x:v>0.94</x:v>
      </x:c>
      <x:c r="M165" s="34" t="n">
        <x:v>0.1111111111111111</x:v>
      </x:c>
      <x:c r="N165" s="34" t="str">
        <x:v>yes</x:v>
      </x:c>
    </x:row>
    <x:row r="166">
      <x:c r="A166" s="34" t="n">
        <x:v>16</x:v>
      </x:c>
      <x:c r="B166" s="34" t="str">
        <x:f>IF('01_INPUT_COMPANIES'!$A$22="","",'01_INPUT_COMPANIES'!$A$22)</x:f>
      </x:c>
      <x:c r="C166" s="34" t="str">
        <x:f>IF(B166="","",'01_INPUT_COMPANIES'!$B$22)</x:f>
      </x:c>
      <x:c r="D166" s="34" t="str">
        <x:v>outflow_to_capex_ratio</x:v>
      </x:c>
      <x:c r="E166" s="42" t="str">
        <x:f>IF(OR(B166="",COUNT('01_INPUT_COMPANIES'!$AC$22)=0),"",'01_INPUT_COMPANIES'!$AC$22)</x:f>
      </x:c>
      <x:c r="F166" s="42" t="n">
        <x:v>1</x:v>
      </x:c>
      <x:c r="G166" s="42" t="str">
        <x:f>IF(NOT(ISNUMBER(E166)),"",MAX(K166,MIN(L166,E166*F166)))</x:f>
      </x:c>
      <x:c r="H166" s="42" t="n">
        <x:v>97</x:v>
      </x:c>
      <x:c r="I166" s="42" t="str">
        <x:f>IF(COUNT(G166)=0,"",(COUNTIFS('93_REF_ANCHORS'!$A$7:$A$766,D166,'93_REF_ANCHORS'!$C$7:$C$766,"&lt;"&amp;G166)+COUNTIFS('93_REF_ANCHORS'!$A$7:$A$766,D166,'93_REF_ANCHORS'!$C$7:$C$766,"&lt;="&amp;G166)-1)/(2*(H166-1)))</x:f>
      </x:c>
      <x:c r="J166" s="34" t="str">
        <x:f>IF(B166="","",IF(COUNT(E166)=0,"MISSING",IF(NOT(ISNUMBER(E166)),"INVALID",IF(E166*F166&lt;K166,"WINSORIZED LOW",IF(E166*F166&gt;L166,"WINSORIZED HIGH","OK")))))</x:f>
      </x:c>
      <x:c r="K166" s="34" t="n">
        <x:v>-123.5385890408</x:v>
      </x:c>
      <x:c r="L166" s="34" t="n">
        <x:v>974.1666666666999</x:v>
      </x:c>
      <x:c r="M166" s="34" t="n">
        <x:v>0.1111111111111111</x:v>
      </x:c>
      <x:c r="N166" s="34" t="str">
        <x:v>no</x:v>
      </x:c>
    </x:row>
    <x:row r="167">
      <x:c r="A167" s="34" t="n">
        <x:v>17</x:v>
      </x:c>
      <x:c r="B167" s="34" t="str">
        <x:f>IF('01_INPUT_COMPANIES'!$A$23="","",'01_INPUT_COMPANIES'!$A$23)</x:f>
      </x:c>
      <x:c r="C167" s="34" t="str">
        <x:f>IF(B167="","",'01_INPUT_COMPANIES'!$B$23)</x:f>
      </x:c>
      <x:c r="D167" s="34" t="str">
        <x:v>effective_tax_rate_gap</x:v>
      </x:c>
      <x:c r="E167" s="42" t="str">
        <x:f>IF(OR(B167="",COUNT('01_INPUT_COMPANIES'!$T$23)=0),"",'01_INPUT_COMPANIES'!$T$23)</x:f>
      </x:c>
      <x:c r="F167" s="42" t="n">
        <x:v>1</x:v>
      </x:c>
      <x:c r="G167" s="42" t="str">
        <x:f>IF(NOT(ISNUMBER(E167)),"",MAX(K167,MIN(L167,E167*F167)))</x:f>
      </x:c>
      <x:c r="H167" s="42" t="n">
        <x:v>74</x:v>
      </x:c>
      <x:c r="I167" s="42" t="str">
        <x:f>IF(COUNT(G167)=0,"",(COUNTIFS('93_REF_ANCHORS'!$A$7:$A$766,D167,'93_REF_ANCHORS'!$C$7:$C$766,"&lt;"&amp;G167)+COUNTIFS('93_REF_ANCHORS'!$A$7:$A$766,D167,'93_REF_ANCHORS'!$C$7:$C$766,"&lt;="&amp;G167)-1)/(2*(H167-1)))</x:f>
      </x:c>
      <x:c r="J167" s="34" t="str">
        <x:f>IF(B167="","",IF(COUNT(E167)=0,"MISSING",IF(NOT(ISNUMBER(E167)),"INVALID",IF(E167*F167&lt;K167,"WINSORIZED LOW",IF(E167*F167&gt;L167,"WINSORIZED HIGH","OK")))))</x:f>
      </x:c>
      <x:c r="K167" s="34" t="n">
        <x:v>-0.1416111014</x:v>
      </x:c>
      <x:c r="L167" s="34" t="n">
        <x:v>0.2683650488</x:v>
      </x:c>
      <x:c r="M167" s="34" t="n">
        <x:v>0.1111111111111111</x:v>
      </x:c>
      <x:c r="N167" s="34" t="str">
        <x:v>no</x:v>
      </x:c>
    </x:row>
    <x:row r="168">
      <x:c r="A168" s="34" t="n">
        <x:v>17</x:v>
      </x:c>
      <x:c r="B168" s="34" t="str">
        <x:f>IF('01_INPUT_COMPANIES'!$A$23="","",'01_INPUT_COMPANIES'!$A$23)</x:f>
      </x:c>
      <x:c r="C168" s="34" t="str">
        <x:f>IF(B168="","",'01_INPUT_COMPANIES'!$B$23)</x:f>
      </x:c>
      <x:c r="D168" s="34" t="str">
        <x:v>infra_dependency_ratio</x:v>
      </x:c>
      <x:c r="E168" s="42" t="str">
        <x:f>IF(OR(B168="",COUNT('01_INPUT_COMPANIES'!$U$23)=0),"",'01_INPUT_COMPANIES'!$U$23)</x:f>
      </x:c>
      <x:c r="F168" s="42" t="n">
        <x:v>1</x:v>
      </x:c>
      <x:c r="G168" s="42" t="str">
        <x:f>IF(NOT(ISNUMBER(E168)),"",MAX(K168,MIN(L168,E168*F168)))</x:f>
      </x:c>
      <x:c r="H168" s="42" t="n">
        <x:v>64</x:v>
      </x:c>
      <x:c r="I168" s="42" t="str">
        <x:f>IF(COUNT(G168)=0,"",(COUNTIFS('93_REF_ANCHORS'!$A$7:$A$766,D168,'93_REF_ANCHORS'!$C$7:$C$766,"&lt;"&amp;G168)+COUNTIFS('93_REF_ANCHORS'!$A$7:$A$766,D168,'93_REF_ANCHORS'!$C$7:$C$766,"&lt;="&amp;G168)-1)/(2*(H168-1)))</x:f>
      </x:c>
      <x:c r="J168" s="34" t="str">
        <x:f>IF(B168="","",IF(COUNT(E168)=0,"MISSING",IF(NOT(ISNUMBER(E168)),"INVALID",IF(E168*F168&lt;K168,"WINSORIZED LOW",IF(E168*F168&gt;L168,"WINSORIZED HIGH","OK")))))</x:f>
      </x:c>
      <x:c r="K168" s="34" t="n">
        <x:v>-0.10705024705171803</x:v>
      </x:c>
      <x:c r="L168" s="34" t="n">
        <x:v>0.8008753865408955</x:v>
      </x:c>
      <x:c r="M168" s="34" t="n">
        <x:v>0.1111111111111111</x:v>
      </x:c>
      <x:c r="N168" s="34" t="str">
        <x:v>no</x:v>
      </x:c>
    </x:row>
    <x:row r="169">
      <x:c r="A169" s="34" t="n">
        <x:v>17</x:v>
      </x:c>
      <x:c r="B169" s="34" t="str">
        <x:f>IF('01_INPUT_COMPANIES'!$A$23="","",'01_INPUT_COMPANIES'!$A$23)</x:f>
      </x:c>
      <x:c r="C169" s="34" t="str">
        <x:f>IF(B169="","",'01_INPUT_COMPANIES'!$B$23)</x:f>
      </x:c>
      <x:c r="D169" s="34" t="str">
        <x:v>network_cost_ratio</x:v>
      </x:c>
      <x:c r="E169" s="42" t="str">
        <x:f>IF(OR(B169="",COUNT('01_INPUT_COMPANIES'!$V$23)=0),"",'01_INPUT_COMPANIES'!$V$23)</x:f>
      </x:c>
      <x:c r="F169" s="42" t="n">
        <x:v>1</x:v>
      </x:c>
      <x:c r="G169" s="42" t="str">
        <x:f>IF(NOT(ISNUMBER(E169)),"",MAX(K169,MIN(L169,E169*F169)))</x:f>
      </x:c>
      <x:c r="H169" s="42" t="n">
        <x:v>97</x:v>
      </x:c>
      <x:c r="I169" s="42" t="str">
        <x:f>IF(COUNT(G169)=0,"",(COUNTIFS('93_REF_ANCHORS'!$A$7:$A$766,D169,'93_REF_ANCHORS'!$C$7:$C$766,"&lt;"&amp;G169)+COUNTIFS('93_REF_ANCHORS'!$A$7:$A$766,D169,'93_REF_ANCHORS'!$C$7:$C$766,"&lt;="&amp;G169)-1)/(2*(H169-1)))</x:f>
      </x:c>
      <x:c r="J169" s="34" t="str">
        <x:f>IF(B169="","",IF(COUNT(E169)=0,"MISSING",IF(NOT(ISNUMBER(E169)),"INVALID",IF(E169*F169&lt;K169,"WINSORIZED LOW",IF(E169*F169&gt;L169,"WINSORIZED HIGH","OK")))))</x:f>
      </x:c>
      <x:c r="K169" s="34" t="n">
        <x:v>-0.1395374353</x:v>
      </x:c>
      <x:c r="L169" s="34" t="n">
        <x:v>0.9274274845000001</x:v>
      </x:c>
      <x:c r="M169" s="34" t="n">
        <x:v>0.1111111111111111</x:v>
      </x:c>
      <x:c r="N169" s="34" t="str">
        <x:v>no</x:v>
      </x:c>
    </x:row>
    <x:row r="170">
      <x:c r="A170" s="34" t="n">
        <x:v>17</x:v>
      </x:c>
      <x:c r="B170" s="34" t="str">
        <x:f>IF('01_INPUT_COMPANIES'!$A$23="","",'01_INPUT_COMPANIES'!$A$23)</x:f>
      </x:c>
      <x:c r="C170" s="34" t="str">
        <x:f>IF(B170="","",'01_INPUT_COMPANIES'!$B$23)</x:f>
      </x:c>
      <x:c r="D170" s="34" t="str">
        <x:v>cashflow_recovery_ratio</x:v>
      </x:c>
      <x:c r="E170" s="42" t="str">
        <x:f>IF(OR(B170="",COUNT('01_INPUT_COMPANIES'!$W$23)=0),"",'01_INPUT_COMPANIES'!$W$23)</x:f>
      </x:c>
      <x:c r="F170" s="42" t="n">
        <x:v>-1</x:v>
      </x:c>
      <x:c r="G170" s="42" t="str">
        <x:f>IF(NOT(ISNUMBER(E170)),"",MAX(K170,MIN(L170,E170*F170)))</x:f>
      </x:c>
      <x:c r="H170" s="42" t="n">
        <x:v>95</x:v>
      </x:c>
      <x:c r="I170" s="42" t="str">
        <x:f>IF(COUNT(G170)=0,"",(COUNTIFS('93_REF_ANCHORS'!$A$7:$A$766,D170,'93_REF_ANCHORS'!$C$7:$C$766,"&lt;"&amp;G170)+COUNTIFS('93_REF_ANCHORS'!$A$7:$A$766,D170,'93_REF_ANCHORS'!$C$7:$C$766,"&lt;="&amp;G170)-1)/(2*(H170-1)))</x:f>
      </x:c>
      <x:c r="J170" s="34" t="str">
        <x:f>IF(B170="","",IF(COUNT(E170)=0,"MISSING",IF(NOT(ISNUMBER(E170)),"INVALID",IF(E170*F170&lt;K170,"WINSORIZED LOW",IF(E170*F170&gt;L170,"WINSORIZED HIGH","OK")))))</x:f>
      </x:c>
      <x:c r="K170" s="34" t="n">
        <x:v>-300.75</x:v>
      </x:c>
      <x:c r="L170" s="34" t="n">
        <x:v>42.6920305469</x:v>
      </x:c>
      <x:c r="M170" s="34" t="n">
        <x:v>0.08333333333333333</x:v>
      </x:c>
      <x:c r="N170" s="34" t="str">
        <x:v>no</x:v>
      </x:c>
    </x:row>
    <x:row r="171">
      <x:c r="A171" s="34" t="n">
        <x:v>17</x:v>
      </x:c>
      <x:c r="B171" s="34" t="str">
        <x:f>IF('01_INPUT_COMPANIES'!$A$23="","",'01_INPUT_COMPANIES'!$A$23)</x:f>
      </x:c>
      <x:c r="C171" s="34" t="str">
        <x:f>IF(B171="","",'01_INPUT_COMPANIES'!$B$23)</x:f>
      </x:c>
      <x:c r="D171" s="34" t="str">
        <x:v>funding_cost_spread</x:v>
      </x:c>
      <x:c r="E171" s="42" t="str">
        <x:f>IF(OR(B171="",COUNT('01_INPUT_COMPANIES'!$X$23)=0),"",'01_INPUT_COMPANIES'!$X$23)</x:f>
      </x:c>
      <x:c r="F171" s="42" t="n">
        <x:v>1</x:v>
      </x:c>
      <x:c r="G171" s="42" t="str">
        <x:f>IF(NOT(ISNUMBER(E171)),"",MAX(K171,MIN(L171,E171*F171)))</x:f>
      </x:c>
      <x:c r="H171" s="42" t="n">
        <x:v>58</x:v>
      </x:c>
      <x:c r="I171" s="42" t="str">
        <x:f>IF(COUNT(G171)=0,"",(COUNTIFS('93_REF_ANCHORS'!$A$7:$A$766,D171,'93_REF_ANCHORS'!$C$7:$C$766,"&lt;"&amp;G171)+COUNTIFS('93_REF_ANCHORS'!$A$7:$A$766,D171,'93_REF_ANCHORS'!$C$7:$C$766,"&lt;="&amp;G171)-1)/(2*(H171-1)))</x:f>
      </x:c>
      <x:c r="J171" s="34" t="str">
        <x:f>IF(B171="","",IF(COUNT(E171)=0,"MISSING",IF(NOT(ISNUMBER(E171)),"INVALID",IF(E171*F171&lt;K171,"WINSORIZED LOW",IF(E171*F171&gt;L171,"WINSORIZED HIGH","OK")))))</x:f>
      </x:c>
      <x:c r="K171" s="34" t="n">
        <x:v>-0.4430292903</x:v>
      </x:c>
      <x:c r="L171" s="34" t="n">
        <x:v>0.5068913103</x:v>
      </x:c>
      <x:c r="M171" s="34" t="n">
        <x:v>0.08333333333333333</x:v>
      </x:c>
      <x:c r="N171" s="34" t="str">
        <x:v>no</x:v>
      </x:c>
    </x:row>
    <x:row r="172">
      <x:c r="A172" s="34" t="n">
        <x:v>17</x:v>
      </x:c>
      <x:c r="B172" s="34" t="str">
        <x:f>IF('01_INPUT_COMPANIES'!$A$23="","",'01_INPUT_COMPANIES'!$A$23)</x:f>
      </x:c>
      <x:c r="C172" s="34" t="str">
        <x:f>IF(B172="","",'01_INPUT_COMPANIES'!$B$23)</x:f>
      </x:c>
      <x:c r="D172" s="34" t="str">
        <x:v>investment_recovery_ratio</x:v>
      </x:c>
      <x:c r="E172" s="42" t="str">
        <x:f>IF(OR(B172="",COUNT('01_INPUT_COMPANIES'!$Y$23)=0),"",'01_INPUT_COMPANIES'!$Y$23)</x:f>
      </x:c>
      <x:c r="F172" s="42" t="n">
        <x:v>-1</x:v>
      </x:c>
      <x:c r="G172" s="42" t="str">
        <x:f>IF(NOT(ISNUMBER(E172)),"",MAX(K172,MIN(L172,E172*F172)))</x:f>
      </x:c>
      <x:c r="H172" s="42" t="n">
        <x:v>95</x:v>
      </x:c>
      <x:c r="I172" s="42" t="str">
        <x:f>IF(COUNT(G172)=0,"",(COUNTIFS('93_REF_ANCHORS'!$A$7:$A$766,D172,'93_REF_ANCHORS'!$C$7:$C$766,"&lt;"&amp;G172)+COUNTIFS('93_REF_ANCHORS'!$A$7:$A$766,D172,'93_REF_ANCHORS'!$C$7:$C$766,"&lt;="&amp;G172)-1)/(2*(H172-1)))</x:f>
      </x:c>
      <x:c r="J172" s="34" t="str">
        <x:f>IF(B172="","",IF(COUNT(E172)=0,"MISSING",IF(NOT(ISNUMBER(E172)),"INVALID",IF(E172*F172&lt;K172,"WINSORIZED LOW",IF(E172*F172&gt;L172,"WINSORIZED HIGH","OK")))))</x:f>
      </x:c>
      <x:c r="K172" s="34" t="n">
        <x:v>-3163.7500000000014</x:v>
      </x:c>
      <x:c r="L172" s="34" t="n">
        <x:v>189.68191301719997</x:v>
      </x:c>
      <x:c r="M172" s="34" t="n">
        <x:v>0.08333333333333333</x:v>
      </x:c>
      <x:c r="N172" s="34" t="str">
        <x:v>no</x:v>
      </x:c>
    </x:row>
    <x:row r="173">
      <x:c r="A173" s="34" t="n">
        <x:v>17</x:v>
      </x:c>
      <x:c r="B173" s="34" t="str">
        <x:f>IF('01_INPUT_COMPANIES'!$A$23="","",'01_INPUT_COMPANIES'!$A$23)</x:f>
      </x:c>
      <x:c r="C173" s="34" t="str">
        <x:f>IF(B173="","",'01_INPUT_COMPANIES'!$B$23)</x:f>
      </x:c>
      <x:c r="D173" s="34" t="str">
        <x:v>ip_assetization_gap</x:v>
      </x:c>
      <x:c r="E173" s="42" t="str">
        <x:f>IF(OR(B173="",COUNT('01_INPUT_COMPANIES'!$Z$23)=0),"",'01_INPUT_COMPANIES'!$Z$23)</x:f>
      </x:c>
      <x:c r="F173" s="42" t="n">
        <x:v>1</x:v>
      </x:c>
      <x:c r="G173" s="42" t="str">
        <x:f>IF(NOT(ISNUMBER(E173)),"",MAX(K173,MIN(L173,E173*F173)))</x:f>
      </x:c>
      <x:c r="H173" s="42" t="n">
        <x:v>92</x:v>
      </x:c>
      <x:c r="I173" s="42" t="str">
        <x:f>IF(COUNT(G173)=0,"",(COUNTIFS('93_REF_ANCHORS'!$A$7:$A$766,D173,'93_REF_ANCHORS'!$C$7:$C$766,"&lt;"&amp;G173)+COUNTIFS('93_REF_ANCHORS'!$A$7:$A$766,D173,'93_REF_ANCHORS'!$C$7:$C$766,"&lt;="&amp;G173)-1)/(2*(H173-1)))</x:f>
      </x:c>
      <x:c r="J173" s="34" t="str">
        <x:f>IF(B173="","",IF(COUNT(E173)=0,"MISSING",IF(NOT(ISNUMBER(E173)),"INVALID",IF(E173*F173&lt;K173,"WINSORIZED LOW",IF(E173*F173&gt;L173,"WINSORIZED HIGH","OK")))))</x:f>
      </x:c>
      <x:c r="K173" s="34" t="n">
        <x:v>-1.6707152386</x:v>
      </x:c>
      <x:c r="L173" s="34" t="n">
        <x:v>0.7716332556000001</x:v>
      </x:c>
      <x:c r="M173" s="34" t="n">
        <x:v>0.08333333333333333</x:v>
      </x:c>
      <x:c r="N173" s="34" t="str">
        <x:v>no</x:v>
      </x:c>
    </x:row>
    <x:row r="174">
      <x:c r="A174" s="34" t="n">
        <x:v>17</x:v>
      </x:c>
      <x:c r="B174" s="34" t="str">
        <x:f>IF('01_INPUT_COMPANIES'!$A$23="","",'01_INPUT_COMPANIES'!$A$23)</x:f>
      </x:c>
      <x:c r="C174" s="34" t="str">
        <x:f>IF(B174="","",'01_INPUT_COMPANIES'!$B$23)</x:f>
      </x:c>
      <x:c r="D174" s="34" t="str">
        <x:v>cross_market_transfer_index</x:v>
      </x:c>
      <x:c r="E174" s="42" t="str">
        <x:f>IF(OR(B174="",COUNT('01_INPUT_COMPANIES'!$AA$23)=0),"",'01_INPUT_COMPANIES'!$AA$23)</x:f>
      </x:c>
      <x:c r="F174" s="42" t="n">
        <x:v>1</x:v>
      </x:c>
      <x:c r="G174" s="42" t="str">
        <x:f>IF(NOT(ISNUMBER(E174)),"",MAX(K174,MIN(L174,E174*F174)))</x:f>
      </x:c>
      <x:c r="H174" s="42" t="n">
        <x:v>4</x:v>
      </x:c>
      <x:c r="I174" s="42" t="str">
        <x:f>IF(COUNT(G174)=0,"",(COUNTIFS('93_REF_ANCHORS'!$A$7:$A$766,D174,'93_REF_ANCHORS'!$C$7:$C$766,"&lt;"&amp;G174)+COUNTIFS('93_REF_ANCHORS'!$A$7:$A$766,D174,'93_REF_ANCHORS'!$C$7:$C$766,"&lt;="&amp;G174)-1)/(2*(H174-1)))</x:f>
      </x:c>
      <x:c r="J174" s="34" t="str">
        <x:f>IF(B174="","",IF(COUNT(E174)=0,"MISSING",IF(NOT(ISNUMBER(E174)),"INVALID",IF(E174*F174&lt;K174,"WINSORIZED LOW",IF(E174*F174&gt;L174,"WINSORIZED HIGH","OK")))))</x:f>
      </x:c>
      <x:c r="K174" s="34" t="n">
        <x:v>0</x:v>
      </x:c>
      <x:c r="L174" s="34" t="n">
        <x:v>0.7587051325360435</x:v>
      </x:c>
      <x:c r="M174" s="34" t="n">
        <x:v>0.1111111111111111</x:v>
      </x:c>
      <x:c r="N174" s="34" t="str">
        <x:v>yes</x:v>
      </x:c>
    </x:row>
    <x:row r="175">
      <x:c r="A175" s="34" t="n">
        <x:v>17</x:v>
      </x:c>
      <x:c r="B175" s="34" t="str">
        <x:f>IF('01_INPUT_COMPANIES'!$A$23="","",'01_INPUT_COMPANIES'!$A$23)</x:f>
      </x:c>
      <x:c r="C175" s="34" t="str">
        <x:f>IF(B175="","",'01_INPUT_COMPANIES'!$B$23)</x:f>
      </x:c>
      <x:c r="D175" s="34" t="str">
        <x:v>foreign_dependency_ratio</x:v>
      </x:c>
      <x:c r="E175" s="42" t="str">
        <x:f>IF(OR(B175="",COUNT('01_INPUT_COMPANIES'!$AB$23)=0),"",'01_INPUT_COMPANIES'!$AB$23)</x:f>
      </x:c>
      <x:c r="F175" s="42" t="n">
        <x:v>1</x:v>
      </x:c>
      <x:c r="G175" s="42" t="str">
        <x:f>IF(NOT(ISNUMBER(E175)),"",MAX(K175,MIN(L175,E175*F175)))</x:f>
      </x:c>
      <x:c r="H175" s="42" t="n">
        <x:v>84</x:v>
      </x:c>
      <x:c r="I175" s="42" t="str">
        <x:f>IF(COUNT(G175)=0,"",(COUNTIFS('93_REF_ANCHORS'!$A$7:$A$766,D175,'93_REF_ANCHORS'!$C$7:$C$766,"&lt;"&amp;G175)+COUNTIFS('93_REF_ANCHORS'!$A$7:$A$766,D175,'93_REF_ANCHORS'!$C$7:$C$766,"&lt;="&amp;G175)-1)/(2*(H175-1)))</x:f>
      </x:c>
      <x:c r="J175" s="34" t="str">
        <x:f>IF(B175="","",IF(COUNT(E175)=0,"MISSING",IF(NOT(ISNUMBER(E175)),"INVALID",IF(E175*F175&lt;K175,"WINSORIZED LOW",IF(E175*F175&gt;L175,"WINSORIZED HIGH","OK")))))</x:f>
      </x:c>
      <x:c r="K175" s="34" t="n">
        <x:v>0.728196</x:v>
      </x:c>
      <x:c r="L175" s="34" t="n">
        <x:v>0.94</x:v>
      </x:c>
      <x:c r="M175" s="34" t="n">
        <x:v>0.1111111111111111</x:v>
      </x:c>
      <x:c r="N175" s="34" t="str">
        <x:v>yes</x:v>
      </x:c>
    </x:row>
    <x:row r="176">
      <x:c r="A176" s="34" t="n">
        <x:v>17</x:v>
      </x:c>
      <x:c r="B176" s="34" t="str">
        <x:f>IF('01_INPUT_COMPANIES'!$A$23="","",'01_INPUT_COMPANIES'!$A$23)</x:f>
      </x:c>
      <x:c r="C176" s="34" t="str">
        <x:f>IF(B176="","",'01_INPUT_COMPANIES'!$B$23)</x:f>
      </x:c>
      <x:c r="D176" s="34" t="str">
        <x:v>outflow_to_capex_ratio</x:v>
      </x:c>
      <x:c r="E176" s="42" t="str">
        <x:f>IF(OR(B176="",COUNT('01_INPUT_COMPANIES'!$AC$23)=0),"",'01_INPUT_COMPANIES'!$AC$23)</x:f>
      </x:c>
      <x:c r="F176" s="42" t="n">
        <x:v>1</x:v>
      </x:c>
      <x:c r="G176" s="42" t="str">
        <x:f>IF(NOT(ISNUMBER(E176)),"",MAX(K176,MIN(L176,E176*F176)))</x:f>
      </x:c>
      <x:c r="H176" s="42" t="n">
        <x:v>97</x:v>
      </x:c>
      <x:c r="I176" s="42" t="str">
        <x:f>IF(COUNT(G176)=0,"",(COUNTIFS('93_REF_ANCHORS'!$A$7:$A$766,D176,'93_REF_ANCHORS'!$C$7:$C$766,"&lt;"&amp;G176)+COUNTIFS('93_REF_ANCHORS'!$A$7:$A$766,D176,'93_REF_ANCHORS'!$C$7:$C$766,"&lt;="&amp;G176)-1)/(2*(H176-1)))</x:f>
      </x:c>
      <x:c r="J176" s="34" t="str">
        <x:f>IF(B176="","",IF(COUNT(E176)=0,"MISSING",IF(NOT(ISNUMBER(E176)),"INVALID",IF(E176*F176&lt;K176,"WINSORIZED LOW",IF(E176*F176&gt;L176,"WINSORIZED HIGH","OK")))))</x:f>
      </x:c>
      <x:c r="K176" s="34" t="n">
        <x:v>-123.5385890408</x:v>
      </x:c>
      <x:c r="L176" s="34" t="n">
        <x:v>974.1666666666999</x:v>
      </x:c>
      <x:c r="M176" s="34" t="n">
        <x:v>0.1111111111111111</x:v>
      </x:c>
      <x:c r="N176" s="34" t="str">
        <x:v>no</x:v>
      </x:c>
    </x:row>
    <x:row r="177">
      <x:c r="A177" s="34" t="n">
        <x:v>18</x:v>
      </x:c>
      <x:c r="B177" s="34" t="str">
        <x:f>IF('01_INPUT_COMPANIES'!$A$24="","",'01_INPUT_COMPANIES'!$A$24)</x:f>
      </x:c>
      <x:c r="C177" s="34" t="str">
        <x:f>IF(B177="","",'01_INPUT_COMPANIES'!$B$24)</x:f>
      </x:c>
      <x:c r="D177" s="34" t="str">
        <x:v>effective_tax_rate_gap</x:v>
      </x:c>
      <x:c r="E177" s="42" t="str">
        <x:f>IF(OR(B177="",COUNT('01_INPUT_COMPANIES'!$T$24)=0),"",'01_INPUT_COMPANIES'!$T$24)</x:f>
      </x:c>
      <x:c r="F177" s="42" t="n">
        <x:v>1</x:v>
      </x:c>
      <x:c r="G177" s="42" t="str">
        <x:f>IF(NOT(ISNUMBER(E177)),"",MAX(K177,MIN(L177,E177*F177)))</x:f>
      </x:c>
      <x:c r="H177" s="42" t="n">
        <x:v>74</x:v>
      </x:c>
      <x:c r="I177" s="42" t="str">
        <x:f>IF(COUNT(G177)=0,"",(COUNTIFS('93_REF_ANCHORS'!$A$7:$A$766,D177,'93_REF_ANCHORS'!$C$7:$C$766,"&lt;"&amp;G177)+COUNTIFS('93_REF_ANCHORS'!$A$7:$A$766,D177,'93_REF_ANCHORS'!$C$7:$C$766,"&lt;="&amp;G177)-1)/(2*(H177-1)))</x:f>
      </x:c>
      <x:c r="J177" s="34" t="str">
        <x:f>IF(B177="","",IF(COUNT(E177)=0,"MISSING",IF(NOT(ISNUMBER(E177)),"INVALID",IF(E177*F177&lt;K177,"WINSORIZED LOW",IF(E177*F177&gt;L177,"WINSORIZED HIGH","OK")))))</x:f>
      </x:c>
      <x:c r="K177" s="34" t="n">
        <x:v>-0.1416111014</x:v>
      </x:c>
      <x:c r="L177" s="34" t="n">
        <x:v>0.2683650488</x:v>
      </x:c>
      <x:c r="M177" s="34" t="n">
        <x:v>0.1111111111111111</x:v>
      </x:c>
      <x:c r="N177" s="34" t="str">
        <x:v>no</x:v>
      </x:c>
    </x:row>
    <x:row r="178">
      <x:c r="A178" s="34" t="n">
        <x:v>18</x:v>
      </x:c>
      <x:c r="B178" s="34" t="str">
        <x:f>IF('01_INPUT_COMPANIES'!$A$24="","",'01_INPUT_COMPANIES'!$A$24)</x:f>
      </x:c>
      <x:c r="C178" s="34" t="str">
        <x:f>IF(B178="","",'01_INPUT_COMPANIES'!$B$24)</x:f>
      </x:c>
      <x:c r="D178" s="34" t="str">
        <x:v>infra_dependency_ratio</x:v>
      </x:c>
      <x:c r="E178" s="42" t="str">
        <x:f>IF(OR(B178="",COUNT('01_INPUT_COMPANIES'!$U$24)=0),"",'01_INPUT_COMPANIES'!$U$24)</x:f>
      </x:c>
      <x:c r="F178" s="42" t="n">
        <x:v>1</x:v>
      </x:c>
      <x:c r="G178" s="42" t="str">
        <x:f>IF(NOT(ISNUMBER(E178)),"",MAX(K178,MIN(L178,E178*F178)))</x:f>
      </x:c>
      <x:c r="H178" s="42" t="n">
        <x:v>64</x:v>
      </x:c>
      <x:c r="I178" s="42" t="str">
        <x:f>IF(COUNT(G178)=0,"",(COUNTIFS('93_REF_ANCHORS'!$A$7:$A$766,D178,'93_REF_ANCHORS'!$C$7:$C$766,"&lt;"&amp;G178)+COUNTIFS('93_REF_ANCHORS'!$A$7:$A$766,D178,'93_REF_ANCHORS'!$C$7:$C$766,"&lt;="&amp;G178)-1)/(2*(H178-1)))</x:f>
      </x:c>
      <x:c r="J178" s="34" t="str">
        <x:f>IF(B178="","",IF(COUNT(E178)=0,"MISSING",IF(NOT(ISNUMBER(E178)),"INVALID",IF(E178*F178&lt;K178,"WINSORIZED LOW",IF(E178*F178&gt;L178,"WINSORIZED HIGH","OK")))))</x:f>
      </x:c>
      <x:c r="K178" s="34" t="n">
        <x:v>-0.10705024705171803</x:v>
      </x:c>
      <x:c r="L178" s="34" t="n">
        <x:v>0.8008753865408955</x:v>
      </x:c>
      <x:c r="M178" s="34" t="n">
        <x:v>0.1111111111111111</x:v>
      </x:c>
      <x:c r="N178" s="34" t="str">
        <x:v>no</x:v>
      </x:c>
    </x:row>
    <x:row r="179">
      <x:c r="A179" s="34" t="n">
        <x:v>18</x:v>
      </x:c>
      <x:c r="B179" s="34" t="str">
        <x:f>IF('01_INPUT_COMPANIES'!$A$24="","",'01_INPUT_COMPANIES'!$A$24)</x:f>
      </x:c>
      <x:c r="C179" s="34" t="str">
        <x:f>IF(B179="","",'01_INPUT_COMPANIES'!$B$24)</x:f>
      </x:c>
      <x:c r="D179" s="34" t="str">
        <x:v>network_cost_ratio</x:v>
      </x:c>
      <x:c r="E179" s="42" t="str">
        <x:f>IF(OR(B179="",COUNT('01_INPUT_COMPANIES'!$V$24)=0),"",'01_INPUT_COMPANIES'!$V$24)</x:f>
      </x:c>
      <x:c r="F179" s="42" t="n">
        <x:v>1</x:v>
      </x:c>
      <x:c r="G179" s="42" t="str">
        <x:f>IF(NOT(ISNUMBER(E179)),"",MAX(K179,MIN(L179,E179*F179)))</x:f>
      </x:c>
      <x:c r="H179" s="42" t="n">
        <x:v>97</x:v>
      </x:c>
      <x:c r="I179" s="42" t="str">
        <x:f>IF(COUNT(G179)=0,"",(COUNTIFS('93_REF_ANCHORS'!$A$7:$A$766,D179,'93_REF_ANCHORS'!$C$7:$C$766,"&lt;"&amp;G179)+COUNTIFS('93_REF_ANCHORS'!$A$7:$A$766,D179,'93_REF_ANCHORS'!$C$7:$C$766,"&lt;="&amp;G179)-1)/(2*(H179-1)))</x:f>
      </x:c>
      <x:c r="J179" s="34" t="str">
        <x:f>IF(B179="","",IF(COUNT(E179)=0,"MISSING",IF(NOT(ISNUMBER(E179)),"INVALID",IF(E179*F179&lt;K179,"WINSORIZED LOW",IF(E179*F179&gt;L179,"WINSORIZED HIGH","OK")))))</x:f>
      </x:c>
      <x:c r="K179" s="34" t="n">
        <x:v>-0.1395374353</x:v>
      </x:c>
      <x:c r="L179" s="34" t="n">
        <x:v>0.9274274845000001</x:v>
      </x:c>
      <x:c r="M179" s="34" t="n">
        <x:v>0.1111111111111111</x:v>
      </x:c>
      <x:c r="N179" s="34" t="str">
        <x:v>no</x:v>
      </x:c>
    </x:row>
    <x:row r="180">
      <x:c r="A180" s="34" t="n">
        <x:v>18</x:v>
      </x:c>
      <x:c r="B180" s="34" t="str">
        <x:f>IF('01_INPUT_COMPANIES'!$A$24="","",'01_INPUT_COMPANIES'!$A$24)</x:f>
      </x:c>
      <x:c r="C180" s="34" t="str">
        <x:f>IF(B180="","",'01_INPUT_COMPANIES'!$B$24)</x:f>
      </x:c>
      <x:c r="D180" s="34" t="str">
        <x:v>cashflow_recovery_ratio</x:v>
      </x:c>
      <x:c r="E180" s="42" t="str">
        <x:f>IF(OR(B180="",COUNT('01_INPUT_COMPANIES'!$W$24)=0),"",'01_INPUT_COMPANIES'!$W$24)</x:f>
      </x:c>
      <x:c r="F180" s="42" t="n">
        <x:v>-1</x:v>
      </x:c>
      <x:c r="G180" s="42" t="str">
        <x:f>IF(NOT(ISNUMBER(E180)),"",MAX(K180,MIN(L180,E180*F180)))</x:f>
      </x:c>
      <x:c r="H180" s="42" t="n">
        <x:v>95</x:v>
      </x:c>
      <x:c r="I180" s="42" t="str">
        <x:f>IF(COUNT(G180)=0,"",(COUNTIFS('93_REF_ANCHORS'!$A$7:$A$766,D180,'93_REF_ANCHORS'!$C$7:$C$766,"&lt;"&amp;G180)+COUNTIFS('93_REF_ANCHORS'!$A$7:$A$766,D180,'93_REF_ANCHORS'!$C$7:$C$766,"&lt;="&amp;G180)-1)/(2*(H180-1)))</x:f>
      </x:c>
      <x:c r="J180" s="34" t="str">
        <x:f>IF(B180="","",IF(COUNT(E180)=0,"MISSING",IF(NOT(ISNUMBER(E180)),"INVALID",IF(E180*F180&lt;K180,"WINSORIZED LOW",IF(E180*F180&gt;L180,"WINSORIZED HIGH","OK")))))</x:f>
      </x:c>
      <x:c r="K180" s="34" t="n">
        <x:v>-300.75</x:v>
      </x:c>
      <x:c r="L180" s="34" t="n">
        <x:v>42.6920305469</x:v>
      </x:c>
      <x:c r="M180" s="34" t="n">
        <x:v>0.08333333333333333</x:v>
      </x:c>
      <x:c r="N180" s="34" t="str">
        <x:v>no</x:v>
      </x:c>
    </x:row>
    <x:row r="181">
      <x:c r="A181" s="34" t="n">
        <x:v>18</x:v>
      </x:c>
      <x:c r="B181" s="34" t="str">
        <x:f>IF('01_INPUT_COMPANIES'!$A$24="","",'01_INPUT_COMPANIES'!$A$24)</x:f>
      </x:c>
      <x:c r="C181" s="34" t="str">
        <x:f>IF(B181="","",'01_INPUT_COMPANIES'!$B$24)</x:f>
      </x:c>
      <x:c r="D181" s="34" t="str">
        <x:v>funding_cost_spread</x:v>
      </x:c>
      <x:c r="E181" s="42" t="str">
        <x:f>IF(OR(B181="",COUNT('01_INPUT_COMPANIES'!$X$24)=0),"",'01_INPUT_COMPANIES'!$X$24)</x:f>
      </x:c>
      <x:c r="F181" s="42" t="n">
        <x:v>1</x:v>
      </x:c>
      <x:c r="G181" s="42" t="str">
        <x:f>IF(NOT(ISNUMBER(E181)),"",MAX(K181,MIN(L181,E181*F181)))</x:f>
      </x:c>
      <x:c r="H181" s="42" t="n">
        <x:v>58</x:v>
      </x:c>
      <x:c r="I181" s="42" t="str">
        <x:f>IF(COUNT(G181)=0,"",(COUNTIFS('93_REF_ANCHORS'!$A$7:$A$766,D181,'93_REF_ANCHORS'!$C$7:$C$766,"&lt;"&amp;G181)+COUNTIFS('93_REF_ANCHORS'!$A$7:$A$766,D181,'93_REF_ANCHORS'!$C$7:$C$766,"&lt;="&amp;G181)-1)/(2*(H181-1)))</x:f>
      </x:c>
      <x:c r="J181" s="34" t="str">
        <x:f>IF(B181="","",IF(COUNT(E181)=0,"MISSING",IF(NOT(ISNUMBER(E181)),"INVALID",IF(E181*F181&lt;K181,"WINSORIZED LOW",IF(E181*F181&gt;L181,"WINSORIZED HIGH","OK")))))</x:f>
      </x:c>
      <x:c r="K181" s="34" t="n">
        <x:v>-0.4430292903</x:v>
      </x:c>
      <x:c r="L181" s="34" t="n">
        <x:v>0.5068913103</x:v>
      </x:c>
      <x:c r="M181" s="34" t="n">
        <x:v>0.08333333333333333</x:v>
      </x:c>
      <x:c r="N181" s="34" t="str">
        <x:v>no</x:v>
      </x:c>
    </x:row>
    <x:row r="182">
      <x:c r="A182" s="34" t="n">
        <x:v>18</x:v>
      </x:c>
      <x:c r="B182" s="34" t="str">
        <x:f>IF('01_INPUT_COMPANIES'!$A$24="","",'01_INPUT_COMPANIES'!$A$24)</x:f>
      </x:c>
      <x:c r="C182" s="34" t="str">
        <x:f>IF(B182="","",'01_INPUT_COMPANIES'!$B$24)</x:f>
      </x:c>
      <x:c r="D182" s="34" t="str">
        <x:v>investment_recovery_ratio</x:v>
      </x:c>
      <x:c r="E182" s="42" t="str">
        <x:f>IF(OR(B182="",COUNT('01_INPUT_COMPANIES'!$Y$24)=0),"",'01_INPUT_COMPANIES'!$Y$24)</x:f>
      </x:c>
      <x:c r="F182" s="42" t="n">
        <x:v>-1</x:v>
      </x:c>
      <x:c r="G182" s="42" t="str">
        <x:f>IF(NOT(ISNUMBER(E182)),"",MAX(K182,MIN(L182,E182*F182)))</x:f>
      </x:c>
      <x:c r="H182" s="42" t="n">
        <x:v>95</x:v>
      </x:c>
      <x:c r="I182" s="42" t="str">
        <x:f>IF(COUNT(G182)=0,"",(COUNTIFS('93_REF_ANCHORS'!$A$7:$A$766,D182,'93_REF_ANCHORS'!$C$7:$C$766,"&lt;"&amp;G182)+COUNTIFS('93_REF_ANCHORS'!$A$7:$A$766,D182,'93_REF_ANCHORS'!$C$7:$C$766,"&lt;="&amp;G182)-1)/(2*(H182-1)))</x:f>
      </x:c>
      <x:c r="J182" s="34" t="str">
        <x:f>IF(B182="","",IF(COUNT(E182)=0,"MISSING",IF(NOT(ISNUMBER(E182)),"INVALID",IF(E182*F182&lt;K182,"WINSORIZED LOW",IF(E182*F182&gt;L182,"WINSORIZED HIGH","OK")))))</x:f>
      </x:c>
      <x:c r="K182" s="34" t="n">
        <x:v>-3163.7500000000014</x:v>
      </x:c>
      <x:c r="L182" s="34" t="n">
        <x:v>189.68191301719997</x:v>
      </x:c>
      <x:c r="M182" s="34" t="n">
        <x:v>0.08333333333333333</x:v>
      </x:c>
      <x:c r="N182" s="34" t="str">
        <x:v>no</x:v>
      </x:c>
    </x:row>
    <x:row r="183">
      <x:c r="A183" s="34" t="n">
        <x:v>18</x:v>
      </x:c>
      <x:c r="B183" s="34" t="str">
        <x:f>IF('01_INPUT_COMPANIES'!$A$24="","",'01_INPUT_COMPANIES'!$A$24)</x:f>
      </x:c>
      <x:c r="C183" s="34" t="str">
        <x:f>IF(B183="","",'01_INPUT_COMPANIES'!$B$24)</x:f>
      </x:c>
      <x:c r="D183" s="34" t="str">
        <x:v>ip_assetization_gap</x:v>
      </x:c>
      <x:c r="E183" s="42" t="str">
        <x:f>IF(OR(B183="",COUNT('01_INPUT_COMPANIES'!$Z$24)=0),"",'01_INPUT_COMPANIES'!$Z$24)</x:f>
      </x:c>
      <x:c r="F183" s="42" t="n">
        <x:v>1</x:v>
      </x:c>
      <x:c r="G183" s="42" t="str">
        <x:f>IF(NOT(ISNUMBER(E183)),"",MAX(K183,MIN(L183,E183*F183)))</x:f>
      </x:c>
      <x:c r="H183" s="42" t="n">
        <x:v>92</x:v>
      </x:c>
      <x:c r="I183" s="42" t="str">
        <x:f>IF(COUNT(G183)=0,"",(COUNTIFS('93_REF_ANCHORS'!$A$7:$A$766,D183,'93_REF_ANCHORS'!$C$7:$C$766,"&lt;"&amp;G183)+COUNTIFS('93_REF_ANCHORS'!$A$7:$A$766,D183,'93_REF_ANCHORS'!$C$7:$C$766,"&lt;="&amp;G183)-1)/(2*(H183-1)))</x:f>
      </x:c>
      <x:c r="J183" s="34" t="str">
        <x:f>IF(B183="","",IF(COUNT(E183)=0,"MISSING",IF(NOT(ISNUMBER(E183)),"INVALID",IF(E183*F183&lt;K183,"WINSORIZED LOW",IF(E183*F183&gt;L183,"WINSORIZED HIGH","OK")))))</x:f>
      </x:c>
      <x:c r="K183" s="34" t="n">
        <x:v>-1.6707152386</x:v>
      </x:c>
      <x:c r="L183" s="34" t="n">
        <x:v>0.7716332556000001</x:v>
      </x:c>
      <x:c r="M183" s="34" t="n">
        <x:v>0.08333333333333333</x:v>
      </x:c>
      <x:c r="N183" s="34" t="str">
        <x:v>no</x:v>
      </x:c>
    </x:row>
    <x:row r="184">
      <x:c r="A184" s="34" t="n">
        <x:v>18</x:v>
      </x:c>
      <x:c r="B184" s="34" t="str">
        <x:f>IF('01_INPUT_COMPANIES'!$A$24="","",'01_INPUT_COMPANIES'!$A$24)</x:f>
      </x:c>
      <x:c r="C184" s="34" t="str">
        <x:f>IF(B184="","",'01_INPUT_COMPANIES'!$B$24)</x:f>
      </x:c>
      <x:c r="D184" s="34" t="str">
        <x:v>cross_market_transfer_index</x:v>
      </x:c>
      <x:c r="E184" s="42" t="str">
        <x:f>IF(OR(B184="",COUNT('01_INPUT_COMPANIES'!$AA$24)=0),"",'01_INPUT_COMPANIES'!$AA$24)</x:f>
      </x:c>
      <x:c r="F184" s="42" t="n">
        <x:v>1</x:v>
      </x:c>
      <x:c r="G184" s="42" t="str">
        <x:f>IF(NOT(ISNUMBER(E184)),"",MAX(K184,MIN(L184,E184*F184)))</x:f>
      </x:c>
      <x:c r="H184" s="42" t="n">
        <x:v>4</x:v>
      </x:c>
      <x:c r="I184" s="42" t="str">
        <x:f>IF(COUNT(G184)=0,"",(COUNTIFS('93_REF_ANCHORS'!$A$7:$A$766,D184,'93_REF_ANCHORS'!$C$7:$C$766,"&lt;"&amp;G184)+COUNTIFS('93_REF_ANCHORS'!$A$7:$A$766,D184,'93_REF_ANCHORS'!$C$7:$C$766,"&lt;="&amp;G184)-1)/(2*(H184-1)))</x:f>
      </x:c>
      <x:c r="J184" s="34" t="str">
        <x:f>IF(B184="","",IF(COUNT(E184)=0,"MISSING",IF(NOT(ISNUMBER(E184)),"INVALID",IF(E184*F184&lt;K184,"WINSORIZED LOW",IF(E184*F184&gt;L184,"WINSORIZED HIGH","OK")))))</x:f>
      </x:c>
      <x:c r="K184" s="34" t="n">
        <x:v>0</x:v>
      </x:c>
      <x:c r="L184" s="34" t="n">
        <x:v>0.7587051325360435</x:v>
      </x:c>
      <x:c r="M184" s="34" t="n">
        <x:v>0.1111111111111111</x:v>
      </x:c>
      <x:c r="N184" s="34" t="str">
        <x:v>yes</x:v>
      </x:c>
    </x:row>
    <x:row r="185">
      <x:c r="A185" s="34" t="n">
        <x:v>18</x:v>
      </x:c>
      <x:c r="B185" s="34" t="str">
        <x:f>IF('01_INPUT_COMPANIES'!$A$24="","",'01_INPUT_COMPANIES'!$A$24)</x:f>
      </x:c>
      <x:c r="C185" s="34" t="str">
        <x:f>IF(B185="","",'01_INPUT_COMPANIES'!$B$24)</x:f>
      </x:c>
      <x:c r="D185" s="34" t="str">
        <x:v>foreign_dependency_ratio</x:v>
      </x:c>
      <x:c r="E185" s="42" t="str">
        <x:f>IF(OR(B185="",COUNT('01_INPUT_COMPANIES'!$AB$24)=0),"",'01_INPUT_COMPANIES'!$AB$24)</x:f>
      </x:c>
      <x:c r="F185" s="42" t="n">
        <x:v>1</x:v>
      </x:c>
      <x:c r="G185" s="42" t="str">
        <x:f>IF(NOT(ISNUMBER(E185)),"",MAX(K185,MIN(L185,E185*F185)))</x:f>
      </x:c>
      <x:c r="H185" s="42" t="n">
        <x:v>84</x:v>
      </x:c>
      <x:c r="I185" s="42" t="str">
        <x:f>IF(COUNT(G185)=0,"",(COUNTIFS('93_REF_ANCHORS'!$A$7:$A$766,D185,'93_REF_ANCHORS'!$C$7:$C$766,"&lt;"&amp;G185)+COUNTIFS('93_REF_ANCHORS'!$A$7:$A$766,D185,'93_REF_ANCHORS'!$C$7:$C$766,"&lt;="&amp;G185)-1)/(2*(H185-1)))</x:f>
      </x:c>
      <x:c r="J185" s="34" t="str">
        <x:f>IF(B185="","",IF(COUNT(E185)=0,"MISSING",IF(NOT(ISNUMBER(E185)),"INVALID",IF(E185*F185&lt;K185,"WINSORIZED LOW",IF(E185*F185&gt;L185,"WINSORIZED HIGH","OK")))))</x:f>
      </x:c>
      <x:c r="K185" s="34" t="n">
        <x:v>0.728196</x:v>
      </x:c>
      <x:c r="L185" s="34" t="n">
        <x:v>0.94</x:v>
      </x:c>
      <x:c r="M185" s="34" t="n">
        <x:v>0.1111111111111111</x:v>
      </x:c>
      <x:c r="N185" s="34" t="str">
        <x:v>yes</x:v>
      </x:c>
    </x:row>
    <x:row r="186">
      <x:c r="A186" s="34" t="n">
        <x:v>18</x:v>
      </x:c>
      <x:c r="B186" s="34" t="str">
        <x:f>IF('01_INPUT_COMPANIES'!$A$24="","",'01_INPUT_COMPANIES'!$A$24)</x:f>
      </x:c>
      <x:c r="C186" s="34" t="str">
        <x:f>IF(B186="","",'01_INPUT_COMPANIES'!$B$24)</x:f>
      </x:c>
      <x:c r="D186" s="34" t="str">
        <x:v>outflow_to_capex_ratio</x:v>
      </x:c>
      <x:c r="E186" s="42" t="str">
        <x:f>IF(OR(B186="",COUNT('01_INPUT_COMPANIES'!$AC$24)=0),"",'01_INPUT_COMPANIES'!$AC$24)</x:f>
      </x:c>
      <x:c r="F186" s="42" t="n">
        <x:v>1</x:v>
      </x:c>
      <x:c r="G186" s="42" t="str">
        <x:f>IF(NOT(ISNUMBER(E186)),"",MAX(K186,MIN(L186,E186*F186)))</x:f>
      </x:c>
      <x:c r="H186" s="42" t="n">
        <x:v>97</x:v>
      </x:c>
      <x:c r="I186" s="42" t="str">
        <x:f>IF(COUNT(G186)=0,"",(COUNTIFS('93_REF_ANCHORS'!$A$7:$A$766,D186,'93_REF_ANCHORS'!$C$7:$C$766,"&lt;"&amp;G186)+COUNTIFS('93_REF_ANCHORS'!$A$7:$A$766,D186,'93_REF_ANCHORS'!$C$7:$C$766,"&lt;="&amp;G186)-1)/(2*(H186-1)))</x:f>
      </x:c>
      <x:c r="J186" s="34" t="str">
        <x:f>IF(B186="","",IF(COUNT(E186)=0,"MISSING",IF(NOT(ISNUMBER(E186)),"INVALID",IF(E186*F186&lt;K186,"WINSORIZED LOW",IF(E186*F186&gt;L186,"WINSORIZED HIGH","OK")))))</x:f>
      </x:c>
      <x:c r="K186" s="34" t="n">
        <x:v>-123.5385890408</x:v>
      </x:c>
      <x:c r="L186" s="34" t="n">
        <x:v>974.1666666666999</x:v>
      </x:c>
      <x:c r="M186" s="34" t="n">
        <x:v>0.1111111111111111</x:v>
      </x:c>
      <x:c r="N186" s="34" t="str">
        <x:v>no</x:v>
      </x:c>
    </x:row>
    <x:row r="187">
      <x:c r="A187" s="34" t="n">
        <x:v>19</x:v>
      </x:c>
      <x:c r="B187" s="34" t="str">
        <x:f>IF('01_INPUT_COMPANIES'!$A$25="","",'01_INPUT_COMPANIES'!$A$25)</x:f>
      </x:c>
      <x:c r="C187" s="34" t="str">
        <x:f>IF(B187="","",'01_INPUT_COMPANIES'!$B$25)</x:f>
      </x:c>
      <x:c r="D187" s="34" t="str">
        <x:v>effective_tax_rate_gap</x:v>
      </x:c>
      <x:c r="E187" s="42" t="str">
        <x:f>IF(OR(B187="",COUNT('01_INPUT_COMPANIES'!$T$25)=0),"",'01_INPUT_COMPANIES'!$T$25)</x:f>
      </x:c>
      <x:c r="F187" s="42" t="n">
        <x:v>1</x:v>
      </x:c>
      <x:c r="G187" s="42" t="str">
        <x:f>IF(NOT(ISNUMBER(E187)),"",MAX(K187,MIN(L187,E187*F187)))</x:f>
      </x:c>
      <x:c r="H187" s="42" t="n">
        <x:v>74</x:v>
      </x:c>
      <x:c r="I187" s="42" t="str">
        <x:f>IF(COUNT(G187)=0,"",(COUNTIFS('93_REF_ANCHORS'!$A$7:$A$766,D187,'93_REF_ANCHORS'!$C$7:$C$766,"&lt;"&amp;G187)+COUNTIFS('93_REF_ANCHORS'!$A$7:$A$766,D187,'93_REF_ANCHORS'!$C$7:$C$766,"&lt;="&amp;G187)-1)/(2*(H187-1)))</x:f>
      </x:c>
      <x:c r="J187" s="34" t="str">
        <x:f>IF(B187="","",IF(COUNT(E187)=0,"MISSING",IF(NOT(ISNUMBER(E187)),"INVALID",IF(E187*F187&lt;K187,"WINSORIZED LOW",IF(E187*F187&gt;L187,"WINSORIZED HIGH","OK")))))</x:f>
      </x:c>
      <x:c r="K187" s="34" t="n">
        <x:v>-0.1416111014</x:v>
      </x:c>
      <x:c r="L187" s="34" t="n">
        <x:v>0.2683650488</x:v>
      </x:c>
      <x:c r="M187" s="34" t="n">
        <x:v>0.1111111111111111</x:v>
      </x:c>
      <x:c r="N187" s="34" t="str">
        <x:v>no</x:v>
      </x:c>
    </x:row>
    <x:row r="188">
      <x:c r="A188" s="34" t="n">
        <x:v>19</x:v>
      </x:c>
      <x:c r="B188" s="34" t="str">
        <x:f>IF('01_INPUT_COMPANIES'!$A$25="","",'01_INPUT_COMPANIES'!$A$25)</x:f>
      </x:c>
      <x:c r="C188" s="34" t="str">
        <x:f>IF(B188="","",'01_INPUT_COMPANIES'!$B$25)</x:f>
      </x:c>
      <x:c r="D188" s="34" t="str">
        <x:v>infra_dependency_ratio</x:v>
      </x:c>
      <x:c r="E188" s="42" t="str">
        <x:f>IF(OR(B188="",COUNT('01_INPUT_COMPANIES'!$U$25)=0),"",'01_INPUT_COMPANIES'!$U$25)</x:f>
      </x:c>
      <x:c r="F188" s="42" t="n">
        <x:v>1</x:v>
      </x:c>
      <x:c r="G188" s="42" t="str">
        <x:f>IF(NOT(ISNUMBER(E188)),"",MAX(K188,MIN(L188,E188*F188)))</x:f>
      </x:c>
      <x:c r="H188" s="42" t="n">
        <x:v>64</x:v>
      </x:c>
      <x:c r="I188" s="42" t="str">
        <x:f>IF(COUNT(G188)=0,"",(COUNTIFS('93_REF_ANCHORS'!$A$7:$A$766,D188,'93_REF_ANCHORS'!$C$7:$C$766,"&lt;"&amp;G188)+COUNTIFS('93_REF_ANCHORS'!$A$7:$A$766,D188,'93_REF_ANCHORS'!$C$7:$C$766,"&lt;="&amp;G188)-1)/(2*(H188-1)))</x:f>
      </x:c>
      <x:c r="J188" s="34" t="str">
        <x:f>IF(B188="","",IF(COUNT(E188)=0,"MISSING",IF(NOT(ISNUMBER(E188)),"INVALID",IF(E188*F188&lt;K188,"WINSORIZED LOW",IF(E188*F188&gt;L188,"WINSORIZED HIGH","OK")))))</x:f>
      </x:c>
      <x:c r="K188" s="34" t="n">
        <x:v>-0.10705024705171803</x:v>
      </x:c>
      <x:c r="L188" s="34" t="n">
        <x:v>0.8008753865408955</x:v>
      </x:c>
      <x:c r="M188" s="34" t="n">
        <x:v>0.1111111111111111</x:v>
      </x:c>
      <x:c r="N188" s="34" t="str">
        <x:v>no</x:v>
      </x:c>
    </x:row>
    <x:row r="189">
      <x:c r="A189" s="34" t="n">
        <x:v>19</x:v>
      </x:c>
      <x:c r="B189" s="34" t="str">
        <x:f>IF('01_INPUT_COMPANIES'!$A$25="","",'01_INPUT_COMPANIES'!$A$25)</x:f>
      </x:c>
      <x:c r="C189" s="34" t="str">
        <x:f>IF(B189="","",'01_INPUT_COMPANIES'!$B$25)</x:f>
      </x:c>
      <x:c r="D189" s="34" t="str">
        <x:v>network_cost_ratio</x:v>
      </x:c>
      <x:c r="E189" s="42" t="str">
        <x:f>IF(OR(B189="",COUNT('01_INPUT_COMPANIES'!$V$25)=0),"",'01_INPUT_COMPANIES'!$V$25)</x:f>
      </x:c>
      <x:c r="F189" s="42" t="n">
        <x:v>1</x:v>
      </x:c>
      <x:c r="G189" s="42" t="str">
        <x:f>IF(NOT(ISNUMBER(E189)),"",MAX(K189,MIN(L189,E189*F189)))</x:f>
      </x:c>
      <x:c r="H189" s="42" t="n">
        <x:v>97</x:v>
      </x:c>
      <x:c r="I189" s="42" t="str">
        <x:f>IF(COUNT(G189)=0,"",(COUNTIFS('93_REF_ANCHORS'!$A$7:$A$766,D189,'93_REF_ANCHORS'!$C$7:$C$766,"&lt;"&amp;G189)+COUNTIFS('93_REF_ANCHORS'!$A$7:$A$766,D189,'93_REF_ANCHORS'!$C$7:$C$766,"&lt;="&amp;G189)-1)/(2*(H189-1)))</x:f>
      </x:c>
      <x:c r="J189" s="34" t="str">
        <x:f>IF(B189="","",IF(COUNT(E189)=0,"MISSING",IF(NOT(ISNUMBER(E189)),"INVALID",IF(E189*F189&lt;K189,"WINSORIZED LOW",IF(E189*F189&gt;L189,"WINSORIZED HIGH","OK")))))</x:f>
      </x:c>
      <x:c r="K189" s="34" t="n">
        <x:v>-0.1395374353</x:v>
      </x:c>
      <x:c r="L189" s="34" t="n">
        <x:v>0.9274274845000001</x:v>
      </x:c>
      <x:c r="M189" s="34" t="n">
        <x:v>0.1111111111111111</x:v>
      </x:c>
      <x:c r="N189" s="34" t="str">
        <x:v>no</x:v>
      </x:c>
    </x:row>
    <x:row r="190">
      <x:c r="A190" s="34" t="n">
        <x:v>19</x:v>
      </x:c>
      <x:c r="B190" s="34" t="str">
        <x:f>IF('01_INPUT_COMPANIES'!$A$25="","",'01_INPUT_COMPANIES'!$A$25)</x:f>
      </x:c>
      <x:c r="C190" s="34" t="str">
        <x:f>IF(B190="","",'01_INPUT_COMPANIES'!$B$25)</x:f>
      </x:c>
      <x:c r="D190" s="34" t="str">
        <x:v>cashflow_recovery_ratio</x:v>
      </x:c>
      <x:c r="E190" s="42" t="str">
        <x:f>IF(OR(B190="",COUNT('01_INPUT_COMPANIES'!$W$25)=0),"",'01_INPUT_COMPANIES'!$W$25)</x:f>
      </x:c>
      <x:c r="F190" s="42" t="n">
        <x:v>-1</x:v>
      </x:c>
      <x:c r="G190" s="42" t="str">
        <x:f>IF(NOT(ISNUMBER(E190)),"",MAX(K190,MIN(L190,E190*F190)))</x:f>
      </x:c>
      <x:c r="H190" s="42" t="n">
        <x:v>95</x:v>
      </x:c>
      <x:c r="I190" s="42" t="str">
        <x:f>IF(COUNT(G190)=0,"",(COUNTIFS('93_REF_ANCHORS'!$A$7:$A$766,D190,'93_REF_ANCHORS'!$C$7:$C$766,"&lt;"&amp;G190)+COUNTIFS('93_REF_ANCHORS'!$A$7:$A$766,D190,'93_REF_ANCHORS'!$C$7:$C$766,"&lt;="&amp;G190)-1)/(2*(H190-1)))</x:f>
      </x:c>
      <x:c r="J190" s="34" t="str">
        <x:f>IF(B190="","",IF(COUNT(E190)=0,"MISSING",IF(NOT(ISNUMBER(E190)),"INVALID",IF(E190*F190&lt;K190,"WINSORIZED LOW",IF(E190*F190&gt;L190,"WINSORIZED HIGH","OK")))))</x:f>
      </x:c>
      <x:c r="K190" s="34" t="n">
        <x:v>-300.75</x:v>
      </x:c>
      <x:c r="L190" s="34" t="n">
        <x:v>42.6920305469</x:v>
      </x:c>
      <x:c r="M190" s="34" t="n">
        <x:v>0.08333333333333333</x:v>
      </x:c>
      <x:c r="N190" s="34" t="str">
        <x:v>no</x:v>
      </x:c>
    </x:row>
    <x:row r="191">
      <x:c r="A191" s="34" t="n">
        <x:v>19</x:v>
      </x:c>
      <x:c r="B191" s="34" t="str">
        <x:f>IF('01_INPUT_COMPANIES'!$A$25="","",'01_INPUT_COMPANIES'!$A$25)</x:f>
      </x:c>
      <x:c r="C191" s="34" t="str">
        <x:f>IF(B191="","",'01_INPUT_COMPANIES'!$B$25)</x:f>
      </x:c>
      <x:c r="D191" s="34" t="str">
        <x:v>funding_cost_spread</x:v>
      </x:c>
      <x:c r="E191" s="42" t="str">
        <x:f>IF(OR(B191="",COUNT('01_INPUT_COMPANIES'!$X$25)=0),"",'01_INPUT_COMPANIES'!$X$25)</x:f>
      </x:c>
      <x:c r="F191" s="42" t="n">
        <x:v>1</x:v>
      </x:c>
      <x:c r="G191" s="42" t="str">
        <x:f>IF(NOT(ISNUMBER(E191)),"",MAX(K191,MIN(L191,E191*F191)))</x:f>
      </x:c>
      <x:c r="H191" s="42" t="n">
        <x:v>58</x:v>
      </x:c>
      <x:c r="I191" s="42" t="str">
        <x:f>IF(COUNT(G191)=0,"",(COUNTIFS('93_REF_ANCHORS'!$A$7:$A$766,D191,'93_REF_ANCHORS'!$C$7:$C$766,"&lt;"&amp;G191)+COUNTIFS('93_REF_ANCHORS'!$A$7:$A$766,D191,'93_REF_ANCHORS'!$C$7:$C$766,"&lt;="&amp;G191)-1)/(2*(H191-1)))</x:f>
      </x:c>
      <x:c r="J191" s="34" t="str">
        <x:f>IF(B191="","",IF(COUNT(E191)=0,"MISSING",IF(NOT(ISNUMBER(E191)),"INVALID",IF(E191*F191&lt;K191,"WINSORIZED LOW",IF(E191*F191&gt;L191,"WINSORIZED HIGH","OK")))))</x:f>
      </x:c>
      <x:c r="K191" s="34" t="n">
        <x:v>-0.4430292903</x:v>
      </x:c>
      <x:c r="L191" s="34" t="n">
        <x:v>0.5068913103</x:v>
      </x:c>
      <x:c r="M191" s="34" t="n">
        <x:v>0.08333333333333333</x:v>
      </x:c>
      <x:c r="N191" s="34" t="str">
        <x:v>no</x:v>
      </x:c>
    </x:row>
    <x:row r="192">
      <x:c r="A192" s="34" t="n">
        <x:v>19</x:v>
      </x:c>
      <x:c r="B192" s="34" t="str">
        <x:f>IF('01_INPUT_COMPANIES'!$A$25="","",'01_INPUT_COMPANIES'!$A$25)</x:f>
      </x:c>
      <x:c r="C192" s="34" t="str">
        <x:f>IF(B192="","",'01_INPUT_COMPANIES'!$B$25)</x:f>
      </x:c>
      <x:c r="D192" s="34" t="str">
        <x:v>investment_recovery_ratio</x:v>
      </x:c>
      <x:c r="E192" s="42" t="str">
        <x:f>IF(OR(B192="",COUNT('01_INPUT_COMPANIES'!$Y$25)=0),"",'01_INPUT_COMPANIES'!$Y$25)</x:f>
      </x:c>
      <x:c r="F192" s="42" t="n">
        <x:v>-1</x:v>
      </x:c>
      <x:c r="G192" s="42" t="str">
        <x:f>IF(NOT(ISNUMBER(E192)),"",MAX(K192,MIN(L192,E192*F192)))</x:f>
      </x:c>
      <x:c r="H192" s="42" t="n">
        <x:v>95</x:v>
      </x:c>
      <x:c r="I192" s="42" t="str">
        <x:f>IF(COUNT(G192)=0,"",(COUNTIFS('93_REF_ANCHORS'!$A$7:$A$766,D192,'93_REF_ANCHORS'!$C$7:$C$766,"&lt;"&amp;G192)+COUNTIFS('93_REF_ANCHORS'!$A$7:$A$766,D192,'93_REF_ANCHORS'!$C$7:$C$766,"&lt;="&amp;G192)-1)/(2*(H192-1)))</x:f>
      </x:c>
      <x:c r="J192" s="34" t="str">
        <x:f>IF(B192="","",IF(COUNT(E192)=0,"MISSING",IF(NOT(ISNUMBER(E192)),"INVALID",IF(E192*F192&lt;K192,"WINSORIZED LOW",IF(E192*F192&gt;L192,"WINSORIZED HIGH","OK")))))</x:f>
      </x:c>
      <x:c r="K192" s="34" t="n">
        <x:v>-3163.7500000000014</x:v>
      </x:c>
      <x:c r="L192" s="34" t="n">
        <x:v>189.68191301719997</x:v>
      </x:c>
      <x:c r="M192" s="34" t="n">
        <x:v>0.08333333333333333</x:v>
      </x:c>
      <x:c r="N192" s="34" t="str">
        <x:v>no</x:v>
      </x:c>
    </x:row>
    <x:row r="193">
      <x:c r="A193" s="34" t="n">
        <x:v>19</x:v>
      </x:c>
      <x:c r="B193" s="34" t="str">
        <x:f>IF('01_INPUT_COMPANIES'!$A$25="","",'01_INPUT_COMPANIES'!$A$25)</x:f>
      </x:c>
      <x:c r="C193" s="34" t="str">
        <x:f>IF(B193="","",'01_INPUT_COMPANIES'!$B$25)</x:f>
      </x:c>
      <x:c r="D193" s="34" t="str">
        <x:v>ip_assetization_gap</x:v>
      </x:c>
      <x:c r="E193" s="42" t="str">
        <x:f>IF(OR(B193="",COUNT('01_INPUT_COMPANIES'!$Z$25)=0),"",'01_INPUT_COMPANIES'!$Z$25)</x:f>
      </x:c>
      <x:c r="F193" s="42" t="n">
        <x:v>1</x:v>
      </x:c>
      <x:c r="G193" s="42" t="str">
        <x:f>IF(NOT(ISNUMBER(E193)),"",MAX(K193,MIN(L193,E193*F193)))</x:f>
      </x:c>
      <x:c r="H193" s="42" t="n">
        <x:v>92</x:v>
      </x:c>
      <x:c r="I193" s="42" t="str">
        <x:f>IF(COUNT(G193)=0,"",(COUNTIFS('93_REF_ANCHORS'!$A$7:$A$766,D193,'93_REF_ANCHORS'!$C$7:$C$766,"&lt;"&amp;G193)+COUNTIFS('93_REF_ANCHORS'!$A$7:$A$766,D193,'93_REF_ANCHORS'!$C$7:$C$766,"&lt;="&amp;G193)-1)/(2*(H193-1)))</x:f>
      </x:c>
      <x:c r="J193" s="34" t="str">
        <x:f>IF(B193="","",IF(COUNT(E193)=0,"MISSING",IF(NOT(ISNUMBER(E193)),"INVALID",IF(E193*F193&lt;K193,"WINSORIZED LOW",IF(E193*F193&gt;L193,"WINSORIZED HIGH","OK")))))</x:f>
      </x:c>
      <x:c r="K193" s="34" t="n">
        <x:v>-1.6707152386</x:v>
      </x:c>
      <x:c r="L193" s="34" t="n">
        <x:v>0.7716332556000001</x:v>
      </x:c>
      <x:c r="M193" s="34" t="n">
        <x:v>0.08333333333333333</x:v>
      </x:c>
      <x:c r="N193" s="34" t="str">
        <x:v>no</x:v>
      </x:c>
    </x:row>
    <x:row r="194">
      <x:c r="A194" s="34" t="n">
        <x:v>19</x:v>
      </x:c>
      <x:c r="B194" s="34" t="str">
        <x:f>IF('01_INPUT_COMPANIES'!$A$25="","",'01_INPUT_COMPANIES'!$A$25)</x:f>
      </x:c>
      <x:c r="C194" s="34" t="str">
        <x:f>IF(B194="","",'01_INPUT_COMPANIES'!$B$25)</x:f>
      </x:c>
      <x:c r="D194" s="34" t="str">
        <x:v>cross_market_transfer_index</x:v>
      </x:c>
      <x:c r="E194" s="42" t="str">
        <x:f>IF(OR(B194="",COUNT('01_INPUT_COMPANIES'!$AA$25)=0),"",'01_INPUT_COMPANIES'!$AA$25)</x:f>
      </x:c>
      <x:c r="F194" s="42" t="n">
        <x:v>1</x:v>
      </x:c>
      <x:c r="G194" s="42" t="str">
        <x:f>IF(NOT(ISNUMBER(E194)),"",MAX(K194,MIN(L194,E194*F194)))</x:f>
      </x:c>
      <x:c r="H194" s="42" t="n">
        <x:v>4</x:v>
      </x:c>
      <x:c r="I194" s="42" t="str">
        <x:f>IF(COUNT(G194)=0,"",(COUNTIFS('93_REF_ANCHORS'!$A$7:$A$766,D194,'93_REF_ANCHORS'!$C$7:$C$766,"&lt;"&amp;G194)+COUNTIFS('93_REF_ANCHORS'!$A$7:$A$766,D194,'93_REF_ANCHORS'!$C$7:$C$766,"&lt;="&amp;G194)-1)/(2*(H194-1)))</x:f>
      </x:c>
      <x:c r="J194" s="34" t="str">
        <x:f>IF(B194="","",IF(COUNT(E194)=0,"MISSING",IF(NOT(ISNUMBER(E194)),"INVALID",IF(E194*F194&lt;K194,"WINSORIZED LOW",IF(E194*F194&gt;L194,"WINSORIZED HIGH","OK")))))</x:f>
      </x:c>
      <x:c r="K194" s="34" t="n">
        <x:v>0</x:v>
      </x:c>
      <x:c r="L194" s="34" t="n">
        <x:v>0.7587051325360435</x:v>
      </x:c>
      <x:c r="M194" s="34" t="n">
        <x:v>0.1111111111111111</x:v>
      </x:c>
      <x:c r="N194" s="34" t="str">
        <x:v>yes</x:v>
      </x:c>
    </x:row>
    <x:row r="195">
      <x:c r="A195" s="34" t="n">
        <x:v>19</x:v>
      </x:c>
      <x:c r="B195" s="34" t="str">
        <x:f>IF('01_INPUT_COMPANIES'!$A$25="","",'01_INPUT_COMPANIES'!$A$25)</x:f>
      </x:c>
      <x:c r="C195" s="34" t="str">
        <x:f>IF(B195="","",'01_INPUT_COMPANIES'!$B$25)</x:f>
      </x:c>
      <x:c r="D195" s="34" t="str">
        <x:v>foreign_dependency_ratio</x:v>
      </x:c>
      <x:c r="E195" s="42" t="str">
        <x:f>IF(OR(B195="",COUNT('01_INPUT_COMPANIES'!$AB$25)=0),"",'01_INPUT_COMPANIES'!$AB$25)</x:f>
      </x:c>
      <x:c r="F195" s="42" t="n">
        <x:v>1</x:v>
      </x:c>
      <x:c r="G195" s="42" t="str">
        <x:f>IF(NOT(ISNUMBER(E195)),"",MAX(K195,MIN(L195,E195*F195)))</x:f>
      </x:c>
      <x:c r="H195" s="42" t="n">
        <x:v>84</x:v>
      </x:c>
      <x:c r="I195" s="42" t="str">
        <x:f>IF(COUNT(G195)=0,"",(COUNTIFS('93_REF_ANCHORS'!$A$7:$A$766,D195,'93_REF_ANCHORS'!$C$7:$C$766,"&lt;"&amp;G195)+COUNTIFS('93_REF_ANCHORS'!$A$7:$A$766,D195,'93_REF_ANCHORS'!$C$7:$C$766,"&lt;="&amp;G195)-1)/(2*(H195-1)))</x:f>
      </x:c>
      <x:c r="J195" s="34" t="str">
        <x:f>IF(B195="","",IF(COUNT(E195)=0,"MISSING",IF(NOT(ISNUMBER(E195)),"INVALID",IF(E195*F195&lt;K195,"WINSORIZED LOW",IF(E195*F195&gt;L195,"WINSORIZED HIGH","OK")))))</x:f>
      </x:c>
      <x:c r="K195" s="34" t="n">
        <x:v>0.728196</x:v>
      </x:c>
      <x:c r="L195" s="34" t="n">
        <x:v>0.94</x:v>
      </x:c>
      <x:c r="M195" s="34" t="n">
        <x:v>0.1111111111111111</x:v>
      </x:c>
      <x:c r="N195" s="34" t="str">
        <x:v>yes</x:v>
      </x:c>
    </x:row>
    <x:row r="196">
      <x:c r="A196" s="34" t="n">
        <x:v>19</x:v>
      </x:c>
      <x:c r="B196" s="34" t="str">
        <x:f>IF('01_INPUT_COMPANIES'!$A$25="","",'01_INPUT_COMPANIES'!$A$25)</x:f>
      </x:c>
      <x:c r="C196" s="34" t="str">
        <x:f>IF(B196="","",'01_INPUT_COMPANIES'!$B$25)</x:f>
      </x:c>
      <x:c r="D196" s="34" t="str">
        <x:v>outflow_to_capex_ratio</x:v>
      </x:c>
      <x:c r="E196" s="42" t="str">
        <x:f>IF(OR(B196="",COUNT('01_INPUT_COMPANIES'!$AC$25)=0),"",'01_INPUT_COMPANIES'!$AC$25)</x:f>
      </x:c>
      <x:c r="F196" s="42" t="n">
        <x:v>1</x:v>
      </x:c>
      <x:c r="G196" s="42" t="str">
        <x:f>IF(NOT(ISNUMBER(E196)),"",MAX(K196,MIN(L196,E196*F196)))</x:f>
      </x:c>
      <x:c r="H196" s="42" t="n">
        <x:v>97</x:v>
      </x:c>
      <x:c r="I196" s="42" t="str">
        <x:f>IF(COUNT(G196)=0,"",(COUNTIFS('93_REF_ANCHORS'!$A$7:$A$766,D196,'93_REF_ANCHORS'!$C$7:$C$766,"&lt;"&amp;G196)+COUNTIFS('93_REF_ANCHORS'!$A$7:$A$766,D196,'93_REF_ANCHORS'!$C$7:$C$766,"&lt;="&amp;G196)-1)/(2*(H196-1)))</x:f>
      </x:c>
      <x:c r="J196" s="34" t="str">
        <x:f>IF(B196="","",IF(COUNT(E196)=0,"MISSING",IF(NOT(ISNUMBER(E196)),"INVALID",IF(E196*F196&lt;K196,"WINSORIZED LOW",IF(E196*F196&gt;L196,"WINSORIZED HIGH","OK")))))</x:f>
      </x:c>
      <x:c r="K196" s="34" t="n">
        <x:v>-123.5385890408</x:v>
      </x:c>
      <x:c r="L196" s="34" t="n">
        <x:v>974.1666666666999</x:v>
      </x:c>
      <x:c r="M196" s="34" t="n">
        <x:v>0.1111111111111111</x:v>
      </x:c>
      <x:c r="N196" s="34" t="str">
        <x:v>no</x:v>
      </x:c>
    </x:row>
    <x:row r="197">
      <x:c r="A197" s="34" t="n">
        <x:v>20</x:v>
      </x:c>
      <x:c r="B197" s="34" t="str">
        <x:f>IF('01_INPUT_COMPANIES'!$A$26="","",'01_INPUT_COMPANIES'!$A$26)</x:f>
      </x:c>
      <x:c r="C197" s="34" t="str">
        <x:f>IF(B197="","",'01_INPUT_COMPANIES'!$B$26)</x:f>
      </x:c>
      <x:c r="D197" s="34" t="str">
        <x:v>effective_tax_rate_gap</x:v>
      </x:c>
      <x:c r="E197" s="42" t="str">
        <x:f>IF(OR(B197="",COUNT('01_INPUT_COMPANIES'!$T$26)=0),"",'01_INPUT_COMPANIES'!$T$26)</x:f>
      </x:c>
      <x:c r="F197" s="42" t="n">
        <x:v>1</x:v>
      </x:c>
      <x:c r="G197" s="42" t="str">
        <x:f>IF(NOT(ISNUMBER(E197)),"",MAX(K197,MIN(L197,E197*F197)))</x:f>
      </x:c>
      <x:c r="H197" s="42" t="n">
        <x:v>74</x:v>
      </x:c>
      <x:c r="I197" s="42" t="str">
        <x:f>IF(COUNT(G197)=0,"",(COUNTIFS('93_REF_ANCHORS'!$A$7:$A$766,D197,'93_REF_ANCHORS'!$C$7:$C$766,"&lt;"&amp;G197)+COUNTIFS('93_REF_ANCHORS'!$A$7:$A$766,D197,'93_REF_ANCHORS'!$C$7:$C$766,"&lt;="&amp;G197)-1)/(2*(H197-1)))</x:f>
      </x:c>
      <x:c r="J197" s="34" t="str">
        <x:f>IF(B197="","",IF(COUNT(E197)=0,"MISSING",IF(NOT(ISNUMBER(E197)),"INVALID",IF(E197*F197&lt;K197,"WINSORIZED LOW",IF(E197*F197&gt;L197,"WINSORIZED HIGH","OK")))))</x:f>
      </x:c>
      <x:c r="K197" s="34" t="n">
        <x:v>-0.1416111014</x:v>
      </x:c>
      <x:c r="L197" s="34" t="n">
        <x:v>0.2683650488</x:v>
      </x:c>
      <x:c r="M197" s="34" t="n">
        <x:v>0.1111111111111111</x:v>
      </x:c>
      <x:c r="N197" s="34" t="str">
        <x:v>no</x:v>
      </x:c>
    </x:row>
    <x:row r="198">
      <x:c r="A198" s="34" t="n">
        <x:v>20</x:v>
      </x:c>
      <x:c r="B198" s="34" t="str">
        <x:f>IF('01_INPUT_COMPANIES'!$A$26="","",'01_INPUT_COMPANIES'!$A$26)</x:f>
      </x:c>
      <x:c r="C198" s="34" t="str">
        <x:f>IF(B198="","",'01_INPUT_COMPANIES'!$B$26)</x:f>
      </x:c>
      <x:c r="D198" s="34" t="str">
        <x:v>infra_dependency_ratio</x:v>
      </x:c>
      <x:c r="E198" s="42" t="str">
        <x:f>IF(OR(B198="",COUNT('01_INPUT_COMPANIES'!$U$26)=0),"",'01_INPUT_COMPANIES'!$U$26)</x:f>
      </x:c>
      <x:c r="F198" s="42" t="n">
        <x:v>1</x:v>
      </x:c>
      <x:c r="G198" s="42" t="str">
        <x:f>IF(NOT(ISNUMBER(E198)),"",MAX(K198,MIN(L198,E198*F198)))</x:f>
      </x:c>
      <x:c r="H198" s="42" t="n">
        <x:v>64</x:v>
      </x:c>
      <x:c r="I198" s="42" t="str">
        <x:f>IF(COUNT(G198)=0,"",(COUNTIFS('93_REF_ANCHORS'!$A$7:$A$766,D198,'93_REF_ANCHORS'!$C$7:$C$766,"&lt;"&amp;G198)+COUNTIFS('93_REF_ANCHORS'!$A$7:$A$766,D198,'93_REF_ANCHORS'!$C$7:$C$766,"&lt;="&amp;G198)-1)/(2*(H198-1)))</x:f>
      </x:c>
      <x:c r="J198" s="34" t="str">
        <x:f>IF(B198="","",IF(COUNT(E198)=0,"MISSING",IF(NOT(ISNUMBER(E198)),"INVALID",IF(E198*F198&lt;K198,"WINSORIZED LOW",IF(E198*F198&gt;L198,"WINSORIZED HIGH","OK")))))</x:f>
      </x:c>
      <x:c r="K198" s="34" t="n">
        <x:v>-0.10705024705171803</x:v>
      </x:c>
      <x:c r="L198" s="34" t="n">
        <x:v>0.8008753865408955</x:v>
      </x:c>
      <x:c r="M198" s="34" t="n">
        <x:v>0.1111111111111111</x:v>
      </x:c>
      <x:c r="N198" s="34" t="str">
        <x:v>no</x:v>
      </x:c>
    </x:row>
    <x:row r="199">
      <x:c r="A199" s="34" t="n">
        <x:v>20</x:v>
      </x:c>
      <x:c r="B199" s="34" t="str">
        <x:f>IF('01_INPUT_COMPANIES'!$A$26="","",'01_INPUT_COMPANIES'!$A$26)</x:f>
      </x:c>
      <x:c r="C199" s="34" t="str">
        <x:f>IF(B199="","",'01_INPUT_COMPANIES'!$B$26)</x:f>
      </x:c>
      <x:c r="D199" s="34" t="str">
        <x:v>network_cost_ratio</x:v>
      </x:c>
      <x:c r="E199" s="42" t="str">
        <x:f>IF(OR(B199="",COUNT('01_INPUT_COMPANIES'!$V$26)=0),"",'01_INPUT_COMPANIES'!$V$26)</x:f>
      </x:c>
      <x:c r="F199" s="42" t="n">
        <x:v>1</x:v>
      </x:c>
      <x:c r="G199" s="42" t="str">
        <x:f>IF(NOT(ISNUMBER(E199)),"",MAX(K199,MIN(L199,E199*F199)))</x:f>
      </x:c>
      <x:c r="H199" s="42" t="n">
        <x:v>97</x:v>
      </x:c>
      <x:c r="I199" s="42" t="str">
        <x:f>IF(COUNT(G199)=0,"",(COUNTIFS('93_REF_ANCHORS'!$A$7:$A$766,D199,'93_REF_ANCHORS'!$C$7:$C$766,"&lt;"&amp;G199)+COUNTIFS('93_REF_ANCHORS'!$A$7:$A$766,D199,'93_REF_ANCHORS'!$C$7:$C$766,"&lt;="&amp;G199)-1)/(2*(H199-1)))</x:f>
      </x:c>
      <x:c r="J199" s="34" t="str">
        <x:f>IF(B199="","",IF(COUNT(E199)=0,"MISSING",IF(NOT(ISNUMBER(E199)),"INVALID",IF(E199*F199&lt;K199,"WINSORIZED LOW",IF(E199*F199&gt;L199,"WINSORIZED HIGH","OK")))))</x:f>
      </x:c>
      <x:c r="K199" s="34" t="n">
        <x:v>-0.1395374353</x:v>
      </x:c>
      <x:c r="L199" s="34" t="n">
        <x:v>0.9274274845000001</x:v>
      </x:c>
      <x:c r="M199" s="34" t="n">
        <x:v>0.1111111111111111</x:v>
      </x:c>
      <x:c r="N199" s="34" t="str">
        <x:v>no</x:v>
      </x:c>
    </x:row>
    <x:row r="200">
      <x:c r="A200" s="34" t="n">
        <x:v>20</x:v>
      </x:c>
      <x:c r="B200" s="34" t="str">
        <x:f>IF('01_INPUT_COMPANIES'!$A$26="","",'01_INPUT_COMPANIES'!$A$26)</x:f>
      </x:c>
      <x:c r="C200" s="34" t="str">
        <x:f>IF(B200="","",'01_INPUT_COMPANIES'!$B$26)</x:f>
      </x:c>
      <x:c r="D200" s="34" t="str">
        <x:v>cashflow_recovery_ratio</x:v>
      </x:c>
      <x:c r="E200" s="42" t="str">
        <x:f>IF(OR(B200="",COUNT('01_INPUT_COMPANIES'!$W$26)=0),"",'01_INPUT_COMPANIES'!$W$26)</x:f>
      </x:c>
      <x:c r="F200" s="42" t="n">
        <x:v>-1</x:v>
      </x:c>
      <x:c r="G200" s="42" t="str">
        <x:f>IF(NOT(ISNUMBER(E200)),"",MAX(K200,MIN(L200,E200*F200)))</x:f>
      </x:c>
      <x:c r="H200" s="42" t="n">
        <x:v>95</x:v>
      </x:c>
      <x:c r="I200" s="42" t="str">
        <x:f>IF(COUNT(G200)=0,"",(COUNTIFS('93_REF_ANCHORS'!$A$7:$A$766,D200,'93_REF_ANCHORS'!$C$7:$C$766,"&lt;"&amp;G200)+COUNTIFS('93_REF_ANCHORS'!$A$7:$A$766,D200,'93_REF_ANCHORS'!$C$7:$C$766,"&lt;="&amp;G200)-1)/(2*(H200-1)))</x:f>
      </x:c>
      <x:c r="J200" s="34" t="str">
        <x:f>IF(B200="","",IF(COUNT(E200)=0,"MISSING",IF(NOT(ISNUMBER(E200)),"INVALID",IF(E200*F200&lt;K200,"WINSORIZED LOW",IF(E200*F200&gt;L200,"WINSORIZED HIGH","OK")))))</x:f>
      </x:c>
      <x:c r="K200" s="34" t="n">
        <x:v>-300.75</x:v>
      </x:c>
      <x:c r="L200" s="34" t="n">
        <x:v>42.6920305469</x:v>
      </x:c>
      <x:c r="M200" s="34" t="n">
        <x:v>0.08333333333333333</x:v>
      </x:c>
      <x:c r="N200" s="34" t="str">
        <x:v>no</x:v>
      </x:c>
    </x:row>
    <x:row r="201">
      <x:c r="A201" s="34" t="n">
        <x:v>20</x:v>
      </x:c>
      <x:c r="B201" s="34" t="str">
        <x:f>IF('01_INPUT_COMPANIES'!$A$26="","",'01_INPUT_COMPANIES'!$A$26)</x:f>
      </x:c>
      <x:c r="C201" s="34" t="str">
        <x:f>IF(B201="","",'01_INPUT_COMPANIES'!$B$26)</x:f>
      </x:c>
      <x:c r="D201" s="34" t="str">
        <x:v>funding_cost_spread</x:v>
      </x:c>
      <x:c r="E201" s="42" t="str">
        <x:f>IF(OR(B201="",COUNT('01_INPUT_COMPANIES'!$X$26)=0),"",'01_INPUT_COMPANIES'!$X$26)</x:f>
      </x:c>
      <x:c r="F201" s="42" t="n">
        <x:v>1</x:v>
      </x:c>
      <x:c r="G201" s="42" t="str">
        <x:f>IF(NOT(ISNUMBER(E201)),"",MAX(K201,MIN(L201,E201*F201)))</x:f>
      </x:c>
      <x:c r="H201" s="42" t="n">
        <x:v>58</x:v>
      </x:c>
      <x:c r="I201" s="42" t="str">
        <x:f>IF(COUNT(G201)=0,"",(COUNTIFS('93_REF_ANCHORS'!$A$7:$A$766,D201,'93_REF_ANCHORS'!$C$7:$C$766,"&lt;"&amp;G201)+COUNTIFS('93_REF_ANCHORS'!$A$7:$A$766,D201,'93_REF_ANCHORS'!$C$7:$C$766,"&lt;="&amp;G201)-1)/(2*(H201-1)))</x:f>
      </x:c>
      <x:c r="J201" s="34" t="str">
        <x:f>IF(B201="","",IF(COUNT(E201)=0,"MISSING",IF(NOT(ISNUMBER(E201)),"INVALID",IF(E201*F201&lt;K201,"WINSORIZED LOW",IF(E201*F201&gt;L201,"WINSORIZED HIGH","OK")))))</x:f>
      </x:c>
      <x:c r="K201" s="34" t="n">
        <x:v>-0.4430292903</x:v>
      </x:c>
      <x:c r="L201" s="34" t="n">
        <x:v>0.5068913103</x:v>
      </x:c>
      <x:c r="M201" s="34" t="n">
        <x:v>0.08333333333333333</x:v>
      </x:c>
      <x:c r="N201" s="34" t="str">
        <x:v>no</x:v>
      </x:c>
    </x:row>
    <x:row r="202">
      <x:c r="A202" s="34" t="n">
        <x:v>20</x:v>
      </x:c>
      <x:c r="B202" s="34" t="str">
        <x:f>IF('01_INPUT_COMPANIES'!$A$26="","",'01_INPUT_COMPANIES'!$A$26)</x:f>
      </x:c>
      <x:c r="C202" s="34" t="str">
        <x:f>IF(B202="","",'01_INPUT_COMPANIES'!$B$26)</x:f>
      </x:c>
      <x:c r="D202" s="34" t="str">
        <x:v>investment_recovery_ratio</x:v>
      </x:c>
      <x:c r="E202" s="42" t="str">
        <x:f>IF(OR(B202="",COUNT('01_INPUT_COMPANIES'!$Y$26)=0),"",'01_INPUT_COMPANIES'!$Y$26)</x:f>
      </x:c>
      <x:c r="F202" s="42" t="n">
        <x:v>-1</x:v>
      </x:c>
      <x:c r="G202" s="42" t="str">
        <x:f>IF(NOT(ISNUMBER(E202)),"",MAX(K202,MIN(L202,E202*F202)))</x:f>
      </x:c>
      <x:c r="H202" s="42" t="n">
        <x:v>95</x:v>
      </x:c>
      <x:c r="I202" s="42" t="str">
        <x:f>IF(COUNT(G202)=0,"",(COUNTIFS('93_REF_ANCHORS'!$A$7:$A$766,D202,'93_REF_ANCHORS'!$C$7:$C$766,"&lt;"&amp;G202)+COUNTIFS('93_REF_ANCHORS'!$A$7:$A$766,D202,'93_REF_ANCHORS'!$C$7:$C$766,"&lt;="&amp;G202)-1)/(2*(H202-1)))</x:f>
      </x:c>
      <x:c r="J202" s="34" t="str">
        <x:f>IF(B202="","",IF(COUNT(E202)=0,"MISSING",IF(NOT(ISNUMBER(E202)),"INVALID",IF(E202*F202&lt;K202,"WINSORIZED LOW",IF(E202*F202&gt;L202,"WINSORIZED HIGH","OK")))))</x:f>
      </x:c>
      <x:c r="K202" s="34" t="n">
        <x:v>-3163.7500000000014</x:v>
      </x:c>
      <x:c r="L202" s="34" t="n">
        <x:v>189.68191301719997</x:v>
      </x:c>
      <x:c r="M202" s="34" t="n">
        <x:v>0.08333333333333333</x:v>
      </x:c>
      <x:c r="N202" s="34" t="str">
        <x:v>no</x:v>
      </x:c>
    </x:row>
    <x:row r="203">
      <x:c r="A203" s="34" t="n">
        <x:v>20</x:v>
      </x:c>
      <x:c r="B203" s="34" t="str">
        <x:f>IF('01_INPUT_COMPANIES'!$A$26="","",'01_INPUT_COMPANIES'!$A$26)</x:f>
      </x:c>
      <x:c r="C203" s="34" t="str">
        <x:f>IF(B203="","",'01_INPUT_COMPANIES'!$B$26)</x:f>
      </x:c>
      <x:c r="D203" s="34" t="str">
        <x:v>ip_assetization_gap</x:v>
      </x:c>
      <x:c r="E203" s="42" t="str">
        <x:f>IF(OR(B203="",COUNT('01_INPUT_COMPANIES'!$Z$26)=0),"",'01_INPUT_COMPANIES'!$Z$26)</x:f>
      </x:c>
      <x:c r="F203" s="42" t="n">
        <x:v>1</x:v>
      </x:c>
      <x:c r="G203" s="42" t="str">
        <x:f>IF(NOT(ISNUMBER(E203)),"",MAX(K203,MIN(L203,E203*F203)))</x:f>
      </x:c>
      <x:c r="H203" s="42" t="n">
        <x:v>92</x:v>
      </x:c>
      <x:c r="I203" s="42" t="str">
        <x:f>IF(COUNT(G203)=0,"",(COUNTIFS('93_REF_ANCHORS'!$A$7:$A$766,D203,'93_REF_ANCHORS'!$C$7:$C$766,"&lt;"&amp;G203)+COUNTIFS('93_REF_ANCHORS'!$A$7:$A$766,D203,'93_REF_ANCHORS'!$C$7:$C$766,"&lt;="&amp;G203)-1)/(2*(H203-1)))</x:f>
      </x:c>
      <x:c r="J203" s="34" t="str">
        <x:f>IF(B203="","",IF(COUNT(E203)=0,"MISSING",IF(NOT(ISNUMBER(E203)),"INVALID",IF(E203*F203&lt;K203,"WINSORIZED LOW",IF(E203*F203&gt;L203,"WINSORIZED HIGH","OK")))))</x:f>
      </x:c>
      <x:c r="K203" s="34" t="n">
        <x:v>-1.6707152386</x:v>
      </x:c>
      <x:c r="L203" s="34" t="n">
        <x:v>0.7716332556000001</x:v>
      </x:c>
      <x:c r="M203" s="34" t="n">
        <x:v>0.08333333333333333</x:v>
      </x:c>
      <x:c r="N203" s="34" t="str">
        <x:v>no</x:v>
      </x:c>
    </x:row>
    <x:row r="204">
      <x:c r="A204" s="34" t="n">
        <x:v>20</x:v>
      </x:c>
      <x:c r="B204" s="34" t="str">
        <x:f>IF('01_INPUT_COMPANIES'!$A$26="","",'01_INPUT_COMPANIES'!$A$26)</x:f>
      </x:c>
      <x:c r="C204" s="34" t="str">
        <x:f>IF(B204="","",'01_INPUT_COMPANIES'!$B$26)</x:f>
      </x:c>
      <x:c r="D204" s="34" t="str">
        <x:v>cross_market_transfer_index</x:v>
      </x:c>
      <x:c r="E204" s="42" t="str">
        <x:f>IF(OR(B204="",COUNT('01_INPUT_COMPANIES'!$AA$26)=0),"",'01_INPUT_COMPANIES'!$AA$26)</x:f>
      </x:c>
      <x:c r="F204" s="42" t="n">
        <x:v>1</x:v>
      </x:c>
      <x:c r="G204" s="42" t="str">
        <x:f>IF(NOT(ISNUMBER(E204)),"",MAX(K204,MIN(L204,E204*F204)))</x:f>
      </x:c>
      <x:c r="H204" s="42" t="n">
        <x:v>4</x:v>
      </x:c>
      <x:c r="I204" s="42" t="str">
        <x:f>IF(COUNT(G204)=0,"",(COUNTIFS('93_REF_ANCHORS'!$A$7:$A$766,D204,'93_REF_ANCHORS'!$C$7:$C$766,"&lt;"&amp;G204)+COUNTIFS('93_REF_ANCHORS'!$A$7:$A$766,D204,'93_REF_ANCHORS'!$C$7:$C$766,"&lt;="&amp;G204)-1)/(2*(H204-1)))</x:f>
      </x:c>
      <x:c r="J204" s="34" t="str">
        <x:f>IF(B204="","",IF(COUNT(E204)=0,"MISSING",IF(NOT(ISNUMBER(E204)),"INVALID",IF(E204*F204&lt;K204,"WINSORIZED LOW",IF(E204*F204&gt;L204,"WINSORIZED HIGH","OK")))))</x:f>
      </x:c>
      <x:c r="K204" s="34" t="n">
        <x:v>0</x:v>
      </x:c>
      <x:c r="L204" s="34" t="n">
        <x:v>0.7587051325360435</x:v>
      </x:c>
      <x:c r="M204" s="34" t="n">
        <x:v>0.1111111111111111</x:v>
      </x:c>
      <x:c r="N204" s="34" t="str">
        <x:v>yes</x:v>
      </x:c>
    </x:row>
    <x:row r="205">
      <x:c r="A205" s="34" t="n">
        <x:v>20</x:v>
      </x:c>
      <x:c r="B205" s="34" t="str">
        <x:f>IF('01_INPUT_COMPANIES'!$A$26="","",'01_INPUT_COMPANIES'!$A$26)</x:f>
      </x:c>
      <x:c r="C205" s="34" t="str">
        <x:f>IF(B205="","",'01_INPUT_COMPANIES'!$B$26)</x:f>
      </x:c>
      <x:c r="D205" s="34" t="str">
        <x:v>foreign_dependency_ratio</x:v>
      </x:c>
      <x:c r="E205" s="42" t="str">
        <x:f>IF(OR(B205="",COUNT('01_INPUT_COMPANIES'!$AB$26)=0),"",'01_INPUT_COMPANIES'!$AB$26)</x:f>
      </x:c>
      <x:c r="F205" s="42" t="n">
        <x:v>1</x:v>
      </x:c>
      <x:c r="G205" s="42" t="str">
        <x:f>IF(NOT(ISNUMBER(E205)),"",MAX(K205,MIN(L205,E205*F205)))</x:f>
      </x:c>
      <x:c r="H205" s="42" t="n">
        <x:v>84</x:v>
      </x:c>
      <x:c r="I205" s="42" t="str">
        <x:f>IF(COUNT(G205)=0,"",(COUNTIFS('93_REF_ANCHORS'!$A$7:$A$766,D205,'93_REF_ANCHORS'!$C$7:$C$766,"&lt;"&amp;G205)+COUNTIFS('93_REF_ANCHORS'!$A$7:$A$766,D205,'93_REF_ANCHORS'!$C$7:$C$766,"&lt;="&amp;G205)-1)/(2*(H205-1)))</x:f>
      </x:c>
      <x:c r="J205" s="34" t="str">
        <x:f>IF(B205="","",IF(COUNT(E205)=0,"MISSING",IF(NOT(ISNUMBER(E205)),"INVALID",IF(E205*F205&lt;K205,"WINSORIZED LOW",IF(E205*F205&gt;L205,"WINSORIZED HIGH","OK")))))</x:f>
      </x:c>
      <x:c r="K205" s="34" t="n">
        <x:v>0.728196</x:v>
      </x:c>
      <x:c r="L205" s="34" t="n">
        <x:v>0.94</x:v>
      </x:c>
      <x:c r="M205" s="34" t="n">
        <x:v>0.1111111111111111</x:v>
      </x:c>
      <x:c r="N205" s="34" t="str">
        <x:v>yes</x:v>
      </x:c>
    </x:row>
    <x:row r="206">
      <x:c r="A206" s="34" t="n">
        <x:v>20</x:v>
      </x:c>
      <x:c r="B206" s="34" t="str">
        <x:f>IF('01_INPUT_COMPANIES'!$A$26="","",'01_INPUT_COMPANIES'!$A$26)</x:f>
      </x:c>
      <x:c r="C206" s="34" t="str">
        <x:f>IF(B206="","",'01_INPUT_COMPANIES'!$B$26)</x:f>
      </x:c>
      <x:c r="D206" s="34" t="str">
        <x:v>outflow_to_capex_ratio</x:v>
      </x:c>
      <x:c r="E206" s="42" t="str">
        <x:f>IF(OR(B206="",COUNT('01_INPUT_COMPANIES'!$AC$26)=0),"",'01_INPUT_COMPANIES'!$AC$26)</x:f>
      </x:c>
      <x:c r="F206" s="42" t="n">
        <x:v>1</x:v>
      </x:c>
      <x:c r="G206" s="42" t="str">
        <x:f>IF(NOT(ISNUMBER(E206)),"",MAX(K206,MIN(L206,E206*F206)))</x:f>
      </x:c>
      <x:c r="H206" s="42" t="n">
        <x:v>97</x:v>
      </x:c>
      <x:c r="I206" s="42" t="str">
        <x:f>IF(COUNT(G206)=0,"",(COUNTIFS('93_REF_ANCHORS'!$A$7:$A$766,D206,'93_REF_ANCHORS'!$C$7:$C$766,"&lt;"&amp;G206)+COUNTIFS('93_REF_ANCHORS'!$A$7:$A$766,D206,'93_REF_ANCHORS'!$C$7:$C$766,"&lt;="&amp;G206)-1)/(2*(H206-1)))</x:f>
      </x:c>
      <x:c r="J206" s="34" t="str">
        <x:f>IF(B206="","",IF(COUNT(E206)=0,"MISSING",IF(NOT(ISNUMBER(E206)),"INVALID",IF(E206*F206&lt;K206,"WINSORIZED LOW",IF(E206*F206&gt;L206,"WINSORIZED HIGH","OK")))))</x:f>
      </x:c>
      <x:c r="K206" s="34" t="n">
        <x:v>-123.5385890408</x:v>
      </x:c>
      <x:c r="L206" s="34" t="n">
        <x:v>974.1666666666999</x:v>
      </x:c>
      <x:c r="M206" s="34" t="n">
        <x:v>0.1111111111111111</x:v>
      </x:c>
      <x:c r="N206" s="34" t="str">
        <x:v>no</x:v>
      </x:c>
    </x:row>
    <x:row r="207">
      <x:c r="A207" s="34" t="n">
        <x:v>21</x:v>
      </x:c>
      <x:c r="B207" s="34" t="str">
        <x:f>IF('01_INPUT_COMPANIES'!$A$27="","",'01_INPUT_COMPANIES'!$A$27)</x:f>
      </x:c>
      <x:c r="C207" s="34" t="str">
        <x:f>IF(B207="","",'01_INPUT_COMPANIES'!$B$27)</x:f>
      </x:c>
      <x:c r="D207" s="34" t="str">
        <x:v>effective_tax_rate_gap</x:v>
      </x:c>
      <x:c r="E207" s="42" t="str">
        <x:f>IF(OR(B207="",COUNT('01_INPUT_COMPANIES'!$T$27)=0),"",'01_INPUT_COMPANIES'!$T$27)</x:f>
      </x:c>
      <x:c r="F207" s="42" t="n">
        <x:v>1</x:v>
      </x:c>
      <x:c r="G207" s="42" t="str">
        <x:f>IF(NOT(ISNUMBER(E207)),"",MAX(K207,MIN(L207,E207*F207)))</x:f>
      </x:c>
      <x:c r="H207" s="42" t="n">
        <x:v>74</x:v>
      </x:c>
      <x:c r="I207" s="42" t="str">
        <x:f>IF(COUNT(G207)=0,"",(COUNTIFS('93_REF_ANCHORS'!$A$7:$A$766,D207,'93_REF_ANCHORS'!$C$7:$C$766,"&lt;"&amp;G207)+COUNTIFS('93_REF_ANCHORS'!$A$7:$A$766,D207,'93_REF_ANCHORS'!$C$7:$C$766,"&lt;="&amp;G207)-1)/(2*(H207-1)))</x:f>
      </x:c>
      <x:c r="J207" s="34" t="str">
        <x:f>IF(B207="","",IF(COUNT(E207)=0,"MISSING",IF(NOT(ISNUMBER(E207)),"INVALID",IF(E207*F207&lt;K207,"WINSORIZED LOW",IF(E207*F207&gt;L207,"WINSORIZED HIGH","OK")))))</x:f>
      </x:c>
      <x:c r="K207" s="34" t="n">
        <x:v>-0.1416111014</x:v>
      </x:c>
      <x:c r="L207" s="34" t="n">
        <x:v>0.2683650488</x:v>
      </x:c>
      <x:c r="M207" s="34" t="n">
        <x:v>0.1111111111111111</x:v>
      </x:c>
      <x:c r="N207" s="34" t="str">
        <x:v>no</x:v>
      </x:c>
    </x:row>
    <x:row r="208">
      <x:c r="A208" s="34" t="n">
        <x:v>21</x:v>
      </x:c>
      <x:c r="B208" s="34" t="str">
        <x:f>IF('01_INPUT_COMPANIES'!$A$27="","",'01_INPUT_COMPANIES'!$A$27)</x:f>
      </x:c>
      <x:c r="C208" s="34" t="str">
        <x:f>IF(B208="","",'01_INPUT_COMPANIES'!$B$27)</x:f>
      </x:c>
      <x:c r="D208" s="34" t="str">
        <x:v>infra_dependency_ratio</x:v>
      </x:c>
      <x:c r="E208" s="42" t="str">
        <x:f>IF(OR(B208="",COUNT('01_INPUT_COMPANIES'!$U$27)=0),"",'01_INPUT_COMPANIES'!$U$27)</x:f>
      </x:c>
      <x:c r="F208" s="42" t="n">
        <x:v>1</x:v>
      </x:c>
      <x:c r="G208" s="42" t="str">
        <x:f>IF(NOT(ISNUMBER(E208)),"",MAX(K208,MIN(L208,E208*F208)))</x:f>
      </x:c>
      <x:c r="H208" s="42" t="n">
        <x:v>64</x:v>
      </x:c>
      <x:c r="I208" s="42" t="str">
        <x:f>IF(COUNT(G208)=0,"",(COUNTIFS('93_REF_ANCHORS'!$A$7:$A$766,D208,'93_REF_ANCHORS'!$C$7:$C$766,"&lt;"&amp;G208)+COUNTIFS('93_REF_ANCHORS'!$A$7:$A$766,D208,'93_REF_ANCHORS'!$C$7:$C$766,"&lt;="&amp;G208)-1)/(2*(H208-1)))</x:f>
      </x:c>
      <x:c r="J208" s="34" t="str">
        <x:f>IF(B208="","",IF(COUNT(E208)=0,"MISSING",IF(NOT(ISNUMBER(E208)),"INVALID",IF(E208*F208&lt;K208,"WINSORIZED LOW",IF(E208*F208&gt;L208,"WINSORIZED HIGH","OK")))))</x:f>
      </x:c>
      <x:c r="K208" s="34" t="n">
        <x:v>-0.10705024705171803</x:v>
      </x:c>
      <x:c r="L208" s="34" t="n">
        <x:v>0.8008753865408955</x:v>
      </x:c>
      <x:c r="M208" s="34" t="n">
        <x:v>0.1111111111111111</x:v>
      </x:c>
      <x:c r="N208" s="34" t="str">
        <x:v>no</x:v>
      </x:c>
    </x:row>
    <x:row r="209">
      <x:c r="A209" s="34" t="n">
        <x:v>21</x:v>
      </x:c>
      <x:c r="B209" s="34" t="str">
        <x:f>IF('01_INPUT_COMPANIES'!$A$27="","",'01_INPUT_COMPANIES'!$A$27)</x:f>
      </x:c>
      <x:c r="C209" s="34" t="str">
        <x:f>IF(B209="","",'01_INPUT_COMPANIES'!$B$27)</x:f>
      </x:c>
      <x:c r="D209" s="34" t="str">
        <x:v>network_cost_ratio</x:v>
      </x:c>
      <x:c r="E209" s="42" t="str">
        <x:f>IF(OR(B209="",COUNT('01_INPUT_COMPANIES'!$V$27)=0),"",'01_INPUT_COMPANIES'!$V$27)</x:f>
      </x:c>
      <x:c r="F209" s="42" t="n">
        <x:v>1</x:v>
      </x:c>
      <x:c r="G209" s="42" t="str">
        <x:f>IF(NOT(ISNUMBER(E209)),"",MAX(K209,MIN(L209,E209*F209)))</x:f>
      </x:c>
      <x:c r="H209" s="42" t="n">
        <x:v>97</x:v>
      </x:c>
      <x:c r="I209" s="42" t="str">
        <x:f>IF(COUNT(G209)=0,"",(COUNTIFS('93_REF_ANCHORS'!$A$7:$A$766,D209,'93_REF_ANCHORS'!$C$7:$C$766,"&lt;"&amp;G209)+COUNTIFS('93_REF_ANCHORS'!$A$7:$A$766,D209,'93_REF_ANCHORS'!$C$7:$C$766,"&lt;="&amp;G209)-1)/(2*(H209-1)))</x:f>
      </x:c>
      <x:c r="J209" s="34" t="str">
        <x:f>IF(B209="","",IF(COUNT(E209)=0,"MISSING",IF(NOT(ISNUMBER(E209)),"INVALID",IF(E209*F209&lt;K209,"WINSORIZED LOW",IF(E209*F209&gt;L209,"WINSORIZED HIGH","OK")))))</x:f>
      </x:c>
      <x:c r="K209" s="34" t="n">
        <x:v>-0.1395374353</x:v>
      </x:c>
      <x:c r="L209" s="34" t="n">
        <x:v>0.9274274845000001</x:v>
      </x:c>
      <x:c r="M209" s="34" t="n">
        <x:v>0.1111111111111111</x:v>
      </x:c>
      <x:c r="N209" s="34" t="str">
        <x:v>no</x:v>
      </x:c>
    </x:row>
    <x:row r="210">
      <x:c r="A210" s="34" t="n">
        <x:v>21</x:v>
      </x:c>
      <x:c r="B210" s="34" t="str">
        <x:f>IF('01_INPUT_COMPANIES'!$A$27="","",'01_INPUT_COMPANIES'!$A$27)</x:f>
      </x:c>
      <x:c r="C210" s="34" t="str">
        <x:f>IF(B210="","",'01_INPUT_COMPANIES'!$B$27)</x:f>
      </x:c>
      <x:c r="D210" s="34" t="str">
        <x:v>cashflow_recovery_ratio</x:v>
      </x:c>
      <x:c r="E210" s="42" t="str">
        <x:f>IF(OR(B210="",COUNT('01_INPUT_COMPANIES'!$W$27)=0),"",'01_INPUT_COMPANIES'!$W$27)</x:f>
      </x:c>
      <x:c r="F210" s="42" t="n">
        <x:v>-1</x:v>
      </x:c>
      <x:c r="G210" s="42" t="str">
        <x:f>IF(NOT(ISNUMBER(E210)),"",MAX(K210,MIN(L210,E210*F210)))</x:f>
      </x:c>
      <x:c r="H210" s="42" t="n">
        <x:v>95</x:v>
      </x:c>
      <x:c r="I210" s="42" t="str">
        <x:f>IF(COUNT(G210)=0,"",(COUNTIFS('93_REF_ANCHORS'!$A$7:$A$766,D210,'93_REF_ANCHORS'!$C$7:$C$766,"&lt;"&amp;G210)+COUNTIFS('93_REF_ANCHORS'!$A$7:$A$766,D210,'93_REF_ANCHORS'!$C$7:$C$766,"&lt;="&amp;G210)-1)/(2*(H210-1)))</x:f>
      </x:c>
      <x:c r="J210" s="34" t="str">
        <x:f>IF(B210="","",IF(COUNT(E210)=0,"MISSING",IF(NOT(ISNUMBER(E210)),"INVALID",IF(E210*F210&lt;K210,"WINSORIZED LOW",IF(E210*F210&gt;L210,"WINSORIZED HIGH","OK")))))</x:f>
      </x:c>
      <x:c r="K210" s="34" t="n">
        <x:v>-300.75</x:v>
      </x:c>
      <x:c r="L210" s="34" t="n">
        <x:v>42.6920305469</x:v>
      </x:c>
      <x:c r="M210" s="34" t="n">
        <x:v>0.08333333333333333</x:v>
      </x:c>
      <x:c r="N210" s="34" t="str">
        <x:v>no</x:v>
      </x:c>
    </x:row>
    <x:row r="211">
      <x:c r="A211" s="34" t="n">
        <x:v>21</x:v>
      </x:c>
      <x:c r="B211" s="34" t="str">
        <x:f>IF('01_INPUT_COMPANIES'!$A$27="","",'01_INPUT_COMPANIES'!$A$27)</x:f>
      </x:c>
      <x:c r="C211" s="34" t="str">
        <x:f>IF(B211="","",'01_INPUT_COMPANIES'!$B$27)</x:f>
      </x:c>
      <x:c r="D211" s="34" t="str">
        <x:v>funding_cost_spread</x:v>
      </x:c>
      <x:c r="E211" s="42" t="str">
        <x:f>IF(OR(B211="",COUNT('01_INPUT_COMPANIES'!$X$27)=0),"",'01_INPUT_COMPANIES'!$X$27)</x:f>
      </x:c>
      <x:c r="F211" s="42" t="n">
        <x:v>1</x:v>
      </x:c>
      <x:c r="G211" s="42" t="str">
        <x:f>IF(NOT(ISNUMBER(E211)),"",MAX(K211,MIN(L211,E211*F211)))</x:f>
      </x:c>
      <x:c r="H211" s="42" t="n">
        <x:v>58</x:v>
      </x:c>
      <x:c r="I211" s="42" t="str">
        <x:f>IF(COUNT(G211)=0,"",(COUNTIFS('93_REF_ANCHORS'!$A$7:$A$766,D211,'93_REF_ANCHORS'!$C$7:$C$766,"&lt;"&amp;G211)+COUNTIFS('93_REF_ANCHORS'!$A$7:$A$766,D211,'93_REF_ANCHORS'!$C$7:$C$766,"&lt;="&amp;G211)-1)/(2*(H211-1)))</x:f>
      </x:c>
      <x:c r="J211" s="34" t="str">
        <x:f>IF(B211="","",IF(COUNT(E211)=0,"MISSING",IF(NOT(ISNUMBER(E211)),"INVALID",IF(E211*F211&lt;K211,"WINSORIZED LOW",IF(E211*F211&gt;L211,"WINSORIZED HIGH","OK")))))</x:f>
      </x:c>
      <x:c r="K211" s="34" t="n">
        <x:v>-0.4430292903</x:v>
      </x:c>
      <x:c r="L211" s="34" t="n">
        <x:v>0.5068913103</x:v>
      </x:c>
      <x:c r="M211" s="34" t="n">
        <x:v>0.08333333333333333</x:v>
      </x:c>
      <x:c r="N211" s="34" t="str">
        <x:v>no</x:v>
      </x:c>
    </x:row>
    <x:row r="212">
      <x:c r="A212" s="34" t="n">
        <x:v>21</x:v>
      </x:c>
      <x:c r="B212" s="34" t="str">
        <x:f>IF('01_INPUT_COMPANIES'!$A$27="","",'01_INPUT_COMPANIES'!$A$27)</x:f>
      </x:c>
      <x:c r="C212" s="34" t="str">
        <x:f>IF(B212="","",'01_INPUT_COMPANIES'!$B$27)</x:f>
      </x:c>
      <x:c r="D212" s="34" t="str">
        <x:v>investment_recovery_ratio</x:v>
      </x:c>
      <x:c r="E212" s="42" t="str">
        <x:f>IF(OR(B212="",COUNT('01_INPUT_COMPANIES'!$Y$27)=0),"",'01_INPUT_COMPANIES'!$Y$27)</x:f>
      </x:c>
      <x:c r="F212" s="42" t="n">
        <x:v>-1</x:v>
      </x:c>
      <x:c r="G212" s="42" t="str">
        <x:f>IF(NOT(ISNUMBER(E212)),"",MAX(K212,MIN(L212,E212*F212)))</x:f>
      </x:c>
      <x:c r="H212" s="42" t="n">
        <x:v>95</x:v>
      </x:c>
      <x:c r="I212" s="42" t="str">
        <x:f>IF(COUNT(G212)=0,"",(COUNTIFS('93_REF_ANCHORS'!$A$7:$A$766,D212,'93_REF_ANCHORS'!$C$7:$C$766,"&lt;"&amp;G212)+COUNTIFS('93_REF_ANCHORS'!$A$7:$A$766,D212,'93_REF_ANCHORS'!$C$7:$C$766,"&lt;="&amp;G212)-1)/(2*(H212-1)))</x:f>
      </x:c>
      <x:c r="J212" s="34" t="str">
        <x:f>IF(B212="","",IF(COUNT(E212)=0,"MISSING",IF(NOT(ISNUMBER(E212)),"INVALID",IF(E212*F212&lt;K212,"WINSORIZED LOW",IF(E212*F212&gt;L212,"WINSORIZED HIGH","OK")))))</x:f>
      </x:c>
      <x:c r="K212" s="34" t="n">
        <x:v>-3163.7500000000014</x:v>
      </x:c>
      <x:c r="L212" s="34" t="n">
        <x:v>189.68191301719997</x:v>
      </x:c>
      <x:c r="M212" s="34" t="n">
        <x:v>0.08333333333333333</x:v>
      </x:c>
      <x:c r="N212" s="34" t="str">
        <x:v>no</x:v>
      </x:c>
    </x:row>
    <x:row r="213">
      <x:c r="A213" s="34" t="n">
        <x:v>21</x:v>
      </x:c>
      <x:c r="B213" s="34" t="str">
        <x:f>IF('01_INPUT_COMPANIES'!$A$27="","",'01_INPUT_COMPANIES'!$A$27)</x:f>
      </x:c>
      <x:c r="C213" s="34" t="str">
        <x:f>IF(B213="","",'01_INPUT_COMPANIES'!$B$27)</x:f>
      </x:c>
      <x:c r="D213" s="34" t="str">
        <x:v>ip_assetization_gap</x:v>
      </x:c>
      <x:c r="E213" s="42" t="str">
        <x:f>IF(OR(B213="",COUNT('01_INPUT_COMPANIES'!$Z$27)=0),"",'01_INPUT_COMPANIES'!$Z$27)</x:f>
      </x:c>
      <x:c r="F213" s="42" t="n">
        <x:v>1</x:v>
      </x:c>
      <x:c r="G213" s="42" t="str">
        <x:f>IF(NOT(ISNUMBER(E213)),"",MAX(K213,MIN(L213,E213*F213)))</x:f>
      </x:c>
      <x:c r="H213" s="42" t="n">
        <x:v>92</x:v>
      </x:c>
      <x:c r="I213" s="42" t="str">
        <x:f>IF(COUNT(G213)=0,"",(COUNTIFS('93_REF_ANCHORS'!$A$7:$A$766,D213,'93_REF_ANCHORS'!$C$7:$C$766,"&lt;"&amp;G213)+COUNTIFS('93_REF_ANCHORS'!$A$7:$A$766,D213,'93_REF_ANCHORS'!$C$7:$C$766,"&lt;="&amp;G213)-1)/(2*(H213-1)))</x:f>
      </x:c>
      <x:c r="J213" s="34" t="str">
        <x:f>IF(B213="","",IF(COUNT(E213)=0,"MISSING",IF(NOT(ISNUMBER(E213)),"INVALID",IF(E213*F213&lt;K213,"WINSORIZED LOW",IF(E213*F213&gt;L213,"WINSORIZED HIGH","OK")))))</x:f>
      </x:c>
      <x:c r="K213" s="34" t="n">
        <x:v>-1.6707152386</x:v>
      </x:c>
      <x:c r="L213" s="34" t="n">
        <x:v>0.7716332556000001</x:v>
      </x:c>
      <x:c r="M213" s="34" t="n">
        <x:v>0.08333333333333333</x:v>
      </x:c>
      <x:c r="N213" s="34" t="str">
        <x:v>no</x:v>
      </x:c>
    </x:row>
    <x:row r="214">
      <x:c r="A214" s="34" t="n">
        <x:v>21</x:v>
      </x:c>
      <x:c r="B214" s="34" t="str">
        <x:f>IF('01_INPUT_COMPANIES'!$A$27="","",'01_INPUT_COMPANIES'!$A$27)</x:f>
      </x:c>
      <x:c r="C214" s="34" t="str">
        <x:f>IF(B214="","",'01_INPUT_COMPANIES'!$B$27)</x:f>
      </x:c>
      <x:c r="D214" s="34" t="str">
        <x:v>cross_market_transfer_index</x:v>
      </x:c>
      <x:c r="E214" s="42" t="str">
        <x:f>IF(OR(B214="",COUNT('01_INPUT_COMPANIES'!$AA$27)=0),"",'01_INPUT_COMPANIES'!$AA$27)</x:f>
      </x:c>
      <x:c r="F214" s="42" t="n">
        <x:v>1</x:v>
      </x:c>
      <x:c r="G214" s="42" t="str">
        <x:f>IF(NOT(ISNUMBER(E214)),"",MAX(K214,MIN(L214,E214*F214)))</x:f>
      </x:c>
      <x:c r="H214" s="42" t="n">
        <x:v>4</x:v>
      </x:c>
      <x:c r="I214" s="42" t="str">
        <x:f>IF(COUNT(G214)=0,"",(COUNTIFS('93_REF_ANCHORS'!$A$7:$A$766,D214,'93_REF_ANCHORS'!$C$7:$C$766,"&lt;"&amp;G214)+COUNTIFS('93_REF_ANCHORS'!$A$7:$A$766,D214,'93_REF_ANCHORS'!$C$7:$C$766,"&lt;="&amp;G214)-1)/(2*(H214-1)))</x:f>
      </x:c>
      <x:c r="J214" s="34" t="str">
        <x:f>IF(B214="","",IF(COUNT(E214)=0,"MISSING",IF(NOT(ISNUMBER(E214)),"INVALID",IF(E214*F214&lt;K214,"WINSORIZED LOW",IF(E214*F214&gt;L214,"WINSORIZED HIGH","OK")))))</x:f>
      </x:c>
      <x:c r="K214" s="34" t="n">
        <x:v>0</x:v>
      </x:c>
      <x:c r="L214" s="34" t="n">
        <x:v>0.7587051325360435</x:v>
      </x:c>
      <x:c r="M214" s="34" t="n">
        <x:v>0.1111111111111111</x:v>
      </x:c>
      <x:c r="N214" s="34" t="str">
        <x:v>yes</x:v>
      </x:c>
    </x:row>
    <x:row r="215">
      <x:c r="A215" s="34" t="n">
        <x:v>21</x:v>
      </x:c>
      <x:c r="B215" s="34" t="str">
        <x:f>IF('01_INPUT_COMPANIES'!$A$27="","",'01_INPUT_COMPANIES'!$A$27)</x:f>
      </x:c>
      <x:c r="C215" s="34" t="str">
        <x:f>IF(B215="","",'01_INPUT_COMPANIES'!$B$27)</x:f>
      </x:c>
      <x:c r="D215" s="34" t="str">
        <x:v>foreign_dependency_ratio</x:v>
      </x:c>
      <x:c r="E215" s="42" t="str">
        <x:f>IF(OR(B215="",COUNT('01_INPUT_COMPANIES'!$AB$27)=0),"",'01_INPUT_COMPANIES'!$AB$27)</x:f>
      </x:c>
      <x:c r="F215" s="42" t="n">
        <x:v>1</x:v>
      </x:c>
      <x:c r="G215" s="42" t="str">
        <x:f>IF(NOT(ISNUMBER(E215)),"",MAX(K215,MIN(L215,E215*F215)))</x:f>
      </x:c>
      <x:c r="H215" s="42" t="n">
        <x:v>84</x:v>
      </x:c>
      <x:c r="I215" s="42" t="str">
        <x:f>IF(COUNT(G215)=0,"",(COUNTIFS('93_REF_ANCHORS'!$A$7:$A$766,D215,'93_REF_ANCHORS'!$C$7:$C$766,"&lt;"&amp;G215)+COUNTIFS('93_REF_ANCHORS'!$A$7:$A$766,D215,'93_REF_ANCHORS'!$C$7:$C$766,"&lt;="&amp;G215)-1)/(2*(H215-1)))</x:f>
      </x:c>
      <x:c r="J215" s="34" t="str">
        <x:f>IF(B215="","",IF(COUNT(E215)=0,"MISSING",IF(NOT(ISNUMBER(E215)),"INVALID",IF(E215*F215&lt;K215,"WINSORIZED LOW",IF(E215*F215&gt;L215,"WINSORIZED HIGH","OK")))))</x:f>
      </x:c>
      <x:c r="K215" s="34" t="n">
        <x:v>0.728196</x:v>
      </x:c>
      <x:c r="L215" s="34" t="n">
        <x:v>0.94</x:v>
      </x:c>
      <x:c r="M215" s="34" t="n">
        <x:v>0.1111111111111111</x:v>
      </x:c>
      <x:c r="N215" s="34" t="str">
        <x:v>yes</x:v>
      </x:c>
    </x:row>
    <x:row r="216">
      <x:c r="A216" s="34" t="n">
        <x:v>21</x:v>
      </x:c>
      <x:c r="B216" s="34" t="str">
        <x:f>IF('01_INPUT_COMPANIES'!$A$27="","",'01_INPUT_COMPANIES'!$A$27)</x:f>
      </x:c>
      <x:c r="C216" s="34" t="str">
        <x:f>IF(B216="","",'01_INPUT_COMPANIES'!$B$27)</x:f>
      </x:c>
      <x:c r="D216" s="34" t="str">
        <x:v>outflow_to_capex_ratio</x:v>
      </x:c>
      <x:c r="E216" s="42" t="str">
        <x:f>IF(OR(B216="",COUNT('01_INPUT_COMPANIES'!$AC$27)=0),"",'01_INPUT_COMPANIES'!$AC$27)</x:f>
      </x:c>
      <x:c r="F216" s="42" t="n">
        <x:v>1</x:v>
      </x:c>
      <x:c r="G216" s="42" t="str">
        <x:f>IF(NOT(ISNUMBER(E216)),"",MAX(K216,MIN(L216,E216*F216)))</x:f>
      </x:c>
      <x:c r="H216" s="42" t="n">
        <x:v>97</x:v>
      </x:c>
      <x:c r="I216" s="42" t="str">
        <x:f>IF(COUNT(G216)=0,"",(COUNTIFS('93_REF_ANCHORS'!$A$7:$A$766,D216,'93_REF_ANCHORS'!$C$7:$C$766,"&lt;"&amp;G216)+COUNTIFS('93_REF_ANCHORS'!$A$7:$A$766,D216,'93_REF_ANCHORS'!$C$7:$C$766,"&lt;="&amp;G216)-1)/(2*(H216-1)))</x:f>
      </x:c>
      <x:c r="J216" s="34" t="str">
        <x:f>IF(B216="","",IF(COUNT(E216)=0,"MISSING",IF(NOT(ISNUMBER(E216)),"INVALID",IF(E216*F216&lt;K216,"WINSORIZED LOW",IF(E216*F216&gt;L216,"WINSORIZED HIGH","OK")))))</x:f>
      </x:c>
      <x:c r="K216" s="34" t="n">
        <x:v>-123.5385890408</x:v>
      </x:c>
      <x:c r="L216" s="34" t="n">
        <x:v>974.1666666666999</x:v>
      </x:c>
      <x:c r="M216" s="34" t="n">
        <x:v>0.1111111111111111</x:v>
      </x:c>
      <x:c r="N216" s="34" t="str">
        <x:v>no</x:v>
      </x:c>
    </x:row>
    <x:row r="217">
      <x:c r="A217" s="34" t="n">
        <x:v>22</x:v>
      </x:c>
      <x:c r="B217" s="34" t="str">
        <x:f>IF('01_INPUT_COMPANIES'!$A$28="","",'01_INPUT_COMPANIES'!$A$28)</x:f>
      </x:c>
      <x:c r="C217" s="34" t="str">
        <x:f>IF(B217="","",'01_INPUT_COMPANIES'!$B$28)</x:f>
      </x:c>
      <x:c r="D217" s="34" t="str">
        <x:v>effective_tax_rate_gap</x:v>
      </x:c>
      <x:c r="E217" s="42" t="str">
        <x:f>IF(OR(B217="",COUNT('01_INPUT_COMPANIES'!$T$28)=0),"",'01_INPUT_COMPANIES'!$T$28)</x:f>
      </x:c>
      <x:c r="F217" s="42" t="n">
        <x:v>1</x:v>
      </x:c>
      <x:c r="G217" s="42" t="str">
        <x:f>IF(NOT(ISNUMBER(E217)),"",MAX(K217,MIN(L217,E217*F217)))</x:f>
      </x:c>
      <x:c r="H217" s="42" t="n">
        <x:v>74</x:v>
      </x:c>
      <x:c r="I217" s="42" t="str">
        <x:f>IF(COUNT(G217)=0,"",(COUNTIFS('93_REF_ANCHORS'!$A$7:$A$766,D217,'93_REF_ANCHORS'!$C$7:$C$766,"&lt;"&amp;G217)+COUNTIFS('93_REF_ANCHORS'!$A$7:$A$766,D217,'93_REF_ANCHORS'!$C$7:$C$766,"&lt;="&amp;G217)-1)/(2*(H217-1)))</x:f>
      </x:c>
      <x:c r="J217" s="34" t="str">
        <x:f>IF(B217="","",IF(COUNT(E217)=0,"MISSING",IF(NOT(ISNUMBER(E217)),"INVALID",IF(E217*F217&lt;K217,"WINSORIZED LOW",IF(E217*F217&gt;L217,"WINSORIZED HIGH","OK")))))</x:f>
      </x:c>
      <x:c r="K217" s="34" t="n">
        <x:v>-0.1416111014</x:v>
      </x:c>
      <x:c r="L217" s="34" t="n">
        <x:v>0.2683650488</x:v>
      </x:c>
      <x:c r="M217" s="34" t="n">
        <x:v>0.1111111111111111</x:v>
      </x:c>
      <x:c r="N217" s="34" t="str">
        <x:v>no</x:v>
      </x:c>
    </x:row>
    <x:row r="218">
      <x:c r="A218" s="34" t="n">
        <x:v>22</x:v>
      </x:c>
      <x:c r="B218" s="34" t="str">
        <x:f>IF('01_INPUT_COMPANIES'!$A$28="","",'01_INPUT_COMPANIES'!$A$28)</x:f>
      </x:c>
      <x:c r="C218" s="34" t="str">
        <x:f>IF(B218="","",'01_INPUT_COMPANIES'!$B$28)</x:f>
      </x:c>
      <x:c r="D218" s="34" t="str">
        <x:v>infra_dependency_ratio</x:v>
      </x:c>
      <x:c r="E218" s="42" t="str">
        <x:f>IF(OR(B218="",COUNT('01_INPUT_COMPANIES'!$U$28)=0),"",'01_INPUT_COMPANIES'!$U$28)</x:f>
      </x:c>
      <x:c r="F218" s="42" t="n">
        <x:v>1</x:v>
      </x:c>
      <x:c r="G218" s="42" t="str">
        <x:f>IF(NOT(ISNUMBER(E218)),"",MAX(K218,MIN(L218,E218*F218)))</x:f>
      </x:c>
      <x:c r="H218" s="42" t="n">
        <x:v>64</x:v>
      </x:c>
      <x:c r="I218" s="42" t="str">
        <x:f>IF(COUNT(G218)=0,"",(COUNTIFS('93_REF_ANCHORS'!$A$7:$A$766,D218,'93_REF_ANCHORS'!$C$7:$C$766,"&lt;"&amp;G218)+COUNTIFS('93_REF_ANCHORS'!$A$7:$A$766,D218,'93_REF_ANCHORS'!$C$7:$C$766,"&lt;="&amp;G218)-1)/(2*(H218-1)))</x:f>
      </x:c>
      <x:c r="J218" s="34" t="str">
        <x:f>IF(B218="","",IF(COUNT(E218)=0,"MISSING",IF(NOT(ISNUMBER(E218)),"INVALID",IF(E218*F218&lt;K218,"WINSORIZED LOW",IF(E218*F218&gt;L218,"WINSORIZED HIGH","OK")))))</x:f>
      </x:c>
      <x:c r="K218" s="34" t="n">
        <x:v>-0.10705024705171803</x:v>
      </x:c>
      <x:c r="L218" s="34" t="n">
        <x:v>0.8008753865408955</x:v>
      </x:c>
      <x:c r="M218" s="34" t="n">
        <x:v>0.1111111111111111</x:v>
      </x:c>
      <x:c r="N218" s="34" t="str">
        <x:v>no</x:v>
      </x:c>
    </x:row>
    <x:row r="219">
      <x:c r="A219" s="34" t="n">
        <x:v>22</x:v>
      </x:c>
      <x:c r="B219" s="34" t="str">
        <x:f>IF('01_INPUT_COMPANIES'!$A$28="","",'01_INPUT_COMPANIES'!$A$28)</x:f>
      </x:c>
      <x:c r="C219" s="34" t="str">
        <x:f>IF(B219="","",'01_INPUT_COMPANIES'!$B$28)</x:f>
      </x:c>
      <x:c r="D219" s="34" t="str">
        <x:v>network_cost_ratio</x:v>
      </x:c>
      <x:c r="E219" s="42" t="str">
        <x:f>IF(OR(B219="",COUNT('01_INPUT_COMPANIES'!$V$28)=0),"",'01_INPUT_COMPANIES'!$V$28)</x:f>
      </x:c>
      <x:c r="F219" s="42" t="n">
        <x:v>1</x:v>
      </x:c>
      <x:c r="G219" s="42" t="str">
        <x:f>IF(NOT(ISNUMBER(E219)),"",MAX(K219,MIN(L219,E219*F219)))</x:f>
      </x:c>
      <x:c r="H219" s="42" t="n">
        <x:v>97</x:v>
      </x:c>
      <x:c r="I219" s="42" t="str">
        <x:f>IF(COUNT(G219)=0,"",(COUNTIFS('93_REF_ANCHORS'!$A$7:$A$766,D219,'93_REF_ANCHORS'!$C$7:$C$766,"&lt;"&amp;G219)+COUNTIFS('93_REF_ANCHORS'!$A$7:$A$766,D219,'93_REF_ANCHORS'!$C$7:$C$766,"&lt;="&amp;G219)-1)/(2*(H219-1)))</x:f>
      </x:c>
      <x:c r="J219" s="34" t="str">
        <x:f>IF(B219="","",IF(COUNT(E219)=0,"MISSING",IF(NOT(ISNUMBER(E219)),"INVALID",IF(E219*F219&lt;K219,"WINSORIZED LOW",IF(E219*F219&gt;L219,"WINSORIZED HIGH","OK")))))</x:f>
      </x:c>
      <x:c r="K219" s="34" t="n">
        <x:v>-0.1395374353</x:v>
      </x:c>
      <x:c r="L219" s="34" t="n">
        <x:v>0.9274274845000001</x:v>
      </x:c>
      <x:c r="M219" s="34" t="n">
        <x:v>0.1111111111111111</x:v>
      </x:c>
      <x:c r="N219" s="34" t="str">
        <x:v>no</x:v>
      </x:c>
    </x:row>
    <x:row r="220">
      <x:c r="A220" s="34" t="n">
        <x:v>22</x:v>
      </x:c>
      <x:c r="B220" s="34" t="str">
        <x:f>IF('01_INPUT_COMPANIES'!$A$28="","",'01_INPUT_COMPANIES'!$A$28)</x:f>
      </x:c>
      <x:c r="C220" s="34" t="str">
        <x:f>IF(B220="","",'01_INPUT_COMPANIES'!$B$28)</x:f>
      </x:c>
      <x:c r="D220" s="34" t="str">
        <x:v>cashflow_recovery_ratio</x:v>
      </x:c>
      <x:c r="E220" s="42" t="str">
        <x:f>IF(OR(B220="",COUNT('01_INPUT_COMPANIES'!$W$28)=0),"",'01_INPUT_COMPANIES'!$W$28)</x:f>
      </x:c>
      <x:c r="F220" s="42" t="n">
        <x:v>-1</x:v>
      </x:c>
      <x:c r="G220" s="42" t="str">
        <x:f>IF(NOT(ISNUMBER(E220)),"",MAX(K220,MIN(L220,E220*F220)))</x:f>
      </x:c>
      <x:c r="H220" s="42" t="n">
        <x:v>95</x:v>
      </x:c>
      <x:c r="I220" s="42" t="str">
        <x:f>IF(COUNT(G220)=0,"",(COUNTIFS('93_REF_ANCHORS'!$A$7:$A$766,D220,'93_REF_ANCHORS'!$C$7:$C$766,"&lt;"&amp;G220)+COUNTIFS('93_REF_ANCHORS'!$A$7:$A$766,D220,'93_REF_ANCHORS'!$C$7:$C$766,"&lt;="&amp;G220)-1)/(2*(H220-1)))</x:f>
      </x:c>
      <x:c r="J220" s="34" t="str">
        <x:f>IF(B220="","",IF(COUNT(E220)=0,"MISSING",IF(NOT(ISNUMBER(E220)),"INVALID",IF(E220*F220&lt;K220,"WINSORIZED LOW",IF(E220*F220&gt;L220,"WINSORIZED HIGH","OK")))))</x:f>
      </x:c>
      <x:c r="K220" s="34" t="n">
        <x:v>-300.75</x:v>
      </x:c>
      <x:c r="L220" s="34" t="n">
        <x:v>42.6920305469</x:v>
      </x:c>
      <x:c r="M220" s="34" t="n">
        <x:v>0.08333333333333333</x:v>
      </x:c>
      <x:c r="N220" s="34" t="str">
        <x:v>no</x:v>
      </x:c>
    </x:row>
    <x:row r="221">
      <x:c r="A221" s="34" t="n">
        <x:v>22</x:v>
      </x:c>
      <x:c r="B221" s="34" t="str">
        <x:f>IF('01_INPUT_COMPANIES'!$A$28="","",'01_INPUT_COMPANIES'!$A$28)</x:f>
      </x:c>
      <x:c r="C221" s="34" t="str">
        <x:f>IF(B221="","",'01_INPUT_COMPANIES'!$B$28)</x:f>
      </x:c>
      <x:c r="D221" s="34" t="str">
        <x:v>funding_cost_spread</x:v>
      </x:c>
      <x:c r="E221" s="42" t="str">
        <x:f>IF(OR(B221="",COUNT('01_INPUT_COMPANIES'!$X$28)=0),"",'01_INPUT_COMPANIES'!$X$28)</x:f>
      </x:c>
      <x:c r="F221" s="42" t="n">
        <x:v>1</x:v>
      </x:c>
      <x:c r="G221" s="42" t="str">
        <x:f>IF(NOT(ISNUMBER(E221)),"",MAX(K221,MIN(L221,E221*F221)))</x:f>
      </x:c>
      <x:c r="H221" s="42" t="n">
        <x:v>58</x:v>
      </x:c>
      <x:c r="I221" s="42" t="str">
        <x:f>IF(COUNT(G221)=0,"",(COUNTIFS('93_REF_ANCHORS'!$A$7:$A$766,D221,'93_REF_ANCHORS'!$C$7:$C$766,"&lt;"&amp;G221)+COUNTIFS('93_REF_ANCHORS'!$A$7:$A$766,D221,'93_REF_ANCHORS'!$C$7:$C$766,"&lt;="&amp;G221)-1)/(2*(H221-1)))</x:f>
      </x:c>
      <x:c r="J221" s="34" t="str">
        <x:f>IF(B221="","",IF(COUNT(E221)=0,"MISSING",IF(NOT(ISNUMBER(E221)),"INVALID",IF(E221*F221&lt;K221,"WINSORIZED LOW",IF(E221*F221&gt;L221,"WINSORIZED HIGH","OK")))))</x:f>
      </x:c>
      <x:c r="K221" s="34" t="n">
        <x:v>-0.4430292903</x:v>
      </x:c>
      <x:c r="L221" s="34" t="n">
        <x:v>0.5068913103</x:v>
      </x:c>
      <x:c r="M221" s="34" t="n">
        <x:v>0.08333333333333333</x:v>
      </x:c>
      <x:c r="N221" s="34" t="str">
        <x:v>no</x:v>
      </x:c>
    </x:row>
    <x:row r="222">
      <x:c r="A222" s="34" t="n">
        <x:v>22</x:v>
      </x:c>
      <x:c r="B222" s="34" t="str">
        <x:f>IF('01_INPUT_COMPANIES'!$A$28="","",'01_INPUT_COMPANIES'!$A$28)</x:f>
      </x:c>
      <x:c r="C222" s="34" t="str">
        <x:f>IF(B222="","",'01_INPUT_COMPANIES'!$B$28)</x:f>
      </x:c>
      <x:c r="D222" s="34" t="str">
        <x:v>investment_recovery_ratio</x:v>
      </x:c>
      <x:c r="E222" s="42" t="str">
        <x:f>IF(OR(B222="",COUNT('01_INPUT_COMPANIES'!$Y$28)=0),"",'01_INPUT_COMPANIES'!$Y$28)</x:f>
      </x:c>
      <x:c r="F222" s="42" t="n">
        <x:v>-1</x:v>
      </x:c>
      <x:c r="G222" s="42" t="str">
        <x:f>IF(NOT(ISNUMBER(E222)),"",MAX(K222,MIN(L222,E222*F222)))</x:f>
      </x:c>
      <x:c r="H222" s="42" t="n">
        <x:v>95</x:v>
      </x:c>
      <x:c r="I222" s="42" t="str">
        <x:f>IF(COUNT(G222)=0,"",(COUNTIFS('93_REF_ANCHORS'!$A$7:$A$766,D222,'93_REF_ANCHORS'!$C$7:$C$766,"&lt;"&amp;G222)+COUNTIFS('93_REF_ANCHORS'!$A$7:$A$766,D222,'93_REF_ANCHORS'!$C$7:$C$766,"&lt;="&amp;G222)-1)/(2*(H222-1)))</x:f>
      </x:c>
      <x:c r="J222" s="34" t="str">
        <x:f>IF(B222="","",IF(COUNT(E222)=0,"MISSING",IF(NOT(ISNUMBER(E222)),"INVALID",IF(E222*F222&lt;K222,"WINSORIZED LOW",IF(E222*F222&gt;L222,"WINSORIZED HIGH","OK")))))</x:f>
      </x:c>
      <x:c r="K222" s="34" t="n">
        <x:v>-3163.7500000000014</x:v>
      </x:c>
      <x:c r="L222" s="34" t="n">
        <x:v>189.68191301719997</x:v>
      </x:c>
      <x:c r="M222" s="34" t="n">
        <x:v>0.08333333333333333</x:v>
      </x:c>
      <x:c r="N222" s="34" t="str">
        <x:v>no</x:v>
      </x:c>
    </x:row>
    <x:row r="223">
      <x:c r="A223" s="34" t="n">
        <x:v>22</x:v>
      </x:c>
      <x:c r="B223" s="34" t="str">
        <x:f>IF('01_INPUT_COMPANIES'!$A$28="","",'01_INPUT_COMPANIES'!$A$28)</x:f>
      </x:c>
      <x:c r="C223" s="34" t="str">
        <x:f>IF(B223="","",'01_INPUT_COMPANIES'!$B$28)</x:f>
      </x:c>
      <x:c r="D223" s="34" t="str">
        <x:v>ip_assetization_gap</x:v>
      </x:c>
      <x:c r="E223" s="42" t="str">
        <x:f>IF(OR(B223="",COUNT('01_INPUT_COMPANIES'!$Z$28)=0),"",'01_INPUT_COMPANIES'!$Z$28)</x:f>
      </x:c>
      <x:c r="F223" s="42" t="n">
        <x:v>1</x:v>
      </x:c>
      <x:c r="G223" s="42" t="str">
        <x:f>IF(NOT(ISNUMBER(E223)),"",MAX(K223,MIN(L223,E223*F223)))</x:f>
      </x:c>
      <x:c r="H223" s="42" t="n">
        <x:v>92</x:v>
      </x:c>
      <x:c r="I223" s="42" t="str">
        <x:f>IF(COUNT(G223)=0,"",(COUNTIFS('93_REF_ANCHORS'!$A$7:$A$766,D223,'93_REF_ANCHORS'!$C$7:$C$766,"&lt;"&amp;G223)+COUNTIFS('93_REF_ANCHORS'!$A$7:$A$766,D223,'93_REF_ANCHORS'!$C$7:$C$766,"&lt;="&amp;G223)-1)/(2*(H223-1)))</x:f>
      </x:c>
      <x:c r="J223" s="34" t="str">
        <x:f>IF(B223="","",IF(COUNT(E223)=0,"MISSING",IF(NOT(ISNUMBER(E223)),"INVALID",IF(E223*F223&lt;K223,"WINSORIZED LOW",IF(E223*F223&gt;L223,"WINSORIZED HIGH","OK")))))</x:f>
      </x:c>
      <x:c r="K223" s="34" t="n">
        <x:v>-1.6707152386</x:v>
      </x:c>
      <x:c r="L223" s="34" t="n">
        <x:v>0.7716332556000001</x:v>
      </x:c>
      <x:c r="M223" s="34" t="n">
        <x:v>0.08333333333333333</x:v>
      </x:c>
      <x:c r="N223" s="34" t="str">
        <x:v>no</x:v>
      </x:c>
    </x:row>
    <x:row r="224">
      <x:c r="A224" s="34" t="n">
        <x:v>22</x:v>
      </x:c>
      <x:c r="B224" s="34" t="str">
        <x:f>IF('01_INPUT_COMPANIES'!$A$28="","",'01_INPUT_COMPANIES'!$A$28)</x:f>
      </x:c>
      <x:c r="C224" s="34" t="str">
        <x:f>IF(B224="","",'01_INPUT_COMPANIES'!$B$28)</x:f>
      </x:c>
      <x:c r="D224" s="34" t="str">
        <x:v>cross_market_transfer_index</x:v>
      </x:c>
      <x:c r="E224" s="42" t="str">
        <x:f>IF(OR(B224="",COUNT('01_INPUT_COMPANIES'!$AA$28)=0),"",'01_INPUT_COMPANIES'!$AA$28)</x:f>
      </x:c>
      <x:c r="F224" s="42" t="n">
        <x:v>1</x:v>
      </x:c>
      <x:c r="G224" s="42" t="str">
        <x:f>IF(NOT(ISNUMBER(E224)),"",MAX(K224,MIN(L224,E224*F224)))</x:f>
      </x:c>
      <x:c r="H224" s="42" t="n">
        <x:v>4</x:v>
      </x:c>
      <x:c r="I224" s="42" t="str">
        <x:f>IF(COUNT(G224)=0,"",(COUNTIFS('93_REF_ANCHORS'!$A$7:$A$766,D224,'93_REF_ANCHORS'!$C$7:$C$766,"&lt;"&amp;G224)+COUNTIFS('93_REF_ANCHORS'!$A$7:$A$766,D224,'93_REF_ANCHORS'!$C$7:$C$766,"&lt;="&amp;G224)-1)/(2*(H224-1)))</x:f>
      </x:c>
      <x:c r="J224" s="34" t="str">
        <x:f>IF(B224="","",IF(COUNT(E224)=0,"MISSING",IF(NOT(ISNUMBER(E224)),"INVALID",IF(E224*F224&lt;K224,"WINSORIZED LOW",IF(E224*F224&gt;L224,"WINSORIZED HIGH","OK")))))</x:f>
      </x:c>
      <x:c r="K224" s="34" t="n">
        <x:v>0</x:v>
      </x:c>
      <x:c r="L224" s="34" t="n">
        <x:v>0.7587051325360435</x:v>
      </x:c>
      <x:c r="M224" s="34" t="n">
        <x:v>0.1111111111111111</x:v>
      </x:c>
      <x:c r="N224" s="34" t="str">
        <x:v>yes</x:v>
      </x:c>
    </x:row>
    <x:row r="225">
      <x:c r="A225" s="34" t="n">
        <x:v>22</x:v>
      </x:c>
      <x:c r="B225" s="34" t="str">
        <x:f>IF('01_INPUT_COMPANIES'!$A$28="","",'01_INPUT_COMPANIES'!$A$28)</x:f>
      </x:c>
      <x:c r="C225" s="34" t="str">
        <x:f>IF(B225="","",'01_INPUT_COMPANIES'!$B$28)</x:f>
      </x:c>
      <x:c r="D225" s="34" t="str">
        <x:v>foreign_dependency_ratio</x:v>
      </x:c>
      <x:c r="E225" s="42" t="str">
        <x:f>IF(OR(B225="",COUNT('01_INPUT_COMPANIES'!$AB$28)=0),"",'01_INPUT_COMPANIES'!$AB$28)</x:f>
      </x:c>
      <x:c r="F225" s="42" t="n">
        <x:v>1</x:v>
      </x:c>
      <x:c r="G225" s="42" t="str">
        <x:f>IF(NOT(ISNUMBER(E225)),"",MAX(K225,MIN(L225,E225*F225)))</x:f>
      </x:c>
      <x:c r="H225" s="42" t="n">
        <x:v>84</x:v>
      </x:c>
      <x:c r="I225" s="42" t="str">
        <x:f>IF(COUNT(G225)=0,"",(COUNTIFS('93_REF_ANCHORS'!$A$7:$A$766,D225,'93_REF_ANCHORS'!$C$7:$C$766,"&lt;"&amp;G225)+COUNTIFS('93_REF_ANCHORS'!$A$7:$A$766,D225,'93_REF_ANCHORS'!$C$7:$C$766,"&lt;="&amp;G225)-1)/(2*(H225-1)))</x:f>
      </x:c>
      <x:c r="J225" s="34" t="str">
        <x:f>IF(B225="","",IF(COUNT(E225)=0,"MISSING",IF(NOT(ISNUMBER(E225)),"INVALID",IF(E225*F225&lt;K225,"WINSORIZED LOW",IF(E225*F225&gt;L225,"WINSORIZED HIGH","OK")))))</x:f>
      </x:c>
      <x:c r="K225" s="34" t="n">
        <x:v>0.728196</x:v>
      </x:c>
      <x:c r="L225" s="34" t="n">
        <x:v>0.94</x:v>
      </x:c>
      <x:c r="M225" s="34" t="n">
        <x:v>0.1111111111111111</x:v>
      </x:c>
      <x:c r="N225" s="34" t="str">
        <x:v>yes</x:v>
      </x:c>
    </x:row>
    <x:row r="226">
      <x:c r="A226" s="34" t="n">
        <x:v>22</x:v>
      </x:c>
      <x:c r="B226" s="34" t="str">
        <x:f>IF('01_INPUT_COMPANIES'!$A$28="","",'01_INPUT_COMPANIES'!$A$28)</x:f>
      </x:c>
      <x:c r="C226" s="34" t="str">
        <x:f>IF(B226="","",'01_INPUT_COMPANIES'!$B$28)</x:f>
      </x:c>
      <x:c r="D226" s="34" t="str">
        <x:v>outflow_to_capex_ratio</x:v>
      </x:c>
      <x:c r="E226" s="42" t="str">
        <x:f>IF(OR(B226="",COUNT('01_INPUT_COMPANIES'!$AC$28)=0),"",'01_INPUT_COMPANIES'!$AC$28)</x:f>
      </x:c>
      <x:c r="F226" s="42" t="n">
        <x:v>1</x:v>
      </x:c>
      <x:c r="G226" s="42" t="str">
        <x:f>IF(NOT(ISNUMBER(E226)),"",MAX(K226,MIN(L226,E226*F226)))</x:f>
      </x:c>
      <x:c r="H226" s="42" t="n">
        <x:v>97</x:v>
      </x:c>
      <x:c r="I226" s="42" t="str">
        <x:f>IF(COUNT(G226)=0,"",(COUNTIFS('93_REF_ANCHORS'!$A$7:$A$766,D226,'93_REF_ANCHORS'!$C$7:$C$766,"&lt;"&amp;G226)+COUNTIFS('93_REF_ANCHORS'!$A$7:$A$766,D226,'93_REF_ANCHORS'!$C$7:$C$766,"&lt;="&amp;G226)-1)/(2*(H226-1)))</x:f>
      </x:c>
      <x:c r="J226" s="34" t="str">
        <x:f>IF(B226="","",IF(COUNT(E226)=0,"MISSING",IF(NOT(ISNUMBER(E226)),"INVALID",IF(E226*F226&lt;K226,"WINSORIZED LOW",IF(E226*F226&gt;L226,"WINSORIZED HIGH","OK")))))</x:f>
      </x:c>
      <x:c r="K226" s="34" t="n">
        <x:v>-123.5385890408</x:v>
      </x:c>
      <x:c r="L226" s="34" t="n">
        <x:v>974.1666666666999</x:v>
      </x:c>
      <x:c r="M226" s="34" t="n">
        <x:v>0.1111111111111111</x:v>
      </x:c>
      <x:c r="N226" s="34" t="str">
        <x:v>no</x:v>
      </x:c>
    </x:row>
    <x:row r="227">
      <x:c r="A227" s="34" t="n">
        <x:v>23</x:v>
      </x:c>
      <x:c r="B227" s="34" t="str">
        <x:f>IF('01_INPUT_COMPANIES'!$A$29="","",'01_INPUT_COMPANIES'!$A$29)</x:f>
      </x:c>
      <x:c r="C227" s="34" t="str">
        <x:f>IF(B227="","",'01_INPUT_COMPANIES'!$B$29)</x:f>
      </x:c>
      <x:c r="D227" s="34" t="str">
        <x:v>effective_tax_rate_gap</x:v>
      </x:c>
      <x:c r="E227" s="42" t="str">
        <x:f>IF(OR(B227="",COUNT('01_INPUT_COMPANIES'!$T$29)=0),"",'01_INPUT_COMPANIES'!$T$29)</x:f>
      </x:c>
      <x:c r="F227" s="42" t="n">
        <x:v>1</x:v>
      </x:c>
      <x:c r="G227" s="42" t="str">
        <x:f>IF(NOT(ISNUMBER(E227)),"",MAX(K227,MIN(L227,E227*F227)))</x:f>
      </x:c>
      <x:c r="H227" s="42" t="n">
        <x:v>74</x:v>
      </x:c>
      <x:c r="I227" s="42" t="str">
        <x:f>IF(COUNT(G227)=0,"",(COUNTIFS('93_REF_ANCHORS'!$A$7:$A$766,D227,'93_REF_ANCHORS'!$C$7:$C$766,"&lt;"&amp;G227)+COUNTIFS('93_REF_ANCHORS'!$A$7:$A$766,D227,'93_REF_ANCHORS'!$C$7:$C$766,"&lt;="&amp;G227)-1)/(2*(H227-1)))</x:f>
      </x:c>
      <x:c r="J227" s="34" t="str">
        <x:f>IF(B227="","",IF(COUNT(E227)=0,"MISSING",IF(NOT(ISNUMBER(E227)),"INVALID",IF(E227*F227&lt;K227,"WINSORIZED LOW",IF(E227*F227&gt;L227,"WINSORIZED HIGH","OK")))))</x:f>
      </x:c>
      <x:c r="K227" s="34" t="n">
        <x:v>-0.1416111014</x:v>
      </x:c>
      <x:c r="L227" s="34" t="n">
        <x:v>0.2683650488</x:v>
      </x:c>
      <x:c r="M227" s="34" t="n">
        <x:v>0.1111111111111111</x:v>
      </x:c>
      <x:c r="N227" s="34" t="str">
        <x:v>no</x:v>
      </x:c>
    </x:row>
    <x:row r="228">
      <x:c r="A228" s="34" t="n">
        <x:v>23</x:v>
      </x:c>
      <x:c r="B228" s="34" t="str">
        <x:f>IF('01_INPUT_COMPANIES'!$A$29="","",'01_INPUT_COMPANIES'!$A$29)</x:f>
      </x:c>
      <x:c r="C228" s="34" t="str">
        <x:f>IF(B228="","",'01_INPUT_COMPANIES'!$B$29)</x:f>
      </x:c>
      <x:c r="D228" s="34" t="str">
        <x:v>infra_dependency_ratio</x:v>
      </x:c>
      <x:c r="E228" s="42" t="str">
        <x:f>IF(OR(B228="",COUNT('01_INPUT_COMPANIES'!$U$29)=0),"",'01_INPUT_COMPANIES'!$U$29)</x:f>
      </x:c>
      <x:c r="F228" s="42" t="n">
        <x:v>1</x:v>
      </x:c>
      <x:c r="G228" s="42" t="str">
        <x:f>IF(NOT(ISNUMBER(E228)),"",MAX(K228,MIN(L228,E228*F228)))</x:f>
      </x:c>
      <x:c r="H228" s="42" t="n">
        <x:v>64</x:v>
      </x:c>
      <x:c r="I228" s="42" t="str">
        <x:f>IF(COUNT(G228)=0,"",(COUNTIFS('93_REF_ANCHORS'!$A$7:$A$766,D228,'93_REF_ANCHORS'!$C$7:$C$766,"&lt;"&amp;G228)+COUNTIFS('93_REF_ANCHORS'!$A$7:$A$766,D228,'93_REF_ANCHORS'!$C$7:$C$766,"&lt;="&amp;G228)-1)/(2*(H228-1)))</x:f>
      </x:c>
      <x:c r="J228" s="34" t="str">
        <x:f>IF(B228="","",IF(COUNT(E228)=0,"MISSING",IF(NOT(ISNUMBER(E228)),"INVALID",IF(E228*F228&lt;K228,"WINSORIZED LOW",IF(E228*F228&gt;L228,"WINSORIZED HIGH","OK")))))</x:f>
      </x:c>
      <x:c r="K228" s="34" t="n">
        <x:v>-0.10705024705171803</x:v>
      </x:c>
      <x:c r="L228" s="34" t="n">
        <x:v>0.8008753865408955</x:v>
      </x:c>
      <x:c r="M228" s="34" t="n">
        <x:v>0.1111111111111111</x:v>
      </x:c>
      <x:c r="N228" s="34" t="str">
        <x:v>no</x:v>
      </x:c>
    </x:row>
    <x:row r="229">
      <x:c r="A229" s="34" t="n">
        <x:v>23</x:v>
      </x:c>
      <x:c r="B229" s="34" t="str">
        <x:f>IF('01_INPUT_COMPANIES'!$A$29="","",'01_INPUT_COMPANIES'!$A$29)</x:f>
      </x:c>
      <x:c r="C229" s="34" t="str">
        <x:f>IF(B229="","",'01_INPUT_COMPANIES'!$B$29)</x:f>
      </x:c>
      <x:c r="D229" s="34" t="str">
        <x:v>network_cost_ratio</x:v>
      </x:c>
      <x:c r="E229" s="42" t="str">
        <x:f>IF(OR(B229="",COUNT('01_INPUT_COMPANIES'!$V$29)=0),"",'01_INPUT_COMPANIES'!$V$29)</x:f>
      </x:c>
      <x:c r="F229" s="42" t="n">
        <x:v>1</x:v>
      </x:c>
      <x:c r="G229" s="42" t="str">
        <x:f>IF(NOT(ISNUMBER(E229)),"",MAX(K229,MIN(L229,E229*F229)))</x:f>
      </x:c>
      <x:c r="H229" s="42" t="n">
        <x:v>97</x:v>
      </x:c>
      <x:c r="I229" s="42" t="str">
        <x:f>IF(COUNT(G229)=0,"",(COUNTIFS('93_REF_ANCHORS'!$A$7:$A$766,D229,'93_REF_ANCHORS'!$C$7:$C$766,"&lt;"&amp;G229)+COUNTIFS('93_REF_ANCHORS'!$A$7:$A$766,D229,'93_REF_ANCHORS'!$C$7:$C$766,"&lt;="&amp;G229)-1)/(2*(H229-1)))</x:f>
      </x:c>
      <x:c r="J229" s="34" t="str">
        <x:f>IF(B229="","",IF(COUNT(E229)=0,"MISSING",IF(NOT(ISNUMBER(E229)),"INVALID",IF(E229*F229&lt;K229,"WINSORIZED LOW",IF(E229*F229&gt;L229,"WINSORIZED HIGH","OK")))))</x:f>
      </x:c>
      <x:c r="K229" s="34" t="n">
        <x:v>-0.1395374353</x:v>
      </x:c>
      <x:c r="L229" s="34" t="n">
        <x:v>0.9274274845000001</x:v>
      </x:c>
      <x:c r="M229" s="34" t="n">
        <x:v>0.1111111111111111</x:v>
      </x:c>
      <x:c r="N229" s="34" t="str">
        <x:v>no</x:v>
      </x:c>
    </x:row>
    <x:row r="230">
      <x:c r="A230" s="34" t="n">
        <x:v>23</x:v>
      </x:c>
      <x:c r="B230" s="34" t="str">
        <x:f>IF('01_INPUT_COMPANIES'!$A$29="","",'01_INPUT_COMPANIES'!$A$29)</x:f>
      </x:c>
      <x:c r="C230" s="34" t="str">
        <x:f>IF(B230="","",'01_INPUT_COMPANIES'!$B$29)</x:f>
      </x:c>
      <x:c r="D230" s="34" t="str">
        <x:v>cashflow_recovery_ratio</x:v>
      </x:c>
      <x:c r="E230" s="42" t="str">
        <x:f>IF(OR(B230="",COUNT('01_INPUT_COMPANIES'!$W$29)=0),"",'01_INPUT_COMPANIES'!$W$29)</x:f>
      </x:c>
      <x:c r="F230" s="42" t="n">
        <x:v>-1</x:v>
      </x:c>
      <x:c r="G230" s="42" t="str">
        <x:f>IF(NOT(ISNUMBER(E230)),"",MAX(K230,MIN(L230,E230*F230)))</x:f>
      </x:c>
      <x:c r="H230" s="42" t="n">
        <x:v>95</x:v>
      </x:c>
      <x:c r="I230" s="42" t="str">
        <x:f>IF(COUNT(G230)=0,"",(COUNTIFS('93_REF_ANCHORS'!$A$7:$A$766,D230,'93_REF_ANCHORS'!$C$7:$C$766,"&lt;"&amp;G230)+COUNTIFS('93_REF_ANCHORS'!$A$7:$A$766,D230,'93_REF_ANCHORS'!$C$7:$C$766,"&lt;="&amp;G230)-1)/(2*(H230-1)))</x:f>
      </x:c>
      <x:c r="J230" s="34" t="str">
        <x:f>IF(B230="","",IF(COUNT(E230)=0,"MISSING",IF(NOT(ISNUMBER(E230)),"INVALID",IF(E230*F230&lt;K230,"WINSORIZED LOW",IF(E230*F230&gt;L230,"WINSORIZED HIGH","OK")))))</x:f>
      </x:c>
      <x:c r="K230" s="34" t="n">
        <x:v>-300.75</x:v>
      </x:c>
      <x:c r="L230" s="34" t="n">
        <x:v>42.6920305469</x:v>
      </x:c>
      <x:c r="M230" s="34" t="n">
        <x:v>0.08333333333333333</x:v>
      </x:c>
      <x:c r="N230" s="34" t="str">
        <x:v>no</x:v>
      </x:c>
    </x:row>
    <x:row r="231">
      <x:c r="A231" s="34" t="n">
        <x:v>23</x:v>
      </x:c>
      <x:c r="B231" s="34" t="str">
        <x:f>IF('01_INPUT_COMPANIES'!$A$29="","",'01_INPUT_COMPANIES'!$A$29)</x:f>
      </x:c>
      <x:c r="C231" s="34" t="str">
        <x:f>IF(B231="","",'01_INPUT_COMPANIES'!$B$29)</x:f>
      </x:c>
      <x:c r="D231" s="34" t="str">
        <x:v>funding_cost_spread</x:v>
      </x:c>
      <x:c r="E231" s="42" t="str">
        <x:f>IF(OR(B231="",COUNT('01_INPUT_COMPANIES'!$X$29)=0),"",'01_INPUT_COMPANIES'!$X$29)</x:f>
      </x:c>
      <x:c r="F231" s="42" t="n">
        <x:v>1</x:v>
      </x:c>
      <x:c r="G231" s="42" t="str">
        <x:f>IF(NOT(ISNUMBER(E231)),"",MAX(K231,MIN(L231,E231*F231)))</x:f>
      </x:c>
      <x:c r="H231" s="42" t="n">
        <x:v>58</x:v>
      </x:c>
      <x:c r="I231" s="42" t="str">
        <x:f>IF(COUNT(G231)=0,"",(COUNTIFS('93_REF_ANCHORS'!$A$7:$A$766,D231,'93_REF_ANCHORS'!$C$7:$C$766,"&lt;"&amp;G231)+COUNTIFS('93_REF_ANCHORS'!$A$7:$A$766,D231,'93_REF_ANCHORS'!$C$7:$C$766,"&lt;="&amp;G231)-1)/(2*(H231-1)))</x:f>
      </x:c>
      <x:c r="J231" s="34" t="str">
        <x:f>IF(B231="","",IF(COUNT(E231)=0,"MISSING",IF(NOT(ISNUMBER(E231)),"INVALID",IF(E231*F231&lt;K231,"WINSORIZED LOW",IF(E231*F231&gt;L231,"WINSORIZED HIGH","OK")))))</x:f>
      </x:c>
      <x:c r="K231" s="34" t="n">
        <x:v>-0.4430292903</x:v>
      </x:c>
      <x:c r="L231" s="34" t="n">
        <x:v>0.5068913103</x:v>
      </x:c>
      <x:c r="M231" s="34" t="n">
        <x:v>0.08333333333333333</x:v>
      </x:c>
      <x:c r="N231" s="34" t="str">
        <x:v>no</x:v>
      </x:c>
    </x:row>
    <x:row r="232">
      <x:c r="A232" s="34" t="n">
        <x:v>23</x:v>
      </x:c>
      <x:c r="B232" s="34" t="str">
        <x:f>IF('01_INPUT_COMPANIES'!$A$29="","",'01_INPUT_COMPANIES'!$A$29)</x:f>
      </x:c>
      <x:c r="C232" s="34" t="str">
        <x:f>IF(B232="","",'01_INPUT_COMPANIES'!$B$29)</x:f>
      </x:c>
      <x:c r="D232" s="34" t="str">
        <x:v>investment_recovery_ratio</x:v>
      </x:c>
      <x:c r="E232" s="42" t="str">
        <x:f>IF(OR(B232="",COUNT('01_INPUT_COMPANIES'!$Y$29)=0),"",'01_INPUT_COMPANIES'!$Y$29)</x:f>
      </x:c>
      <x:c r="F232" s="42" t="n">
        <x:v>-1</x:v>
      </x:c>
      <x:c r="G232" s="42" t="str">
        <x:f>IF(NOT(ISNUMBER(E232)),"",MAX(K232,MIN(L232,E232*F232)))</x:f>
      </x:c>
      <x:c r="H232" s="42" t="n">
        <x:v>95</x:v>
      </x:c>
      <x:c r="I232" s="42" t="str">
        <x:f>IF(COUNT(G232)=0,"",(COUNTIFS('93_REF_ANCHORS'!$A$7:$A$766,D232,'93_REF_ANCHORS'!$C$7:$C$766,"&lt;"&amp;G232)+COUNTIFS('93_REF_ANCHORS'!$A$7:$A$766,D232,'93_REF_ANCHORS'!$C$7:$C$766,"&lt;="&amp;G232)-1)/(2*(H232-1)))</x:f>
      </x:c>
      <x:c r="J232" s="34" t="str">
        <x:f>IF(B232="","",IF(COUNT(E232)=0,"MISSING",IF(NOT(ISNUMBER(E232)),"INVALID",IF(E232*F232&lt;K232,"WINSORIZED LOW",IF(E232*F232&gt;L232,"WINSORIZED HIGH","OK")))))</x:f>
      </x:c>
      <x:c r="K232" s="34" t="n">
        <x:v>-3163.7500000000014</x:v>
      </x:c>
      <x:c r="L232" s="34" t="n">
        <x:v>189.68191301719997</x:v>
      </x:c>
      <x:c r="M232" s="34" t="n">
        <x:v>0.08333333333333333</x:v>
      </x:c>
      <x:c r="N232" s="34" t="str">
        <x:v>no</x:v>
      </x:c>
    </x:row>
    <x:row r="233">
      <x:c r="A233" s="34" t="n">
        <x:v>23</x:v>
      </x:c>
      <x:c r="B233" s="34" t="str">
        <x:f>IF('01_INPUT_COMPANIES'!$A$29="","",'01_INPUT_COMPANIES'!$A$29)</x:f>
      </x:c>
      <x:c r="C233" s="34" t="str">
        <x:f>IF(B233="","",'01_INPUT_COMPANIES'!$B$29)</x:f>
      </x:c>
      <x:c r="D233" s="34" t="str">
        <x:v>ip_assetization_gap</x:v>
      </x:c>
      <x:c r="E233" s="42" t="str">
        <x:f>IF(OR(B233="",COUNT('01_INPUT_COMPANIES'!$Z$29)=0),"",'01_INPUT_COMPANIES'!$Z$29)</x:f>
      </x:c>
      <x:c r="F233" s="42" t="n">
        <x:v>1</x:v>
      </x:c>
      <x:c r="G233" s="42" t="str">
        <x:f>IF(NOT(ISNUMBER(E233)),"",MAX(K233,MIN(L233,E233*F233)))</x:f>
      </x:c>
      <x:c r="H233" s="42" t="n">
        <x:v>92</x:v>
      </x:c>
      <x:c r="I233" s="42" t="str">
        <x:f>IF(COUNT(G233)=0,"",(COUNTIFS('93_REF_ANCHORS'!$A$7:$A$766,D233,'93_REF_ANCHORS'!$C$7:$C$766,"&lt;"&amp;G233)+COUNTIFS('93_REF_ANCHORS'!$A$7:$A$766,D233,'93_REF_ANCHORS'!$C$7:$C$766,"&lt;="&amp;G233)-1)/(2*(H233-1)))</x:f>
      </x:c>
      <x:c r="J233" s="34" t="str">
        <x:f>IF(B233="","",IF(COUNT(E233)=0,"MISSING",IF(NOT(ISNUMBER(E233)),"INVALID",IF(E233*F233&lt;K233,"WINSORIZED LOW",IF(E233*F233&gt;L233,"WINSORIZED HIGH","OK")))))</x:f>
      </x:c>
      <x:c r="K233" s="34" t="n">
        <x:v>-1.6707152386</x:v>
      </x:c>
      <x:c r="L233" s="34" t="n">
        <x:v>0.7716332556000001</x:v>
      </x:c>
      <x:c r="M233" s="34" t="n">
        <x:v>0.08333333333333333</x:v>
      </x:c>
      <x:c r="N233" s="34" t="str">
        <x:v>no</x:v>
      </x:c>
    </x:row>
    <x:row r="234">
      <x:c r="A234" s="34" t="n">
        <x:v>23</x:v>
      </x:c>
      <x:c r="B234" s="34" t="str">
        <x:f>IF('01_INPUT_COMPANIES'!$A$29="","",'01_INPUT_COMPANIES'!$A$29)</x:f>
      </x:c>
      <x:c r="C234" s="34" t="str">
        <x:f>IF(B234="","",'01_INPUT_COMPANIES'!$B$29)</x:f>
      </x:c>
      <x:c r="D234" s="34" t="str">
        <x:v>cross_market_transfer_index</x:v>
      </x:c>
      <x:c r="E234" s="42" t="str">
        <x:f>IF(OR(B234="",COUNT('01_INPUT_COMPANIES'!$AA$29)=0),"",'01_INPUT_COMPANIES'!$AA$29)</x:f>
      </x:c>
      <x:c r="F234" s="42" t="n">
        <x:v>1</x:v>
      </x:c>
      <x:c r="G234" s="42" t="str">
        <x:f>IF(NOT(ISNUMBER(E234)),"",MAX(K234,MIN(L234,E234*F234)))</x:f>
      </x:c>
      <x:c r="H234" s="42" t="n">
        <x:v>4</x:v>
      </x:c>
      <x:c r="I234" s="42" t="str">
        <x:f>IF(COUNT(G234)=0,"",(COUNTIFS('93_REF_ANCHORS'!$A$7:$A$766,D234,'93_REF_ANCHORS'!$C$7:$C$766,"&lt;"&amp;G234)+COUNTIFS('93_REF_ANCHORS'!$A$7:$A$766,D234,'93_REF_ANCHORS'!$C$7:$C$766,"&lt;="&amp;G234)-1)/(2*(H234-1)))</x:f>
      </x:c>
      <x:c r="J234" s="34" t="str">
        <x:f>IF(B234="","",IF(COUNT(E234)=0,"MISSING",IF(NOT(ISNUMBER(E234)),"INVALID",IF(E234*F234&lt;K234,"WINSORIZED LOW",IF(E234*F234&gt;L234,"WINSORIZED HIGH","OK")))))</x:f>
      </x:c>
      <x:c r="K234" s="34" t="n">
        <x:v>0</x:v>
      </x:c>
      <x:c r="L234" s="34" t="n">
        <x:v>0.7587051325360435</x:v>
      </x:c>
      <x:c r="M234" s="34" t="n">
        <x:v>0.1111111111111111</x:v>
      </x:c>
      <x:c r="N234" s="34" t="str">
        <x:v>yes</x:v>
      </x:c>
    </x:row>
    <x:row r="235">
      <x:c r="A235" s="34" t="n">
        <x:v>23</x:v>
      </x:c>
      <x:c r="B235" s="34" t="str">
        <x:f>IF('01_INPUT_COMPANIES'!$A$29="","",'01_INPUT_COMPANIES'!$A$29)</x:f>
      </x:c>
      <x:c r="C235" s="34" t="str">
        <x:f>IF(B235="","",'01_INPUT_COMPANIES'!$B$29)</x:f>
      </x:c>
      <x:c r="D235" s="34" t="str">
        <x:v>foreign_dependency_ratio</x:v>
      </x:c>
      <x:c r="E235" s="42" t="str">
        <x:f>IF(OR(B235="",COUNT('01_INPUT_COMPANIES'!$AB$29)=0),"",'01_INPUT_COMPANIES'!$AB$29)</x:f>
      </x:c>
      <x:c r="F235" s="42" t="n">
        <x:v>1</x:v>
      </x:c>
      <x:c r="G235" s="42" t="str">
        <x:f>IF(NOT(ISNUMBER(E235)),"",MAX(K235,MIN(L235,E235*F235)))</x:f>
      </x:c>
      <x:c r="H235" s="42" t="n">
        <x:v>84</x:v>
      </x:c>
      <x:c r="I235" s="42" t="str">
        <x:f>IF(COUNT(G235)=0,"",(COUNTIFS('93_REF_ANCHORS'!$A$7:$A$766,D235,'93_REF_ANCHORS'!$C$7:$C$766,"&lt;"&amp;G235)+COUNTIFS('93_REF_ANCHORS'!$A$7:$A$766,D235,'93_REF_ANCHORS'!$C$7:$C$766,"&lt;="&amp;G235)-1)/(2*(H235-1)))</x:f>
      </x:c>
      <x:c r="J235" s="34" t="str">
        <x:f>IF(B235="","",IF(COUNT(E235)=0,"MISSING",IF(NOT(ISNUMBER(E235)),"INVALID",IF(E235*F235&lt;K235,"WINSORIZED LOW",IF(E235*F235&gt;L235,"WINSORIZED HIGH","OK")))))</x:f>
      </x:c>
      <x:c r="K235" s="34" t="n">
        <x:v>0.728196</x:v>
      </x:c>
      <x:c r="L235" s="34" t="n">
        <x:v>0.94</x:v>
      </x:c>
      <x:c r="M235" s="34" t="n">
        <x:v>0.1111111111111111</x:v>
      </x:c>
      <x:c r="N235" s="34" t="str">
        <x:v>yes</x:v>
      </x:c>
    </x:row>
    <x:row r="236">
      <x:c r="A236" s="34" t="n">
        <x:v>23</x:v>
      </x:c>
      <x:c r="B236" s="34" t="str">
        <x:f>IF('01_INPUT_COMPANIES'!$A$29="","",'01_INPUT_COMPANIES'!$A$29)</x:f>
      </x:c>
      <x:c r="C236" s="34" t="str">
        <x:f>IF(B236="","",'01_INPUT_COMPANIES'!$B$29)</x:f>
      </x:c>
      <x:c r="D236" s="34" t="str">
        <x:v>outflow_to_capex_ratio</x:v>
      </x:c>
      <x:c r="E236" s="42" t="str">
        <x:f>IF(OR(B236="",COUNT('01_INPUT_COMPANIES'!$AC$29)=0),"",'01_INPUT_COMPANIES'!$AC$29)</x:f>
      </x:c>
      <x:c r="F236" s="42" t="n">
        <x:v>1</x:v>
      </x:c>
      <x:c r="G236" s="42" t="str">
        <x:f>IF(NOT(ISNUMBER(E236)),"",MAX(K236,MIN(L236,E236*F236)))</x:f>
      </x:c>
      <x:c r="H236" s="42" t="n">
        <x:v>97</x:v>
      </x:c>
      <x:c r="I236" s="42" t="str">
        <x:f>IF(COUNT(G236)=0,"",(COUNTIFS('93_REF_ANCHORS'!$A$7:$A$766,D236,'93_REF_ANCHORS'!$C$7:$C$766,"&lt;"&amp;G236)+COUNTIFS('93_REF_ANCHORS'!$A$7:$A$766,D236,'93_REF_ANCHORS'!$C$7:$C$766,"&lt;="&amp;G236)-1)/(2*(H236-1)))</x:f>
      </x:c>
      <x:c r="J236" s="34" t="str">
        <x:f>IF(B236="","",IF(COUNT(E236)=0,"MISSING",IF(NOT(ISNUMBER(E236)),"INVALID",IF(E236*F236&lt;K236,"WINSORIZED LOW",IF(E236*F236&gt;L236,"WINSORIZED HIGH","OK")))))</x:f>
      </x:c>
      <x:c r="K236" s="34" t="n">
        <x:v>-123.5385890408</x:v>
      </x:c>
      <x:c r="L236" s="34" t="n">
        <x:v>974.1666666666999</x:v>
      </x:c>
      <x:c r="M236" s="34" t="n">
        <x:v>0.1111111111111111</x:v>
      </x:c>
      <x:c r="N236" s="34" t="str">
        <x:v>no</x:v>
      </x:c>
    </x:row>
    <x:row r="237">
      <x:c r="A237" s="34" t="n">
        <x:v>24</x:v>
      </x:c>
      <x:c r="B237" s="34" t="str">
        <x:f>IF('01_INPUT_COMPANIES'!$A$30="","",'01_INPUT_COMPANIES'!$A$30)</x:f>
      </x:c>
      <x:c r="C237" s="34" t="str">
        <x:f>IF(B237="","",'01_INPUT_COMPANIES'!$B$30)</x:f>
      </x:c>
      <x:c r="D237" s="34" t="str">
        <x:v>effective_tax_rate_gap</x:v>
      </x:c>
      <x:c r="E237" s="42" t="str">
        <x:f>IF(OR(B237="",COUNT('01_INPUT_COMPANIES'!$T$30)=0),"",'01_INPUT_COMPANIES'!$T$30)</x:f>
      </x:c>
      <x:c r="F237" s="42" t="n">
        <x:v>1</x:v>
      </x:c>
      <x:c r="G237" s="42" t="str">
        <x:f>IF(NOT(ISNUMBER(E237)),"",MAX(K237,MIN(L237,E237*F237)))</x:f>
      </x:c>
      <x:c r="H237" s="42" t="n">
        <x:v>74</x:v>
      </x:c>
      <x:c r="I237" s="42" t="str">
        <x:f>IF(COUNT(G237)=0,"",(COUNTIFS('93_REF_ANCHORS'!$A$7:$A$766,D237,'93_REF_ANCHORS'!$C$7:$C$766,"&lt;"&amp;G237)+COUNTIFS('93_REF_ANCHORS'!$A$7:$A$766,D237,'93_REF_ANCHORS'!$C$7:$C$766,"&lt;="&amp;G237)-1)/(2*(H237-1)))</x:f>
      </x:c>
      <x:c r="J237" s="34" t="str">
        <x:f>IF(B237="","",IF(COUNT(E237)=0,"MISSING",IF(NOT(ISNUMBER(E237)),"INVALID",IF(E237*F237&lt;K237,"WINSORIZED LOW",IF(E237*F237&gt;L237,"WINSORIZED HIGH","OK")))))</x:f>
      </x:c>
      <x:c r="K237" s="34" t="n">
        <x:v>-0.1416111014</x:v>
      </x:c>
      <x:c r="L237" s="34" t="n">
        <x:v>0.2683650488</x:v>
      </x:c>
      <x:c r="M237" s="34" t="n">
        <x:v>0.1111111111111111</x:v>
      </x:c>
      <x:c r="N237" s="34" t="str">
        <x:v>no</x:v>
      </x:c>
    </x:row>
    <x:row r="238">
      <x:c r="A238" s="34" t="n">
        <x:v>24</x:v>
      </x:c>
      <x:c r="B238" s="34" t="str">
        <x:f>IF('01_INPUT_COMPANIES'!$A$30="","",'01_INPUT_COMPANIES'!$A$30)</x:f>
      </x:c>
      <x:c r="C238" s="34" t="str">
        <x:f>IF(B238="","",'01_INPUT_COMPANIES'!$B$30)</x:f>
      </x:c>
      <x:c r="D238" s="34" t="str">
        <x:v>infra_dependency_ratio</x:v>
      </x:c>
      <x:c r="E238" s="42" t="str">
        <x:f>IF(OR(B238="",COUNT('01_INPUT_COMPANIES'!$U$30)=0),"",'01_INPUT_COMPANIES'!$U$30)</x:f>
      </x:c>
      <x:c r="F238" s="42" t="n">
        <x:v>1</x:v>
      </x:c>
      <x:c r="G238" s="42" t="str">
        <x:f>IF(NOT(ISNUMBER(E238)),"",MAX(K238,MIN(L238,E238*F238)))</x:f>
      </x:c>
      <x:c r="H238" s="42" t="n">
        <x:v>64</x:v>
      </x:c>
      <x:c r="I238" s="42" t="str">
        <x:f>IF(COUNT(G238)=0,"",(COUNTIFS('93_REF_ANCHORS'!$A$7:$A$766,D238,'93_REF_ANCHORS'!$C$7:$C$766,"&lt;"&amp;G238)+COUNTIFS('93_REF_ANCHORS'!$A$7:$A$766,D238,'93_REF_ANCHORS'!$C$7:$C$766,"&lt;="&amp;G238)-1)/(2*(H238-1)))</x:f>
      </x:c>
      <x:c r="J238" s="34" t="str">
        <x:f>IF(B238="","",IF(COUNT(E238)=0,"MISSING",IF(NOT(ISNUMBER(E238)),"INVALID",IF(E238*F238&lt;K238,"WINSORIZED LOW",IF(E238*F238&gt;L238,"WINSORIZED HIGH","OK")))))</x:f>
      </x:c>
      <x:c r="K238" s="34" t="n">
        <x:v>-0.10705024705171803</x:v>
      </x:c>
      <x:c r="L238" s="34" t="n">
        <x:v>0.8008753865408955</x:v>
      </x:c>
      <x:c r="M238" s="34" t="n">
        <x:v>0.1111111111111111</x:v>
      </x:c>
      <x:c r="N238" s="34" t="str">
        <x:v>no</x:v>
      </x:c>
    </x:row>
    <x:row r="239">
      <x:c r="A239" s="34" t="n">
        <x:v>24</x:v>
      </x:c>
      <x:c r="B239" s="34" t="str">
        <x:f>IF('01_INPUT_COMPANIES'!$A$30="","",'01_INPUT_COMPANIES'!$A$30)</x:f>
      </x:c>
      <x:c r="C239" s="34" t="str">
        <x:f>IF(B239="","",'01_INPUT_COMPANIES'!$B$30)</x:f>
      </x:c>
      <x:c r="D239" s="34" t="str">
        <x:v>network_cost_ratio</x:v>
      </x:c>
      <x:c r="E239" s="42" t="str">
        <x:f>IF(OR(B239="",COUNT('01_INPUT_COMPANIES'!$V$30)=0),"",'01_INPUT_COMPANIES'!$V$30)</x:f>
      </x:c>
      <x:c r="F239" s="42" t="n">
        <x:v>1</x:v>
      </x:c>
      <x:c r="G239" s="42" t="str">
        <x:f>IF(NOT(ISNUMBER(E239)),"",MAX(K239,MIN(L239,E239*F239)))</x:f>
      </x:c>
      <x:c r="H239" s="42" t="n">
        <x:v>97</x:v>
      </x:c>
      <x:c r="I239" s="42" t="str">
        <x:f>IF(COUNT(G239)=0,"",(COUNTIFS('93_REF_ANCHORS'!$A$7:$A$766,D239,'93_REF_ANCHORS'!$C$7:$C$766,"&lt;"&amp;G239)+COUNTIFS('93_REF_ANCHORS'!$A$7:$A$766,D239,'93_REF_ANCHORS'!$C$7:$C$766,"&lt;="&amp;G239)-1)/(2*(H239-1)))</x:f>
      </x:c>
      <x:c r="J239" s="34" t="str">
        <x:f>IF(B239="","",IF(COUNT(E239)=0,"MISSING",IF(NOT(ISNUMBER(E239)),"INVALID",IF(E239*F239&lt;K239,"WINSORIZED LOW",IF(E239*F239&gt;L239,"WINSORIZED HIGH","OK")))))</x:f>
      </x:c>
      <x:c r="K239" s="34" t="n">
        <x:v>-0.1395374353</x:v>
      </x:c>
      <x:c r="L239" s="34" t="n">
        <x:v>0.9274274845000001</x:v>
      </x:c>
      <x:c r="M239" s="34" t="n">
        <x:v>0.1111111111111111</x:v>
      </x:c>
      <x:c r="N239" s="34" t="str">
        <x:v>no</x:v>
      </x:c>
    </x:row>
    <x:row r="240">
      <x:c r="A240" s="34" t="n">
        <x:v>24</x:v>
      </x:c>
      <x:c r="B240" s="34" t="str">
        <x:f>IF('01_INPUT_COMPANIES'!$A$30="","",'01_INPUT_COMPANIES'!$A$30)</x:f>
      </x:c>
      <x:c r="C240" s="34" t="str">
        <x:f>IF(B240="","",'01_INPUT_COMPANIES'!$B$30)</x:f>
      </x:c>
      <x:c r="D240" s="34" t="str">
        <x:v>cashflow_recovery_ratio</x:v>
      </x:c>
      <x:c r="E240" s="42" t="str">
        <x:f>IF(OR(B240="",COUNT('01_INPUT_COMPANIES'!$W$30)=0),"",'01_INPUT_COMPANIES'!$W$30)</x:f>
      </x:c>
      <x:c r="F240" s="42" t="n">
        <x:v>-1</x:v>
      </x:c>
      <x:c r="G240" s="42" t="str">
        <x:f>IF(NOT(ISNUMBER(E240)),"",MAX(K240,MIN(L240,E240*F240)))</x:f>
      </x:c>
      <x:c r="H240" s="42" t="n">
        <x:v>95</x:v>
      </x:c>
      <x:c r="I240" s="42" t="str">
        <x:f>IF(COUNT(G240)=0,"",(COUNTIFS('93_REF_ANCHORS'!$A$7:$A$766,D240,'93_REF_ANCHORS'!$C$7:$C$766,"&lt;"&amp;G240)+COUNTIFS('93_REF_ANCHORS'!$A$7:$A$766,D240,'93_REF_ANCHORS'!$C$7:$C$766,"&lt;="&amp;G240)-1)/(2*(H240-1)))</x:f>
      </x:c>
      <x:c r="J240" s="34" t="str">
        <x:f>IF(B240="","",IF(COUNT(E240)=0,"MISSING",IF(NOT(ISNUMBER(E240)),"INVALID",IF(E240*F240&lt;K240,"WINSORIZED LOW",IF(E240*F240&gt;L240,"WINSORIZED HIGH","OK")))))</x:f>
      </x:c>
      <x:c r="K240" s="34" t="n">
        <x:v>-300.75</x:v>
      </x:c>
      <x:c r="L240" s="34" t="n">
        <x:v>42.6920305469</x:v>
      </x:c>
      <x:c r="M240" s="34" t="n">
        <x:v>0.08333333333333333</x:v>
      </x:c>
      <x:c r="N240" s="34" t="str">
        <x:v>no</x:v>
      </x:c>
    </x:row>
    <x:row r="241">
      <x:c r="A241" s="34" t="n">
        <x:v>24</x:v>
      </x:c>
      <x:c r="B241" s="34" t="str">
        <x:f>IF('01_INPUT_COMPANIES'!$A$30="","",'01_INPUT_COMPANIES'!$A$30)</x:f>
      </x:c>
      <x:c r="C241" s="34" t="str">
        <x:f>IF(B241="","",'01_INPUT_COMPANIES'!$B$30)</x:f>
      </x:c>
      <x:c r="D241" s="34" t="str">
        <x:v>funding_cost_spread</x:v>
      </x:c>
      <x:c r="E241" s="42" t="str">
        <x:f>IF(OR(B241="",COUNT('01_INPUT_COMPANIES'!$X$30)=0),"",'01_INPUT_COMPANIES'!$X$30)</x:f>
      </x:c>
      <x:c r="F241" s="42" t="n">
        <x:v>1</x:v>
      </x:c>
      <x:c r="G241" s="42" t="str">
        <x:f>IF(NOT(ISNUMBER(E241)),"",MAX(K241,MIN(L241,E241*F241)))</x:f>
      </x:c>
      <x:c r="H241" s="42" t="n">
        <x:v>58</x:v>
      </x:c>
      <x:c r="I241" s="42" t="str">
        <x:f>IF(COUNT(G241)=0,"",(COUNTIFS('93_REF_ANCHORS'!$A$7:$A$766,D241,'93_REF_ANCHORS'!$C$7:$C$766,"&lt;"&amp;G241)+COUNTIFS('93_REF_ANCHORS'!$A$7:$A$766,D241,'93_REF_ANCHORS'!$C$7:$C$766,"&lt;="&amp;G241)-1)/(2*(H241-1)))</x:f>
      </x:c>
      <x:c r="J241" s="34" t="str">
        <x:f>IF(B241="","",IF(COUNT(E241)=0,"MISSING",IF(NOT(ISNUMBER(E241)),"INVALID",IF(E241*F241&lt;K241,"WINSORIZED LOW",IF(E241*F241&gt;L241,"WINSORIZED HIGH","OK")))))</x:f>
      </x:c>
      <x:c r="K241" s="34" t="n">
        <x:v>-0.4430292903</x:v>
      </x:c>
      <x:c r="L241" s="34" t="n">
        <x:v>0.5068913103</x:v>
      </x:c>
      <x:c r="M241" s="34" t="n">
        <x:v>0.08333333333333333</x:v>
      </x:c>
      <x:c r="N241" s="34" t="str">
        <x:v>no</x:v>
      </x:c>
    </x:row>
    <x:row r="242">
      <x:c r="A242" s="34" t="n">
        <x:v>24</x:v>
      </x:c>
      <x:c r="B242" s="34" t="str">
        <x:f>IF('01_INPUT_COMPANIES'!$A$30="","",'01_INPUT_COMPANIES'!$A$30)</x:f>
      </x:c>
      <x:c r="C242" s="34" t="str">
        <x:f>IF(B242="","",'01_INPUT_COMPANIES'!$B$30)</x:f>
      </x:c>
      <x:c r="D242" s="34" t="str">
        <x:v>investment_recovery_ratio</x:v>
      </x:c>
      <x:c r="E242" s="42" t="str">
        <x:f>IF(OR(B242="",COUNT('01_INPUT_COMPANIES'!$Y$30)=0),"",'01_INPUT_COMPANIES'!$Y$30)</x:f>
      </x:c>
      <x:c r="F242" s="42" t="n">
        <x:v>-1</x:v>
      </x:c>
      <x:c r="G242" s="42" t="str">
        <x:f>IF(NOT(ISNUMBER(E242)),"",MAX(K242,MIN(L242,E242*F242)))</x:f>
      </x:c>
      <x:c r="H242" s="42" t="n">
        <x:v>95</x:v>
      </x:c>
      <x:c r="I242" s="42" t="str">
        <x:f>IF(COUNT(G242)=0,"",(COUNTIFS('93_REF_ANCHORS'!$A$7:$A$766,D242,'93_REF_ANCHORS'!$C$7:$C$766,"&lt;"&amp;G242)+COUNTIFS('93_REF_ANCHORS'!$A$7:$A$766,D242,'93_REF_ANCHORS'!$C$7:$C$766,"&lt;="&amp;G242)-1)/(2*(H242-1)))</x:f>
      </x:c>
      <x:c r="J242" s="34" t="str">
        <x:f>IF(B242="","",IF(COUNT(E242)=0,"MISSING",IF(NOT(ISNUMBER(E242)),"INVALID",IF(E242*F242&lt;K242,"WINSORIZED LOW",IF(E242*F242&gt;L242,"WINSORIZED HIGH","OK")))))</x:f>
      </x:c>
      <x:c r="K242" s="34" t="n">
        <x:v>-3163.7500000000014</x:v>
      </x:c>
      <x:c r="L242" s="34" t="n">
        <x:v>189.68191301719997</x:v>
      </x:c>
      <x:c r="M242" s="34" t="n">
        <x:v>0.08333333333333333</x:v>
      </x:c>
      <x:c r="N242" s="34" t="str">
        <x:v>no</x:v>
      </x:c>
    </x:row>
    <x:row r="243">
      <x:c r="A243" s="34" t="n">
        <x:v>24</x:v>
      </x:c>
      <x:c r="B243" s="34" t="str">
        <x:f>IF('01_INPUT_COMPANIES'!$A$30="","",'01_INPUT_COMPANIES'!$A$30)</x:f>
      </x:c>
      <x:c r="C243" s="34" t="str">
        <x:f>IF(B243="","",'01_INPUT_COMPANIES'!$B$30)</x:f>
      </x:c>
      <x:c r="D243" s="34" t="str">
        <x:v>ip_assetization_gap</x:v>
      </x:c>
      <x:c r="E243" s="42" t="str">
        <x:f>IF(OR(B243="",COUNT('01_INPUT_COMPANIES'!$Z$30)=0),"",'01_INPUT_COMPANIES'!$Z$30)</x:f>
      </x:c>
      <x:c r="F243" s="42" t="n">
        <x:v>1</x:v>
      </x:c>
      <x:c r="G243" s="42" t="str">
        <x:f>IF(NOT(ISNUMBER(E243)),"",MAX(K243,MIN(L243,E243*F243)))</x:f>
      </x:c>
      <x:c r="H243" s="42" t="n">
        <x:v>92</x:v>
      </x:c>
      <x:c r="I243" s="42" t="str">
        <x:f>IF(COUNT(G243)=0,"",(COUNTIFS('93_REF_ANCHORS'!$A$7:$A$766,D243,'93_REF_ANCHORS'!$C$7:$C$766,"&lt;"&amp;G243)+COUNTIFS('93_REF_ANCHORS'!$A$7:$A$766,D243,'93_REF_ANCHORS'!$C$7:$C$766,"&lt;="&amp;G243)-1)/(2*(H243-1)))</x:f>
      </x:c>
      <x:c r="J243" s="34" t="str">
        <x:f>IF(B243="","",IF(COUNT(E243)=0,"MISSING",IF(NOT(ISNUMBER(E243)),"INVALID",IF(E243*F243&lt;K243,"WINSORIZED LOW",IF(E243*F243&gt;L243,"WINSORIZED HIGH","OK")))))</x:f>
      </x:c>
      <x:c r="K243" s="34" t="n">
        <x:v>-1.6707152386</x:v>
      </x:c>
      <x:c r="L243" s="34" t="n">
        <x:v>0.7716332556000001</x:v>
      </x:c>
      <x:c r="M243" s="34" t="n">
        <x:v>0.08333333333333333</x:v>
      </x:c>
      <x:c r="N243" s="34" t="str">
        <x:v>no</x:v>
      </x:c>
    </x:row>
    <x:row r="244">
      <x:c r="A244" s="34" t="n">
        <x:v>24</x:v>
      </x:c>
      <x:c r="B244" s="34" t="str">
        <x:f>IF('01_INPUT_COMPANIES'!$A$30="","",'01_INPUT_COMPANIES'!$A$30)</x:f>
      </x:c>
      <x:c r="C244" s="34" t="str">
        <x:f>IF(B244="","",'01_INPUT_COMPANIES'!$B$30)</x:f>
      </x:c>
      <x:c r="D244" s="34" t="str">
        <x:v>cross_market_transfer_index</x:v>
      </x:c>
      <x:c r="E244" s="42" t="str">
        <x:f>IF(OR(B244="",COUNT('01_INPUT_COMPANIES'!$AA$30)=0),"",'01_INPUT_COMPANIES'!$AA$30)</x:f>
      </x:c>
      <x:c r="F244" s="42" t="n">
        <x:v>1</x:v>
      </x:c>
      <x:c r="G244" s="42" t="str">
        <x:f>IF(NOT(ISNUMBER(E244)),"",MAX(K244,MIN(L244,E244*F244)))</x:f>
      </x:c>
      <x:c r="H244" s="42" t="n">
        <x:v>4</x:v>
      </x:c>
      <x:c r="I244" s="42" t="str">
        <x:f>IF(COUNT(G244)=0,"",(COUNTIFS('93_REF_ANCHORS'!$A$7:$A$766,D244,'93_REF_ANCHORS'!$C$7:$C$766,"&lt;"&amp;G244)+COUNTIFS('93_REF_ANCHORS'!$A$7:$A$766,D244,'93_REF_ANCHORS'!$C$7:$C$766,"&lt;="&amp;G244)-1)/(2*(H244-1)))</x:f>
      </x:c>
      <x:c r="J244" s="34" t="str">
        <x:f>IF(B244="","",IF(COUNT(E244)=0,"MISSING",IF(NOT(ISNUMBER(E244)),"INVALID",IF(E244*F244&lt;K244,"WINSORIZED LOW",IF(E244*F244&gt;L244,"WINSORIZED HIGH","OK")))))</x:f>
      </x:c>
      <x:c r="K244" s="34" t="n">
        <x:v>0</x:v>
      </x:c>
      <x:c r="L244" s="34" t="n">
        <x:v>0.7587051325360435</x:v>
      </x:c>
      <x:c r="M244" s="34" t="n">
        <x:v>0.1111111111111111</x:v>
      </x:c>
      <x:c r="N244" s="34" t="str">
        <x:v>yes</x:v>
      </x:c>
    </x:row>
    <x:row r="245">
      <x:c r="A245" s="34" t="n">
        <x:v>24</x:v>
      </x:c>
      <x:c r="B245" s="34" t="str">
        <x:f>IF('01_INPUT_COMPANIES'!$A$30="","",'01_INPUT_COMPANIES'!$A$30)</x:f>
      </x:c>
      <x:c r="C245" s="34" t="str">
        <x:f>IF(B245="","",'01_INPUT_COMPANIES'!$B$30)</x:f>
      </x:c>
      <x:c r="D245" s="34" t="str">
        <x:v>foreign_dependency_ratio</x:v>
      </x:c>
      <x:c r="E245" s="42" t="str">
        <x:f>IF(OR(B245="",COUNT('01_INPUT_COMPANIES'!$AB$30)=0),"",'01_INPUT_COMPANIES'!$AB$30)</x:f>
      </x:c>
      <x:c r="F245" s="42" t="n">
        <x:v>1</x:v>
      </x:c>
      <x:c r="G245" s="42" t="str">
        <x:f>IF(NOT(ISNUMBER(E245)),"",MAX(K245,MIN(L245,E245*F245)))</x:f>
      </x:c>
      <x:c r="H245" s="42" t="n">
        <x:v>84</x:v>
      </x:c>
      <x:c r="I245" s="42" t="str">
        <x:f>IF(COUNT(G245)=0,"",(COUNTIFS('93_REF_ANCHORS'!$A$7:$A$766,D245,'93_REF_ANCHORS'!$C$7:$C$766,"&lt;"&amp;G245)+COUNTIFS('93_REF_ANCHORS'!$A$7:$A$766,D245,'93_REF_ANCHORS'!$C$7:$C$766,"&lt;="&amp;G245)-1)/(2*(H245-1)))</x:f>
      </x:c>
      <x:c r="J245" s="34" t="str">
        <x:f>IF(B245="","",IF(COUNT(E245)=0,"MISSING",IF(NOT(ISNUMBER(E245)),"INVALID",IF(E245*F245&lt;K245,"WINSORIZED LOW",IF(E245*F245&gt;L245,"WINSORIZED HIGH","OK")))))</x:f>
      </x:c>
      <x:c r="K245" s="34" t="n">
        <x:v>0.728196</x:v>
      </x:c>
      <x:c r="L245" s="34" t="n">
        <x:v>0.94</x:v>
      </x:c>
      <x:c r="M245" s="34" t="n">
        <x:v>0.1111111111111111</x:v>
      </x:c>
      <x:c r="N245" s="34" t="str">
        <x:v>yes</x:v>
      </x:c>
    </x:row>
    <x:row r="246">
      <x:c r="A246" s="34" t="n">
        <x:v>24</x:v>
      </x:c>
      <x:c r="B246" s="34" t="str">
        <x:f>IF('01_INPUT_COMPANIES'!$A$30="","",'01_INPUT_COMPANIES'!$A$30)</x:f>
      </x:c>
      <x:c r="C246" s="34" t="str">
        <x:f>IF(B246="","",'01_INPUT_COMPANIES'!$B$30)</x:f>
      </x:c>
      <x:c r="D246" s="34" t="str">
        <x:v>outflow_to_capex_ratio</x:v>
      </x:c>
      <x:c r="E246" s="42" t="str">
        <x:f>IF(OR(B246="",COUNT('01_INPUT_COMPANIES'!$AC$30)=0),"",'01_INPUT_COMPANIES'!$AC$30)</x:f>
      </x:c>
      <x:c r="F246" s="42" t="n">
        <x:v>1</x:v>
      </x:c>
      <x:c r="G246" s="42" t="str">
        <x:f>IF(NOT(ISNUMBER(E246)),"",MAX(K246,MIN(L246,E246*F246)))</x:f>
      </x:c>
      <x:c r="H246" s="42" t="n">
        <x:v>97</x:v>
      </x:c>
      <x:c r="I246" s="42" t="str">
        <x:f>IF(COUNT(G246)=0,"",(COUNTIFS('93_REF_ANCHORS'!$A$7:$A$766,D246,'93_REF_ANCHORS'!$C$7:$C$766,"&lt;"&amp;G246)+COUNTIFS('93_REF_ANCHORS'!$A$7:$A$766,D246,'93_REF_ANCHORS'!$C$7:$C$766,"&lt;="&amp;G246)-1)/(2*(H246-1)))</x:f>
      </x:c>
      <x:c r="J246" s="34" t="str">
        <x:f>IF(B246="","",IF(COUNT(E246)=0,"MISSING",IF(NOT(ISNUMBER(E246)),"INVALID",IF(E246*F246&lt;K246,"WINSORIZED LOW",IF(E246*F246&gt;L246,"WINSORIZED HIGH","OK")))))</x:f>
      </x:c>
      <x:c r="K246" s="34" t="n">
        <x:v>-123.5385890408</x:v>
      </x:c>
      <x:c r="L246" s="34" t="n">
        <x:v>974.1666666666999</x:v>
      </x:c>
      <x:c r="M246" s="34" t="n">
        <x:v>0.1111111111111111</x:v>
      </x:c>
      <x:c r="N246" s="34" t="str">
        <x:v>no</x:v>
      </x:c>
    </x:row>
    <x:row r="247">
      <x:c r="A247" s="34" t="n">
        <x:v>25</x:v>
      </x:c>
      <x:c r="B247" s="34" t="str">
        <x:f>IF('01_INPUT_COMPANIES'!$A$31="","",'01_INPUT_COMPANIES'!$A$31)</x:f>
      </x:c>
      <x:c r="C247" s="34" t="str">
        <x:f>IF(B247="","",'01_INPUT_COMPANIES'!$B$31)</x:f>
      </x:c>
      <x:c r="D247" s="34" t="str">
        <x:v>effective_tax_rate_gap</x:v>
      </x:c>
      <x:c r="E247" s="42" t="str">
        <x:f>IF(OR(B247="",COUNT('01_INPUT_COMPANIES'!$T$31)=0),"",'01_INPUT_COMPANIES'!$T$31)</x:f>
      </x:c>
      <x:c r="F247" s="42" t="n">
        <x:v>1</x:v>
      </x:c>
      <x:c r="G247" s="42" t="str">
        <x:f>IF(NOT(ISNUMBER(E247)),"",MAX(K247,MIN(L247,E247*F247)))</x:f>
      </x:c>
      <x:c r="H247" s="42" t="n">
        <x:v>74</x:v>
      </x:c>
      <x:c r="I247" s="42" t="str">
        <x:f>IF(COUNT(G247)=0,"",(COUNTIFS('93_REF_ANCHORS'!$A$7:$A$766,D247,'93_REF_ANCHORS'!$C$7:$C$766,"&lt;"&amp;G247)+COUNTIFS('93_REF_ANCHORS'!$A$7:$A$766,D247,'93_REF_ANCHORS'!$C$7:$C$766,"&lt;="&amp;G247)-1)/(2*(H247-1)))</x:f>
      </x:c>
      <x:c r="J247" s="34" t="str">
        <x:f>IF(B247="","",IF(COUNT(E247)=0,"MISSING",IF(NOT(ISNUMBER(E247)),"INVALID",IF(E247*F247&lt;K247,"WINSORIZED LOW",IF(E247*F247&gt;L247,"WINSORIZED HIGH","OK")))))</x:f>
      </x:c>
      <x:c r="K247" s="34" t="n">
        <x:v>-0.1416111014</x:v>
      </x:c>
      <x:c r="L247" s="34" t="n">
        <x:v>0.2683650488</x:v>
      </x:c>
      <x:c r="M247" s="34" t="n">
        <x:v>0.1111111111111111</x:v>
      </x:c>
      <x:c r="N247" s="34" t="str">
        <x:v>no</x:v>
      </x:c>
    </x:row>
    <x:row r="248">
      <x:c r="A248" s="34" t="n">
        <x:v>25</x:v>
      </x:c>
      <x:c r="B248" s="34" t="str">
        <x:f>IF('01_INPUT_COMPANIES'!$A$31="","",'01_INPUT_COMPANIES'!$A$31)</x:f>
      </x:c>
      <x:c r="C248" s="34" t="str">
        <x:f>IF(B248="","",'01_INPUT_COMPANIES'!$B$31)</x:f>
      </x:c>
      <x:c r="D248" s="34" t="str">
        <x:v>infra_dependency_ratio</x:v>
      </x:c>
      <x:c r="E248" s="42" t="str">
        <x:f>IF(OR(B248="",COUNT('01_INPUT_COMPANIES'!$U$31)=0),"",'01_INPUT_COMPANIES'!$U$31)</x:f>
      </x:c>
      <x:c r="F248" s="42" t="n">
        <x:v>1</x:v>
      </x:c>
      <x:c r="G248" s="42" t="str">
        <x:f>IF(NOT(ISNUMBER(E248)),"",MAX(K248,MIN(L248,E248*F248)))</x:f>
      </x:c>
      <x:c r="H248" s="42" t="n">
        <x:v>64</x:v>
      </x:c>
      <x:c r="I248" s="42" t="str">
        <x:f>IF(COUNT(G248)=0,"",(COUNTIFS('93_REF_ANCHORS'!$A$7:$A$766,D248,'93_REF_ANCHORS'!$C$7:$C$766,"&lt;"&amp;G248)+COUNTIFS('93_REF_ANCHORS'!$A$7:$A$766,D248,'93_REF_ANCHORS'!$C$7:$C$766,"&lt;="&amp;G248)-1)/(2*(H248-1)))</x:f>
      </x:c>
      <x:c r="J248" s="34" t="str">
        <x:f>IF(B248="","",IF(COUNT(E248)=0,"MISSING",IF(NOT(ISNUMBER(E248)),"INVALID",IF(E248*F248&lt;K248,"WINSORIZED LOW",IF(E248*F248&gt;L248,"WINSORIZED HIGH","OK")))))</x:f>
      </x:c>
      <x:c r="K248" s="34" t="n">
        <x:v>-0.10705024705171803</x:v>
      </x:c>
      <x:c r="L248" s="34" t="n">
        <x:v>0.8008753865408955</x:v>
      </x:c>
      <x:c r="M248" s="34" t="n">
        <x:v>0.1111111111111111</x:v>
      </x:c>
      <x:c r="N248" s="34" t="str">
        <x:v>no</x:v>
      </x:c>
    </x:row>
    <x:row r="249">
      <x:c r="A249" s="34" t="n">
        <x:v>25</x:v>
      </x:c>
      <x:c r="B249" s="34" t="str">
        <x:f>IF('01_INPUT_COMPANIES'!$A$31="","",'01_INPUT_COMPANIES'!$A$31)</x:f>
      </x:c>
      <x:c r="C249" s="34" t="str">
        <x:f>IF(B249="","",'01_INPUT_COMPANIES'!$B$31)</x:f>
      </x:c>
      <x:c r="D249" s="34" t="str">
        <x:v>network_cost_ratio</x:v>
      </x:c>
      <x:c r="E249" s="42" t="str">
        <x:f>IF(OR(B249="",COUNT('01_INPUT_COMPANIES'!$V$31)=0),"",'01_INPUT_COMPANIES'!$V$31)</x:f>
      </x:c>
      <x:c r="F249" s="42" t="n">
        <x:v>1</x:v>
      </x:c>
      <x:c r="G249" s="42" t="str">
        <x:f>IF(NOT(ISNUMBER(E249)),"",MAX(K249,MIN(L249,E249*F249)))</x:f>
      </x:c>
      <x:c r="H249" s="42" t="n">
        <x:v>97</x:v>
      </x:c>
      <x:c r="I249" s="42" t="str">
        <x:f>IF(COUNT(G249)=0,"",(COUNTIFS('93_REF_ANCHORS'!$A$7:$A$766,D249,'93_REF_ANCHORS'!$C$7:$C$766,"&lt;"&amp;G249)+COUNTIFS('93_REF_ANCHORS'!$A$7:$A$766,D249,'93_REF_ANCHORS'!$C$7:$C$766,"&lt;="&amp;G249)-1)/(2*(H249-1)))</x:f>
      </x:c>
      <x:c r="J249" s="34" t="str">
        <x:f>IF(B249="","",IF(COUNT(E249)=0,"MISSING",IF(NOT(ISNUMBER(E249)),"INVALID",IF(E249*F249&lt;K249,"WINSORIZED LOW",IF(E249*F249&gt;L249,"WINSORIZED HIGH","OK")))))</x:f>
      </x:c>
      <x:c r="K249" s="34" t="n">
        <x:v>-0.1395374353</x:v>
      </x:c>
      <x:c r="L249" s="34" t="n">
        <x:v>0.9274274845000001</x:v>
      </x:c>
      <x:c r="M249" s="34" t="n">
        <x:v>0.1111111111111111</x:v>
      </x:c>
      <x:c r="N249" s="34" t="str">
        <x:v>no</x:v>
      </x:c>
    </x:row>
    <x:row r="250">
      <x:c r="A250" s="34" t="n">
        <x:v>25</x:v>
      </x:c>
      <x:c r="B250" s="34" t="str">
        <x:f>IF('01_INPUT_COMPANIES'!$A$31="","",'01_INPUT_COMPANIES'!$A$31)</x:f>
      </x:c>
      <x:c r="C250" s="34" t="str">
        <x:f>IF(B250="","",'01_INPUT_COMPANIES'!$B$31)</x:f>
      </x:c>
      <x:c r="D250" s="34" t="str">
        <x:v>cashflow_recovery_ratio</x:v>
      </x:c>
      <x:c r="E250" s="42" t="str">
        <x:f>IF(OR(B250="",COUNT('01_INPUT_COMPANIES'!$W$31)=0),"",'01_INPUT_COMPANIES'!$W$31)</x:f>
      </x:c>
      <x:c r="F250" s="42" t="n">
        <x:v>-1</x:v>
      </x:c>
      <x:c r="G250" s="42" t="str">
        <x:f>IF(NOT(ISNUMBER(E250)),"",MAX(K250,MIN(L250,E250*F250)))</x:f>
      </x:c>
      <x:c r="H250" s="42" t="n">
        <x:v>95</x:v>
      </x:c>
      <x:c r="I250" s="42" t="str">
        <x:f>IF(COUNT(G250)=0,"",(COUNTIFS('93_REF_ANCHORS'!$A$7:$A$766,D250,'93_REF_ANCHORS'!$C$7:$C$766,"&lt;"&amp;G250)+COUNTIFS('93_REF_ANCHORS'!$A$7:$A$766,D250,'93_REF_ANCHORS'!$C$7:$C$766,"&lt;="&amp;G250)-1)/(2*(H250-1)))</x:f>
      </x:c>
      <x:c r="J250" s="34" t="str">
        <x:f>IF(B250="","",IF(COUNT(E250)=0,"MISSING",IF(NOT(ISNUMBER(E250)),"INVALID",IF(E250*F250&lt;K250,"WINSORIZED LOW",IF(E250*F250&gt;L250,"WINSORIZED HIGH","OK")))))</x:f>
      </x:c>
      <x:c r="K250" s="34" t="n">
        <x:v>-300.75</x:v>
      </x:c>
      <x:c r="L250" s="34" t="n">
        <x:v>42.6920305469</x:v>
      </x:c>
      <x:c r="M250" s="34" t="n">
        <x:v>0.08333333333333333</x:v>
      </x:c>
      <x:c r="N250" s="34" t="str">
        <x:v>no</x:v>
      </x:c>
    </x:row>
    <x:row r="251">
      <x:c r="A251" s="34" t="n">
        <x:v>25</x:v>
      </x:c>
      <x:c r="B251" s="34" t="str">
        <x:f>IF('01_INPUT_COMPANIES'!$A$31="","",'01_INPUT_COMPANIES'!$A$31)</x:f>
      </x:c>
      <x:c r="C251" s="34" t="str">
        <x:f>IF(B251="","",'01_INPUT_COMPANIES'!$B$31)</x:f>
      </x:c>
      <x:c r="D251" s="34" t="str">
        <x:v>funding_cost_spread</x:v>
      </x:c>
      <x:c r="E251" s="42" t="str">
        <x:f>IF(OR(B251="",COUNT('01_INPUT_COMPANIES'!$X$31)=0),"",'01_INPUT_COMPANIES'!$X$31)</x:f>
      </x:c>
      <x:c r="F251" s="42" t="n">
        <x:v>1</x:v>
      </x:c>
      <x:c r="G251" s="42" t="str">
        <x:f>IF(NOT(ISNUMBER(E251)),"",MAX(K251,MIN(L251,E251*F251)))</x:f>
      </x:c>
      <x:c r="H251" s="42" t="n">
        <x:v>58</x:v>
      </x:c>
      <x:c r="I251" s="42" t="str">
        <x:f>IF(COUNT(G251)=0,"",(COUNTIFS('93_REF_ANCHORS'!$A$7:$A$766,D251,'93_REF_ANCHORS'!$C$7:$C$766,"&lt;"&amp;G251)+COUNTIFS('93_REF_ANCHORS'!$A$7:$A$766,D251,'93_REF_ANCHORS'!$C$7:$C$766,"&lt;="&amp;G251)-1)/(2*(H251-1)))</x:f>
      </x:c>
      <x:c r="J251" s="34" t="str">
        <x:f>IF(B251="","",IF(COUNT(E251)=0,"MISSING",IF(NOT(ISNUMBER(E251)),"INVALID",IF(E251*F251&lt;K251,"WINSORIZED LOW",IF(E251*F251&gt;L251,"WINSORIZED HIGH","OK")))))</x:f>
      </x:c>
      <x:c r="K251" s="34" t="n">
        <x:v>-0.4430292903</x:v>
      </x:c>
      <x:c r="L251" s="34" t="n">
        <x:v>0.5068913103</x:v>
      </x:c>
      <x:c r="M251" s="34" t="n">
        <x:v>0.08333333333333333</x:v>
      </x:c>
      <x:c r="N251" s="34" t="str">
        <x:v>no</x:v>
      </x:c>
    </x:row>
    <x:row r="252">
      <x:c r="A252" s="34" t="n">
        <x:v>25</x:v>
      </x:c>
      <x:c r="B252" s="34" t="str">
        <x:f>IF('01_INPUT_COMPANIES'!$A$31="","",'01_INPUT_COMPANIES'!$A$31)</x:f>
      </x:c>
      <x:c r="C252" s="34" t="str">
        <x:f>IF(B252="","",'01_INPUT_COMPANIES'!$B$31)</x:f>
      </x:c>
      <x:c r="D252" s="34" t="str">
        <x:v>investment_recovery_ratio</x:v>
      </x:c>
      <x:c r="E252" s="42" t="str">
        <x:f>IF(OR(B252="",COUNT('01_INPUT_COMPANIES'!$Y$31)=0),"",'01_INPUT_COMPANIES'!$Y$31)</x:f>
      </x:c>
      <x:c r="F252" s="42" t="n">
        <x:v>-1</x:v>
      </x:c>
      <x:c r="G252" s="42" t="str">
        <x:f>IF(NOT(ISNUMBER(E252)),"",MAX(K252,MIN(L252,E252*F252)))</x:f>
      </x:c>
      <x:c r="H252" s="42" t="n">
        <x:v>95</x:v>
      </x:c>
      <x:c r="I252" s="42" t="str">
        <x:f>IF(COUNT(G252)=0,"",(COUNTIFS('93_REF_ANCHORS'!$A$7:$A$766,D252,'93_REF_ANCHORS'!$C$7:$C$766,"&lt;"&amp;G252)+COUNTIFS('93_REF_ANCHORS'!$A$7:$A$766,D252,'93_REF_ANCHORS'!$C$7:$C$766,"&lt;="&amp;G252)-1)/(2*(H252-1)))</x:f>
      </x:c>
      <x:c r="J252" s="34" t="str">
        <x:f>IF(B252="","",IF(COUNT(E252)=0,"MISSING",IF(NOT(ISNUMBER(E252)),"INVALID",IF(E252*F252&lt;K252,"WINSORIZED LOW",IF(E252*F252&gt;L252,"WINSORIZED HIGH","OK")))))</x:f>
      </x:c>
      <x:c r="K252" s="34" t="n">
        <x:v>-3163.7500000000014</x:v>
      </x:c>
      <x:c r="L252" s="34" t="n">
        <x:v>189.68191301719997</x:v>
      </x:c>
      <x:c r="M252" s="34" t="n">
        <x:v>0.08333333333333333</x:v>
      </x:c>
      <x:c r="N252" s="34" t="str">
        <x:v>no</x:v>
      </x:c>
    </x:row>
    <x:row r="253">
      <x:c r="A253" s="34" t="n">
        <x:v>25</x:v>
      </x:c>
      <x:c r="B253" s="34" t="str">
        <x:f>IF('01_INPUT_COMPANIES'!$A$31="","",'01_INPUT_COMPANIES'!$A$31)</x:f>
      </x:c>
      <x:c r="C253" s="34" t="str">
        <x:f>IF(B253="","",'01_INPUT_COMPANIES'!$B$31)</x:f>
      </x:c>
      <x:c r="D253" s="34" t="str">
        <x:v>ip_assetization_gap</x:v>
      </x:c>
      <x:c r="E253" s="42" t="str">
        <x:f>IF(OR(B253="",COUNT('01_INPUT_COMPANIES'!$Z$31)=0),"",'01_INPUT_COMPANIES'!$Z$31)</x:f>
      </x:c>
      <x:c r="F253" s="42" t="n">
        <x:v>1</x:v>
      </x:c>
      <x:c r="G253" s="42" t="str">
        <x:f>IF(NOT(ISNUMBER(E253)),"",MAX(K253,MIN(L253,E253*F253)))</x:f>
      </x:c>
      <x:c r="H253" s="42" t="n">
        <x:v>92</x:v>
      </x:c>
      <x:c r="I253" s="42" t="str">
        <x:f>IF(COUNT(G253)=0,"",(COUNTIFS('93_REF_ANCHORS'!$A$7:$A$766,D253,'93_REF_ANCHORS'!$C$7:$C$766,"&lt;"&amp;G253)+COUNTIFS('93_REF_ANCHORS'!$A$7:$A$766,D253,'93_REF_ANCHORS'!$C$7:$C$766,"&lt;="&amp;G253)-1)/(2*(H253-1)))</x:f>
      </x:c>
      <x:c r="J253" s="34" t="str">
        <x:f>IF(B253="","",IF(COUNT(E253)=0,"MISSING",IF(NOT(ISNUMBER(E253)),"INVALID",IF(E253*F253&lt;K253,"WINSORIZED LOW",IF(E253*F253&gt;L253,"WINSORIZED HIGH","OK")))))</x:f>
      </x:c>
      <x:c r="K253" s="34" t="n">
        <x:v>-1.6707152386</x:v>
      </x:c>
      <x:c r="L253" s="34" t="n">
        <x:v>0.7716332556000001</x:v>
      </x:c>
      <x:c r="M253" s="34" t="n">
        <x:v>0.08333333333333333</x:v>
      </x:c>
      <x:c r="N253" s="34" t="str">
        <x:v>no</x:v>
      </x:c>
    </x:row>
    <x:row r="254">
      <x:c r="A254" s="34" t="n">
        <x:v>25</x:v>
      </x:c>
      <x:c r="B254" s="34" t="str">
        <x:f>IF('01_INPUT_COMPANIES'!$A$31="","",'01_INPUT_COMPANIES'!$A$31)</x:f>
      </x:c>
      <x:c r="C254" s="34" t="str">
        <x:f>IF(B254="","",'01_INPUT_COMPANIES'!$B$31)</x:f>
      </x:c>
      <x:c r="D254" s="34" t="str">
        <x:v>cross_market_transfer_index</x:v>
      </x:c>
      <x:c r="E254" s="42" t="str">
        <x:f>IF(OR(B254="",COUNT('01_INPUT_COMPANIES'!$AA$31)=0),"",'01_INPUT_COMPANIES'!$AA$31)</x:f>
      </x:c>
      <x:c r="F254" s="42" t="n">
        <x:v>1</x:v>
      </x:c>
      <x:c r="G254" s="42" t="str">
        <x:f>IF(NOT(ISNUMBER(E254)),"",MAX(K254,MIN(L254,E254*F254)))</x:f>
      </x:c>
      <x:c r="H254" s="42" t="n">
        <x:v>4</x:v>
      </x:c>
      <x:c r="I254" s="42" t="str">
        <x:f>IF(COUNT(G254)=0,"",(COUNTIFS('93_REF_ANCHORS'!$A$7:$A$766,D254,'93_REF_ANCHORS'!$C$7:$C$766,"&lt;"&amp;G254)+COUNTIFS('93_REF_ANCHORS'!$A$7:$A$766,D254,'93_REF_ANCHORS'!$C$7:$C$766,"&lt;="&amp;G254)-1)/(2*(H254-1)))</x:f>
      </x:c>
      <x:c r="J254" s="34" t="str">
        <x:f>IF(B254="","",IF(COUNT(E254)=0,"MISSING",IF(NOT(ISNUMBER(E254)),"INVALID",IF(E254*F254&lt;K254,"WINSORIZED LOW",IF(E254*F254&gt;L254,"WINSORIZED HIGH","OK")))))</x:f>
      </x:c>
      <x:c r="K254" s="34" t="n">
        <x:v>0</x:v>
      </x:c>
      <x:c r="L254" s="34" t="n">
        <x:v>0.7587051325360435</x:v>
      </x:c>
      <x:c r="M254" s="34" t="n">
        <x:v>0.1111111111111111</x:v>
      </x:c>
      <x:c r="N254" s="34" t="str">
        <x:v>yes</x:v>
      </x:c>
    </x:row>
    <x:row r="255">
      <x:c r="A255" s="34" t="n">
        <x:v>25</x:v>
      </x:c>
      <x:c r="B255" s="34" t="str">
        <x:f>IF('01_INPUT_COMPANIES'!$A$31="","",'01_INPUT_COMPANIES'!$A$31)</x:f>
      </x:c>
      <x:c r="C255" s="34" t="str">
        <x:f>IF(B255="","",'01_INPUT_COMPANIES'!$B$31)</x:f>
      </x:c>
      <x:c r="D255" s="34" t="str">
        <x:v>foreign_dependency_ratio</x:v>
      </x:c>
      <x:c r="E255" s="42" t="str">
        <x:f>IF(OR(B255="",COUNT('01_INPUT_COMPANIES'!$AB$31)=0),"",'01_INPUT_COMPANIES'!$AB$31)</x:f>
      </x:c>
      <x:c r="F255" s="42" t="n">
        <x:v>1</x:v>
      </x:c>
      <x:c r="G255" s="42" t="str">
        <x:f>IF(NOT(ISNUMBER(E255)),"",MAX(K255,MIN(L255,E255*F255)))</x:f>
      </x:c>
      <x:c r="H255" s="42" t="n">
        <x:v>84</x:v>
      </x:c>
      <x:c r="I255" s="42" t="str">
        <x:f>IF(COUNT(G255)=0,"",(COUNTIFS('93_REF_ANCHORS'!$A$7:$A$766,D255,'93_REF_ANCHORS'!$C$7:$C$766,"&lt;"&amp;G255)+COUNTIFS('93_REF_ANCHORS'!$A$7:$A$766,D255,'93_REF_ANCHORS'!$C$7:$C$766,"&lt;="&amp;G255)-1)/(2*(H255-1)))</x:f>
      </x:c>
      <x:c r="J255" s="34" t="str">
        <x:f>IF(B255="","",IF(COUNT(E255)=0,"MISSING",IF(NOT(ISNUMBER(E255)),"INVALID",IF(E255*F255&lt;K255,"WINSORIZED LOW",IF(E255*F255&gt;L255,"WINSORIZED HIGH","OK")))))</x:f>
      </x:c>
      <x:c r="K255" s="34" t="n">
        <x:v>0.728196</x:v>
      </x:c>
      <x:c r="L255" s="34" t="n">
        <x:v>0.94</x:v>
      </x:c>
      <x:c r="M255" s="34" t="n">
        <x:v>0.1111111111111111</x:v>
      </x:c>
      <x:c r="N255" s="34" t="str">
        <x:v>yes</x:v>
      </x:c>
    </x:row>
    <x:row r="256">
      <x:c r="A256" s="34" t="n">
        <x:v>25</x:v>
      </x:c>
      <x:c r="B256" s="34" t="str">
        <x:f>IF('01_INPUT_COMPANIES'!$A$31="","",'01_INPUT_COMPANIES'!$A$31)</x:f>
      </x:c>
      <x:c r="C256" s="34" t="str">
        <x:f>IF(B256="","",'01_INPUT_COMPANIES'!$B$31)</x:f>
      </x:c>
      <x:c r="D256" s="34" t="str">
        <x:v>outflow_to_capex_ratio</x:v>
      </x:c>
      <x:c r="E256" s="42" t="str">
        <x:f>IF(OR(B256="",COUNT('01_INPUT_COMPANIES'!$AC$31)=0),"",'01_INPUT_COMPANIES'!$AC$31)</x:f>
      </x:c>
      <x:c r="F256" s="42" t="n">
        <x:v>1</x:v>
      </x:c>
      <x:c r="G256" s="42" t="str">
        <x:f>IF(NOT(ISNUMBER(E256)),"",MAX(K256,MIN(L256,E256*F256)))</x:f>
      </x:c>
      <x:c r="H256" s="42" t="n">
        <x:v>97</x:v>
      </x:c>
      <x:c r="I256" s="42" t="str">
        <x:f>IF(COUNT(G256)=0,"",(COUNTIFS('93_REF_ANCHORS'!$A$7:$A$766,D256,'93_REF_ANCHORS'!$C$7:$C$766,"&lt;"&amp;G256)+COUNTIFS('93_REF_ANCHORS'!$A$7:$A$766,D256,'93_REF_ANCHORS'!$C$7:$C$766,"&lt;="&amp;G256)-1)/(2*(H256-1)))</x:f>
      </x:c>
      <x:c r="J256" s="34" t="str">
        <x:f>IF(B256="","",IF(COUNT(E256)=0,"MISSING",IF(NOT(ISNUMBER(E256)),"INVALID",IF(E256*F256&lt;K256,"WINSORIZED LOW",IF(E256*F256&gt;L256,"WINSORIZED HIGH","OK")))))</x:f>
      </x:c>
      <x:c r="K256" s="34" t="n">
        <x:v>-123.5385890408</x:v>
      </x:c>
      <x:c r="L256" s="34" t="n">
        <x:v>974.1666666666999</x:v>
      </x:c>
      <x:c r="M256" s="34" t="n">
        <x:v>0.1111111111111111</x:v>
      </x:c>
      <x:c r="N256" s="34" t="str">
        <x:v>no</x:v>
      </x:c>
    </x:row>
    <x:row r="257">
      <x:c r="A257" s="34" t="n">
        <x:v>26</x:v>
      </x:c>
      <x:c r="B257" s="34" t="str">
        <x:f>IF('01_INPUT_COMPANIES'!$A$32="","",'01_INPUT_COMPANIES'!$A$32)</x:f>
      </x:c>
      <x:c r="C257" s="34" t="str">
        <x:f>IF(B257="","",'01_INPUT_COMPANIES'!$B$32)</x:f>
      </x:c>
      <x:c r="D257" s="34" t="str">
        <x:v>effective_tax_rate_gap</x:v>
      </x:c>
      <x:c r="E257" s="42" t="str">
        <x:f>IF(OR(B257="",COUNT('01_INPUT_COMPANIES'!$T$32)=0),"",'01_INPUT_COMPANIES'!$T$32)</x:f>
      </x:c>
      <x:c r="F257" s="42" t="n">
        <x:v>1</x:v>
      </x:c>
      <x:c r="G257" s="42" t="str">
        <x:f>IF(NOT(ISNUMBER(E257)),"",MAX(K257,MIN(L257,E257*F257)))</x:f>
      </x:c>
      <x:c r="H257" s="42" t="n">
        <x:v>74</x:v>
      </x:c>
      <x:c r="I257" s="42" t="str">
        <x:f>IF(COUNT(G257)=0,"",(COUNTIFS('93_REF_ANCHORS'!$A$7:$A$766,D257,'93_REF_ANCHORS'!$C$7:$C$766,"&lt;"&amp;G257)+COUNTIFS('93_REF_ANCHORS'!$A$7:$A$766,D257,'93_REF_ANCHORS'!$C$7:$C$766,"&lt;="&amp;G257)-1)/(2*(H257-1)))</x:f>
      </x:c>
      <x:c r="J257" s="34" t="str">
        <x:f>IF(B257="","",IF(COUNT(E257)=0,"MISSING",IF(NOT(ISNUMBER(E257)),"INVALID",IF(E257*F257&lt;K257,"WINSORIZED LOW",IF(E257*F257&gt;L257,"WINSORIZED HIGH","OK")))))</x:f>
      </x:c>
      <x:c r="K257" s="34" t="n">
        <x:v>-0.1416111014</x:v>
      </x:c>
      <x:c r="L257" s="34" t="n">
        <x:v>0.2683650488</x:v>
      </x:c>
      <x:c r="M257" s="34" t="n">
        <x:v>0.1111111111111111</x:v>
      </x:c>
      <x:c r="N257" s="34" t="str">
        <x:v>no</x:v>
      </x:c>
    </x:row>
    <x:row r="258">
      <x:c r="A258" s="34" t="n">
        <x:v>26</x:v>
      </x:c>
      <x:c r="B258" s="34" t="str">
        <x:f>IF('01_INPUT_COMPANIES'!$A$32="","",'01_INPUT_COMPANIES'!$A$32)</x:f>
      </x:c>
      <x:c r="C258" s="34" t="str">
        <x:f>IF(B258="","",'01_INPUT_COMPANIES'!$B$32)</x:f>
      </x:c>
      <x:c r="D258" s="34" t="str">
        <x:v>infra_dependency_ratio</x:v>
      </x:c>
      <x:c r="E258" s="42" t="str">
        <x:f>IF(OR(B258="",COUNT('01_INPUT_COMPANIES'!$U$32)=0),"",'01_INPUT_COMPANIES'!$U$32)</x:f>
      </x:c>
      <x:c r="F258" s="42" t="n">
        <x:v>1</x:v>
      </x:c>
      <x:c r="G258" s="42" t="str">
        <x:f>IF(NOT(ISNUMBER(E258)),"",MAX(K258,MIN(L258,E258*F258)))</x:f>
      </x:c>
      <x:c r="H258" s="42" t="n">
        <x:v>64</x:v>
      </x:c>
      <x:c r="I258" s="42" t="str">
        <x:f>IF(COUNT(G258)=0,"",(COUNTIFS('93_REF_ANCHORS'!$A$7:$A$766,D258,'93_REF_ANCHORS'!$C$7:$C$766,"&lt;"&amp;G258)+COUNTIFS('93_REF_ANCHORS'!$A$7:$A$766,D258,'93_REF_ANCHORS'!$C$7:$C$766,"&lt;="&amp;G258)-1)/(2*(H258-1)))</x:f>
      </x:c>
      <x:c r="J258" s="34" t="str">
        <x:f>IF(B258="","",IF(COUNT(E258)=0,"MISSING",IF(NOT(ISNUMBER(E258)),"INVALID",IF(E258*F258&lt;K258,"WINSORIZED LOW",IF(E258*F258&gt;L258,"WINSORIZED HIGH","OK")))))</x:f>
      </x:c>
      <x:c r="K258" s="34" t="n">
        <x:v>-0.10705024705171803</x:v>
      </x:c>
      <x:c r="L258" s="34" t="n">
        <x:v>0.8008753865408955</x:v>
      </x:c>
      <x:c r="M258" s="34" t="n">
        <x:v>0.1111111111111111</x:v>
      </x:c>
      <x:c r="N258" s="34" t="str">
        <x:v>no</x:v>
      </x:c>
    </x:row>
    <x:row r="259">
      <x:c r="A259" s="34" t="n">
        <x:v>26</x:v>
      </x:c>
      <x:c r="B259" s="34" t="str">
        <x:f>IF('01_INPUT_COMPANIES'!$A$32="","",'01_INPUT_COMPANIES'!$A$32)</x:f>
      </x:c>
      <x:c r="C259" s="34" t="str">
        <x:f>IF(B259="","",'01_INPUT_COMPANIES'!$B$32)</x:f>
      </x:c>
      <x:c r="D259" s="34" t="str">
        <x:v>network_cost_ratio</x:v>
      </x:c>
      <x:c r="E259" s="42" t="str">
        <x:f>IF(OR(B259="",COUNT('01_INPUT_COMPANIES'!$V$32)=0),"",'01_INPUT_COMPANIES'!$V$32)</x:f>
      </x:c>
      <x:c r="F259" s="42" t="n">
        <x:v>1</x:v>
      </x:c>
      <x:c r="G259" s="42" t="str">
        <x:f>IF(NOT(ISNUMBER(E259)),"",MAX(K259,MIN(L259,E259*F259)))</x:f>
      </x:c>
      <x:c r="H259" s="42" t="n">
        <x:v>97</x:v>
      </x:c>
      <x:c r="I259" s="42" t="str">
        <x:f>IF(COUNT(G259)=0,"",(COUNTIFS('93_REF_ANCHORS'!$A$7:$A$766,D259,'93_REF_ANCHORS'!$C$7:$C$766,"&lt;"&amp;G259)+COUNTIFS('93_REF_ANCHORS'!$A$7:$A$766,D259,'93_REF_ANCHORS'!$C$7:$C$766,"&lt;="&amp;G259)-1)/(2*(H259-1)))</x:f>
      </x:c>
      <x:c r="J259" s="34" t="str">
        <x:f>IF(B259="","",IF(COUNT(E259)=0,"MISSING",IF(NOT(ISNUMBER(E259)),"INVALID",IF(E259*F259&lt;K259,"WINSORIZED LOW",IF(E259*F259&gt;L259,"WINSORIZED HIGH","OK")))))</x:f>
      </x:c>
      <x:c r="K259" s="34" t="n">
        <x:v>-0.1395374353</x:v>
      </x:c>
      <x:c r="L259" s="34" t="n">
        <x:v>0.9274274845000001</x:v>
      </x:c>
      <x:c r="M259" s="34" t="n">
        <x:v>0.1111111111111111</x:v>
      </x:c>
      <x:c r="N259" s="34" t="str">
        <x:v>no</x:v>
      </x:c>
    </x:row>
    <x:row r="260">
      <x:c r="A260" s="34" t="n">
        <x:v>26</x:v>
      </x:c>
      <x:c r="B260" s="34" t="str">
        <x:f>IF('01_INPUT_COMPANIES'!$A$32="","",'01_INPUT_COMPANIES'!$A$32)</x:f>
      </x:c>
      <x:c r="C260" s="34" t="str">
        <x:f>IF(B260="","",'01_INPUT_COMPANIES'!$B$32)</x:f>
      </x:c>
      <x:c r="D260" s="34" t="str">
        <x:v>cashflow_recovery_ratio</x:v>
      </x:c>
      <x:c r="E260" s="42" t="str">
        <x:f>IF(OR(B260="",COUNT('01_INPUT_COMPANIES'!$W$32)=0),"",'01_INPUT_COMPANIES'!$W$32)</x:f>
      </x:c>
      <x:c r="F260" s="42" t="n">
        <x:v>-1</x:v>
      </x:c>
      <x:c r="G260" s="42" t="str">
        <x:f>IF(NOT(ISNUMBER(E260)),"",MAX(K260,MIN(L260,E260*F260)))</x:f>
      </x:c>
      <x:c r="H260" s="42" t="n">
        <x:v>95</x:v>
      </x:c>
      <x:c r="I260" s="42" t="str">
        <x:f>IF(COUNT(G260)=0,"",(COUNTIFS('93_REF_ANCHORS'!$A$7:$A$766,D260,'93_REF_ANCHORS'!$C$7:$C$766,"&lt;"&amp;G260)+COUNTIFS('93_REF_ANCHORS'!$A$7:$A$766,D260,'93_REF_ANCHORS'!$C$7:$C$766,"&lt;="&amp;G260)-1)/(2*(H260-1)))</x:f>
      </x:c>
      <x:c r="J260" s="34" t="str">
        <x:f>IF(B260="","",IF(COUNT(E260)=0,"MISSING",IF(NOT(ISNUMBER(E260)),"INVALID",IF(E260*F260&lt;K260,"WINSORIZED LOW",IF(E260*F260&gt;L260,"WINSORIZED HIGH","OK")))))</x:f>
      </x:c>
      <x:c r="K260" s="34" t="n">
        <x:v>-300.75</x:v>
      </x:c>
      <x:c r="L260" s="34" t="n">
        <x:v>42.6920305469</x:v>
      </x:c>
      <x:c r="M260" s="34" t="n">
        <x:v>0.08333333333333333</x:v>
      </x:c>
      <x:c r="N260" s="34" t="str">
        <x:v>no</x:v>
      </x:c>
    </x:row>
    <x:row r="261">
      <x:c r="A261" s="34" t="n">
        <x:v>26</x:v>
      </x:c>
      <x:c r="B261" s="34" t="str">
        <x:f>IF('01_INPUT_COMPANIES'!$A$32="","",'01_INPUT_COMPANIES'!$A$32)</x:f>
      </x:c>
      <x:c r="C261" s="34" t="str">
        <x:f>IF(B261="","",'01_INPUT_COMPANIES'!$B$32)</x:f>
      </x:c>
      <x:c r="D261" s="34" t="str">
        <x:v>funding_cost_spread</x:v>
      </x:c>
      <x:c r="E261" s="42" t="str">
        <x:f>IF(OR(B261="",COUNT('01_INPUT_COMPANIES'!$X$32)=0),"",'01_INPUT_COMPANIES'!$X$32)</x:f>
      </x:c>
      <x:c r="F261" s="42" t="n">
        <x:v>1</x:v>
      </x:c>
      <x:c r="G261" s="42" t="str">
        <x:f>IF(NOT(ISNUMBER(E261)),"",MAX(K261,MIN(L261,E261*F261)))</x:f>
      </x:c>
      <x:c r="H261" s="42" t="n">
        <x:v>58</x:v>
      </x:c>
      <x:c r="I261" s="42" t="str">
        <x:f>IF(COUNT(G261)=0,"",(COUNTIFS('93_REF_ANCHORS'!$A$7:$A$766,D261,'93_REF_ANCHORS'!$C$7:$C$766,"&lt;"&amp;G261)+COUNTIFS('93_REF_ANCHORS'!$A$7:$A$766,D261,'93_REF_ANCHORS'!$C$7:$C$766,"&lt;="&amp;G261)-1)/(2*(H261-1)))</x:f>
      </x:c>
      <x:c r="J261" s="34" t="str">
        <x:f>IF(B261="","",IF(COUNT(E261)=0,"MISSING",IF(NOT(ISNUMBER(E261)),"INVALID",IF(E261*F261&lt;K261,"WINSORIZED LOW",IF(E261*F261&gt;L261,"WINSORIZED HIGH","OK")))))</x:f>
      </x:c>
      <x:c r="K261" s="34" t="n">
        <x:v>-0.4430292903</x:v>
      </x:c>
      <x:c r="L261" s="34" t="n">
        <x:v>0.5068913103</x:v>
      </x:c>
      <x:c r="M261" s="34" t="n">
        <x:v>0.08333333333333333</x:v>
      </x:c>
      <x:c r="N261" s="34" t="str">
        <x:v>no</x:v>
      </x:c>
    </x:row>
    <x:row r="262">
      <x:c r="A262" s="34" t="n">
        <x:v>26</x:v>
      </x:c>
      <x:c r="B262" s="34" t="str">
        <x:f>IF('01_INPUT_COMPANIES'!$A$32="","",'01_INPUT_COMPANIES'!$A$32)</x:f>
      </x:c>
      <x:c r="C262" s="34" t="str">
        <x:f>IF(B262="","",'01_INPUT_COMPANIES'!$B$32)</x:f>
      </x:c>
      <x:c r="D262" s="34" t="str">
        <x:v>investment_recovery_ratio</x:v>
      </x:c>
      <x:c r="E262" s="42" t="str">
        <x:f>IF(OR(B262="",COUNT('01_INPUT_COMPANIES'!$Y$32)=0),"",'01_INPUT_COMPANIES'!$Y$32)</x:f>
      </x:c>
      <x:c r="F262" s="42" t="n">
        <x:v>-1</x:v>
      </x:c>
      <x:c r="G262" s="42" t="str">
        <x:f>IF(NOT(ISNUMBER(E262)),"",MAX(K262,MIN(L262,E262*F262)))</x:f>
      </x:c>
      <x:c r="H262" s="42" t="n">
        <x:v>95</x:v>
      </x:c>
      <x:c r="I262" s="42" t="str">
        <x:f>IF(COUNT(G262)=0,"",(COUNTIFS('93_REF_ANCHORS'!$A$7:$A$766,D262,'93_REF_ANCHORS'!$C$7:$C$766,"&lt;"&amp;G262)+COUNTIFS('93_REF_ANCHORS'!$A$7:$A$766,D262,'93_REF_ANCHORS'!$C$7:$C$766,"&lt;="&amp;G262)-1)/(2*(H262-1)))</x:f>
      </x:c>
      <x:c r="J262" s="34" t="str">
        <x:f>IF(B262="","",IF(COUNT(E262)=0,"MISSING",IF(NOT(ISNUMBER(E262)),"INVALID",IF(E262*F262&lt;K262,"WINSORIZED LOW",IF(E262*F262&gt;L262,"WINSORIZED HIGH","OK")))))</x:f>
      </x:c>
      <x:c r="K262" s="34" t="n">
        <x:v>-3163.7500000000014</x:v>
      </x:c>
      <x:c r="L262" s="34" t="n">
        <x:v>189.68191301719997</x:v>
      </x:c>
      <x:c r="M262" s="34" t="n">
        <x:v>0.08333333333333333</x:v>
      </x:c>
      <x:c r="N262" s="34" t="str">
        <x:v>no</x:v>
      </x:c>
    </x:row>
    <x:row r="263">
      <x:c r="A263" s="34" t="n">
        <x:v>26</x:v>
      </x:c>
      <x:c r="B263" s="34" t="str">
        <x:f>IF('01_INPUT_COMPANIES'!$A$32="","",'01_INPUT_COMPANIES'!$A$32)</x:f>
      </x:c>
      <x:c r="C263" s="34" t="str">
        <x:f>IF(B263="","",'01_INPUT_COMPANIES'!$B$32)</x:f>
      </x:c>
      <x:c r="D263" s="34" t="str">
        <x:v>ip_assetization_gap</x:v>
      </x:c>
      <x:c r="E263" s="42" t="str">
        <x:f>IF(OR(B263="",COUNT('01_INPUT_COMPANIES'!$Z$32)=0),"",'01_INPUT_COMPANIES'!$Z$32)</x:f>
      </x:c>
      <x:c r="F263" s="42" t="n">
        <x:v>1</x:v>
      </x:c>
      <x:c r="G263" s="42" t="str">
        <x:f>IF(NOT(ISNUMBER(E263)),"",MAX(K263,MIN(L263,E263*F263)))</x:f>
      </x:c>
      <x:c r="H263" s="42" t="n">
        <x:v>92</x:v>
      </x:c>
      <x:c r="I263" s="42" t="str">
        <x:f>IF(COUNT(G263)=0,"",(COUNTIFS('93_REF_ANCHORS'!$A$7:$A$766,D263,'93_REF_ANCHORS'!$C$7:$C$766,"&lt;"&amp;G263)+COUNTIFS('93_REF_ANCHORS'!$A$7:$A$766,D263,'93_REF_ANCHORS'!$C$7:$C$766,"&lt;="&amp;G263)-1)/(2*(H263-1)))</x:f>
      </x:c>
      <x:c r="J263" s="34" t="str">
        <x:f>IF(B263="","",IF(COUNT(E263)=0,"MISSING",IF(NOT(ISNUMBER(E263)),"INVALID",IF(E263*F263&lt;K263,"WINSORIZED LOW",IF(E263*F263&gt;L263,"WINSORIZED HIGH","OK")))))</x:f>
      </x:c>
      <x:c r="K263" s="34" t="n">
        <x:v>-1.6707152386</x:v>
      </x:c>
      <x:c r="L263" s="34" t="n">
        <x:v>0.7716332556000001</x:v>
      </x:c>
      <x:c r="M263" s="34" t="n">
        <x:v>0.08333333333333333</x:v>
      </x:c>
      <x:c r="N263" s="34" t="str">
        <x:v>no</x:v>
      </x:c>
    </x:row>
    <x:row r="264">
      <x:c r="A264" s="34" t="n">
        <x:v>26</x:v>
      </x:c>
      <x:c r="B264" s="34" t="str">
        <x:f>IF('01_INPUT_COMPANIES'!$A$32="","",'01_INPUT_COMPANIES'!$A$32)</x:f>
      </x:c>
      <x:c r="C264" s="34" t="str">
        <x:f>IF(B264="","",'01_INPUT_COMPANIES'!$B$32)</x:f>
      </x:c>
      <x:c r="D264" s="34" t="str">
        <x:v>cross_market_transfer_index</x:v>
      </x:c>
      <x:c r="E264" s="42" t="str">
        <x:f>IF(OR(B264="",COUNT('01_INPUT_COMPANIES'!$AA$32)=0),"",'01_INPUT_COMPANIES'!$AA$32)</x:f>
      </x:c>
      <x:c r="F264" s="42" t="n">
        <x:v>1</x:v>
      </x:c>
      <x:c r="G264" s="42" t="str">
        <x:f>IF(NOT(ISNUMBER(E264)),"",MAX(K264,MIN(L264,E264*F264)))</x:f>
      </x:c>
      <x:c r="H264" s="42" t="n">
        <x:v>4</x:v>
      </x:c>
      <x:c r="I264" s="42" t="str">
        <x:f>IF(COUNT(G264)=0,"",(COUNTIFS('93_REF_ANCHORS'!$A$7:$A$766,D264,'93_REF_ANCHORS'!$C$7:$C$766,"&lt;"&amp;G264)+COUNTIFS('93_REF_ANCHORS'!$A$7:$A$766,D264,'93_REF_ANCHORS'!$C$7:$C$766,"&lt;="&amp;G264)-1)/(2*(H264-1)))</x:f>
      </x:c>
      <x:c r="J264" s="34" t="str">
        <x:f>IF(B264="","",IF(COUNT(E264)=0,"MISSING",IF(NOT(ISNUMBER(E264)),"INVALID",IF(E264*F264&lt;K264,"WINSORIZED LOW",IF(E264*F264&gt;L264,"WINSORIZED HIGH","OK")))))</x:f>
      </x:c>
      <x:c r="K264" s="34" t="n">
        <x:v>0</x:v>
      </x:c>
      <x:c r="L264" s="34" t="n">
        <x:v>0.7587051325360435</x:v>
      </x:c>
      <x:c r="M264" s="34" t="n">
        <x:v>0.1111111111111111</x:v>
      </x:c>
      <x:c r="N264" s="34" t="str">
        <x:v>yes</x:v>
      </x:c>
    </x:row>
    <x:row r="265">
      <x:c r="A265" s="34" t="n">
        <x:v>26</x:v>
      </x:c>
      <x:c r="B265" s="34" t="str">
        <x:f>IF('01_INPUT_COMPANIES'!$A$32="","",'01_INPUT_COMPANIES'!$A$32)</x:f>
      </x:c>
      <x:c r="C265" s="34" t="str">
        <x:f>IF(B265="","",'01_INPUT_COMPANIES'!$B$32)</x:f>
      </x:c>
      <x:c r="D265" s="34" t="str">
        <x:v>foreign_dependency_ratio</x:v>
      </x:c>
      <x:c r="E265" s="42" t="str">
        <x:f>IF(OR(B265="",COUNT('01_INPUT_COMPANIES'!$AB$32)=0),"",'01_INPUT_COMPANIES'!$AB$32)</x:f>
      </x:c>
      <x:c r="F265" s="42" t="n">
        <x:v>1</x:v>
      </x:c>
      <x:c r="G265" s="42" t="str">
        <x:f>IF(NOT(ISNUMBER(E265)),"",MAX(K265,MIN(L265,E265*F265)))</x:f>
      </x:c>
      <x:c r="H265" s="42" t="n">
        <x:v>84</x:v>
      </x:c>
      <x:c r="I265" s="42" t="str">
        <x:f>IF(COUNT(G265)=0,"",(COUNTIFS('93_REF_ANCHORS'!$A$7:$A$766,D265,'93_REF_ANCHORS'!$C$7:$C$766,"&lt;"&amp;G265)+COUNTIFS('93_REF_ANCHORS'!$A$7:$A$766,D265,'93_REF_ANCHORS'!$C$7:$C$766,"&lt;="&amp;G265)-1)/(2*(H265-1)))</x:f>
      </x:c>
      <x:c r="J265" s="34" t="str">
        <x:f>IF(B265="","",IF(COUNT(E265)=0,"MISSING",IF(NOT(ISNUMBER(E265)),"INVALID",IF(E265*F265&lt;K265,"WINSORIZED LOW",IF(E265*F265&gt;L265,"WINSORIZED HIGH","OK")))))</x:f>
      </x:c>
      <x:c r="K265" s="34" t="n">
        <x:v>0.728196</x:v>
      </x:c>
      <x:c r="L265" s="34" t="n">
        <x:v>0.94</x:v>
      </x:c>
      <x:c r="M265" s="34" t="n">
        <x:v>0.1111111111111111</x:v>
      </x:c>
      <x:c r="N265" s="34" t="str">
        <x:v>yes</x:v>
      </x:c>
    </x:row>
    <x:row r="266">
      <x:c r="A266" s="34" t="n">
        <x:v>26</x:v>
      </x:c>
      <x:c r="B266" s="34" t="str">
        <x:f>IF('01_INPUT_COMPANIES'!$A$32="","",'01_INPUT_COMPANIES'!$A$32)</x:f>
      </x:c>
      <x:c r="C266" s="34" t="str">
        <x:f>IF(B266="","",'01_INPUT_COMPANIES'!$B$32)</x:f>
      </x:c>
      <x:c r="D266" s="34" t="str">
        <x:v>outflow_to_capex_ratio</x:v>
      </x:c>
      <x:c r="E266" s="42" t="str">
        <x:f>IF(OR(B266="",COUNT('01_INPUT_COMPANIES'!$AC$32)=0),"",'01_INPUT_COMPANIES'!$AC$32)</x:f>
      </x:c>
      <x:c r="F266" s="42" t="n">
        <x:v>1</x:v>
      </x:c>
      <x:c r="G266" s="42" t="str">
        <x:f>IF(NOT(ISNUMBER(E266)),"",MAX(K266,MIN(L266,E266*F266)))</x:f>
      </x:c>
      <x:c r="H266" s="42" t="n">
        <x:v>97</x:v>
      </x:c>
      <x:c r="I266" s="42" t="str">
        <x:f>IF(COUNT(G266)=0,"",(COUNTIFS('93_REF_ANCHORS'!$A$7:$A$766,D266,'93_REF_ANCHORS'!$C$7:$C$766,"&lt;"&amp;G266)+COUNTIFS('93_REF_ANCHORS'!$A$7:$A$766,D266,'93_REF_ANCHORS'!$C$7:$C$766,"&lt;="&amp;G266)-1)/(2*(H266-1)))</x:f>
      </x:c>
      <x:c r="J266" s="34" t="str">
        <x:f>IF(B266="","",IF(COUNT(E266)=0,"MISSING",IF(NOT(ISNUMBER(E266)),"INVALID",IF(E266*F266&lt;K266,"WINSORIZED LOW",IF(E266*F266&gt;L266,"WINSORIZED HIGH","OK")))))</x:f>
      </x:c>
      <x:c r="K266" s="34" t="n">
        <x:v>-123.5385890408</x:v>
      </x:c>
      <x:c r="L266" s="34" t="n">
        <x:v>974.1666666666999</x:v>
      </x:c>
      <x:c r="M266" s="34" t="n">
        <x:v>0.1111111111111111</x:v>
      </x:c>
      <x:c r="N266" s="34" t="str">
        <x:v>no</x:v>
      </x:c>
    </x:row>
    <x:row r="267">
      <x:c r="A267" s="34" t="n">
        <x:v>27</x:v>
      </x:c>
      <x:c r="B267" s="34" t="str">
        <x:f>IF('01_INPUT_COMPANIES'!$A$33="","",'01_INPUT_COMPANIES'!$A$33)</x:f>
      </x:c>
      <x:c r="C267" s="34" t="str">
        <x:f>IF(B267="","",'01_INPUT_COMPANIES'!$B$33)</x:f>
      </x:c>
      <x:c r="D267" s="34" t="str">
        <x:v>effective_tax_rate_gap</x:v>
      </x:c>
      <x:c r="E267" s="42" t="str">
        <x:f>IF(OR(B267="",COUNT('01_INPUT_COMPANIES'!$T$33)=0),"",'01_INPUT_COMPANIES'!$T$33)</x:f>
      </x:c>
      <x:c r="F267" s="42" t="n">
        <x:v>1</x:v>
      </x:c>
      <x:c r="G267" s="42" t="str">
        <x:f>IF(NOT(ISNUMBER(E267)),"",MAX(K267,MIN(L267,E267*F267)))</x:f>
      </x:c>
      <x:c r="H267" s="42" t="n">
        <x:v>74</x:v>
      </x:c>
      <x:c r="I267" s="42" t="str">
        <x:f>IF(COUNT(G267)=0,"",(COUNTIFS('93_REF_ANCHORS'!$A$7:$A$766,D267,'93_REF_ANCHORS'!$C$7:$C$766,"&lt;"&amp;G267)+COUNTIFS('93_REF_ANCHORS'!$A$7:$A$766,D267,'93_REF_ANCHORS'!$C$7:$C$766,"&lt;="&amp;G267)-1)/(2*(H267-1)))</x:f>
      </x:c>
      <x:c r="J267" s="34" t="str">
        <x:f>IF(B267="","",IF(COUNT(E267)=0,"MISSING",IF(NOT(ISNUMBER(E267)),"INVALID",IF(E267*F267&lt;K267,"WINSORIZED LOW",IF(E267*F267&gt;L267,"WINSORIZED HIGH","OK")))))</x:f>
      </x:c>
      <x:c r="K267" s="34" t="n">
        <x:v>-0.1416111014</x:v>
      </x:c>
      <x:c r="L267" s="34" t="n">
        <x:v>0.2683650488</x:v>
      </x:c>
      <x:c r="M267" s="34" t="n">
        <x:v>0.1111111111111111</x:v>
      </x:c>
      <x:c r="N267" s="34" t="str">
        <x:v>no</x:v>
      </x:c>
    </x:row>
    <x:row r="268">
      <x:c r="A268" s="34" t="n">
        <x:v>27</x:v>
      </x:c>
      <x:c r="B268" s="34" t="str">
        <x:f>IF('01_INPUT_COMPANIES'!$A$33="","",'01_INPUT_COMPANIES'!$A$33)</x:f>
      </x:c>
      <x:c r="C268" s="34" t="str">
        <x:f>IF(B268="","",'01_INPUT_COMPANIES'!$B$33)</x:f>
      </x:c>
      <x:c r="D268" s="34" t="str">
        <x:v>infra_dependency_ratio</x:v>
      </x:c>
      <x:c r="E268" s="42" t="str">
        <x:f>IF(OR(B268="",COUNT('01_INPUT_COMPANIES'!$U$33)=0),"",'01_INPUT_COMPANIES'!$U$33)</x:f>
      </x:c>
      <x:c r="F268" s="42" t="n">
        <x:v>1</x:v>
      </x:c>
      <x:c r="G268" s="42" t="str">
        <x:f>IF(NOT(ISNUMBER(E268)),"",MAX(K268,MIN(L268,E268*F268)))</x:f>
      </x:c>
      <x:c r="H268" s="42" t="n">
        <x:v>64</x:v>
      </x:c>
      <x:c r="I268" s="42" t="str">
        <x:f>IF(COUNT(G268)=0,"",(COUNTIFS('93_REF_ANCHORS'!$A$7:$A$766,D268,'93_REF_ANCHORS'!$C$7:$C$766,"&lt;"&amp;G268)+COUNTIFS('93_REF_ANCHORS'!$A$7:$A$766,D268,'93_REF_ANCHORS'!$C$7:$C$766,"&lt;="&amp;G268)-1)/(2*(H268-1)))</x:f>
      </x:c>
      <x:c r="J268" s="34" t="str">
        <x:f>IF(B268="","",IF(COUNT(E268)=0,"MISSING",IF(NOT(ISNUMBER(E268)),"INVALID",IF(E268*F268&lt;K268,"WINSORIZED LOW",IF(E268*F268&gt;L268,"WINSORIZED HIGH","OK")))))</x:f>
      </x:c>
      <x:c r="K268" s="34" t="n">
        <x:v>-0.10705024705171803</x:v>
      </x:c>
      <x:c r="L268" s="34" t="n">
        <x:v>0.8008753865408955</x:v>
      </x:c>
      <x:c r="M268" s="34" t="n">
        <x:v>0.1111111111111111</x:v>
      </x:c>
      <x:c r="N268" s="34" t="str">
        <x:v>no</x:v>
      </x:c>
    </x:row>
    <x:row r="269">
      <x:c r="A269" s="34" t="n">
        <x:v>27</x:v>
      </x:c>
      <x:c r="B269" s="34" t="str">
        <x:f>IF('01_INPUT_COMPANIES'!$A$33="","",'01_INPUT_COMPANIES'!$A$33)</x:f>
      </x:c>
      <x:c r="C269" s="34" t="str">
        <x:f>IF(B269="","",'01_INPUT_COMPANIES'!$B$33)</x:f>
      </x:c>
      <x:c r="D269" s="34" t="str">
        <x:v>network_cost_ratio</x:v>
      </x:c>
      <x:c r="E269" s="42" t="str">
        <x:f>IF(OR(B269="",COUNT('01_INPUT_COMPANIES'!$V$33)=0),"",'01_INPUT_COMPANIES'!$V$33)</x:f>
      </x:c>
      <x:c r="F269" s="42" t="n">
        <x:v>1</x:v>
      </x:c>
      <x:c r="G269" s="42" t="str">
        <x:f>IF(NOT(ISNUMBER(E269)),"",MAX(K269,MIN(L269,E269*F269)))</x:f>
      </x:c>
      <x:c r="H269" s="42" t="n">
        <x:v>97</x:v>
      </x:c>
      <x:c r="I269" s="42" t="str">
        <x:f>IF(COUNT(G269)=0,"",(COUNTIFS('93_REF_ANCHORS'!$A$7:$A$766,D269,'93_REF_ANCHORS'!$C$7:$C$766,"&lt;"&amp;G269)+COUNTIFS('93_REF_ANCHORS'!$A$7:$A$766,D269,'93_REF_ANCHORS'!$C$7:$C$766,"&lt;="&amp;G269)-1)/(2*(H269-1)))</x:f>
      </x:c>
      <x:c r="J269" s="34" t="str">
        <x:f>IF(B269="","",IF(COUNT(E269)=0,"MISSING",IF(NOT(ISNUMBER(E269)),"INVALID",IF(E269*F269&lt;K269,"WINSORIZED LOW",IF(E269*F269&gt;L269,"WINSORIZED HIGH","OK")))))</x:f>
      </x:c>
      <x:c r="K269" s="34" t="n">
        <x:v>-0.1395374353</x:v>
      </x:c>
      <x:c r="L269" s="34" t="n">
        <x:v>0.9274274845000001</x:v>
      </x:c>
      <x:c r="M269" s="34" t="n">
        <x:v>0.1111111111111111</x:v>
      </x:c>
      <x:c r="N269" s="34" t="str">
        <x:v>no</x:v>
      </x:c>
    </x:row>
    <x:row r="270">
      <x:c r="A270" s="34" t="n">
        <x:v>27</x:v>
      </x:c>
      <x:c r="B270" s="34" t="str">
        <x:f>IF('01_INPUT_COMPANIES'!$A$33="","",'01_INPUT_COMPANIES'!$A$33)</x:f>
      </x:c>
      <x:c r="C270" s="34" t="str">
        <x:f>IF(B270="","",'01_INPUT_COMPANIES'!$B$33)</x:f>
      </x:c>
      <x:c r="D270" s="34" t="str">
        <x:v>cashflow_recovery_ratio</x:v>
      </x:c>
      <x:c r="E270" s="42" t="str">
        <x:f>IF(OR(B270="",COUNT('01_INPUT_COMPANIES'!$W$33)=0),"",'01_INPUT_COMPANIES'!$W$33)</x:f>
      </x:c>
      <x:c r="F270" s="42" t="n">
        <x:v>-1</x:v>
      </x:c>
      <x:c r="G270" s="42" t="str">
        <x:f>IF(NOT(ISNUMBER(E270)),"",MAX(K270,MIN(L270,E270*F270)))</x:f>
      </x:c>
      <x:c r="H270" s="42" t="n">
        <x:v>95</x:v>
      </x:c>
      <x:c r="I270" s="42" t="str">
        <x:f>IF(COUNT(G270)=0,"",(COUNTIFS('93_REF_ANCHORS'!$A$7:$A$766,D270,'93_REF_ANCHORS'!$C$7:$C$766,"&lt;"&amp;G270)+COUNTIFS('93_REF_ANCHORS'!$A$7:$A$766,D270,'93_REF_ANCHORS'!$C$7:$C$766,"&lt;="&amp;G270)-1)/(2*(H270-1)))</x:f>
      </x:c>
      <x:c r="J270" s="34" t="str">
        <x:f>IF(B270="","",IF(COUNT(E270)=0,"MISSING",IF(NOT(ISNUMBER(E270)),"INVALID",IF(E270*F270&lt;K270,"WINSORIZED LOW",IF(E270*F270&gt;L270,"WINSORIZED HIGH","OK")))))</x:f>
      </x:c>
      <x:c r="K270" s="34" t="n">
        <x:v>-300.75</x:v>
      </x:c>
      <x:c r="L270" s="34" t="n">
        <x:v>42.6920305469</x:v>
      </x:c>
      <x:c r="M270" s="34" t="n">
        <x:v>0.08333333333333333</x:v>
      </x:c>
      <x:c r="N270" s="34" t="str">
        <x:v>no</x:v>
      </x:c>
    </x:row>
    <x:row r="271">
      <x:c r="A271" s="34" t="n">
        <x:v>27</x:v>
      </x:c>
      <x:c r="B271" s="34" t="str">
        <x:f>IF('01_INPUT_COMPANIES'!$A$33="","",'01_INPUT_COMPANIES'!$A$33)</x:f>
      </x:c>
      <x:c r="C271" s="34" t="str">
        <x:f>IF(B271="","",'01_INPUT_COMPANIES'!$B$33)</x:f>
      </x:c>
      <x:c r="D271" s="34" t="str">
        <x:v>funding_cost_spread</x:v>
      </x:c>
      <x:c r="E271" s="42" t="str">
        <x:f>IF(OR(B271="",COUNT('01_INPUT_COMPANIES'!$X$33)=0),"",'01_INPUT_COMPANIES'!$X$33)</x:f>
      </x:c>
      <x:c r="F271" s="42" t="n">
        <x:v>1</x:v>
      </x:c>
      <x:c r="G271" s="42" t="str">
        <x:f>IF(NOT(ISNUMBER(E271)),"",MAX(K271,MIN(L271,E271*F271)))</x:f>
      </x:c>
      <x:c r="H271" s="42" t="n">
        <x:v>58</x:v>
      </x:c>
      <x:c r="I271" s="42" t="str">
        <x:f>IF(COUNT(G271)=0,"",(COUNTIFS('93_REF_ANCHORS'!$A$7:$A$766,D271,'93_REF_ANCHORS'!$C$7:$C$766,"&lt;"&amp;G271)+COUNTIFS('93_REF_ANCHORS'!$A$7:$A$766,D271,'93_REF_ANCHORS'!$C$7:$C$766,"&lt;="&amp;G271)-1)/(2*(H271-1)))</x:f>
      </x:c>
      <x:c r="J271" s="34" t="str">
        <x:f>IF(B271="","",IF(COUNT(E271)=0,"MISSING",IF(NOT(ISNUMBER(E271)),"INVALID",IF(E271*F271&lt;K271,"WINSORIZED LOW",IF(E271*F271&gt;L271,"WINSORIZED HIGH","OK")))))</x:f>
      </x:c>
      <x:c r="K271" s="34" t="n">
        <x:v>-0.4430292903</x:v>
      </x:c>
      <x:c r="L271" s="34" t="n">
        <x:v>0.5068913103</x:v>
      </x:c>
      <x:c r="M271" s="34" t="n">
        <x:v>0.08333333333333333</x:v>
      </x:c>
      <x:c r="N271" s="34" t="str">
        <x:v>no</x:v>
      </x:c>
    </x:row>
    <x:row r="272">
      <x:c r="A272" s="34" t="n">
        <x:v>27</x:v>
      </x:c>
      <x:c r="B272" s="34" t="str">
        <x:f>IF('01_INPUT_COMPANIES'!$A$33="","",'01_INPUT_COMPANIES'!$A$33)</x:f>
      </x:c>
      <x:c r="C272" s="34" t="str">
        <x:f>IF(B272="","",'01_INPUT_COMPANIES'!$B$33)</x:f>
      </x:c>
      <x:c r="D272" s="34" t="str">
        <x:v>investment_recovery_ratio</x:v>
      </x:c>
      <x:c r="E272" s="42" t="str">
        <x:f>IF(OR(B272="",COUNT('01_INPUT_COMPANIES'!$Y$33)=0),"",'01_INPUT_COMPANIES'!$Y$33)</x:f>
      </x:c>
      <x:c r="F272" s="42" t="n">
        <x:v>-1</x:v>
      </x:c>
      <x:c r="G272" s="42" t="str">
        <x:f>IF(NOT(ISNUMBER(E272)),"",MAX(K272,MIN(L272,E272*F272)))</x:f>
      </x:c>
      <x:c r="H272" s="42" t="n">
        <x:v>95</x:v>
      </x:c>
      <x:c r="I272" s="42" t="str">
        <x:f>IF(COUNT(G272)=0,"",(COUNTIFS('93_REF_ANCHORS'!$A$7:$A$766,D272,'93_REF_ANCHORS'!$C$7:$C$766,"&lt;"&amp;G272)+COUNTIFS('93_REF_ANCHORS'!$A$7:$A$766,D272,'93_REF_ANCHORS'!$C$7:$C$766,"&lt;="&amp;G272)-1)/(2*(H272-1)))</x:f>
      </x:c>
      <x:c r="J272" s="34" t="str">
        <x:f>IF(B272="","",IF(COUNT(E272)=0,"MISSING",IF(NOT(ISNUMBER(E272)),"INVALID",IF(E272*F272&lt;K272,"WINSORIZED LOW",IF(E272*F272&gt;L272,"WINSORIZED HIGH","OK")))))</x:f>
      </x:c>
      <x:c r="K272" s="34" t="n">
        <x:v>-3163.7500000000014</x:v>
      </x:c>
      <x:c r="L272" s="34" t="n">
        <x:v>189.68191301719997</x:v>
      </x:c>
      <x:c r="M272" s="34" t="n">
        <x:v>0.08333333333333333</x:v>
      </x:c>
      <x:c r="N272" s="34" t="str">
        <x:v>no</x:v>
      </x:c>
    </x:row>
    <x:row r="273">
      <x:c r="A273" s="34" t="n">
        <x:v>27</x:v>
      </x:c>
      <x:c r="B273" s="34" t="str">
        <x:f>IF('01_INPUT_COMPANIES'!$A$33="","",'01_INPUT_COMPANIES'!$A$33)</x:f>
      </x:c>
      <x:c r="C273" s="34" t="str">
        <x:f>IF(B273="","",'01_INPUT_COMPANIES'!$B$33)</x:f>
      </x:c>
      <x:c r="D273" s="34" t="str">
        <x:v>ip_assetization_gap</x:v>
      </x:c>
      <x:c r="E273" s="42" t="str">
        <x:f>IF(OR(B273="",COUNT('01_INPUT_COMPANIES'!$Z$33)=0),"",'01_INPUT_COMPANIES'!$Z$33)</x:f>
      </x:c>
      <x:c r="F273" s="42" t="n">
        <x:v>1</x:v>
      </x:c>
      <x:c r="G273" s="42" t="str">
        <x:f>IF(NOT(ISNUMBER(E273)),"",MAX(K273,MIN(L273,E273*F273)))</x:f>
      </x:c>
      <x:c r="H273" s="42" t="n">
        <x:v>92</x:v>
      </x:c>
      <x:c r="I273" s="42" t="str">
        <x:f>IF(COUNT(G273)=0,"",(COUNTIFS('93_REF_ANCHORS'!$A$7:$A$766,D273,'93_REF_ANCHORS'!$C$7:$C$766,"&lt;"&amp;G273)+COUNTIFS('93_REF_ANCHORS'!$A$7:$A$766,D273,'93_REF_ANCHORS'!$C$7:$C$766,"&lt;="&amp;G273)-1)/(2*(H273-1)))</x:f>
      </x:c>
      <x:c r="J273" s="34" t="str">
        <x:f>IF(B273="","",IF(COUNT(E273)=0,"MISSING",IF(NOT(ISNUMBER(E273)),"INVALID",IF(E273*F273&lt;K273,"WINSORIZED LOW",IF(E273*F273&gt;L273,"WINSORIZED HIGH","OK")))))</x:f>
      </x:c>
      <x:c r="K273" s="34" t="n">
        <x:v>-1.6707152386</x:v>
      </x:c>
      <x:c r="L273" s="34" t="n">
        <x:v>0.7716332556000001</x:v>
      </x:c>
      <x:c r="M273" s="34" t="n">
        <x:v>0.08333333333333333</x:v>
      </x:c>
      <x:c r="N273" s="34" t="str">
        <x:v>no</x:v>
      </x:c>
    </x:row>
    <x:row r="274">
      <x:c r="A274" s="34" t="n">
        <x:v>27</x:v>
      </x:c>
      <x:c r="B274" s="34" t="str">
        <x:f>IF('01_INPUT_COMPANIES'!$A$33="","",'01_INPUT_COMPANIES'!$A$33)</x:f>
      </x:c>
      <x:c r="C274" s="34" t="str">
        <x:f>IF(B274="","",'01_INPUT_COMPANIES'!$B$33)</x:f>
      </x:c>
      <x:c r="D274" s="34" t="str">
        <x:v>cross_market_transfer_index</x:v>
      </x:c>
      <x:c r="E274" s="42" t="str">
        <x:f>IF(OR(B274="",COUNT('01_INPUT_COMPANIES'!$AA$33)=0),"",'01_INPUT_COMPANIES'!$AA$33)</x:f>
      </x:c>
      <x:c r="F274" s="42" t="n">
        <x:v>1</x:v>
      </x:c>
      <x:c r="G274" s="42" t="str">
        <x:f>IF(NOT(ISNUMBER(E274)),"",MAX(K274,MIN(L274,E274*F274)))</x:f>
      </x:c>
      <x:c r="H274" s="42" t="n">
        <x:v>4</x:v>
      </x:c>
      <x:c r="I274" s="42" t="str">
        <x:f>IF(COUNT(G274)=0,"",(COUNTIFS('93_REF_ANCHORS'!$A$7:$A$766,D274,'93_REF_ANCHORS'!$C$7:$C$766,"&lt;"&amp;G274)+COUNTIFS('93_REF_ANCHORS'!$A$7:$A$766,D274,'93_REF_ANCHORS'!$C$7:$C$766,"&lt;="&amp;G274)-1)/(2*(H274-1)))</x:f>
      </x:c>
      <x:c r="J274" s="34" t="str">
        <x:f>IF(B274="","",IF(COUNT(E274)=0,"MISSING",IF(NOT(ISNUMBER(E274)),"INVALID",IF(E274*F274&lt;K274,"WINSORIZED LOW",IF(E274*F274&gt;L274,"WINSORIZED HIGH","OK")))))</x:f>
      </x:c>
      <x:c r="K274" s="34" t="n">
        <x:v>0</x:v>
      </x:c>
      <x:c r="L274" s="34" t="n">
        <x:v>0.7587051325360435</x:v>
      </x:c>
      <x:c r="M274" s="34" t="n">
        <x:v>0.1111111111111111</x:v>
      </x:c>
      <x:c r="N274" s="34" t="str">
        <x:v>yes</x:v>
      </x:c>
    </x:row>
    <x:row r="275">
      <x:c r="A275" s="34" t="n">
        <x:v>27</x:v>
      </x:c>
      <x:c r="B275" s="34" t="str">
        <x:f>IF('01_INPUT_COMPANIES'!$A$33="","",'01_INPUT_COMPANIES'!$A$33)</x:f>
      </x:c>
      <x:c r="C275" s="34" t="str">
        <x:f>IF(B275="","",'01_INPUT_COMPANIES'!$B$33)</x:f>
      </x:c>
      <x:c r="D275" s="34" t="str">
        <x:v>foreign_dependency_ratio</x:v>
      </x:c>
      <x:c r="E275" s="42" t="str">
        <x:f>IF(OR(B275="",COUNT('01_INPUT_COMPANIES'!$AB$33)=0),"",'01_INPUT_COMPANIES'!$AB$33)</x:f>
      </x:c>
      <x:c r="F275" s="42" t="n">
        <x:v>1</x:v>
      </x:c>
      <x:c r="G275" s="42" t="str">
        <x:f>IF(NOT(ISNUMBER(E275)),"",MAX(K275,MIN(L275,E275*F275)))</x:f>
      </x:c>
      <x:c r="H275" s="42" t="n">
        <x:v>84</x:v>
      </x:c>
      <x:c r="I275" s="42" t="str">
        <x:f>IF(COUNT(G275)=0,"",(COUNTIFS('93_REF_ANCHORS'!$A$7:$A$766,D275,'93_REF_ANCHORS'!$C$7:$C$766,"&lt;"&amp;G275)+COUNTIFS('93_REF_ANCHORS'!$A$7:$A$766,D275,'93_REF_ANCHORS'!$C$7:$C$766,"&lt;="&amp;G275)-1)/(2*(H275-1)))</x:f>
      </x:c>
      <x:c r="J275" s="34" t="str">
        <x:f>IF(B275="","",IF(COUNT(E275)=0,"MISSING",IF(NOT(ISNUMBER(E275)),"INVALID",IF(E275*F275&lt;K275,"WINSORIZED LOW",IF(E275*F275&gt;L275,"WINSORIZED HIGH","OK")))))</x:f>
      </x:c>
      <x:c r="K275" s="34" t="n">
        <x:v>0.728196</x:v>
      </x:c>
      <x:c r="L275" s="34" t="n">
        <x:v>0.94</x:v>
      </x:c>
      <x:c r="M275" s="34" t="n">
        <x:v>0.1111111111111111</x:v>
      </x:c>
      <x:c r="N275" s="34" t="str">
        <x:v>yes</x:v>
      </x:c>
    </x:row>
    <x:row r="276">
      <x:c r="A276" s="34" t="n">
        <x:v>27</x:v>
      </x:c>
      <x:c r="B276" s="34" t="str">
        <x:f>IF('01_INPUT_COMPANIES'!$A$33="","",'01_INPUT_COMPANIES'!$A$33)</x:f>
      </x:c>
      <x:c r="C276" s="34" t="str">
        <x:f>IF(B276="","",'01_INPUT_COMPANIES'!$B$33)</x:f>
      </x:c>
      <x:c r="D276" s="34" t="str">
        <x:v>outflow_to_capex_ratio</x:v>
      </x:c>
      <x:c r="E276" s="42" t="str">
        <x:f>IF(OR(B276="",COUNT('01_INPUT_COMPANIES'!$AC$33)=0),"",'01_INPUT_COMPANIES'!$AC$33)</x:f>
      </x:c>
      <x:c r="F276" s="42" t="n">
        <x:v>1</x:v>
      </x:c>
      <x:c r="G276" s="42" t="str">
        <x:f>IF(NOT(ISNUMBER(E276)),"",MAX(K276,MIN(L276,E276*F276)))</x:f>
      </x:c>
      <x:c r="H276" s="42" t="n">
        <x:v>97</x:v>
      </x:c>
      <x:c r="I276" s="42" t="str">
        <x:f>IF(COUNT(G276)=0,"",(COUNTIFS('93_REF_ANCHORS'!$A$7:$A$766,D276,'93_REF_ANCHORS'!$C$7:$C$766,"&lt;"&amp;G276)+COUNTIFS('93_REF_ANCHORS'!$A$7:$A$766,D276,'93_REF_ANCHORS'!$C$7:$C$766,"&lt;="&amp;G276)-1)/(2*(H276-1)))</x:f>
      </x:c>
      <x:c r="J276" s="34" t="str">
        <x:f>IF(B276="","",IF(COUNT(E276)=0,"MISSING",IF(NOT(ISNUMBER(E276)),"INVALID",IF(E276*F276&lt;K276,"WINSORIZED LOW",IF(E276*F276&gt;L276,"WINSORIZED HIGH","OK")))))</x:f>
      </x:c>
      <x:c r="K276" s="34" t="n">
        <x:v>-123.5385890408</x:v>
      </x:c>
      <x:c r="L276" s="34" t="n">
        <x:v>974.1666666666999</x:v>
      </x:c>
      <x:c r="M276" s="34" t="n">
        <x:v>0.1111111111111111</x:v>
      </x:c>
      <x:c r="N276" s="34" t="str">
        <x:v>no</x:v>
      </x:c>
    </x:row>
    <x:row r="277">
      <x:c r="A277" s="34" t="n">
        <x:v>28</x:v>
      </x:c>
      <x:c r="B277" s="34" t="str">
        <x:f>IF('01_INPUT_COMPANIES'!$A$34="","",'01_INPUT_COMPANIES'!$A$34)</x:f>
      </x:c>
      <x:c r="C277" s="34" t="str">
        <x:f>IF(B277="","",'01_INPUT_COMPANIES'!$B$34)</x:f>
      </x:c>
      <x:c r="D277" s="34" t="str">
        <x:v>effective_tax_rate_gap</x:v>
      </x:c>
      <x:c r="E277" s="42" t="str">
        <x:f>IF(OR(B277="",COUNT('01_INPUT_COMPANIES'!$T$34)=0),"",'01_INPUT_COMPANIES'!$T$34)</x:f>
      </x:c>
      <x:c r="F277" s="42" t="n">
        <x:v>1</x:v>
      </x:c>
      <x:c r="G277" s="42" t="str">
        <x:f>IF(NOT(ISNUMBER(E277)),"",MAX(K277,MIN(L277,E277*F277)))</x:f>
      </x:c>
      <x:c r="H277" s="42" t="n">
        <x:v>74</x:v>
      </x:c>
      <x:c r="I277" s="42" t="str">
        <x:f>IF(COUNT(G277)=0,"",(COUNTIFS('93_REF_ANCHORS'!$A$7:$A$766,D277,'93_REF_ANCHORS'!$C$7:$C$766,"&lt;"&amp;G277)+COUNTIFS('93_REF_ANCHORS'!$A$7:$A$766,D277,'93_REF_ANCHORS'!$C$7:$C$766,"&lt;="&amp;G277)-1)/(2*(H277-1)))</x:f>
      </x:c>
      <x:c r="J277" s="34" t="str">
        <x:f>IF(B277="","",IF(COUNT(E277)=0,"MISSING",IF(NOT(ISNUMBER(E277)),"INVALID",IF(E277*F277&lt;K277,"WINSORIZED LOW",IF(E277*F277&gt;L277,"WINSORIZED HIGH","OK")))))</x:f>
      </x:c>
      <x:c r="K277" s="34" t="n">
        <x:v>-0.1416111014</x:v>
      </x:c>
      <x:c r="L277" s="34" t="n">
        <x:v>0.2683650488</x:v>
      </x:c>
      <x:c r="M277" s="34" t="n">
        <x:v>0.1111111111111111</x:v>
      </x:c>
      <x:c r="N277" s="34" t="str">
        <x:v>no</x:v>
      </x:c>
    </x:row>
    <x:row r="278">
      <x:c r="A278" s="34" t="n">
        <x:v>28</x:v>
      </x:c>
      <x:c r="B278" s="34" t="str">
        <x:f>IF('01_INPUT_COMPANIES'!$A$34="","",'01_INPUT_COMPANIES'!$A$34)</x:f>
      </x:c>
      <x:c r="C278" s="34" t="str">
        <x:f>IF(B278="","",'01_INPUT_COMPANIES'!$B$34)</x:f>
      </x:c>
      <x:c r="D278" s="34" t="str">
        <x:v>infra_dependency_ratio</x:v>
      </x:c>
      <x:c r="E278" s="42" t="str">
        <x:f>IF(OR(B278="",COUNT('01_INPUT_COMPANIES'!$U$34)=0),"",'01_INPUT_COMPANIES'!$U$34)</x:f>
      </x:c>
      <x:c r="F278" s="42" t="n">
        <x:v>1</x:v>
      </x:c>
      <x:c r="G278" s="42" t="str">
        <x:f>IF(NOT(ISNUMBER(E278)),"",MAX(K278,MIN(L278,E278*F278)))</x:f>
      </x:c>
      <x:c r="H278" s="42" t="n">
        <x:v>64</x:v>
      </x:c>
      <x:c r="I278" s="42" t="str">
        <x:f>IF(COUNT(G278)=0,"",(COUNTIFS('93_REF_ANCHORS'!$A$7:$A$766,D278,'93_REF_ANCHORS'!$C$7:$C$766,"&lt;"&amp;G278)+COUNTIFS('93_REF_ANCHORS'!$A$7:$A$766,D278,'93_REF_ANCHORS'!$C$7:$C$766,"&lt;="&amp;G278)-1)/(2*(H278-1)))</x:f>
      </x:c>
      <x:c r="J278" s="34" t="str">
        <x:f>IF(B278="","",IF(COUNT(E278)=0,"MISSING",IF(NOT(ISNUMBER(E278)),"INVALID",IF(E278*F278&lt;K278,"WINSORIZED LOW",IF(E278*F278&gt;L278,"WINSORIZED HIGH","OK")))))</x:f>
      </x:c>
      <x:c r="K278" s="34" t="n">
        <x:v>-0.10705024705171803</x:v>
      </x:c>
      <x:c r="L278" s="34" t="n">
        <x:v>0.8008753865408955</x:v>
      </x:c>
      <x:c r="M278" s="34" t="n">
        <x:v>0.1111111111111111</x:v>
      </x:c>
      <x:c r="N278" s="34" t="str">
        <x:v>no</x:v>
      </x:c>
    </x:row>
    <x:row r="279">
      <x:c r="A279" s="34" t="n">
        <x:v>28</x:v>
      </x:c>
      <x:c r="B279" s="34" t="str">
        <x:f>IF('01_INPUT_COMPANIES'!$A$34="","",'01_INPUT_COMPANIES'!$A$34)</x:f>
      </x:c>
      <x:c r="C279" s="34" t="str">
        <x:f>IF(B279="","",'01_INPUT_COMPANIES'!$B$34)</x:f>
      </x:c>
      <x:c r="D279" s="34" t="str">
        <x:v>network_cost_ratio</x:v>
      </x:c>
      <x:c r="E279" s="42" t="str">
        <x:f>IF(OR(B279="",COUNT('01_INPUT_COMPANIES'!$V$34)=0),"",'01_INPUT_COMPANIES'!$V$34)</x:f>
      </x:c>
      <x:c r="F279" s="42" t="n">
        <x:v>1</x:v>
      </x:c>
      <x:c r="G279" s="42" t="str">
        <x:f>IF(NOT(ISNUMBER(E279)),"",MAX(K279,MIN(L279,E279*F279)))</x:f>
      </x:c>
      <x:c r="H279" s="42" t="n">
        <x:v>97</x:v>
      </x:c>
      <x:c r="I279" s="42" t="str">
        <x:f>IF(COUNT(G279)=0,"",(COUNTIFS('93_REF_ANCHORS'!$A$7:$A$766,D279,'93_REF_ANCHORS'!$C$7:$C$766,"&lt;"&amp;G279)+COUNTIFS('93_REF_ANCHORS'!$A$7:$A$766,D279,'93_REF_ANCHORS'!$C$7:$C$766,"&lt;="&amp;G279)-1)/(2*(H279-1)))</x:f>
      </x:c>
      <x:c r="J279" s="34" t="str">
        <x:f>IF(B279="","",IF(COUNT(E279)=0,"MISSING",IF(NOT(ISNUMBER(E279)),"INVALID",IF(E279*F279&lt;K279,"WINSORIZED LOW",IF(E279*F279&gt;L279,"WINSORIZED HIGH","OK")))))</x:f>
      </x:c>
      <x:c r="K279" s="34" t="n">
        <x:v>-0.1395374353</x:v>
      </x:c>
      <x:c r="L279" s="34" t="n">
        <x:v>0.9274274845000001</x:v>
      </x:c>
      <x:c r="M279" s="34" t="n">
        <x:v>0.1111111111111111</x:v>
      </x:c>
      <x:c r="N279" s="34" t="str">
        <x:v>no</x:v>
      </x:c>
    </x:row>
    <x:row r="280">
      <x:c r="A280" s="34" t="n">
        <x:v>28</x:v>
      </x:c>
      <x:c r="B280" s="34" t="str">
        <x:f>IF('01_INPUT_COMPANIES'!$A$34="","",'01_INPUT_COMPANIES'!$A$34)</x:f>
      </x:c>
      <x:c r="C280" s="34" t="str">
        <x:f>IF(B280="","",'01_INPUT_COMPANIES'!$B$34)</x:f>
      </x:c>
      <x:c r="D280" s="34" t="str">
        <x:v>cashflow_recovery_ratio</x:v>
      </x:c>
      <x:c r="E280" s="42" t="str">
        <x:f>IF(OR(B280="",COUNT('01_INPUT_COMPANIES'!$W$34)=0),"",'01_INPUT_COMPANIES'!$W$34)</x:f>
      </x:c>
      <x:c r="F280" s="42" t="n">
        <x:v>-1</x:v>
      </x:c>
      <x:c r="G280" s="42" t="str">
        <x:f>IF(NOT(ISNUMBER(E280)),"",MAX(K280,MIN(L280,E280*F280)))</x:f>
      </x:c>
      <x:c r="H280" s="42" t="n">
        <x:v>95</x:v>
      </x:c>
      <x:c r="I280" s="42" t="str">
        <x:f>IF(COUNT(G280)=0,"",(COUNTIFS('93_REF_ANCHORS'!$A$7:$A$766,D280,'93_REF_ANCHORS'!$C$7:$C$766,"&lt;"&amp;G280)+COUNTIFS('93_REF_ANCHORS'!$A$7:$A$766,D280,'93_REF_ANCHORS'!$C$7:$C$766,"&lt;="&amp;G280)-1)/(2*(H280-1)))</x:f>
      </x:c>
      <x:c r="J280" s="34" t="str">
        <x:f>IF(B280="","",IF(COUNT(E280)=0,"MISSING",IF(NOT(ISNUMBER(E280)),"INVALID",IF(E280*F280&lt;K280,"WINSORIZED LOW",IF(E280*F280&gt;L280,"WINSORIZED HIGH","OK")))))</x:f>
      </x:c>
      <x:c r="K280" s="34" t="n">
        <x:v>-300.75</x:v>
      </x:c>
      <x:c r="L280" s="34" t="n">
        <x:v>42.6920305469</x:v>
      </x:c>
      <x:c r="M280" s="34" t="n">
        <x:v>0.08333333333333333</x:v>
      </x:c>
      <x:c r="N280" s="34" t="str">
        <x:v>no</x:v>
      </x:c>
    </x:row>
    <x:row r="281">
      <x:c r="A281" s="34" t="n">
        <x:v>28</x:v>
      </x:c>
      <x:c r="B281" s="34" t="str">
        <x:f>IF('01_INPUT_COMPANIES'!$A$34="","",'01_INPUT_COMPANIES'!$A$34)</x:f>
      </x:c>
      <x:c r="C281" s="34" t="str">
        <x:f>IF(B281="","",'01_INPUT_COMPANIES'!$B$34)</x:f>
      </x:c>
      <x:c r="D281" s="34" t="str">
        <x:v>funding_cost_spread</x:v>
      </x:c>
      <x:c r="E281" s="42" t="str">
        <x:f>IF(OR(B281="",COUNT('01_INPUT_COMPANIES'!$X$34)=0),"",'01_INPUT_COMPANIES'!$X$34)</x:f>
      </x:c>
      <x:c r="F281" s="42" t="n">
        <x:v>1</x:v>
      </x:c>
      <x:c r="G281" s="42" t="str">
        <x:f>IF(NOT(ISNUMBER(E281)),"",MAX(K281,MIN(L281,E281*F281)))</x:f>
      </x:c>
      <x:c r="H281" s="42" t="n">
        <x:v>58</x:v>
      </x:c>
      <x:c r="I281" s="42" t="str">
        <x:f>IF(COUNT(G281)=0,"",(COUNTIFS('93_REF_ANCHORS'!$A$7:$A$766,D281,'93_REF_ANCHORS'!$C$7:$C$766,"&lt;"&amp;G281)+COUNTIFS('93_REF_ANCHORS'!$A$7:$A$766,D281,'93_REF_ANCHORS'!$C$7:$C$766,"&lt;="&amp;G281)-1)/(2*(H281-1)))</x:f>
      </x:c>
      <x:c r="J281" s="34" t="str">
        <x:f>IF(B281="","",IF(COUNT(E281)=0,"MISSING",IF(NOT(ISNUMBER(E281)),"INVALID",IF(E281*F281&lt;K281,"WINSORIZED LOW",IF(E281*F281&gt;L281,"WINSORIZED HIGH","OK")))))</x:f>
      </x:c>
      <x:c r="K281" s="34" t="n">
        <x:v>-0.4430292903</x:v>
      </x:c>
      <x:c r="L281" s="34" t="n">
        <x:v>0.5068913103</x:v>
      </x:c>
      <x:c r="M281" s="34" t="n">
        <x:v>0.08333333333333333</x:v>
      </x:c>
      <x:c r="N281" s="34" t="str">
        <x:v>no</x:v>
      </x:c>
    </x:row>
    <x:row r="282">
      <x:c r="A282" s="34" t="n">
        <x:v>28</x:v>
      </x:c>
      <x:c r="B282" s="34" t="str">
        <x:f>IF('01_INPUT_COMPANIES'!$A$34="","",'01_INPUT_COMPANIES'!$A$34)</x:f>
      </x:c>
      <x:c r="C282" s="34" t="str">
        <x:f>IF(B282="","",'01_INPUT_COMPANIES'!$B$34)</x:f>
      </x:c>
      <x:c r="D282" s="34" t="str">
        <x:v>investment_recovery_ratio</x:v>
      </x:c>
      <x:c r="E282" s="42" t="str">
        <x:f>IF(OR(B282="",COUNT('01_INPUT_COMPANIES'!$Y$34)=0),"",'01_INPUT_COMPANIES'!$Y$34)</x:f>
      </x:c>
      <x:c r="F282" s="42" t="n">
        <x:v>-1</x:v>
      </x:c>
      <x:c r="G282" s="42" t="str">
        <x:f>IF(NOT(ISNUMBER(E282)),"",MAX(K282,MIN(L282,E282*F282)))</x:f>
      </x:c>
      <x:c r="H282" s="42" t="n">
        <x:v>95</x:v>
      </x:c>
      <x:c r="I282" s="42" t="str">
        <x:f>IF(COUNT(G282)=0,"",(COUNTIFS('93_REF_ANCHORS'!$A$7:$A$766,D282,'93_REF_ANCHORS'!$C$7:$C$766,"&lt;"&amp;G282)+COUNTIFS('93_REF_ANCHORS'!$A$7:$A$766,D282,'93_REF_ANCHORS'!$C$7:$C$766,"&lt;="&amp;G282)-1)/(2*(H282-1)))</x:f>
      </x:c>
      <x:c r="J282" s="34" t="str">
        <x:f>IF(B282="","",IF(COUNT(E282)=0,"MISSING",IF(NOT(ISNUMBER(E282)),"INVALID",IF(E282*F282&lt;K282,"WINSORIZED LOW",IF(E282*F282&gt;L282,"WINSORIZED HIGH","OK")))))</x:f>
      </x:c>
      <x:c r="K282" s="34" t="n">
        <x:v>-3163.7500000000014</x:v>
      </x:c>
      <x:c r="L282" s="34" t="n">
        <x:v>189.68191301719997</x:v>
      </x:c>
      <x:c r="M282" s="34" t="n">
        <x:v>0.08333333333333333</x:v>
      </x:c>
      <x:c r="N282" s="34" t="str">
        <x:v>no</x:v>
      </x:c>
    </x:row>
    <x:row r="283">
      <x:c r="A283" s="34" t="n">
        <x:v>28</x:v>
      </x:c>
      <x:c r="B283" s="34" t="str">
        <x:f>IF('01_INPUT_COMPANIES'!$A$34="","",'01_INPUT_COMPANIES'!$A$34)</x:f>
      </x:c>
      <x:c r="C283" s="34" t="str">
        <x:f>IF(B283="","",'01_INPUT_COMPANIES'!$B$34)</x:f>
      </x:c>
      <x:c r="D283" s="34" t="str">
        <x:v>ip_assetization_gap</x:v>
      </x:c>
      <x:c r="E283" s="42" t="str">
        <x:f>IF(OR(B283="",COUNT('01_INPUT_COMPANIES'!$Z$34)=0),"",'01_INPUT_COMPANIES'!$Z$34)</x:f>
      </x:c>
      <x:c r="F283" s="42" t="n">
        <x:v>1</x:v>
      </x:c>
      <x:c r="G283" s="42" t="str">
        <x:f>IF(NOT(ISNUMBER(E283)),"",MAX(K283,MIN(L283,E283*F283)))</x:f>
      </x:c>
      <x:c r="H283" s="42" t="n">
        <x:v>92</x:v>
      </x:c>
      <x:c r="I283" s="42" t="str">
        <x:f>IF(COUNT(G283)=0,"",(COUNTIFS('93_REF_ANCHORS'!$A$7:$A$766,D283,'93_REF_ANCHORS'!$C$7:$C$766,"&lt;"&amp;G283)+COUNTIFS('93_REF_ANCHORS'!$A$7:$A$766,D283,'93_REF_ANCHORS'!$C$7:$C$766,"&lt;="&amp;G283)-1)/(2*(H283-1)))</x:f>
      </x:c>
      <x:c r="J283" s="34" t="str">
        <x:f>IF(B283="","",IF(COUNT(E283)=0,"MISSING",IF(NOT(ISNUMBER(E283)),"INVALID",IF(E283*F283&lt;K283,"WINSORIZED LOW",IF(E283*F283&gt;L283,"WINSORIZED HIGH","OK")))))</x:f>
      </x:c>
      <x:c r="K283" s="34" t="n">
        <x:v>-1.6707152386</x:v>
      </x:c>
      <x:c r="L283" s="34" t="n">
        <x:v>0.7716332556000001</x:v>
      </x:c>
      <x:c r="M283" s="34" t="n">
        <x:v>0.08333333333333333</x:v>
      </x:c>
      <x:c r="N283" s="34" t="str">
        <x:v>no</x:v>
      </x:c>
    </x:row>
    <x:row r="284">
      <x:c r="A284" s="34" t="n">
        <x:v>28</x:v>
      </x:c>
      <x:c r="B284" s="34" t="str">
        <x:f>IF('01_INPUT_COMPANIES'!$A$34="","",'01_INPUT_COMPANIES'!$A$34)</x:f>
      </x:c>
      <x:c r="C284" s="34" t="str">
        <x:f>IF(B284="","",'01_INPUT_COMPANIES'!$B$34)</x:f>
      </x:c>
      <x:c r="D284" s="34" t="str">
        <x:v>cross_market_transfer_index</x:v>
      </x:c>
      <x:c r="E284" s="42" t="str">
        <x:f>IF(OR(B284="",COUNT('01_INPUT_COMPANIES'!$AA$34)=0),"",'01_INPUT_COMPANIES'!$AA$34)</x:f>
      </x:c>
      <x:c r="F284" s="42" t="n">
        <x:v>1</x:v>
      </x:c>
      <x:c r="G284" s="42" t="str">
        <x:f>IF(NOT(ISNUMBER(E284)),"",MAX(K284,MIN(L284,E284*F284)))</x:f>
      </x:c>
      <x:c r="H284" s="42" t="n">
        <x:v>4</x:v>
      </x:c>
      <x:c r="I284" s="42" t="str">
        <x:f>IF(COUNT(G284)=0,"",(COUNTIFS('93_REF_ANCHORS'!$A$7:$A$766,D284,'93_REF_ANCHORS'!$C$7:$C$766,"&lt;"&amp;G284)+COUNTIFS('93_REF_ANCHORS'!$A$7:$A$766,D284,'93_REF_ANCHORS'!$C$7:$C$766,"&lt;="&amp;G284)-1)/(2*(H284-1)))</x:f>
      </x:c>
      <x:c r="J284" s="34" t="str">
        <x:f>IF(B284="","",IF(COUNT(E284)=0,"MISSING",IF(NOT(ISNUMBER(E284)),"INVALID",IF(E284*F284&lt;K284,"WINSORIZED LOW",IF(E284*F284&gt;L284,"WINSORIZED HIGH","OK")))))</x:f>
      </x:c>
      <x:c r="K284" s="34" t="n">
        <x:v>0</x:v>
      </x:c>
      <x:c r="L284" s="34" t="n">
        <x:v>0.7587051325360435</x:v>
      </x:c>
      <x:c r="M284" s="34" t="n">
        <x:v>0.1111111111111111</x:v>
      </x:c>
      <x:c r="N284" s="34" t="str">
        <x:v>yes</x:v>
      </x:c>
    </x:row>
    <x:row r="285">
      <x:c r="A285" s="34" t="n">
        <x:v>28</x:v>
      </x:c>
      <x:c r="B285" s="34" t="str">
        <x:f>IF('01_INPUT_COMPANIES'!$A$34="","",'01_INPUT_COMPANIES'!$A$34)</x:f>
      </x:c>
      <x:c r="C285" s="34" t="str">
        <x:f>IF(B285="","",'01_INPUT_COMPANIES'!$B$34)</x:f>
      </x:c>
      <x:c r="D285" s="34" t="str">
        <x:v>foreign_dependency_ratio</x:v>
      </x:c>
      <x:c r="E285" s="42" t="str">
        <x:f>IF(OR(B285="",COUNT('01_INPUT_COMPANIES'!$AB$34)=0),"",'01_INPUT_COMPANIES'!$AB$34)</x:f>
      </x:c>
      <x:c r="F285" s="42" t="n">
        <x:v>1</x:v>
      </x:c>
      <x:c r="G285" s="42" t="str">
        <x:f>IF(NOT(ISNUMBER(E285)),"",MAX(K285,MIN(L285,E285*F285)))</x:f>
      </x:c>
      <x:c r="H285" s="42" t="n">
        <x:v>84</x:v>
      </x:c>
      <x:c r="I285" s="42" t="str">
        <x:f>IF(COUNT(G285)=0,"",(COUNTIFS('93_REF_ANCHORS'!$A$7:$A$766,D285,'93_REF_ANCHORS'!$C$7:$C$766,"&lt;"&amp;G285)+COUNTIFS('93_REF_ANCHORS'!$A$7:$A$766,D285,'93_REF_ANCHORS'!$C$7:$C$766,"&lt;="&amp;G285)-1)/(2*(H285-1)))</x:f>
      </x:c>
      <x:c r="J285" s="34" t="str">
        <x:f>IF(B285="","",IF(COUNT(E285)=0,"MISSING",IF(NOT(ISNUMBER(E285)),"INVALID",IF(E285*F285&lt;K285,"WINSORIZED LOW",IF(E285*F285&gt;L285,"WINSORIZED HIGH","OK")))))</x:f>
      </x:c>
      <x:c r="K285" s="34" t="n">
        <x:v>0.728196</x:v>
      </x:c>
      <x:c r="L285" s="34" t="n">
        <x:v>0.94</x:v>
      </x:c>
      <x:c r="M285" s="34" t="n">
        <x:v>0.1111111111111111</x:v>
      </x:c>
      <x:c r="N285" s="34" t="str">
        <x:v>yes</x:v>
      </x:c>
    </x:row>
    <x:row r="286">
      <x:c r="A286" s="34" t="n">
        <x:v>28</x:v>
      </x:c>
      <x:c r="B286" s="34" t="str">
        <x:f>IF('01_INPUT_COMPANIES'!$A$34="","",'01_INPUT_COMPANIES'!$A$34)</x:f>
      </x:c>
      <x:c r="C286" s="34" t="str">
        <x:f>IF(B286="","",'01_INPUT_COMPANIES'!$B$34)</x:f>
      </x:c>
      <x:c r="D286" s="34" t="str">
        <x:v>outflow_to_capex_ratio</x:v>
      </x:c>
      <x:c r="E286" s="42" t="str">
        <x:f>IF(OR(B286="",COUNT('01_INPUT_COMPANIES'!$AC$34)=0),"",'01_INPUT_COMPANIES'!$AC$34)</x:f>
      </x:c>
      <x:c r="F286" s="42" t="n">
        <x:v>1</x:v>
      </x:c>
      <x:c r="G286" s="42" t="str">
        <x:f>IF(NOT(ISNUMBER(E286)),"",MAX(K286,MIN(L286,E286*F286)))</x:f>
      </x:c>
      <x:c r="H286" s="42" t="n">
        <x:v>97</x:v>
      </x:c>
      <x:c r="I286" s="42" t="str">
        <x:f>IF(COUNT(G286)=0,"",(COUNTIFS('93_REF_ANCHORS'!$A$7:$A$766,D286,'93_REF_ANCHORS'!$C$7:$C$766,"&lt;"&amp;G286)+COUNTIFS('93_REF_ANCHORS'!$A$7:$A$766,D286,'93_REF_ANCHORS'!$C$7:$C$766,"&lt;="&amp;G286)-1)/(2*(H286-1)))</x:f>
      </x:c>
      <x:c r="J286" s="34" t="str">
        <x:f>IF(B286="","",IF(COUNT(E286)=0,"MISSING",IF(NOT(ISNUMBER(E286)),"INVALID",IF(E286*F286&lt;K286,"WINSORIZED LOW",IF(E286*F286&gt;L286,"WINSORIZED HIGH","OK")))))</x:f>
      </x:c>
      <x:c r="K286" s="34" t="n">
        <x:v>-123.5385890408</x:v>
      </x:c>
      <x:c r="L286" s="34" t="n">
        <x:v>974.1666666666999</x:v>
      </x:c>
      <x:c r="M286" s="34" t="n">
        <x:v>0.1111111111111111</x:v>
      </x:c>
      <x:c r="N286" s="34" t="str">
        <x:v>no</x:v>
      </x:c>
    </x:row>
    <x:row r="287">
      <x:c r="A287" s="34" t="n">
        <x:v>29</x:v>
      </x:c>
      <x:c r="B287" s="34" t="str">
        <x:f>IF('01_INPUT_COMPANIES'!$A$35="","",'01_INPUT_COMPANIES'!$A$35)</x:f>
      </x:c>
      <x:c r="C287" s="34" t="str">
        <x:f>IF(B287="","",'01_INPUT_COMPANIES'!$B$35)</x:f>
      </x:c>
      <x:c r="D287" s="34" t="str">
        <x:v>effective_tax_rate_gap</x:v>
      </x:c>
      <x:c r="E287" s="42" t="str">
        <x:f>IF(OR(B287="",COUNT('01_INPUT_COMPANIES'!$T$35)=0),"",'01_INPUT_COMPANIES'!$T$35)</x:f>
      </x:c>
      <x:c r="F287" s="42" t="n">
        <x:v>1</x:v>
      </x:c>
      <x:c r="G287" s="42" t="str">
        <x:f>IF(NOT(ISNUMBER(E287)),"",MAX(K287,MIN(L287,E287*F287)))</x:f>
      </x:c>
      <x:c r="H287" s="42" t="n">
        <x:v>74</x:v>
      </x:c>
      <x:c r="I287" s="42" t="str">
        <x:f>IF(COUNT(G287)=0,"",(COUNTIFS('93_REF_ANCHORS'!$A$7:$A$766,D287,'93_REF_ANCHORS'!$C$7:$C$766,"&lt;"&amp;G287)+COUNTIFS('93_REF_ANCHORS'!$A$7:$A$766,D287,'93_REF_ANCHORS'!$C$7:$C$766,"&lt;="&amp;G287)-1)/(2*(H287-1)))</x:f>
      </x:c>
      <x:c r="J287" s="34" t="str">
        <x:f>IF(B287="","",IF(COUNT(E287)=0,"MISSING",IF(NOT(ISNUMBER(E287)),"INVALID",IF(E287*F287&lt;K287,"WINSORIZED LOW",IF(E287*F287&gt;L287,"WINSORIZED HIGH","OK")))))</x:f>
      </x:c>
      <x:c r="K287" s="34" t="n">
        <x:v>-0.1416111014</x:v>
      </x:c>
      <x:c r="L287" s="34" t="n">
        <x:v>0.2683650488</x:v>
      </x:c>
      <x:c r="M287" s="34" t="n">
        <x:v>0.1111111111111111</x:v>
      </x:c>
      <x:c r="N287" s="34" t="str">
        <x:v>no</x:v>
      </x:c>
    </x:row>
    <x:row r="288">
      <x:c r="A288" s="34" t="n">
        <x:v>29</x:v>
      </x:c>
      <x:c r="B288" s="34" t="str">
        <x:f>IF('01_INPUT_COMPANIES'!$A$35="","",'01_INPUT_COMPANIES'!$A$35)</x:f>
      </x:c>
      <x:c r="C288" s="34" t="str">
        <x:f>IF(B288="","",'01_INPUT_COMPANIES'!$B$35)</x:f>
      </x:c>
      <x:c r="D288" s="34" t="str">
        <x:v>infra_dependency_ratio</x:v>
      </x:c>
      <x:c r="E288" s="42" t="str">
        <x:f>IF(OR(B288="",COUNT('01_INPUT_COMPANIES'!$U$35)=0),"",'01_INPUT_COMPANIES'!$U$35)</x:f>
      </x:c>
      <x:c r="F288" s="42" t="n">
        <x:v>1</x:v>
      </x:c>
      <x:c r="G288" s="42" t="str">
        <x:f>IF(NOT(ISNUMBER(E288)),"",MAX(K288,MIN(L288,E288*F288)))</x:f>
      </x:c>
      <x:c r="H288" s="42" t="n">
        <x:v>64</x:v>
      </x:c>
      <x:c r="I288" s="42" t="str">
        <x:f>IF(COUNT(G288)=0,"",(COUNTIFS('93_REF_ANCHORS'!$A$7:$A$766,D288,'93_REF_ANCHORS'!$C$7:$C$766,"&lt;"&amp;G288)+COUNTIFS('93_REF_ANCHORS'!$A$7:$A$766,D288,'93_REF_ANCHORS'!$C$7:$C$766,"&lt;="&amp;G288)-1)/(2*(H288-1)))</x:f>
      </x:c>
      <x:c r="J288" s="34" t="str">
        <x:f>IF(B288="","",IF(COUNT(E288)=0,"MISSING",IF(NOT(ISNUMBER(E288)),"INVALID",IF(E288*F288&lt;K288,"WINSORIZED LOW",IF(E288*F288&gt;L288,"WINSORIZED HIGH","OK")))))</x:f>
      </x:c>
      <x:c r="K288" s="34" t="n">
        <x:v>-0.10705024705171803</x:v>
      </x:c>
      <x:c r="L288" s="34" t="n">
        <x:v>0.8008753865408955</x:v>
      </x:c>
      <x:c r="M288" s="34" t="n">
        <x:v>0.1111111111111111</x:v>
      </x:c>
      <x:c r="N288" s="34" t="str">
        <x:v>no</x:v>
      </x:c>
    </x:row>
    <x:row r="289">
      <x:c r="A289" s="34" t="n">
        <x:v>29</x:v>
      </x:c>
      <x:c r="B289" s="34" t="str">
        <x:f>IF('01_INPUT_COMPANIES'!$A$35="","",'01_INPUT_COMPANIES'!$A$35)</x:f>
      </x:c>
      <x:c r="C289" s="34" t="str">
        <x:f>IF(B289="","",'01_INPUT_COMPANIES'!$B$35)</x:f>
      </x:c>
      <x:c r="D289" s="34" t="str">
        <x:v>network_cost_ratio</x:v>
      </x:c>
      <x:c r="E289" s="42" t="str">
        <x:f>IF(OR(B289="",COUNT('01_INPUT_COMPANIES'!$V$35)=0),"",'01_INPUT_COMPANIES'!$V$35)</x:f>
      </x:c>
      <x:c r="F289" s="42" t="n">
        <x:v>1</x:v>
      </x:c>
      <x:c r="G289" s="42" t="str">
        <x:f>IF(NOT(ISNUMBER(E289)),"",MAX(K289,MIN(L289,E289*F289)))</x:f>
      </x:c>
      <x:c r="H289" s="42" t="n">
        <x:v>97</x:v>
      </x:c>
      <x:c r="I289" s="42" t="str">
        <x:f>IF(COUNT(G289)=0,"",(COUNTIFS('93_REF_ANCHORS'!$A$7:$A$766,D289,'93_REF_ANCHORS'!$C$7:$C$766,"&lt;"&amp;G289)+COUNTIFS('93_REF_ANCHORS'!$A$7:$A$766,D289,'93_REF_ANCHORS'!$C$7:$C$766,"&lt;="&amp;G289)-1)/(2*(H289-1)))</x:f>
      </x:c>
      <x:c r="J289" s="34" t="str">
        <x:f>IF(B289="","",IF(COUNT(E289)=0,"MISSING",IF(NOT(ISNUMBER(E289)),"INVALID",IF(E289*F289&lt;K289,"WINSORIZED LOW",IF(E289*F289&gt;L289,"WINSORIZED HIGH","OK")))))</x:f>
      </x:c>
      <x:c r="K289" s="34" t="n">
        <x:v>-0.1395374353</x:v>
      </x:c>
      <x:c r="L289" s="34" t="n">
        <x:v>0.9274274845000001</x:v>
      </x:c>
      <x:c r="M289" s="34" t="n">
        <x:v>0.1111111111111111</x:v>
      </x:c>
      <x:c r="N289" s="34" t="str">
        <x:v>no</x:v>
      </x:c>
    </x:row>
    <x:row r="290">
      <x:c r="A290" s="34" t="n">
        <x:v>29</x:v>
      </x:c>
      <x:c r="B290" s="34" t="str">
        <x:f>IF('01_INPUT_COMPANIES'!$A$35="","",'01_INPUT_COMPANIES'!$A$35)</x:f>
      </x:c>
      <x:c r="C290" s="34" t="str">
        <x:f>IF(B290="","",'01_INPUT_COMPANIES'!$B$35)</x:f>
      </x:c>
      <x:c r="D290" s="34" t="str">
        <x:v>cashflow_recovery_ratio</x:v>
      </x:c>
      <x:c r="E290" s="42" t="str">
        <x:f>IF(OR(B290="",COUNT('01_INPUT_COMPANIES'!$W$35)=0),"",'01_INPUT_COMPANIES'!$W$35)</x:f>
      </x:c>
      <x:c r="F290" s="42" t="n">
        <x:v>-1</x:v>
      </x:c>
      <x:c r="G290" s="42" t="str">
        <x:f>IF(NOT(ISNUMBER(E290)),"",MAX(K290,MIN(L290,E290*F290)))</x:f>
      </x:c>
      <x:c r="H290" s="42" t="n">
        <x:v>95</x:v>
      </x:c>
      <x:c r="I290" s="42" t="str">
        <x:f>IF(COUNT(G290)=0,"",(COUNTIFS('93_REF_ANCHORS'!$A$7:$A$766,D290,'93_REF_ANCHORS'!$C$7:$C$766,"&lt;"&amp;G290)+COUNTIFS('93_REF_ANCHORS'!$A$7:$A$766,D290,'93_REF_ANCHORS'!$C$7:$C$766,"&lt;="&amp;G290)-1)/(2*(H290-1)))</x:f>
      </x:c>
      <x:c r="J290" s="34" t="str">
        <x:f>IF(B290="","",IF(COUNT(E290)=0,"MISSING",IF(NOT(ISNUMBER(E290)),"INVALID",IF(E290*F290&lt;K290,"WINSORIZED LOW",IF(E290*F290&gt;L290,"WINSORIZED HIGH","OK")))))</x:f>
      </x:c>
      <x:c r="K290" s="34" t="n">
        <x:v>-300.75</x:v>
      </x:c>
      <x:c r="L290" s="34" t="n">
        <x:v>42.6920305469</x:v>
      </x:c>
      <x:c r="M290" s="34" t="n">
        <x:v>0.08333333333333333</x:v>
      </x:c>
      <x:c r="N290" s="34" t="str">
        <x:v>no</x:v>
      </x:c>
    </x:row>
    <x:row r="291">
      <x:c r="A291" s="34" t="n">
        <x:v>29</x:v>
      </x:c>
      <x:c r="B291" s="34" t="str">
        <x:f>IF('01_INPUT_COMPANIES'!$A$35="","",'01_INPUT_COMPANIES'!$A$35)</x:f>
      </x:c>
      <x:c r="C291" s="34" t="str">
        <x:f>IF(B291="","",'01_INPUT_COMPANIES'!$B$35)</x:f>
      </x:c>
      <x:c r="D291" s="34" t="str">
        <x:v>funding_cost_spread</x:v>
      </x:c>
      <x:c r="E291" s="42" t="str">
        <x:f>IF(OR(B291="",COUNT('01_INPUT_COMPANIES'!$X$35)=0),"",'01_INPUT_COMPANIES'!$X$35)</x:f>
      </x:c>
      <x:c r="F291" s="42" t="n">
        <x:v>1</x:v>
      </x:c>
      <x:c r="G291" s="42" t="str">
        <x:f>IF(NOT(ISNUMBER(E291)),"",MAX(K291,MIN(L291,E291*F291)))</x:f>
      </x:c>
      <x:c r="H291" s="42" t="n">
        <x:v>58</x:v>
      </x:c>
      <x:c r="I291" s="42" t="str">
        <x:f>IF(COUNT(G291)=0,"",(COUNTIFS('93_REF_ANCHORS'!$A$7:$A$766,D291,'93_REF_ANCHORS'!$C$7:$C$766,"&lt;"&amp;G291)+COUNTIFS('93_REF_ANCHORS'!$A$7:$A$766,D291,'93_REF_ANCHORS'!$C$7:$C$766,"&lt;="&amp;G291)-1)/(2*(H291-1)))</x:f>
      </x:c>
      <x:c r="J291" s="34" t="str">
        <x:f>IF(B291="","",IF(COUNT(E291)=0,"MISSING",IF(NOT(ISNUMBER(E291)),"INVALID",IF(E291*F291&lt;K291,"WINSORIZED LOW",IF(E291*F291&gt;L291,"WINSORIZED HIGH","OK")))))</x:f>
      </x:c>
      <x:c r="K291" s="34" t="n">
        <x:v>-0.4430292903</x:v>
      </x:c>
      <x:c r="L291" s="34" t="n">
        <x:v>0.5068913103</x:v>
      </x:c>
      <x:c r="M291" s="34" t="n">
        <x:v>0.08333333333333333</x:v>
      </x:c>
      <x:c r="N291" s="34" t="str">
        <x:v>no</x:v>
      </x:c>
    </x:row>
    <x:row r="292">
      <x:c r="A292" s="34" t="n">
        <x:v>29</x:v>
      </x:c>
      <x:c r="B292" s="34" t="str">
        <x:f>IF('01_INPUT_COMPANIES'!$A$35="","",'01_INPUT_COMPANIES'!$A$35)</x:f>
      </x:c>
      <x:c r="C292" s="34" t="str">
        <x:f>IF(B292="","",'01_INPUT_COMPANIES'!$B$35)</x:f>
      </x:c>
      <x:c r="D292" s="34" t="str">
        <x:v>investment_recovery_ratio</x:v>
      </x:c>
      <x:c r="E292" s="42" t="str">
        <x:f>IF(OR(B292="",COUNT('01_INPUT_COMPANIES'!$Y$35)=0),"",'01_INPUT_COMPANIES'!$Y$35)</x:f>
      </x:c>
      <x:c r="F292" s="42" t="n">
        <x:v>-1</x:v>
      </x:c>
      <x:c r="G292" s="42" t="str">
        <x:f>IF(NOT(ISNUMBER(E292)),"",MAX(K292,MIN(L292,E292*F292)))</x:f>
      </x:c>
      <x:c r="H292" s="42" t="n">
        <x:v>95</x:v>
      </x:c>
      <x:c r="I292" s="42" t="str">
        <x:f>IF(COUNT(G292)=0,"",(COUNTIFS('93_REF_ANCHORS'!$A$7:$A$766,D292,'93_REF_ANCHORS'!$C$7:$C$766,"&lt;"&amp;G292)+COUNTIFS('93_REF_ANCHORS'!$A$7:$A$766,D292,'93_REF_ANCHORS'!$C$7:$C$766,"&lt;="&amp;G292)-1)/(2*(H292-1)))</x:f>
      </x:c>
      <x:c r="J292" s="34" t="str">
        <x:f>IF(B292="","",IF(COUNT(E292)=0,"MISSING",IF(NOT(ISNUMBER(E292)),"INVALID",IF(E292*F292&lt;K292,"WINSORIZED LOW",IF(E292*F292&gt;L292,"WINSORIZED HIGH","OK")))))</x:f>
      </x:c>
      <x:c r="K292" s="34" t="n">
        <x:v>-3163.7500000000014</x:v>
      </x:c>
      <x:c r="L292" s="34" t="n">
        <x:v>189.68191301719997</x:v>
      </x:c>
      <x:c r="M292" s="34" t="n">
        <x:v>0.08333333333333333</x:v>
      </x:c>
      <x:c r="N292" s="34" t="str">
        <x:v>no</x:v>
      </x:c>
    </x:row>
    <x:row r="293">
      <x:c r="A293" s="34" t="n">
        <x:v>29</x:v>
      </x:c>
      <x:c r="B293" s="34" t="str">
        <x:f>IF('01_INPUT_COMPANIES'!$A$35="","",'01_INPUT_COMPANIES'!$A$35)</x:f>
      </x:c>
      <x:c r="C293" s="34" t="str">
        <x:f>IF(B293="","",'01_INPUT_COMPANIES'!$B$35)</x:f>
      </x:c>
      <x:c r="D293" s="34" t="str">
        <x:v>ip_assetization_gap</x:v>
      </x:c>
      <x:c r="E293" s="42" t="str">
        <x:f>IF(OR(B293="",COUNT('01_INPUT_COMPANIES'!$Z$35)=0),"",'01_INPUT_COMPANIES'!$Z$35)</x:f>
      </x:c>
      <x:c r="F293" s="42" t="n">
        <x:v>1</x:v>
      </x:c>
      <x:c r="G293" s="42" t="str">
        <x:f>IF(NOT(ISNUMBER(E293)),"",MAX(K293,MIN(L293,E293*F293)))</x:f>
      </x:c>
      <x:c r="H293" s="42" t="n">
        <x:v>92</x:v>
      </x:c>
      <x:c r="I293" s="42" t="str">
        <x:f>IF(COUNT(G293)=0,"",(COUNTIFS('93_REF_ANCHORS'!$A$7:$A$766,D293,'93_REF_ANCHORS'!$C$7:$C$766,"&lt;"&amp;G293)+COUNTIFS('93_REF_ANCHORS'!$A$7:$A$766,D293,'93_REF_ANCHORS'!$C$7:$C$766,"&lt;="&amp;G293)-1)/(2*(H293-1)))</x:f>
      </x:c>
      <x:c r="J293" s="34" t="str">
        <x:f>IF(B293="","",IF(COUNT(E293)=0,"MISSING",IF(NOT(ISNUMBER(E293)),"INVALID",IF(E293*F293&lt;K293,"WINSORIZED LOW",IF(E293*F293&gt;L293,"WINSORIZED HIGH","OK")))))</x:f>
      </x:c>
      <x:c r="K293" s="34" t="n">
        <x:v>-1.6707152386</x:v>
      </x:c>
      <x:c r="L293" s="34" t="n">
        <x:v>0.7716332556000001</x:v>
      </x:c>
      <x:c r="M293" s="34" t="n">
        <x:v>0.08333333333333333</x:v>
      </x:c>
      <x:c r="N293" s="34" t="str">
        <x:v>no</x:v>
      </x:c>
    </x:row>
    <x:row r="294">
      <x:c r="A294" s="34" t="n">
        <x:v>29</x:v>
      </x:c>
      <x:c r="B294" s="34" t="str">
        <x:f>IF('01_INPUT_COMPANIES'!$A$35="","",'01_INPUT_COMPANIES'!$A$35)</x:f>
      </x:c>
      <x:c r="C294" s="34" t="str">
        <x:f>IF(B294="","",'01_INPUT_COMPANIES'!$B$35)</x:f>
      </x:c>
      <x:c r="D294" s="34" t="str">
        <x:v>cross_market_transfer_index</x:v>
      </x:c>
      <x:c r="E294" s="42" t="str">
        <x:f>IF(OR(B294="",COUNT('01_INPUT_COMPANIES'!$AA$35)=0),"",'01_INPUT_COMPANIES'!$AA$35)</x:f>
      </x:c>
      <x:c r="F294" s="42" t="n">
        <x:v>1</x:v>
      </x:c>
      <x:c r="G294" s="42" t="str">
        <x:f>IF(NOT(ISNUMBER(E294)),"",MAX(K294,MIN(L294,E294*F294)))</x:f>
      </x:c>
      <x:c r="H294" s="42" t="n">
        <x:v>4</x:v>
      </x:c>
      <x:c r="I294" s="42" t="str">
        <x:f>IF(COUNT(G294)=0,"",(COUNTIFS('93_REF_ANCHORS'!$A$7:$A$766,D294,'93_REF_ANCHORS'!$C$7:$C$766,"&lt;"&amp;G294)+COUNTIFS('93_REF_ANCHORS'!$A$7:$A$766,D294,'93_REF_ANCHORS'!$C$7:$C$766,"&lt;="&amp;G294)-1)/(2*(H294-1)))</x:f>
      </x:c>
      <x:c r="J294" s="34" t="str">
        <x:f>IF(B294="","",IF(COUNT(E294)=0,"MISSING",IF(NOT(ISNUMBER(E294)),"INVALID",IF(E294*F294&lt;K294,"WINSORIZED LOW",IF(E294*F294&gt;L294,"WINSORIZED HIGH","OK")))))</x:f>
      </x:c>
      <x:c r="K294" s="34" t="n">
        <x:v>0</x:v>
      </x:c>
      <x:c r="L294" s="34" t="n">
        <x:v>0.7587051325360435</x:v>
      </x:c>
      <x:c r="M294" s="34" t="n">
        <x:v>0.1111111111111111</x:v>
      </x:c>
      <x:c r="N294" s="34" t="str">
        <x:v>yes</x:v>
      </x:c>
    </x:row>
    <x:row r="295">
      <x:c r="A295" s="34" t="n">
        <x:v>29</x:v>
      </x:c>
      <x:c r="B295" s="34" t="str">
        <x:f>IF('01_INPUT_COMPANIES'!$A$35="","",'01_INPUT_COMPANIES'!$A$35)</x:f>
      </x:c>
      <x:c r="C295" s="34" t="str">
        <x:f>IF(B295="","",'01_INPUT_COMPANIES'!$B$35)</x:f>
      </x:c>
      <x:c r="D295" s="34" t="str">
        <x:v>foreign_dependency_ratio</x:v>
      </x:c>
      <x:c r="E295" s="42" t="str">
        <x:f>IF(OR(B295="",COUNT('01_INPUT_COMPANIES'!$AB$35)=0),"",'01_INPUT_COMPANIES'!$AB$35)</x:f>
      </x:c>
      <x:c r="F295" s="42" t="n">
        <x:v>1</x:v>
      </x:c>
      <x:c r="G295" s="42" t="str">
        <x:f>IF(NOT(ISNUMBER(E295)),"",MAX(K295,MIN(L295,E295*F295)))</x:f>
      </x:c>
      <x:c r="H295" s="42" t="n">
        <x:v>84</x:v>
      </x:c>
      <x:c r="I295" s="42" t="str">
        <x:f>IF(COUNT(G295)=0,"",(COUNTIFS('93_REF_ANCHORS'!$A$7:$A$766,D295,'93_REF_ANCHORS'!$C$7:$C$766,"&lt;"&amp;G295)+COUNTIFS('93_REF_ANCHORS'!$A$7:$A$766,D295,'93_REF_ANCHORS'!$C$7:$C$766,"&lt;="&amp;G295)-1)/(2*(H295-1)))</x:f>
      </x:c>
      <x:c r="J295" s="34" t="str">
        <x:f>IF(B295="","",IF(COUNT(E295)=0,"MISSING",IF(NOT(ISNUMBER(E295)),"INVALID",IF(E295*F295&lt;K295,"WINSORIZED LOW",IF(E295*F295&gt;L295,"WINSORIZED HIGH","OK")))))</x:f>
      </x:c>
      <x:c r="K295" s="34" t="n">
        <x:v>0.728196</x:v>
      </x:c>
      <x:c r="L295" s="34" t="n">
        <x:v>0.94</x:v>
      </x:c>
      <x:c r="M295" s="34" t="n">
        <x:v>0.1111111111111111</x:v>
      </x:c>
      <x:c r="N295" s="34" t="str">
        <x:v>yes</x:v>
      </x:c>
    </x:row>
    <x:row r="296">
      <x:c r="A296" s="34" t="n">
        <x:v>29</x:v>
      </x:c>
      <x:c r="B296" s="34" t="str">
        <x:f>IF('01_INPUT_COMPANIES'!$A$35="","",'01_INPUT_COMPANIES'!$A$35)</x:f>
      </x:c>
      <x:c r="C296" s="34" t="str">
        <x:f>IF(B296="","",'01_INPUT_COMPANIES'!$B$35)</x:f>
      </x:c>
      <x:c r="D296" s="34" t="str">
        <x:v>outflow_to_capex_ratio</x:v>
      </x:c>
      <x:c r="E296" s="42" t="str">
        <x:f>IF(OR(B296="",COUNT('01_INPUT_COMPANIES'!$AC$35)=0),"",'01_INPUT_COMPANIES'!$AC$35)</x:f>
      </x:c>
      <x:c r="F296" s="42" t="n">
        <x:v>1</x:v>
      </x:c>
      <x:c r="G296" s="42" t="str">
        <x:f>IF(NOT(ISNUMBER(E296)),"",MAX(K296,MIN(L296,E296*F296)))</x:f>
      </x:c>
      <x:c r="H296" s="42" t="n">
        <x:v>97</x:v>
      </x:c>
      <x:c r="I296" s="42" t="str">
        <x:f>IF(COUNT(G296)=0,"",(COUNTIFS('93_REF_ANCHORS'!$A$7:$A$766,D296,'93_REF_ANCHORS'!$C$7:$C$766,"&lt;"&amp;G296)+COUNTIFS('93_REF_ANCHORS'!$A$7:$A$766,D296,'93_REF_ANCHORS'!$C$7:$C$766,"&lt;="&amp;G296)-1)/(2*(H296-1)))</x:f>
      </x:c>
      <x:c r="J296" s="34" t="str">
        <x:f>IF(B296="","",IF(COUNT(E296)=0,"MISSING",IF(NOT(ISNUMBER(E296)),"INVALID",IF(E296*F296&lt;K296,"WINSORIZED LOW",IF(E296*F296&gt;L296,"WINSORIZED HIGH","OK")))))</x:f>
      </x:c>
      <x:c r="K296" s="34" t="n">
        <x:v>-123.5385890408</x:v>
      </x:c>
      <x:c r="L296" s="34" t="n">
        <x:v>974.1666666666999</x:v>
      </x:c>
      <x:c r="M296" s="34" t="n">
        <x:v>0.1111111111111111</x:v>
      </x:c>
      <x:c r="N296" s="34" t="str">
        <x:v>no</x:v>
      </x:c>
    </x:row>
    <x:row r="297">
      <x:c r="A297" s="34" t="n">
        <x:v>30</x:v>
      </x:c>
      <x:c r="B297" s="34" t="str">
        <x:f>IF('01_INPUT_COMPANIES'!$A$36="","",'01_INPUT_COMPANIES'!$A$36)</x:f>
      </x:c>
      <x:c r="C297" s="34" t="str">
        <x:f>IF(B297="","",'01_INPUT_COMPANIES'!$B$36)</x:f>
      </x:c>
      <x:c r="D297" s="34" t="str">
        <x:v>effective_tax_rate_gap</x:v>
      </x:c>
      <x:c r="E297" s="42" t="str">
        <x:f>IF(OR(B297="",COUNT('01_INPUT_COMPANIES'!$T$36)=0),"",'01_INPUT_COMPANIES'!$T$36)</x:f>
      </x:c>
      <x:c r="F297" s="42" t="n">
        <x:v>1</x:v>
      </x:c>
      <x:c r="G297" s="42" t="str">
        <x:f>IF(NOT(ISNUMBER(E297)),"",MAX(K297,MIN(L297,E297*F297)))</x:f>
      </x:c>
      <x:c r="H297" s="42" t="n">
        <x:v>74</x:v>
      </x:c>
      <x:c r="I297" s="42" t="str">
        <x:f>IF(COUNT(G297)=0,"",(COUNTIFS('93_REF_ANCHORS'!$A$7:$A$766,D297,'93_REF_ANCHORS'!$C$7:$C$766,"&lt;"&amp;G297)+COUNTIFS('93_REF_ANCHORS'!$A$7:$A$766,D297,'93_REF_ANCHORS'!$C$7:$C$766,"&lt;="&amp;G297)-1)/(2*(H297-1)))</x:f>
      </x:c>
      <x:c r="J297" s="34" t="str">
        <x:f>IF(B297="","",IF(COUNT(E297)=0,"MISSING",IF(NOT(ISNUMBER(E297)),"INVALID",IF(E297*F297&lt;K297,"WINSORIZED LOW",IF(E297*F297&gt;L297,"WINSORIZED HIGH","OK")))))</x:f>
      </x:c>
      <x:c r="K297" s="34" t="n">
        <x:v>-0.1416111014</x:v>
      </x:c>
      <x:c r="L297" s="34" t="n">
        <x:v>0.2683650488</x:v>
      </x:c>
      <x:c r="M297" s="34" t="n">
        <x:v>0.1111111111111111</x:v>
      </x:c>
      <x:c r="N297" s="34" t="str">
        <x:v>no</x:v>
      </x:c>
    </x:row>
    <x:row r="298">
      <x:c r="A298" s="34" t="n">
        <x:v>30</x:v>
      </x:c>
      <x:c r="B298" s="34" t="str">
        <x:f>IF('01_INPUT_COMPANIES'!$A$36="","",'01_INPUT_COMPANIES'!$A$36)</x:f>
      </x:c>
      <x:c r="C298" s="34" t="str">
        <x:f>IF(B298="","",'01_INPUT_COMPANIES'!$B$36)</x:f>
      </x:c>
      <x:c r="D298" s="34" t="str">
        <x:v>infra_dependency_ratio</x:v>
      </x:c>
      <x:c r="E298" s="42" t="str">
        <x:f>IF(OR(B298="",COUNT('01_INPUT_COMPANIES'!$U$36)=0),"",'01_INPUT_COMPANIES'!$U$36)</x:f>
      </x:c>
      <x:c r="F298" s="42" t="n">
        <x:v>1</x:v>
      </x:c>
      <x:c r="G298" s="42" t="str">
        <x:f>IF(NOT(ISNUMBER(E298)),"",MAX(K298,MIN(L298,E298*F298)))</x:f>
      </x:c>
      <x:c r="H298" s="42" t="n">
        <x:v>64</x:v>
      </x:c>
      <x:c r="I298" s="42" t="str">
        <x:f>IF(COUNT(G298)=0,"",(COUNTIFS('93_REF_ANCHORS'!$A$7:$A$766,D298,'93_REF_ANCHORS'!$C$7:$C$766,"&lt;"&amp;G298)+COUNTIFS('93_REF_ANCHORS'!$A$7:$A$766,D298,'93_REF_ANCHORS'!$C$7:$C$766,"&lt;="&amp;G298)-1)/(2*(H298-1)))</x:f>
      </x:c>
      <x:c r="J298" s="34" t="str">
        <x:f>IF(B298="","",IF(COUNT(E298)=0,"MISSING",IF(NOT(ISNUMBER(E298)),"INVALID",IF(E298*F298&lt;K298,"WINSORIZED LOW",IF(E298*F298&gt;L298,"WINSORIZED HIGH","OK")))))</x:f>
      </x:c>
      <x:c r="K298" s="34" t="n">
        <x:v>-0.10705024705171803</x:v>
      </x:c>
      <x:c r="L298" s="34" t="n">
        <x:v>0.8008753865408955</x:v>
      </x:c>
      <x:c r="M298" s="34" t="n">
        <x:v>0.1111111111111111</x:v>
      </x:c>
      <x:c r="N298" s="34" t="str">
        <x:v>no</x:v>
      </x:c>
    </x:row>
    <x:row r="299">
      <x:c r="A299" s="34" t="n">
        <x:v>30</x:v>
      </x:c>
      <x:c r="B299" s="34" t="str">
        <x:f>IF('01_INPUT_COMPANIES'!$A$36="","",'01_INPUT_COMPANIES'!$A$36)</x:f>
      </x:c>
      <x:c r="C299" s="34" t="str">
        <x:f>IF(B299="","",'01_INPUT_COMPANIES'!$B$36)</x:f>
      </x:c>
      <x:c r="D299" s="34" t="str">
        <x:v>network_cost_ratio</x:v>
      </x:c>
      <x:c r="E299" s="42" t="str">
        <x:f>IF(OR(B299="",COUNT('01_INPUT_COMPANIES'!$V$36)=0),"",'01_INPUT_COMPANIES'!$V$36)</x:f>
      </x:c>
      <x:c r="F299" s="42" t="n">
        <x:v>1</x:v>
      </x:c>
      <x:c r="G299" s="42" t="str">
        <x:f>IF(NOT(ISNUMBER(E299)),"",MAX(K299,MIN(L299,E299*F299)))</x:f>
      </x:c>
      <x:c r="H299" s="42" t="n">
        <x:v>97</x:v>
      </x:c>
      <x:c r="I299" s="42" t="str">
        <x:f>IF(COUNT(G299)=0,"",(COUNTIFS('93_REF_ANCHORS'!$A$7:$A$766,D299,'93_REF_ANCHORS'!$C$7:$C$766,"&lt;"&amp;G299)+COUNTIFS('93_REF_ANCHORS'!$A$7:$A$766,D299,'93_REF_ANCHORS'!$C$7:$C$766,"&lt;="&amp;G299)-1)/(2*(H299-1)))</x:f>
      </x:c>
      <x:c r="J299" s="34" t="str">
        <x:f>IF(B299="","",IF(COUNT(E299)=0,"MISSING",IF(NOT(ISNUMBER(E299)),"INVALID",IF(E299*F299&lt;K299,"WINSORIZED LOW",IF(E299*F299&gt;L299,"WINSORIZED HIGH","OK")))))</x:f>
      </x:c>
      <x:c r="K299" s="34" t="n">
        <x:v>-0.1395374353</x:v>
      </x:c>
      <x:c r="L299" s="34" t="n">
        <x:v>0.9274274845000001</x:v>
      </x:c>
      <x:c r="M299" s="34" t="n">
        <x:v>0.1111111111111111</x:v>
      </x:c>
      <x:c r="N299" s="34" t="str">
        <x:v>no</x:v>
      </x:c>
    </x:row>
    <x:row r="300">
      <x:c r="A300" s="34" t="n">
        <x:v>30</x:v>
      </x:c>
      <x:c r="B300" s="34" t="str">
        <x:f>IF('01_INPUT_COMPANIES'!$A$36="","",'01_INPUT_COMPANIES'!$A$36)</x:f>
      </x:c>
      <x:c r="C300" s="34" t="str">
        <x:f>IF(B300="","",'01_INPUT_COMPANIES'!$B$36)</x:f>
      </x:c>
      <x:c r="D300" s="34" t="str">
        <x:v>cashflow_recovery_ratio</x:v>
      </x:c>
      <x:c r="E300" s="42" t="str">
        <x:f>IF(OR(B300="",COUNT('01_INPUT_COMPANIES'!$W$36)=0),"",'01_INPUT_COMPANIES'!$W$36)</x:f>
      </x:c>
      <x:c r="F300" s="42" t="n">
        <x:v>-1</x:v>
      </x:c>
      <x:c r="G300" s="42" t="str">
        <x:f>IF(NOT(ISNUMBER(E300)),"",MAX(K300,MIN(L300,E300*F300)))</x:f>
      </x:c>
      <x:c r="H300" s="42" t="n">
        <x:v>95</x:v>
      </x:c>
      <x:c r="I300" s="42" t="str">
        <x:f>IF(COUNT(G300)=0,"",(COUNTIFS('93_REF_ANCHORS'!$A$7:$A$766,D300,'93_REF_ANCHORS'!$C$7:$C$766,"&lt;"&amp;G300)+COUNTIFS('93_REF_ANCHORS'!$A$7:$A$766,D300,'93_REF_ANCHORS'!$C$7:$C$766,"&lt;="&amp;G300)-1)/(2*(H300-1)))</x:f>
      </x:c>
      <x:c r="J300" s="34" t="str">
        <x:f>IF(B300="","",IF(COUNT(E300)=0,"MISSING",IF(NOT(ISNUMBER(E300)),"INVALID",IF(E300*F300&lt;K300,"WINSORIZED LOW",IF(E300*F300&gt;L300,"WINSORIZED HIGH","OK")))))</x:f>
      </x:c>
      <x:c r="K300" s="34" t="n">
        <x:v>-300.75</x:v>
      </x:c>
      <x:c r="L300" s="34" t="n">
        <x:v>42.6920305469</x:v>
      </x:c>
      <x:c r="M300" s="34" t="n">
        <x:v>0.08333333333333333</x:v>
      </x:c>
      <x:c r="N300" s="34" t="str">
        <x:v>no</x:v>
      </x:c>
    </x:row>
    <x:row r="301">
      <x:c r="A301" s="34" t="n">
        <x:v>30</x:v>
      </x:c>
      <x:c r="B301" s="34" t="str">
        <x:f>IF('01_INPUT_COMPANIES'!$A$36="","",'01_INPUT_COMPANIES'!$A$36)</x:f>
      </x:c>
      <x:c r="C301" s="34" t="str">
        <x:f>IF(B301="","",'01_INPUT_COMPANIES'!$B$36)</x:f>
      </x:c>
      <x:c r="D301" s="34" t="str">
        <x:v>funding_cost_spread</x:v>
      </x:c>
      <x:c r="E301" s="42" t="str">
        <x:f>IF(OR(B301="",COUNT('01_INPUT_COMPANIES'!$X$36)=0),"",'01_INPUT_COMPANIES'!$X$36)</x:f>
      </x:c>
      <x:c r="F301" s="42" t="n">
        <x:v>1</x:v>
      </x:c>
      <x:c r="G301" s="42" t="str">
        <x:f>IF(NOT(ISNUMBER(E301)),"",MAX(K301,MIN(L301,E301*F301)))</x:f>
      </x:c>
      <x:c r="H301" s="42" t="n">
        <x:v>58</x:v>
      </x:c>
      <x:c r="I301" s="42" t="str">
        <x:f>IF(COUNT(G301)=0,"",(COUNTIFS('93_REF_ANCHORS'!$A$7:$A$766,D301,'93_REF_ANCHORS'!$C$7:$C$766,"&lt;"&amp;G301)+COUNTIFS('93_REF_ANCHORS'!$A$7:$A$766,D301,'93_REF_ANCHORS'!$C$7:$C$766,"&lt;="&amp;G301)-1)/(2*(H301-1)))</x:f>
      </x:c>
      <x:c r="J301" s="34" t="str">
        <x:f>IF(B301="","",IF(COUNT(E301)=0,"MISSING",IF(NOT(ISNUMBER(E301)),"INVALID",IF(E301*F301&lt;K301,"WINSORIZED LOW",IF(E301*F301&gt;L301,"WINSORIZED HIGH","OK")))))</x:f>
      </x:c>
      <x:c r="K301" s="34" t="n">
        <x:v>-0.4430292903</x:v>
      </x:c>
      <x:c r="L301" s="34" t="n">
        <x:v>0.5068913103</x:v>
      </x:c>
      <x:c r="M301" s="34" t="n">
        <x:v>0.08333333333333333</x:v>
      </x:c>
      <x:c r="N301" s="34" t="str">
        <x:v>no</x:v>
      </x:c>
    </x:row>
    <x:row r="302">
      <x:c r="A302" s="34" t="n">
        <x:v>30</x:v>
      </x:c>
      <x:c r="B302" s="34" t="str">
        <x:f>IF('01_INPUT_COMPANIES'!$A$36="","",'01_INPUT_COMPANIES'!$A$36)</x:f>
      </x:c>
      <x:c r="C302" s="34" t="str">
        <x:f>IF(B302="","",'01_INPUT_COMPANIES'!$B$36)</x:f>
      </x:c>
      <x:c r="D302" s="34" t="str">
        <x:v>investment_recovery_ratio</x:v>
      </x:c>
      <x:c r="E302" s="42" t="str">
        <x:f>IF(OR(B302="",COUNT('01_INPUT_COMPANIES'!$Y$36)=0),"",'01_INPUT_COMPANIES'!$Y$36)</x:f>
      </x:c>
      <x:c r="F302" s="42" t="n">
        <x:v>-1</x:v>
      </x:c>
      <x:c r="G302" s="42" t="str">
        <x:f>IF(NOT(ISNUMBER(E302)),"",MAX(K302,MIN(L302,E302*F302)))</x:f>
      </x:c>
      <x:c r="H302" s="42" t="n">
        <x:v>95</x:v>
      </x:c>
      <x:c r="I302" s="42" t="str">
        <x:f>IF(COUNT(G302)=0,"",(COUNTIFS('93_REF_ANCHORS'!$A$7:$A$766,D302,'93_REF_ANCHORS'!$C$7:$C$766,"&lt;"&amp;G302)+COUNTIFS('93_REF_ANCHORS'!$A$7:$A$766,D302,'93_REF_ANCHORS'!$C$7:$C$766,"&lt;="&amp;G302)-1)/(2*(H302-1)))</x:f>
      </x:c>
      <x:c r="J302" s="34" t="str">
        <x:f>IF(B302="","",IF(COUNT(E302)=0,"MISSING",IF(NOT(ISNUMBER(E302)),"INVALID",IF(E302*F302&lt;K302,"WINSORIZED LOW",IF(E302*F302&gt;L302,"WINSORIZED HIGH","OK")))))</x:f>
      </x:c>
      <x:c r="K302" s="34" t="n">
        <x:v>-3163.7500000000014</x:v>
      </x:c>
      <x:c r="L302" s="34" t="n">
        <x:v>189.68191301719997</x:v>
      </x:c>
      <x:c r="M302" s="34" t="n">
        <x:v>0.08333333333333333</x:v>
      </x:c>
      <x:c r="N302" s="34" t="str">
        <x:v>no</x:v>
      </x:c>
    </x:row>
    <x:row r="303">
      <x:c r="A303" s="34" t="n">
        <x:v>30</x:v>
      </x:c>
      <x:c r="B303" s="34" t="str">
        <x:f>IF('01_INPUT_COMPANIES'!$A$36="","",'01_INPUT_COMPANIES'!$A$36)</x:f>
      </x:c>
      <x:c r="C303" s="34" t="str">
        <x:f>IF(B303="","",'01_INPUT_COMPANIES'!$B$36)</x:f>
      </x:c>
      <x:c r="D303" s="34" t="str">
        <x:v>ip_assetization_gap</x:v>
      </x:c>
      <x:c r="E303" s="42" t="str">
        <x:f>IF(OR(B303="",COUNT('01_INPUT_COMPANIES'!$Z$36)=0),"",'01_INPUT_COMPANIES'!$Z$36)</x:f>
      </x:c>
      <x:c r="F303" s="42" t="n">
        <x:v>1</x:v>
      </x:c>
      <x:c r="G303" s="42" t="str">
        <x:f>IF(NOT(ISNUMBER(E303)),"",MAX(K303,MIN(L303,E303*F303)))</x:f>
      </x:c>
      <x:c r="H303" s="42" t="n">
        <x:v>92</x:v>
      </x:c>
      <x:c r="I303" s="42" t="str">
        <x:f>IF(COUNT(G303)=0,"",(COUNTIFS('93_REF_ANCHORS'!$A$7:$A$766,D303,'93_REF_ANCHORS'!$C$7:$C$766,"&lt;"&amp;G303)+COUNTIFS('93_REF_ANCHORS'!$A$7:$A$766,D303,'93_REF_ANCHORS'!$C$7:$C$766,"&lt;="&amp;G303)-1)/(2*(H303-1)))</x:f>
      </x:c>
      <x:c r="J303" s="34" t="str">
        <x:f>IF(B303="","",IF(COUNT(E303)=0,"MISSING",IF(NOT(ISNUMBER(E303)),"INVALID",IF(E303*F303&lt;K303,"WINSORIZED LOW",IF(E303*F303&gt;L303,"WINSORIZED HIGH","OK")))))</x:f>
      </x:c>
      <x:c r="K303" s="34" t="n">
        <x:v>-1.6707152386</x:v>
      </x:c>
      <x:c r="L303" s="34" t="n">
        <x:v>0.7716332556000001</x:v>
      </x:c>
      <x:c r="M303" s="34" t="n">
        <x:v>0.08333333333333333</x:v>
      </x:c>
      <x:c r="N303" s="34" t="str">
        <x:v>no</x:v>
      </x:c>
    </x:row>
    <x:row r="304">
      <x:c r="A304" s="34" t="n">
        <x:v>30</x:v>
      </x:c>
      <x:c r="B304" s="34" t="str">
        <x:f>IF('01_INPUT_COMPANIES'!$A$36="","",'01_INPUT_COMPANIES'!$A$36)</x:f>
      </x:c>
      <x:c r="C304" s="34" t="str">
        <x:f>IF(B304="","",'01_INPUT_COMPANIES'!$B$36)</x:f>
      </x:c>
      <x:c r="D304" s="34" t="str">
        <x:v>cross_market_transfer_index</x:v>
      </x:c>
      <x:c r="E304" s="42" t="str">
        <x:f>IF(OR(B304="",COUNT('01_INPUT_COMPANIES'!$AA$36)=0),"",'01_INPUT_COMPANIES'!$AA$36)</x:f>
      </x:c>
      <x:c r="F304" s="42" t="n">
        <x:v>1</x:v>
      </x:c>
      <x:c r="G304" s="42" t="str">
        <x:f>IF(NOT(ISNUMBER(E304)),"",MAX(K304,MIN(L304,E304*F304)))</x:f>
      </x:c>
      <x:c r="H304" s="42" t="n">
        <x:v>4</x:v>
      </x:c>
      <x:c r="I304" s="42" t="str">
        <x:f>IF(COUNT(G304)=0,"",(COUNTIFS('93_REF_ANCHORS'!$A$7:$A$766,D304,'93_REF_ANCHORS'!$C$7:$C$766,"&lt;"&amp;G304)+COUNTIFS('93_REF_ANCHORS'!$A$7:$A$766,D304,'93_REF_ANCHORS'!$C$7:$C$766,"&lt;="&amp;G304)-1)/(2*(H304-1)))</x:f>
      </x:c>
      <x:c r="J304" s="34" t="str">
        <x:f>IF(B304="","",IF(COUNT(E304)=0,"MISSING",IF(NOT(ISNUMBER(E304)),"INVALID",IF(E304*F304&lt;K304,"WINSORIZED LOW",IF(E304*F304&gt;L304,"WINSORIZED HIGH","OK")))))</x:f>
      </x:c>
      <x:c r="K304" s="34" t="n">
        <x:v>0</x:v>
      </x:c>
      <x:c r="L304" s="34" t="n">
        <x:v>0.7587051325360435</x:v>
      </x:c>
      <x:c r="M304" s="34" t="n">
        <x:v>0.1111111111111111</x:v>
      </x:c>
      <x:c r="N304" s="34" t="str">
        <x:v>yes</x:v>
      </x:c>
    </x:row>
    <x:row r="305">
      <x:c r="A305" s="34" t="n">
        <x:v>30</x:v>
      </x:c>
      <x:c r="B305" s="34" t="str">
        <x:f>IF('01_INPUT_COMPANIES'!$A$36="","",'01_INPUT_COMPANIES'!$A$36)</x:f>
      </x:c>
      <x:c r="C305" s="34" t="str">
        <x:f>IF(B305="","",'01_INPUT_COMPANIES'!$B$36)</x:f>
      </x:c>
      <x:c r="D305" s="34" t="str">
        <x:v>foreign_dependency_ratio</x:v>
      </x:c>
      <x:c r="E305" s="42" t="str">
        <x:f>IF(OR(B305="",COUNT('01_INPUT_COMPANIES'!$AB$36)=0),"",'01_INPUT_COMPANIES'!$AB$36)</x:f>
      </x:c>
      <x:c r="F305" s="42" t="n">
        <x:v>1</x:v>
      </x:c>
      <x:c r="G305" s="42" t="str">
        <x:f>IF(NOT(ISNUMBER(E305)),"",MAX(K305,MIN(L305,E305*F305)))</x:f>
      </x:c>
      <x:c r="H305" s="42" t="n">
        <x:v>84</x:v>
      </x:c>
      <x:c r="I305" s="42" t="str">
        <x:f>IF(COUNT(G305)=0,"",(COUNTIFS('93_REF_ANCHORS'!$A$7:$A$766,D305,'93_REF_ANCHORS'!$C$7:$C$766,"&lt;"&amp;G305)+COUNTIFS('93_REF_ANCHORS'!$A$7:$A$766,D305,'93_REF_ANCHORS'!$C$7:$C$766,"&lt;="&amp;G305)-1)/(2*(H305-1)))</x:f>
      </x:c>
      <x:c r="J305" s="34" t="str">
        <x:f>IF(B305="","",IF(COUNT(E305)=0,"MISSING",IF(NOT(ISNUMBER(E305)),"INVALID",IF(E305*F305&lt;K305,"WINSORIZED LOW",IF(E305*F305&gt;L305,"WINSORIZED HIGH","OK")))))</x:f>
      </x:c>
      <x:c r="K305" s="34" t="n">
        <x:v>0.728196</x:v>
      </x:c>
      <x:c r="L305" s="34" t="n">
        <x:v>0.94</x:v>
      </x:c>
      <x:c r="M305" s="34" t="n">
        <x:v>0.1111111111111111</x:v>
      </x:c>
      <x:c r="N305" s="34" t="str">
        <x:v>yes</x:v>
      </x:c>
    </x:row>
    <x:row r="306">
      <x:c r="A306" s="34" t="n">
        <x:v>30</x:v>
      </x:c>
      <x:c r="B306" s="34" t="str">
        <x:f>IF('01_INPUT_COMPANIES'!$A$36="","",'01_INPUT_COMPANIES'!$A$36)</x:f>
      </x:c>
      <x:c r="C306" s="34" t="str">
        <x:f>IF(B306="","",'01_INPUT_COMPANIES'!$B$36)</x:f>
      </x:c>
      <x:c r="D306" s="34" t="str">
        <x:v>outflow_to_capex_ratio</x:v>
      </x:c>
      <x:c r="E306" s="42" t="str">
        <x:f>IF(OR(B306="",COUNT('01_INPUT_COMPANIES'!$AC$36)=0),"",'01_INPUT_COMPANIES'!$AC$36)</x:f>
      </x:c>
      <x:c r="F306" s="42" t="n">
        <x:v>1</x:v>
      </x:c>
      <x:c r="G306" s="42" t="str">
        <x:f>IF(NOT(ISNUMBER(E306)),"",MAX(K306,MIN(L306,E306*F306)))</x:f>
      </x:c>
      <x:c r="H306" s="42" t="n">
        <x:v>97</x:v>
      </x:c>
      <x:c r="I306" s="42" t="str">
        <x:f>IF(COUNT(G306)=0,"",(COUNTIFS('93_REF_ANCHORS'!$A$7:$A$766,D306,'93_REF_ANCHORS'!$C$7:$C$766,"&lt;"&amp;G306)+COUNTIFS('93_REF_ANCHORS'!$A$7:$A$766,D306,'93_REF_ANCHORS'!$C$7:$C$766,"&lt;="&amp;G306)-1)/(2*(H306-1)))</x:f>
      </x:c>
      <x:c r="J306" s="34" t="str">
        <x:f>IF(B306="","",IF(COUNT(E306)=0,"MISSING",IF(NOT(ISNUMBER(E306)),"INVALID",IF(E306*F306&lt;K306,"WINSORIZED LOW",IF(E306*F306&gt;L306,"WINSORIZED HIGH","OK")))))</x:f>
      </x:c>
      <x:c r="K306" s="34" t="n">
        <x:v>-123.5385890408</x:v>
      </x:c>
      <x:c r="L306" s="34" t="n">
        <x:v>974.1666666666999</x:v>
      </x:c>
      <x:c r="M306" s="34" t="n">
        <x:v>0.1111111111111111</x:v>
      </x:c>
      <x:c r="N306" s="34" t="str">
        <x:v>no</x:v>
      </x:c>
    </x:row>
    <x:row r="307">
      <x:c r="A307" s="34" t="n">
        <x:v>31</x:v>
      </x:c>
      <x:c r="B307" s="34" t="str">
        <x:f>IF('01_INPUT_COMPANIES'!$A$37="","",'01_INPUT_COMPANIES'!$A$37)</x:f>
      </x:c>
      <x:c r="C307" s="34" t="str">
        <x:f>IF(B307="","",'01_INPUT_COMPANIES'!$B$37)</x:f>
      </x:c>
      <x:c r="D307" s="34" t="str">
        <x:v>effective_tax_rate_gap</x:v>
      </x:c>
      <x:c r="E307" s="42" t="str">
        <x:f>IF(OR(B307="",COUNT('01_INPUT_COMPANIES'!$T$37)=0),"",'01_INPUT_COMPANIES'!$T$37)</x:f>
      </x:c>
      <x:c r="F307" s="42" t="n">
        <x:v>1</x:v>
      </x:c>
      <x:c r="G307" s="42" t="str">
        <x:f>IF(NOT(ISNUMBER(E307)),"",MAX(K307,MIN(L307,E307*F307)))</x:f>
      </x:c>
      <x:c r="H307" s="42" t="n">
        <x:v>74</x:v>
      </x:c>
      <x:c r="I307" s="42" t="str">
        <x:f>IF(COUNT(G307)=0,"",(COUNTIFS('93_REF_ANCHORS'!$A$7:$A$766,D307,'93_REF_ANCHORS'!$C$7:$C$766,"&lt;"&amp;G307)+COUNTIFS('93_REF_ANCHORS'!$A$7:$A$766,D307,'93_REF_ANCHORS'!$C$7:$C$766,"&lt;="&amp;G307)-1)/(2*(H307-1)))</x:f>
      </x:c>
      <x:c r="J307" s="34" t="str">
        <x:f>IF(B307="","",IF(COUNT(E307)=0,"MISSING",IF(NOT(ISNUMBER(E307)),"INVALID",IF(E307*F307&lt;K307,"WINSORIZED LOW",IF(E307*F307&gt;L307,"WINSORIZED HIGH","OK")))))</x:f>
      </x:c>
      <x:c r="K307" s="34" t="n">
        <x:v>-0.1416111014</x:v>
      </x:c>
      <x:c r="L307" s="34" t="n">
        <x:v>0.2683650488</x:v>
      </x:c>
      <x:c r="M307" s="34" t="n">
        <x:v>0.1111111111111111</x:v>
      </x:c>
      <x:c r="N307" s="34" t="str">
        <x:v>no</x:v>
      </x:c>
    </x:row>
    <x:row r="308">
      <x:c r="A308" s="34" t="n">
        <x:v>31</x:v>
      </x:c>
      <x:c r="B308" s="34" t="str">
        <x:f>IF('01_INPUT_COMPANIES'!$A$37="","",'01_INPUT_COMPANIES'!$A$37)</x:f>
      </x:c>
      <x:c r="C308" s="34" t="str">
        <x:f>IF(B308="","",'01_INPUT_COMPANIES'!$B$37)</x:f>
      </x:c>
      <x:c r="D308" s="34" t="str">
        <x:v>infra_dependency_ratio</x:v>
      </x:c>
      <x:c r="E308" s="42" t="str">
        <x:f>IF(OR(B308="",COUNT('01_INPUT_COMPANIES'!$U$37)=0),"",'01_INPUT_COMPANIES'!$U$37)</x:f>
      </x:c>
      <x:c r="F308" s="42" t="n">
        <x:v>1</x:v>
      </x:c>
      <x:c r="G308" s="42" t="str">
        <x:f>IF(NOT(ISNUMBER(E308)),"",MAX(K308,MIN(L308,E308*F308)))</x:f>
      </x:c>
      <x:c r="H308" s="42" t="n">
        <x:v>64</x:v>
      </x:c>
      <x:c r="I308" s="42" t="str">
        <x:f>IF(COUNT(G308)=0,"",(COUNTIFS('93_REF_ANCHORS'!$A$7:$A$766,D308,'93_REF_ANCHORS'!$C$7:$C$766,"&lt;"&amp;G308)+COUNTIFS('93_REF_ANCHORS'!$A$7:$A$766,D308,'93_REF_ANCHORS'!$C$7:$C$766,"&lt;="&amp;G308)-1)/(2*(H308-1)))</x:f>
      </x:c>
      <x:c r="J308" s="34" t="str">
        <x:f>IF(B308="","",IF(COUNT(E308)=0,"MISSING",IF(NOT(ISNUMBER(E308)),"INVALID",IF(E308*F308&lt;K308,"WINSORIZED LOW",IF(E308*F308&gt;L308,"WINSORIZED HIGH","OK")))))</x:f>
      </x:c>
      <x:c r="K308" s="34" t="n">
        <x:v>-0.10705024705171803</x:v>
      </x:c>
      <x:c r="L308" s="34" t="n">
        <x:v>0.8008753865408955</x:v>
      </x:c>
      <x:c r="M308" s="34" t="n">
        <x:v>0.1111111111111111</x:v>
      </x:c>
      <x:c r="N308" s="34" t="str">
        <x:v>no</x:v>
      </x:c>
    </x:row>
    <x:row r="309">
      <x:c r="A309" s="34" t="n">
        <x:v>31</x:v>
      </x:c>
      <x:c r="B309" s="34" t="str">
        <x:f>IF('01_INPUT_COMPANIES'!$A$37="","",'01_INPUT_COMPANIES'!$A$37)</x:f>
      </x:c>
      <x:c r="C309" s="34" t="str">
        <x:f>IF(B309="","",'01_INPUT_COMPANIES'!$B$37)</x:f>
      </x:c>
      <x:c r="D309" s="34" t="str">
        <x:v>network_cost_ratio</x:v>
      </x:c>
      <x:c r="E309" s="42" t="str">
        <x:f>IF(OR(B309="",COUNT('01_INPUT_COMPANIES'!$V$37)=0),"",'01_INPUT_COMPANIES'!$V$37)</x:f>
      </x:c>
      <x:c r="F309" s="42" t="n">
        <x:v>1</x:v>
      </x:c>
      <x:c r="G309" s="42" t="str">
        <x:f>IF(NOT(ISNUMBER(E309)),"",MAX(K309,MIN(L309,E309*F309)))</x:f>
      </x:c>
      <x:c r="H309" s="42" t="n">
        <x:v>97</x:v>
      </x:c>
      <x:c r="I309" s="42" t="str">
        <x:f>IF(COUNT(G309)=0,"",(COUNTIFS('93_REF_ANCHORS'!$A$7:$A$766,D309,'93_REF_ANCHORS'!$C$7:$C$766,"&lt;"&amp;G309)+COUNTIFS('93_REF_ANCHORS'!$A$7:$A$766,D309,'93_REF_ANCHORS'!$C$7:$C$766,"&lt;="&amp;G309)-1)/(2*(H309-1)))</x:f>
      </x:c>
      <x:c r="J309" s="34" t="str">
        <x:f>IF(B309="","",IF(COUNT(E309)=0,"MISSING",IF(NOT(ISNUMBER(E309)),"INVALID",IF(E309*F309&lt;K309,"WINSORIZED LOW",IF(E309*F309&gt;L309,"WINSORIZED HIGH","OK")))))</x:f>
      </x:c>
      <x:c r="K309" s="34" t="n">
        <x:v>-0.1395374353</x:v>
      </x:c>
      <x:c r="L309" s="34" t="n">
        <x:v>0.9274274845000001</x:v>
      </x:c>
      <x:c r="M309" s="34" t="n">
        <x:v>0.1111111111111111</x:v>
      </x:c>
      <x:c r="N309" s="34" t="str">
        <x:v>no</x:v>
      </x:c>
    </x:row>
    <x:row r="310">
      <x:c r="A310" s="34" t="n">
        <x:v>31</x:v>
      </x:c>
      <x:c r="B310" s="34" t="str">
        <x:f>IF('01_INPUT_COMPANIES'!$A$37="","",'01_INPUT_COMPANIES'!$A$37)</x:f>
      </x:c>
      <x:c r="C310" s="34" t="str">
        <x:f>IF(B310="","",'01_INPUT_COMPANIES'!$B$37)</x:f>
      </x:c>
      <x:c r="D310" s="34" t="str">
        <x:v>cashflow_recovery_ratio</x:v>
      </x:c>
      <x:c r="E310" s="42" t="str">
        <x:f>IF(OR(B310="",COUNT('01_INPUT_COMPANIES'!$W$37)=0),"",'01_INPUT_COMPANIES'!$W$37)</x:f>
      </x:c>
      <x:c r="F310" s="42" t="n">
        <x:v>-1</x:v>
      </x:c>
      <x:c r="G310" s="42" t="str">
        <x:f>IF(NOT(ISNUMBER(E310)),"",MAX(K310,MIN(L310,E310*F310)))</x:f>
      </x:c>
      <x:c r="H310" s="42" t="n">
        <x:v>95</x:v>
      </x:c>
      <x:c r="I310" s="42" t="str">
        <x:f>IF(COUNT(G310)=0,"",(COUNTIFS('93_REF_ANCHORS'!$A$7:$A$766,D310,'93_REF_ANCHORS'!$C$7:$C$766,"&lt;"&amp;G310)+COUNTIFS('93_REF_ANCHORS'!$A$7:$A$766,D310,'93_REF_ANCHORS'!$C$7:$C$766,"&lt;="&amp;G310)-1)/(2*(H310-1)))</x:f>
      </x:c>
      <x:c r="J310" s="34" t="str">
        <x:f>IF(B310="","",IF(COUNT(E310)=0,"MISSING",IF(NOT(ISNUMBER(E310)),"INVALID",IF(E310*F310&lt;K310,"WINSORIZED LOW",IF(E310*F310&gt;L310,"WINSORIZED HIGH","OK")))))</x:f>
      </x:c>
      <x:c r="K310" s="34" t="n">
        <x:v>-300.75</x:v>
      </x:c>
      <x:c r="L310" s="34" t="n">
        <x:v>42.6920305469</x:v>
      </x:c>
      <x:c r="M310" s="34" t="n">
        <x:v>0.08333333333333333</x:v>
      </x:c>
      <x:c r="N310" s="34" t="str">
        <x:v>no</x:v>
      </x:c>
    </x:row>
    <x:row r="311">
      <x:c r="A311" s="34" t="n">
        <x:v>31</x:v>
      </x:c>
      <x:c r="B311" s="34" t="str">
        <x:f>IF('01_INPUT_COMPANIES'!$A$37="","",'01_INPUT_COMPANIES'!$A$37)</x:f>
      </x:c>
      <x:c r="C311" s="34" t="str">
        <x:f>IF(B311="","",'01_INPUT_COMPANIES'!$B$37)</x:f>
      </x:c>
      <x:c r="D311" s="34" t="str">
        <x:v>funding_cost_spread</x:v>
      </x:c>
      <x:c r="E311" s="42" t="str">
        <x:f>IF(OR(B311="",COUNT('01_INPUT_COMPANIES'!$X$37)=0),"",'01_INPUT_COMPANIES'!$X$37)</x:f>
      </x:c>
      <x:c r="F311" s="42" t="n">
        <x:v>1</x:v>
      </x:c>
      <x:c r="G311" s="42" t="str">
        <x:f>IF(NOT(ISNUMBER(E311)),"",MAX(K311,MIN(L311,E311*F311)))</x:f>
      </x:c>
      <x:c r="H311" s="42" t="n">
        <x:v>58</x:v>
      </x:c>
      <x:c r="I311" s="42" t="str">
        <x:f>IF(COUNT(G311)=0,"",(COUNTIFS('93_REF_ANCHORS'!$A$7:$A$766,D311,'93_REF_ANCHORS'!$C$7:$C$766,"&lt;"&amp;G311)+COUNTIFS('93_REF_ANCHORS'!$A$7:$A$766,D311,'93_REF_ANCHORS'!$C$7:$C$766,"&lt;="&amp;G311)-1)/(2*(H311-1)))</x:f>
      </x:c>
      <x:c r="J311" s="34" t="str">
        <x:f>IF(B311="","",IF(COUNT(E311)=0,"MISSING",IF(NOT(ISNUMBER(E311)),"INVALID",IF(E311*F311&lt;K311,"WINSORIZED LOW",IF(E311*F311&gt;L311,"WINSORIZED HIGH","OK")))))</x:f>
      </x:c>
      <x:c r="K311" s="34" t="n">
        <x:v>-0.4430292903</x:v>
      </x:c>
      <x:c r="L311" s="34" t="n">
        <x:v>0.5068913103</x:v>
      </x:c>
      <x:c r="M311" s="34" t="n">
        <x:v>0.08333333333333333</x:v>
      </x:c>
      <x:c r="N311" s="34" t="str">
        <x:v>no</x:v>
      </x:c>
    </x:row>
    <x:row r="312">
      <x:c r="A312" s="34" t="n">
        <x:v>31</x:v>
      </x:c>
      <x:c r="B312" s="34" t="str">
        <x:f>IF('01_INPUT_COMPANIES'!$A$37="","",'01_INPUT_COMPANIES'!$A$37)</x:f>
      </x:c>
      <x:c r="C312" s="34" t="str">
        <x:f>IF(B312="","",'01_INPUT_COMPANIES'!$B$37)</x:f>
      </x:c>
      <x:c r="D312" s="34" t="str">
        <x:v>investment_recovery_ratio</x:v>
      </x:c>
      <x:c r="E312" s="42" t="str">
        <x:f>IF(OR(B312="",COUNT('01_INPUT_COMPANIES'!$Y$37)=0),"",'01_INPUT_COMPANIES'!$Y$37)</x:f>
      </x:c>
      <x:c r="F312" s="42" t="n">
        <x:v>-1</x:v>
      </x:c>
      <x:c r="G312" s="42" t="str">
        <x:f>IF(NOT(ISNUMBER(E312)),"",MAX(K312,MIN(L312,E312*F312)))</x:f>
      </x:c>
      <x:c r="H312" s="42" t="n">
        <x:v>95</x:v>
      </x:c>
      <x:c r="I312" s="42" t="str">
        <x:f>IF(COUNT(G312)=0,"",(COUNTIFS('93_REF_ANCHORS'!$A$7:$A$766,D312,'93_REF_ANCHORS'!$C$7:$C$766,"&lt;"&amp;G312)+COUNTIFS('93_REF_ANCHORS'!$A$7:$A$766,D312,'93_REF_ANCHORS'!$C$7:$C$766,"&lt;="&amp;G312)-1)/(2*(H312-1)))</x:f>
      </x:c>
      <x:c r="J312" s="34" t="str">
        <x:f>IF(B312="","",IF(COUNT(E312)=0,"MISSING",IF(NOT(ISNUMBER(E312)),"INVALID",IF(E312*F312&lt;K312,"WINSORIZED LOW",IF(E312*F312&gt;L312,"WINSORIZED HIGH","OK")))))</x:f>
      </x:c>
      <x:c r="K312" s="34" t="n">
        <x:v>-3163.7500000000014</x:v>
      </x:c>
      <x:c r="L312" s="34" t="n">
        <x:v>189.68191301719997</x:v>
      </x:c>
      <x:c r="M312" s="34" t="n">
        <x:v>0.08333333333333333</x:v>
      </x:c>
      <x:c r="N312" s="34" t="str">
        <x:v>no</x:v>
      </x:c>
    </x:row>
    <x:row r="313">
      <x:c r="A313" s="34" t="n">
        <x:v>31</x:v>
      </x:c>
      <x:c r="B313" s="34" t="str">
        <x:f>IF('01_INPUT_COMPANIES'!$A$37="","",'01_INPUT_COMPANIES'!$A$37)</x:f>
      </x:c>
      <x:c r="C313" s="34" t="str">
        <x:f>IF(B313="","",'01_INPUT_COMPANIES'!$B$37)</x:f>
      </x:c>
      <x:c r="D313" s="34" t="str">
        <x:v>ip_assetization_gap</x:v>
      </x:c>
      <x:c r="E313" s="42" t="str">
        <x:f>IF(OR(B313="",COUNT('01_INPUT_COMPANIES'!$Z$37)=0),"",'01_INPUT_COMPANIES'!$Z$37)</x:f>
      </x:c>
      <x:c r="F313" s="42" t="n">
        <x:v>1</x:v>
      </x:c>
      <x:c r="G313" s="42" t="str">
        <x:f>IF(NOT(ISNUMBER(E313)),"",MAX(K313,MIN(L313,E313*F313)))</x:f>
      </x:c>
      <x:c r="H313" s="42" t="n">
        <x:v>92</x:v>
      </x:c>
      <x:c r="I313" s="42" t="str">
        <x:f>IF(COUNT(G313)=0,"",(COUNTIFS('93_REF_ANCHORS'!$A$7:$A$766,D313,'93_REF_ANCHORS'!$C$7:$C$766,"&lt;"&amp;G313)+COUNTIFS('93_REF_ANCHORS'!$A$7:$A$766,D313,'93_REF_ANCHORS'!$C$7:$C$766,"&lt;="&amp;G313)-1)/(2*(H313-1)))</x:f>
      </x:c>
      <x:c r="J313" s="34" t="str">
        <x:f>IF(B313="","",IF(COUNT(E313)=0,"MISSING",IF(NOT(ISNUMBER(E313)),"INVALID",IF(E313*F313&lt;K313,"WINSORIZED LOW",IF(E313*F313&gt;L313,"WINSORIZED HIGH","OK")))))</x:f>
      </x:c>
      <x:c r="K313" s="34" t="n">
        <x:v>-1.6707152386</x:v>
      </x:c>
      <x:c r="L313" s="34" t="n">
        <x:v>0.7716332556000001</x:v>
      </x:c>
      <x:c r="M313" s="34" t="n">
        <x:v>0.08333333333333333</x:v>
      </x:c>
      <x:c r="N313" s="34" t="str">
        <x:v>no</x:v>
      </x:c>
    </x:row>
    <x:row r="314">
      <x:c r="A314" s="34" t="n">
        <x:v>31</x:v>
      </x:c>
      <x:c r="B314" s="34" t="str">
        <x:f>IF('01_INPUT_COMPANIES'!$A$37="","",'01_INPUT_COMPANIES'!$A$37)</x:f>
      </x:c>
      <x:c r="C314" s="34" t="str">
        <x:f>IF(B314="","",'01_INPUT_COMPANIES'!$B$37)</x:f>
      </x:c>
      <x:c r="D314" s="34" t="str">
        <x:v>cross_market_transfer_index</x:v>
      </x:c>
      <x:c r="E314" s="42" t="str">
        <x:f>IF(OR(B314="",COUNT('01_INPUT_COMPANIES'!$AA$37)=0),"",'01_INPUT_COMPANIES'!$AA$37)</x:f>
      </x:c>
      <x:c r="F314" s="42" t="n">
        <x:v>1</x:v>
      </x:c>
      <x:c r="G314" s="42" t="str">
        <x:f>IF(NOT(ISNUMBER(E314)),"",MAX(K314,MIN(L314,E314*F314)))</x:f>
      </x:c>
      <x:c r="H314" s="42" t="n">
        <x:v>4</x:v>
      </x:c>
      <x:c r="I314" s="42" t="str">
        <x:f>IF(COUNT(G314)=0,"",(COUNTIFS('93_REF_ANCHORS'!$A$7:$A$766,D314,'93_REF_ANCHORS'!$C$7:$C$766,"&lt;"&amp;G314)+COUNTIFS('93_REF_ANCHORS'!$A$7:$A$766,D314,'93_REF_ANCHORS'!$C$7:$C$766,"&lt;="&amp;G314)-1)/(2*(H314-1)))</x:f>
      </x:c>
      <x:c r="J314" s="34" t="str">
        <x:f>IF(B314="","",IF(COUNT(E314)=0,"MISSING",IF(NOT(ISNUMBER(E314)),"INVALID",IF(E314*F314&lt;K314,"WINSORIZED LOW",IF(E314*F314&gt;L314,"WINSORIZED HIGH","OK")))))</x:f>
      </x:c>
      <x:c r="K314" s="34" t="n">
        <x:v>0</x:v>
      </x:c>
      <x:c r="L314" s="34" t="n">
        <x:v>0.7587051325360435</x:v>
      </x:c>
      <x:c r="M314" s="34" t="n">
        <x:v>0.1111111111111111</x:v>
      </x:c>
      <x:c r="N314" s="34" t="str">
        <x:v>yes</x:v>
      </x:c>
    </x:row>
    <x:row r="315">
      <x:c r="A315" s="34" t="n">
        <x:v>31</x:v>
      </x:c>
      <x:c r="B315" s="34" t="str">
        <x:f>IF('01_INPUT_COMPANIES'!$A$37="","",'01_INPUT_COMPANIES'!$A$37)</x:f>
      </x:c>
      <x:c r="C315" s="34" t="str">
        <x:f>IF(B315="","",'01_INPUT_COMPANIES'!$B$37)</x:f>
      </x:c>
      <x:c r="D315" s="34" t="str">
        <x:v>foreign_dependency_ratio</x:v>
      </x:c>
      <x:c r="E315" s="42" t="str">
        <x:f>IF(OR(B315="",COUNT('01_INPUT_COMPANIES'!$AB$37)=0),"",'01_INPUT_COMPANIES'!$AB$37)</x:f>
      </x:c>
      <x:c r="F315" s="42" t="n">
        <x:v>1</x:v>
      </x:c>
      <x:c r="G315" s="42" t="str">
        <x:f>IF(NOT(ISNUMBER(E315)),"",MAX(K315,MIN(L315,E315*F315)))</x:f>
      </x:c>
      <x:c r="H315" s="42" t="n">
        <x:v>84</x:v>
      </x:c>
      <x:c r="I315" s="42" t="str">
        <x:f>IF(COUNT(G315)=0,"",(COUNTIFS('93_REF_ANCHORS'!$A$7:$A$766,D315,'93_REF_ANCHORS'!$C$7:$C$766,"&lt;"&amp;G315)+COUNTIFS('93_REF_ANCHORS'!$A$7:$A$766,D315,'93_REF_ANCHORS'!$C$7:$C$766,"&lt;="&amp;G315)-1)/(2*(H315-1)))</x:f>
      </x:c>
      <x:c r="J315" s="34" t="str">
        <x:f>IF(B315="","",IF(COUNT(E315)=0,"MISSING",IF(NOT(ISNUMBER(E315)),"INVALID",IF(E315*F315&lt;K315,"WINSORIZED LOW",IF(E315*F315&gt;L315,"WINSORIZED HIGH","OK")))))</x:f>
      </x:c>
      <x:c r="K315" s="34" t="n">
        <x:v>0.728196</x:v>
      </x:c>
      <x:c r="L315" s="34" t="n">
        <x:v>0.94</x:v>
      </x:c>
      <x:c r="M315" s="34" t="n">
        <x:v>0.1111111111111111</x:v>
      </x:c>
      <x:c r="N315" s="34" t="str">
        <x:v>yes</x:v>
      </x:c>
    </x:row>
    <x:row r="316">
      <x:c r="A316" s="34" t="n">
        <x:v>31</x:v>
      </x:c>
      <x:c r="B316" s="34" t="str">
        <x:f>IF('01_INPUT_COMPANIES'!$A$37="","",'01_INPUT_COMPANIES'!$A$37)</x:f>
      </x:c>
      <x:c r="C316" s="34" t="str">
        <x:f>IF(B316="","",'01_INPUT_COMPANIES'!$B$37)</x:f>
      </x:c>
      <x:c r="D316" s="34" t="str">
        <x:v>outflow_to_capex_ratio</x:v>
      </x:c>
      <x:c r="E316" s="42" t="str">
        <x:f>IF(OR(B316="",COUNT('01_INPUT_COMPANIES'!$AC$37)=0),"",'01_INPUT_COMPANIES'!$AC$37)</x:f>
      </x:c>
      <x:c r="F316" s="42" t="n">
        <x:v>1</x:v>
      </x:c>
      <x:c r="G316" s="42" t="str">
        <x:f>IF(NOT(ISNUMBER(E316)),"",MAX(K316,MIN(L316,E316*F316)))</x:f>
      </x:c>
      <x:c r="H316" s="42" t="n">
        <x:v>97</x:v>
      </x:c>
      <x:c r="I316" s="42" t="str">
        <x:f>IF(COUNT(G316)=0,"",(COUNTIFS('93_REF_ANCHORS'!$A$7:$A$766,D316,'93_REF_ANCHORS'!$C$7:$C$766,"&lt;"&amp;G316)+COUNTIFS('93_REF_ANCHORS'!$A$7:$A$766,D316,'93_REF_ANCHORS'!$C$7:$C$766,"&lt;="&amp;G316)-1)/(2*(H316-1)))</x:f>
      </x:c>
      <x:c r="J316" s="34" t="str">
        <x:f>IF(B316="","",IF(COUNT(E316)=0,"MISSING",IF(NOT(ISNUMBER(E316)),"INVALID",IF(E316*F316&lt;K316,"WINSORIZED LOW",IF(E316*F316&gt;L316,"WINSORIZED HIGH","OK")))))</x:f>
      </x:c>
      <x:c r="K316" s="34" t="n">
        <x:v>-123.5385890408</x:v>
      </x:c>
      <x:c r="L316" s="34" t="n">
        <x:v>974.1666666666999</x:v>
      </x:c>
      <x:c r="M316" s="34" t="n">
        <x:v>0.1111111111111111</x:v>
      </x:c>
      <x:c r="N316" s="34" t="str">
        <x:v>no</x:v>
      </x:c>
    </x:row>
    <x:row r="317">
      <x:c r="A317" s="34" t="n">
        <x:v>32</x:v>
      </x:c>
      <x:c r="B317" s="34" t="str">
        <x:f>IF('01_INPUT_COMPANIES'!$A$38="","",'01_INPUT_COMPANIES'!$A$38)</x:f>
      </x:c>
      <x:c r="C317" s="34" t="str">
        <x:f>IF(B317="","",'01_INPUT_COMPANIES'!$B$38)</x:f>
      </x:c>
      <x:c r="D317" s="34" t="str">
        <x:v>effective_tax_rate_gap</x:v>
      </x:c>
      <x:c r="E317" s="42" t="str">
        <x:f>IF(OR(B317="",COUNT('01_INPUT_COMPANIES'!$T$38)=0),"",'01_INPUT_COMPANIES'!$T$38)</x:f>
      </x:c>
      <x:c r="F317" s="42" t="n">
        <x:v>1</x:v>
      </x:c>
      <x:c r="G317" s="42" t="str">
        <x:f>IF(NOT(ISNUMBER(E317)),"",MAX(K317,MIN(L317,E317*F317)))</x:f>
      </x:c>
      <x:c r="H317" s="42" t="n">
        <x:v>74</x:v>
      </x:c>
      <x:c r="I317" s="42" t="str">
        <x:f>IF(COUNT(G317)=0,"",(COUNTIFS('93_REF_ANCHORS'!$A$7:$A$766,D317,'93_REF_ANCHORS'!$C$7:$C$766,"&lt;"&amp;G317)+COUNTIFS('93_REF_ANCHORS'!$A$7:$A$766,D317,'93_REF_ANCHORS'!$C$7:$C$766,"&lt;="&amp;G317)-1)/(2*(H317-1)))</x:f>
      </x:c>
      <x:c r="J317" s="34" t="str">
        <x:f>IF(B317="","",IF(COUNT(E317)=0,"MISSING",IF(NOT(ISNUMBER(E317)),"INVALID",IF(E317*F317&lt;K317,"WINSORIZED LOW",IF(E317*F317&gt;L317,"WINSORIZED HIGH","OK")))))</x:f>
      </x:c>
      <x:c r="K317" s="34" t="n">
        <x:v>-0.1416111014</x:v>
      </x:c>
      <x:c r="L317" s="34" t="n">
        <x:v>0.2683650488</x:v>
      </x:c>
      <x:c r="M317" s="34" t="n">
        <x:v>0.1111111111111111</x:v>
      </x:c>
      <x:c r="N317" s="34" t="str">
        <x:v>no</x:v>
      </x:c>
    </x:row>
    <x:row r="318">
      <x:c r="A318" s="34" t="n">
        <x:v>32</x:v>
      </x:c>
      <x:c r="B318" s="34" t="str">
        <x:f>IF('01_INPUT_COMPANIES'!$A$38="","",'01_INPUT_COMPANIES'!$A$38)</x:f>
      </x:c>
      <x:c r="C318" s="34" t="str">
        <x:f>IF(B318="","",'01_INPUT_COMPANIES'!$B$38)</x:f>
      </x:c>
      <x:c r="D318" s="34" t="str">
        <x:v>infra_dependency_ratio</x:v>
      </x:c>
      <x:c r="E318" s="42" t="str">
        <x:f>IF(OR(B318="",COUNT('01_INPUT_COMPANIES'!$U$38)=0),"",'01_INPUT_COMPANIES'!$U$38)</x:f>
      </x:c>
      <x:c r="F318" s="42" t="n">
        <x:v>1</x:v>
      </x:c>
      <x:c r="G318" s="42" t="str">
        <x:f>IF(NOT(ISNUMBER(E318)),"",MAX(K318,MIN(L318,E318*F318)))</x:f>
      </x:c>
      <x:c r="H318" s="42" t="n">
        <x:v>64</x:v>
      </x:c>
      <x:c r="I318" s="42" t="str">
        <x:f>IF(COUNT(G318)=0,"",(COUNTIFS('93_REF_ANCHORS'!$A$7:$A$766,D318,'93_REF_ANCHORS'!$C$7:$C$766,"&lt;"&amp;G318)+COUNTIFS('93_REF_ANCHORS'!$A$7:$A$766,D318,'93_REF_ANCHORS'!$C$7:$C$766,"&lt;="&amp;G318)-1)/(2*(H318-1)))</x:f>
      </x:c>
      <x:c r="J318" s="34" t="str">
        <x:f>IF(B318="","",IF(COUNT(E318)=0,"MISSING",IF(NOT(ISNUMBER(E318)),"INVALID",IF(E318*F318&lt;K318,"WINSORIZED LOW",IF(E318*F318&gt;L318,"WINSORIZED HIGH","OK")))))</x:f>
      </x:c>
      <x:c r="K318" s="34" t="n">
        <x:v>-0.10705024705171803</x:v>
      </x:c>
      <x:c r="L318" s="34" t="n">
        <x:v>0.8008753865408955</x:v>
      </x:c>
      <x:c r="M318" s="34" t="n">
        <x:v>0.1111111111111111</x:v>
      </x:c>
      <x:c r="N318" s="34" t="str">
        <x:v>no</x:v>
      </x:c>
    </x:row>
    <x:row r="319">
      <x:c r="A319" s="34" t="n">
        <x:v>32</x:v>
      </x:c>
      <x:c r="B319" s="34" t="str">
        <x:f>IF('01_INPUT_COMPANIES'!$A$38="","",'01_INPUT_COMPANIES'!$A$38)</x:f>
      </x:c>
      <x:c r="C319" s="34" t="str">
        <x:f>IF(B319="","",'01_INPUT_COMPANIES'!$B$38)</x:f>
      </x:c>
      <x:c r="D319" s="34" t="str">
        <x:v>network_cost_ratio</x:v>
      </x:c>
      <x:c r="E319" s="42" t="str">
        <x:f>IF(OR(B319="",COUNT('01_INPUT_COMPANIES'!$V$38)=0),"",'01_INPUT_COMPANIES'!$V$38)</x:f>
      </x:c>
      <x:c r="F319" s="42" t="n">
        <x:v>1</x:v>
      </x:c>
      <x:c r="G319" s="42" t="str">
        <x:f>IF(NOT(ISNUMBER(E319)),"",MAX(K319,MIN(L319,E319*F319)))</x:f>
      </x:c>
      <x:c r="H319" s="42" t="n">
        <x:v>97</x:v>
      </x:c>
      <x:c r="I319" s="42" t="str">
        <x:f>IF(COUNT(G319)=0,"",(COUNTIFS('93_REF_ANCHORS'!$A$7:$A$766,D319,'93_REF_ANCHORS'!$C$7:$C$766,"&lt;"&amp;G319)+COUNTIFS('93_REF_ANCHORS'!$A$7:$A$766,D319,'93_REF_ANCHORS'!$C$7:$C$766,"&lt;="&amp;G319)-1)/(2*(H319-1)))</x:f>
      </x:c>
      <x:c r="J319" s="34" t="str">
        <x:f>IF(B319="","",IF(COUNT(E319)=0,"MISSING",IF(NOT(ISNUMBER(E319)),"INVALID",IF(E319*F319&lt;K319,"WINSORIZED LOW",IF(E319*F319&gt;L319,"WINSORIZED HIGH","OK")))))</x:f>
      </x:c>
      <x:c r="K319" s="34" t="n">
        <x:v>-0.1395374353</x:v>
      </x:c>
      <x:c r="L319" s="34" t="n">
        <x:v>0.9274274845000001</x:v>
      </x:c>
      <x:c r="M319" s="34" t="n">
        <x:v>0.1111111111111111</x:v>
      </x:c>
      <x:c r="N319" s="34" t="str">
        <x:v>no</x:v>
      </x:c>
    </x:row>
    <x:row r="320">
      <x:c r="A320" s="34" t="n">
        <x:v>32</x:v>
      </x:c>
      <x:c r="B320" s="34" t="str">
        <x:f>IF('01_INPUT_COMPANIES'!$A$38="","",'01_INPUT_COMPANIES'!$A$38)</x:f>
      </x:c>
      <x:c r="C320" s="34" t="str">
        <x:f>IF(B320="","",'01_INPUT_COMPANIES'!$B$38)</x:f>
      </x:c>
      <x:c r="D320" s="34" t="str">
        <x:v>cashflow_recovery_ratio</x:v>
      </x:c>
      <x:c r="E320" s="42" t="str">
        <x:f>IF(OR(B320="",COUNT('01_INPUT_COMPANIES'!$W$38)=0),"",'01_INPUT_COMPANIES'!$W$38)</x:f>
      </x:c>
      <x:c r="F320" s="42" t="n">
        <x:v>-1</x:v>
      </x:c>
      <x:c r="G320" s="42" t="str">
        <x:f>IF(NOT(ISNUMBER(E320)),"",MAX(K320,MIN(L320,E320*F320)))</x:f>
      </x:c>
      <x:c r="H320" s="42" t="n">
        <x:v>95</x:v>
      </x:c>
      <x:c r="I320" s="42" t="str">
        <x:f>IF(COUNT(G320)=0,"",(COUNTIFS('93_REF_ANCHORS'!$A$7:$A$766,D320,'93_REF_ANCHORS'!$C$7:$C$766,"&lt;"&amp;G320)+COUNTIFS('93_REF_ANCHORS'!$A$7:$A$766,D320,'93_REF_ANCHORS'!$C$7:$C$766,"&lt;="&amp;G320)-1)/(2*(H320-1)))</x:f>
      </x:c>
      <x:c r="J320" s="34" t="str">
        <x:f>IF(B320="","",IF(COUNT(E320)=0,"MISSING",IF(NOT(ISNUMBER(E320)),"INVALID",IF(E320*F320&lt;K320,"WINSORIZED LOW",IF(E320*F320&gt;L320,"WINSORIZED HIGH","OK")))))</x:f>
      </x:c>
      <x:c r="K320" s="34" t="n">
        <x:v>-300.75</x:v>
      </x:c>
      <x:c r="L320" s="34" t="n">
        <x:v>42.6920305469</x:v>
      </x:c>
      <x:c r="M320" s="34" t="n">
        <x:v>0.08333333333333333</x:v>
      </x:c>
      <x:c r="N320" s="34" t="str">
        <x:v>no</x:v>
      </x:c>
    </x:row>
    <x:row r="321">
      <x:c r="A321" s="34" t="n">
        <x:v>32</x:v>
      </x:c>
      <x:c r="B321" s="34" t="str">
        <x:f>IF('01_INPUT_COMPANIES'!$A$38="","",'01_INPUT_COMPANIES'!$A$38)</x:f>
      </x:c>
      <x:c r="C321" s="34" t="str">
        <x:f>IF(B321="","",'01_INPUT_COMPANIES'!$B$38)</x:f>
      </x:c>
      <x:c r="D321" s="34" t="str">
        <x:v>funding_cost_spread</x:v>
      </x:c>
      <x:c r="E321" s="42" t="str">
        <x:f>IF(OR(B321="",COUNT('01_INPUT_COMPANIES'!$X$38)=0),"",'01_INPUT_COMPANIES'!$X$38)</x:f>
      </x:c>
      <x:c r="F321" s="42" t="n">
        <x:v>1</x:v>
      </x:c>
      <x:c r="G321" s="42" t="str">
        <x:f>IF(NOT(ISNUMBER(E321)),"",MAX(K321,MIN(L321,E321*F321)))</x:f>
      </x:c>
      <x:c r="H321" s="42" t="n">
        <x:v>58</x:v>
      </x:c>
      <x:c r="I321" s="42" t="str">
        <x:f>IF(COUNT(G321)=0,"",(COUNTIFS('93_REF_ANCHORS'!$A$7:$A$766,D321,'93_REF_ANCHORS'!$C$7:$C$766,"&lt;"&amp;G321)+COUNTIFS('93_REF_ANCHORS'!$A$7:$A$766,D321,'93_REF_ANCHORS'!$C$7:$C$766,"&lt;="&amp;G321)-1)/(2*(H321-1)))</x:f>
      </x:c>
      <x:c r="J321" s="34" t="str">
        <x:f>IF(B321="","",IF(COUNT(E321)=0,"MISSING",IF(NOT(ISNUMBER(E321)),"INVALID",IF(E321*F321&lt;K321,"WINSORIZED LOW",IF(E321*F321&gt;L321,"WINSORIZED HIGH","OK")))))</x:f>
      </x:c>
      <x:c r="K321" s="34" t="n">
        <x:v>-0.4430292903</x:v>
      </x:c>
      <x:c r="L321" s="34" t="n">
        <x:v>0.5068913103</x:v>
      </x:c>
      <x:c r="M321" s="34" t="n">
        <x:v>0.08333333333333333</x:v>
      </x:c>
      <x:c r="N321" s="34" t="str">
        <x:v>no</x:v>
      </x:c>
    </x:row>
    <x:row r="322">
      <x:c r="A322" s="34" t="n">
        <x:v>32</x:v>
      </x:c>
      <x:c r="B322" s="34" t="str">
        <x:f>IF('01_INPUT_COMPANIES'!$A$38="","",'01_INPUT_COMPANIES'!$A$38)</x:f>
      </x:c>
      <x:c r="C322" s="34" t="str">
        <x:f>IF(B322="","",'01_INPUT_COMPANIES'!$B$38)</x:f>
      </x:c>
      <x:c r="D322" s="34" t="str">
        <x:v>investment_recovery_ratio</x:v>
      </x:c>
      <x:c r="E322" s="42" t="str">
        <x:f>IF(OR(B322="",COUNT('01_INPUT_COMPANIES'!$Y$38)=0),"",'01_INPUT_COMPANIES'!$Y$38)</x:f>
      </x:c>
      <x:c r="F322" s="42" t="n">
        <x:v>-1</x:v>
      </x:c>
      <x:c r="G322" s="42" t="str">
        <x:f>IF(NOT(ISNUMBER(E322)),"",MAX(K322,MIN(L322,E322*F322)))</x:f>
      </x:c>
      <x:c r="H322" s="42" t="n">
        <x:v>95</x:v>
      </x:c>
      <x:c r="I322" s="42" t="str">
        <x:f>IF(COUNT(G322)=0,"",(COUNTIFS('93_REF_ANCHORS'!$A$7:$A$766,D322,'93_REF_ANCHORS'!$C$7:$C$766,"&lt;"&amp;G322)+COUNTIFS('93_REF_ANCHORS'!$A$7:$A$766,D322,'93_REF_ANCHORS'!$C$7:$C$766,"&lt;="&amp;G322)-1)/(2*(H322-1)))</x:f>
      </x:c>
      <x:c r="J322" s="34" t="str">
        <x:f>IF(B322="","",IF(COUNT(E322)=0,"MISSING",IF(NOT(ISNUMBER(E322)),"INVALID",IF(E322*F322&lt;K322,"WINSORIZED LOW",IF(E322*F322&gt;L322,"WINSORIZED HIGH","OK")))))</x:f>
      </x:c>
      <x:c r="K322" s="34" t="n">
        <x:v>-3163.7500000000014</x:v>
      </x:c>
      <x:c r="L322" s="34" t="n">
        <x:v>189.68191301719997</x:v>
      </x:c>
      <x:c r="M322" s="34" t="n">
        <x:v>0.08333333333333333</x:v>
      </x:c>
      <x:c r="N322" s="34" t="str">
        <x:v>no</x:v>
      </x:c>
    </x:row>
    <x:row r="323">
      <x:c r="A323" s="34" t="n">
        <x:v>32</x:v>
      </x:c>
      <x:c r="B323" s="34" t="str">
        <x:f>IF('01_INPUT_COMPANIES'!$A$38="","",'01_INPUT_COMPANIES'!$A$38)</x:f>
      </x:c>
      <x:c r="C323" s="34" t="str">
        <x:f>IF(B323="","",'01_INPUT_COMPANIES'!$B$38)</x:f>
      </x:c>
      <x:c r="D323" s="34" t="str">
        <x:v>ip_assetization_gap</x:v>
      </x:c>
      <x:c r="E323" s="42" t="str">
        <x:f>IF(OR(B323="",COUNT('01_INPUT_COMPANIES'!$Z$38)=0),"",'01_INPUT_COMPANIES'!$Z$38)</x:f>
      </x:c>
      <x:c r="F323" s="42" t="n">
        <x:v>1</x:v>
      </x:c>
      <x:c r="G323" s="42" t="str">
        <x:f>IF(NOT(ISNUMBER(E323)),"",MAX(K323,MIN(L323,E323*F323)))</x:f>
      </x:c>
      <x:c r="H323" s="42" t="n">
        <x:v>92</x:v>
      </x:c>
      <x:c r="I323" s="42" t="str">
        <x:f>IF(COUNT(G323)=0,"",(COUNTIFS('93_REF_ANCHORS'!$A$7:$A$766,D323,'93_REF_ANCHORS'!$C$7:$C$766,"&lt;"&amp;G323)+COUNTIFS('93_REF_ANCHORS'!$A$7:$A$766,D323,'93_REF_ANCHORS'!$C$7:$C$766,"&lt;="&amp;G323)-1)/(2*(H323-1)))</x:f>
      </x:c>
      <x:c r="J323" s="34" t="str">
        <x:f>IF(B323="","",IF(COUNT(E323)=0,"MISSING",IF(NOT(ISNUMBER(E323)),"INVALID",IF(E323*F323&lt;K323,"WINSORIZED LOW",IF(E323*F323&gt;L323,"WINSORIZED HIGH","OK")))))</x:f>
      </x:c>
      <x:c r="K323" s="34" t="n">
        <x:v>-1.6707152386</x:v>
      </x:c>
      <x:c r="L323" s="34" t="n">
        <x:v>0.7716332556000001</x:v>
      </x:c>
      <x:c r="M323" s="34" t="n">
        <x:v>0.08333333333333333</x:v>
      </x:c>
      <x:c r="N323" s="34" t="str">
        <x:v>no</x:v>
      </x:c>
    </x:row>
    <x:row r="324">
      <x:c r="A324" s="34" t="n">
        <x:v>32</x:v>
      </x:c>
      <x:c r="B324" s="34" t="str">
        <x:f>IF('01_INPUT_COMPANIES'!$A$38="","",'01_INPUT_COMPANIES'!$A$38)</x:f>
      </x:c>
      <x:c r="C324" s="34" t="str">
        <x:f>IF(B324="","",'01_INPUT_COMPANIES'!$B$38)</x:f>
      </x:c>
      <x:c r="D324" s="34" t="str">
        <x:v>cross_market_transfer_index</x:v>
      </x:c>
      <x:c r="E324" s="42" t="str">
        <x:f>IF(OR(B324="",COUNT('01_INPUT_COMPANIES'!$AA$38)=0),"",'01_INPUT_COMPANIES'!$AA$38)</x:f>
      </x:c>
      <x:c r="F324" s="42" t="n">
        <x:v>1</x:v>
      </x:c>
      <x:c r="G324" s="42" t="str">
        <x:f>IF(NOT(ISNUMBER(E324)),"",MAX(K324,MIN(L324,E324*F324)))</x:f>
      </x:c>
      <x:c r="H324" s="42" t="n">
        <x:v>4</x:v>
      </x:c>
      <x:c r="I324" s="42" t="str">
        <x:f>IF(COUNT(G324)=0,"",(COUNTIFS('93_REF_ANCHORS'!$A$7:$A$766,D324,'93_REF_ANCHORS'!$C$7:$C$766,"&lt;"&amp;G324)+COUNTIFS('93_REF_ANCHORS'!$A$7:$A$766,D324,'93_REF_ANCHORS'!$C$7:$C$766,"&lt;="&amp;G324)-1)/(2*(H324-1)))</x:f>
      </x:c>
      <x:c r="J324" s="34" t="str">
        <x:f>IF(B324="","",IF(COUNT(E324)=0,"MISSING",IF(NOT(ISNUMBER(E324)),"INVALID",IF(E324*F324&lt;K324,"WINSORIZED LOW",IF(E324*F324&gt;L324,"WINSORIZED HIGH","OK")))))</x:f>
      </x:c>
      <x:c r="K324" s="34" t="n">
        <x:v>0</x:v>
      </x:c>
      <x:c r="L324" s="34" t="n">
        <x:v>0.7587051325360435</x:v>
      </x:c>
      <x:c r="M324" s="34" t="n">
        <x:v>0.1111111111111111</x:v>
      </x:c>
      <x:c r="N324" s="34" t="str">
        <x:v>yes</x:v>
      </x:c>
    </x:row>
    <x:row r="325">
      <x:c r="A325" s="34" t="n">
        <x:v>32</x:v>
      </x:c>
      <x:c r="B325" s="34" t="str">
        <x:f>IF('01_INPUT_COMPANIES'!$A$38="","",'01_INPUT_COMPANIES'!$A$38)</x:f>
      </x:c>
      <x:c r="C325" s="34" t="str">
        <x:f>IF(B325="","",'01_INPUT_COMPANIES'!$B$38)</x:f>
      </x:c>
      <x:c r="D325" s="34" t="str">
        <x:v>foreign_dependency_ratio</x:v>
      </x:c>
      <x:c r="E325" s="42" t="str">
        <x:f>IF(OR(B325="",COUNT('01_INPUT_COMPANIES'!$AB$38)=0),"",'01_INPUT_COMPANIES'!$AB$38)</x:f>
      </x:c>
      <x:c r="F325" s="42" t="n">
        <x:v>1</x:v>
      </x:c>
      <x:c r="G325" s="42" t="str">
        <x:f>IF(NOT(ISNUMBER(E325)),"",MAX(K325,MIN(L325,E325*F325)))</x:f>
      </x:c>
      <x:c r="H325" s="42" t="n">
        <x:v>84</x:v>
      </x:c>
      <x:c r="I325" s="42" t="str">
        <x:f>IF(COUNT(G325)=0,"",(COUNTIFS('93_REF_ANCHORS'!$A$7:$A$766,D325,'93_REF_ANCHORS'!$C$7:$C$766,"&lt;"&amp;G325)+COUNTIFS('93_REF_ANCHORS'!$A$7:$A$766,D325,'93_REF_ANCHORS'!$C$7:$C$766,"&lt;="&amp;G325)-1)/(2*(H325-1)))</x:f>
      </x:c>
      <x:c r="J325" s="34" t="str">
        <x:f>IF(B325="","",IF(COUNT(E325)=0,"MISSING",IF(NOT(ISNUMBER(E325)),"INVALID",IF(E325*F325&lt;K325,"WINSORIZED LOW",IF(E325*F325&gt;L325,"WINSORIZED HIGH","OK")))))</x:f>
      </x:c>
      <x:c r="K325" s="34" t="n">
        <x:v>0.728196</x:v>
      </x:c>
      <x:c r="L325" s="34" t="n">
        <x:v>0.94</x:v>
      </x:c>
      <x:c r="M325" s="34" t="n">
        <x:v>0.1111111111111111</x:v>
      </x:c>
      <x:c r="N325" s="34" t="str">
        <x:v>yes</x:v>
      </x:c>
    </x:row>
    <x:row r="326">
      <x:c r="A326" s="34" t="n">
        <x:v>32</x:v>
      </x:c>
      <x:c r="B326" s="34" t="str">
        <x:f>IF('01_INPUT_COMPANIES'!$A$38="","",'01_INPUT_COMPANIES'!$A$38)</x:f>
      </x:c>
      <x:c r="C326" s="34" t="str">
        <x:f>IF(B326="","",'01_INPUT_COMPANIES'!$B$38)</x:f>
      </x:c>
      <x:c r="D326" s="34" t="str">
        <x:v>outflow_to_capex_ratio</x:v>
      </x:c>
      <x:c r="E326" s="42" t="str">
        <x:f>IF(OR(B326="",COUNT('01_INPUT_COMPANIES'!$AC$38)=0),"",'01_INPUT_COMPANIES'!$AC$38)</x:f>
      </x:c>
      <x:c r="F326" s="42" t="n">
        <x:v>1</x:v>
      </x:c>
      <x:c r="G326" s="42" t="str">
        <x:f>IF(NOT(ISNUMBER(E326)),"",MAX(K326,MIN(L326,E326*F326)))</x:f>
      </x:c>
      <x:c r="H326" s="42" t="n">
        <x:v>97</x:v>
      </x:c>
      <x:c r="I326" s="42" t="str">
        <x:f>IF(COUNT(G326)=0,"",(COUNTIFS('93_REF_ANCHORS'!$A$7:$A$766,D326,'93_REF_ANCHORS'!$C$7:$C$766,"&lt;"&amp;G326)+COUNTIFS('93_REF_ANCHORS'!$A$7:$A$766,D326,'93_REF_ANCHORS'!$C$7:$C$766,"&lt;="&amp;G326)-1)/(2*(H326-1)))</x:f>
      </x:c>
      <x:c r="J326" s="34" t="str">
        <x:f>IF(B326="","",IF(COUNT(E326)=0,"MISSING",IF(NOT(ISNUMBER(E326)),"INVALID",IF(E326*F326&lt;K326,"WINSORIZED LOW",IF(E326*F326&gt;L326,"WINSORIZED HIGH","OK")))))</x:f>
      </x:c>
      <x:c r="K326" s="34" t="n">
        <x:v>-123.5385890408</x:v>
      </x:c>
      <x:c r="L326" s="34" t="n">
        <x:v>974.1666666666999</x:v>
      </x:c>
      <x:c r="M326" s="34" t="n">
        <x:v>0.1111111111111111</x:v>
      </x:c>
      <x:c r="N326" s="34" t="str">
        <x:v>no</x:v>
      </x:c>
    </x:row>
    <x:row r="327">
      <x:c r="A327" s="34" t="n">
        <x:v>33</x:v>
      </x:c>
      <x:c r="B327" s="34" t="str">
        <x:f>IF('01_INPUT_COMPANIES'!$A$39="","",'01_INPUT_COMPANIES'!$A$39)</x:f>
      </x:c>
      <x:c r="C327" s="34" t="str">
        <x:f>IF(B327="","",'01_INPUT_COMPANIES'!$B$39)</x:f>
      </x:c>
      <x:c r="D327" s="34" t="str">
        <x:v>effective_tax_rate_gap</x:v>
      </x:c>
      <x:c r="E327" s="42" t="str">
        <x:f>IF(OR(B327="",COUNT('01_INPUT_COMPANIES'!$T$39)=0),"",'01_INPUT_COMPANIES'!$T$39)</x:f>
      </x:c>
      <x:c r="F327" s="42" t="n">
        <x:v>1</x:v>
      </x:c>
      <x:c r="G327" s="42" t="str">
        <x:f>IF(NOT(ISNUMBER(E327)),"",MAX(K327,MIN(L327,E327*F327)))</x:f>
      </x:c>
      <x:c r="H327" s="42" t="n">
        <x:v>74</x:v>
      </x:c>
      <x:c r="I327" s="42" t="str">
        <x:f>IF(COUNT(G327)=0,"",(COUNTIFS('93_REF_ANCHORS'!$A$7:$A$766,D327,'93_REF_ANCHORS'!$C$7:$C$766,"&lt;"&amp;G327)+COUNTIFS('93_REF_ANCHORS'!$A$7:$A$766,D327,'93_REF_ANCHORS'!$C$7:$C$766,"&lt;="&amp;G327)-1)/(2*(H327-1)))</x:f>
      </x:c>
      <x:c r="J327" s="34" t="str">
        <x:f>IF(B327="","",IF(COUNT(E327)=0,"MISSING",IF(NOT(ISNUMBER(E327)),"INVALID",IF(E327*F327&lt;K327,"WINSORIZED LOW",IF(E327*F327&gt;L327,"WINSORIZED HIGH","OK")))))</x:f>
      </x:c>
      <x:c r="K327" s="34" t="n">
        <x:v>-0.1416111014</x:v>
      </x:c>
      <x:c r="L327" s="34" t="n">
        <x:v>0.2683650488</x:v>
      </x:c>
      <x:c r="M327" s="34" t="n">
        <x:v>0.1111111111111111</x:v>
      </x:c>
      <x:c r="N327" s="34" t="str">
        <x:v>no</x:v>
      </x:c>
    </x:row>
    <x:row r="328">
      <x:c r="A328" s="34" t="n">
        <x:v>33</x:v>
      </x:c>
      <x:c r="B328" s="34" t="str">
        <x:f>IF('01_INPUT_COMPANIES'!$A$39="","",'01_INPUT_COMPANIES'!$A$39)</x:f>
      </x:c>
      <x:c r="C328" s="34" t="str">
        <x:f>IF(B328="","",'01_INPUT_COMPANIES'!$B$39)</x:f>
      </x:c>
      <x:c r="D328" s="34" t="str">
        <x:v>infra_dependency_ratio</x:v>
      </x:c>
      <x:c r="E328" s="42" t="str">
        <x:f>IF(OR(B328="",COUNT('01_INPUT_COMPANIES'!$U$39)=0),"",'01_INPUT_COMPANIES'!$U$39)</x:f>
      </x:c>
      <x:c r="F328" s="42" t="n">
        <x:v>1</x:v>
      </x:c>
      <x:c r="G328" s="42" t="str">
        <x:f>IF(NOT(ISNUMBER(E328)),"",MAX(K328,MIN(L328,E328*F328)))</x:f>
      </x:c>
      <x:c r="H328" s="42" t="n">
        <x:v>64</x:v>
      </x:c>
      <x:c r="I328" s="42" t="str">
        <x:f>IF(COUNT(G328)=0,"",(COUNTIFS('93_REF_ANCHORS'!$A$7:$A$766,D328,'93_REF_ANCHORS'!$C$7:$C$766,"&lt;"&amp;G328)+COUNTIFS('93_REF_ANCHORS'!$A$7:$A$766,D328,'93_REF_ANCHORS'!$C$7:$C$766,"&lt;="&amp;G328)-1)/(2*(H328-1)))</x:f>
      </x:c>
      <x:c r="J328" s="34" t="str">
        <x:f>IF(B328="","",IF(COUNT(E328)=0,"MISSING",IF(NOT(ISNUMBER(E328)),"INVALID",IF(E328*F328&lt;K328,"WINSORIZED LOW",IF(E328*F328&gt;L328,"WINSORIZED HIGH","OK")))))</x:f>
      </x:c>
      <x:c r="K328" s="34" t="n">
        <x:v>-0.10705024705171803</x:v>
      </x:c>
      <x:c r="L328" s="34" t="n">
        <x:v>0.8008753865408955</x:v>
      </x:c>
      <x:c r="M328" s="34" t="n">
        <x:v>0.1111111111111111</x:v>
      </x:c>
      <x:c r="N328" s="34" t="str">
        <x:v>no</x:v>
      </x:c>
    </x:row>
    <x:row r="329">
      <x:c r="A329" s="34" t="n">
        <x:v>33</x:v>
      </x:c>
      <x:c r="B329" s="34" t="str">
        <x:f>IF('01_INPUT_COMPANIES'!$A$39="","",'01_INPUT_COMPANIES'!$A$39)</x:f>
      </x:c>
      <x:c r="C329" s="34" t="str">
        <x:f>IF(B329="","",'01_INPUT_COMPANIES'!$B$39)</x:f>
      </x:c>
      <x:c r="D329" s="34" t="str">
        <x:v>network_cost_ratio</x:v>
      </x:c>
      <x:c r="E329" s="42" t="str">
        <x:f>IF(OR(B329="",COUNT('01_INPUT_COMPANIES'!$V$39)=0),"",'01_INPUT_COMPANIES'!$V$39)</x:f>
      </x:c>
      <x:c r="F329" s="42" t="n">
        <x:v>1</x:v>
      </x:c>
      <x:c r="G329" s="42" t="str">
        <x:f>IF(NOT(ISNUMBER(E329)),"",MAX(K329,MIN(L329,E329*F329)))</x:f>
      </x:c>
      <x:c r="H329" s="42" t="n">
        <x:v>97</x:v>
      </x:c>
      <x:c r="I329" s="42" t="str">
        <x:f>IF(COUNT(G329)=0,"",(COUNTIFS('93_REF_ANCHORS'!$A$7:$A$766,D329,'93_REF_ANCHORS'!$C$7:$C$766,"&lt;"&amp;G329)+COUNTIFS('93_REF_ANCHORS'!$A$7:$A$766,D329,'93_REF_ANCHORS'!$C$7:$C$766,"&lt;="&amp;G329)-1)/(2*(H329-1)))</x:f>
      </x:c>
      <x:c r="J329" s="34" t="str">
        <x:f>IF(B329="","",IF(COUNT(E329)=0,"MISSING",IF(NOT(ISNUMBER(E329)),"INVALID",IF(E329*F329&lt;K329,"WINSORIZED LOW",IF(E329*F329&gt;L329,"WINSORIZED HIGH","OK")))))</x:f>
      </x:c>
      <x:c r="K329" s="34" t="n">
        <x:v>-0.1395374353</x:v>
      </x:c>
      <x:c r="L329" s="34" t="n">
        <x:v>0.9274274845000001</x:v>
      </x:c>
      <x:c r="M329" s="34" t="n">
        <x:v>0.1111111111111111</x:v>
      </x:c>
      <x:c r="N329" s="34" t="str">
        <x:v>no</x:v>
      </x:c>
    </x:row>
    <x:row r="330">
      <x:c r="A330" s="34" t="n">
        <x:v>33</x:v>
      </x:c>
      <x:c r="B330" s="34" t="str">
        <x:f>IF('01_INPUT_COMPANIES'!$A$39="","",'01_INPUT_COMPANIES'!$A$39)</x:f>
      </x:c>
      <x:c r="C330" s="34" t="str">
        <x:f>IF(B330="","",'01_INPUT_COMPANIES'!$B$39)</x:f>
      </x:c>
      <x:c r="D330" s="34" t="str">
        <x:v>cashflow_recovery_ratio</x:v>
      </x:c>
      <x:c r="E330" s="42" t="str">
        <x:f>IF(OR(B330="",COUNT('01_INPUT_COMPANIES'!$W$39)=0),"",'01_INPUT_COMPANIES'!$W$39)</x:f>
      </x:c>
      <x:c r="F330" s="42" t="n">
        <x:v>-1</x:v>
      </x:c>
      <x:c r="G330" s="42" t="str">
        <x:f>IF(NOT(ISNUMBER(E330)),"",MAX(K330,MIN(L330,E330*F330)))</x:f>
      </x:c>
      <x:c r="H330" s="42" t="n">
        <x:v>95</x:v>
      </x:c>
      <x:c r="I330" s="42" t="str">
        <x:f>IF(COUNT(G330)=0,"",(COUNTIFS('93_REF_ANCHORS'!$A$7:$A$766,D330,'93_REF_ANCHORS'!$C$7:$C$766,"&lt;"&amp;G330)+COUNTIFS('93_REF_ANCHORS'!$A$7:$A$766,D330,'93_REF_ANCHORS'!$C$7:$C$766,"&lt;="&amp;G330)-1)/(2*(H330-1)))</x:f>
      </x:c>
      <x:c r="J330" s="34" t="str">
        <x:f>IF(B330="","",IF(COUNT(E330)=0,"MISSING",IF(NOT(ISNUMBER(E330)),"INVALID",IF(E330*F330&lt;K330,"WINSORIZED LOW",IF(E330*F330&gt;L330,"WINSORIZED HIGH","OK")))))</x:f>
      </x:c>
      <x:c r="K330" s="34" t="n">
        <x:v>-300.75</x:v>
      </x:c>
      <x:c r="L330" s="34" t="n">
        <x:v>42.6920305469</x:v>
      </x:c>
      <x:c r="M330" s="34" t="n">
        <x:v>0.08333333333333333</x:v>
      </x:c>
      <x:c r="N330" s="34" t="str">
        <x:v>no</x:v>
      </x:c>
    </x:row>
    <x:row r="331">
      <x:c r="A331" s="34" t="n">
        <x:v>33</x:v>
      </x:c>
      <x:c r="B331" s="34" t="str">
        <x:f>IF('01_INPUT_COMPANIES'!$A$39="","",'01_INPUT_COMPANIES'!$A$39)</x:f>
      </x:c>
      <x:c r="C331" s="34" t="str">
        <x:f>IF(B331="","",'01_INPUT_COMPANIES'!$B$39)</x:f>
      </x:c>
      <x:c r="D331" s="34" t="str">
        <x:v>funding_cost_spread</x:v>
      </x:c>
      <x:c r="E331" s="42" t="str">
        <x:f>IF(OR(B331="",COUNT('01_INPUT_COMPANIES'!$X$39)=0),"",'01_INPUT_COMPANIES'!$X$39)</x:f>
      </x:c>
      <x:c r="F331" s="42" t="n">
        <x:v>1</x:v>
      </x:c>
      <x:c r="G331" s="42" t="str">
        <x:f>IF(NOT(ISNUMBER(E331)),"",MAX(K331,MIN(L331,E331*F331)))</x:f>
      </x:c>
      <x:c r="H331" s="42" t="n">
        <x:v>58</x:v>
      </x:c>
      <x:c r="I331" s="42" t="str">
        <x:f>IF(COUNT(G331)=0,"",(COUNTIFS('93_REF_ANCHORS'!$A$7:$A$766,D331,'93_REF_ANCHORS'!$C$7:$C$766,"&lt;"&amp;G331)+COUNTIFS('93_REF_ANCHORS'!$A$7:$A$766,D331,'93_REF_ANCHORS'!$C$7:$C$766,"&lt;="&amp;G331)-1)/(2*(H331-1)))</x:f>
      </x:c>
      <x:c r="J331" s="34" t="str">
        <x:f>IF(B331="","",IF(COUNT(E331)=0,"MISSING",IF(NOT(ISNUMBER(E331)),"INVALID",IF(E331*F331&lt;K331,"WINSORIZED LOW",IF(E331*F331&gt;L331,"WINSORIZED HIGH","OK")))))</x:f>
      </x:c>
      <x:c r="K331" s="34" t="n">
        <x:v>-0.4430292903</x:v>
      </x:c>
      <x:c r="L331" s="34" t="n">
        <x:v>0.5068913103</x:v>
      </x:c>
      <x:c r="M331" s="34" t="n">
        <x:v>0.08333333333333333</x:v>
      </x:c>
      <x:c r="N331" s="34" t="str">
        <x:v>no</x:v>
      </x:c>
    </x:row>
    <x:row r="332">
      <x:c r="A332" s="34" t="n">
        <x:v>33</x:v>
      </x:c>
      <x:c r="B332" s="34" t="str">
        <x:f>IF('01_INPUT_COMPANIES'!$A$39="","",'01_INPUT_COMPANIES'!$A$39)</x:f>
      </x:c>
      <x:c r="C332" s="34" t="str">
        <x:f>IF(B332="","",'01_INPUT_COMPANIES'!$B$39)</x:f>
      </x:c>
      <x:c r="D332" s="34" t="str">
        <x:v>investment_recovery_ratio</x:v>
      </x:c>
      <x:c r="E332" s="42" t="str">
        <x:f>IF(OR(B332="",COUNT('01_INPUT_COMPANIES'!$Y$39)=0),"",'01_INPUT_COMPANIES'!$Y$39)</x:f>
      </x:c>
      <x:c r="F332" s="42" t="n">
        <x:v>-1</x:v>
      </x:c>
      <x:c r="G332" s="42" t="str">
        <x:f>IF(NOT(ISNUMBER(E332)),"",MAX(K332,MIN(L332,E332*F332)))</x:f>
      </x:c>
      <x:c r="H332" s="42" t="n">
        <x:v>95</x:v>
      </x:c>
      <x:c r="I332" s="42" t="str">
        <x:f>IF(COUNT(G332)=0,"",(COUNTIFS('93_REF_ANCHORS'!$A$7:$A$766,D332,'93_REF_ANCHORS'!$C$7:$C$766,"&lt;"&amp;G332)+COUNTIFS('93_REF_ANCHORS'!$A$7:$A$766,D332,'93_REF_ANCHORS'!$C$7:$C$766,"&lt;="&amp;G332)-1)/(2*(H332-1)))</x:f>
      </x:c>
      <x:c r="J332" s="34" t="str">
        <x:f>IF(B332="","",IF(COUNT(E332)=0,"MISSING",IF(NOT(ISNUMBER(E332)),"INVALID",IF(E332*F332&lt;K332,"WINSORIZED LOW",IF(E332*F332&gt;L332,"WINSORIZED HIGH","OK")))))</x:f>
      </x:c>
      <x:c r="K332" s="34" t="n">
        <x:v>-3163.7500000000014</x:v>
      </x:c>
      <x:c r="L332" s="34" t="n">
        <x:v>189.68191301719997</x:v>
      </x:c>
      <x:c r="M332" s="34" t="n">
        <x:v>0.08333333333333333</x:v>
      </x:c>
      <x:c r="N332" s="34" t="str">
        <x:v>no</x:v>
      </x:c>
    </x:row>
    <x:row r="333">
      <x:c r="A333" s="34" t="n">
        <x:v>33</x:v>
      </x:c>
      <x:c r="B333" s="34" t="str">
        <x:f>IF('01_INPUT_COMPANIES'!$A$39="","",'01_INPUT_COMPANIES'!$A$39)</x:f>
      </x:c>
      <x:c r="C333" s="34" t="str">
        <x:f>IF(B333="","",'01_INPUT_COMPANIES'!$B$39)</x:f>
      </x:c>
      <x:c r="D333" s="34" t="str">
        <x:v>ip_assetization_gap</x:v>
      </x:c>
      <x:c r="E333" s="42" t="str">
        <x:f>IF(OR(B333="",COUNT('01_INPUT_COMPANIES'!$Z$39)=0),"",'01_INPUT_COMPANIES'!$Z$39)</x:f>
      </x:c>
      <x:c r="F333" s="42" t="n">
        <x:v>1</x:v>
      </x:c>
      <x:c r="G333" s="42" t="str">
        <x:f>IF(NOT(ISNUMBER(E333)),"",MAX(K333,MIN(L333,E333*F333)))</x:f>
      </x:c>
      <x:c r="H333" s="42" t="n">
        <x:v>92</x:v>
      </x:c>
      <x:c r="I333" s="42" t="str">
        <x:f>IF(COUNT(G333)=0,"",(COUNTIFS('93_REF_ANCHORS'!$A$7:$A$766,D333,'93_REF_ANCHORS'!$C$7:$C$766,"&lt;"&amp;G333)+COUNTIFS('93_REF_ANCHORS'!$A$7:$A$766,D333,'93_REF_ANCHORS'!$C$7:$C$766,"&lt;="&amp;G333)-1)/(2*(H333-1)))</x:f>
      </x:c>
      <x:c r="J333" s="34" t="str">
        <x:f>IF(B333="","",IF(COUNT(E333)=0,"MISSING",IF(NOT(ISNUMBER(E333)),"INVALID",IF(E333*F333&lt;K333,"WINSORIZED LOW",IF(E333*F333&gt;L333,"WINSORIZED HIGH","OK")))))</x:f>
      </x:c>
      <x:c r="K333" s="34" t="n">
        <x:v>-1.6707152386</x:v>
      </x:c>
      <x:c r="L333" s="34" t="n">
        <x:v>0.7716332556000001</x:v>
      </x:c>
      <x:c r="M333" s="34" t="n">
        <x:v>0.08333333333333333</x:v>
      </x:c>
      <x:c r="N333" s="34" t="str">
        <x:v>no</x:v>
      </x:c>
    </x:row>
    <x:row r="334">
      <x:c r="A334" s="34" t="n">
        <x:v>33</x:v>
      </x:c>
      <x:c r="B334" s="34" t="str">
        <x:f>IF('01_INPUT_COMPANIES'!$A$39="","",'01_INPUT_COMPANIES'!$A$39)</x:f>
      </x:c>
      <x:c r="C334" s="34" t="str">
        <x:f>IF(B334="","",'01_INPUT_COMPANIES'!$B$39)</x:f>
      </x:c>
      <x:c r="D334" s="34" t="str">
        <x:v>cross_market_transfer_index</x:v>
      </x:c>
      <x:c r="E334" s="42" t="str">
        <x:f>IF(OR(B334="",COUNT('01_INPUT_COMPANIES'!$AA$39)=0),"",'01_INPUT_COMPANIES'!$AA$39)</x:f>
      </x:c>
      <x:c r="F334" s="42" t="n">
        <x:v>1</x:v>
      </x:c>
      <x:c r="G334" s="42" t="str">
        <x:f>IF(NOT(ISNUMBER(E334)),"",MAX(K334,MIN(L334,E334*F334)))</x:f>
      </x:c>
      <x:c r="H334" s="42" t="n">
        <x:v>4</x:v>
      </x:c>
      <x:c r="I334" s="42" t="str">
        <x:f>IF(COUNT(G334)=0,"",(COUNTIFS('93_REF_ANCHORS'!$A$7:$A$766,D334,'93_REF_ANCHORS'!$C$7:$C$766,"&lt;"&amp;G334)+COUNTIFS('93_REF_ANCHORS'!$A$7:$A$766,D334,'93_REF_ANCHORS'!$C$7:$C$766,"&lt;="&amp;G334)-1)/(2*(H334-1)))</x:f>
      </x:c>
      <x:c r="J334" s="34" t="str">
        <x:f>IF(B334="","",IF(COUNT(E334)=0,"MISSING",IF(NOT(ISNUMBER(E334)),"INVALID",IF(E334*F334&lt;K334,"WINSORIZED LOW",IF(E334*F334&gt;L334,"WINSORIZED HIGH","OK")))))</x:f>
      </x:c>
      <x:c r="K334" s="34" t="n">
        <x:v>0</x:v>
      </x:c>
      <x:c r="L334" s="34" t="n">
        <x:v>0.7587051325360435</x:v>
      </x:c>
      <x:c r="M334" s="34" t="n">
        <x:v>0.1111111111111111</x:v>
      </x:c>
      <x:c r="N334" s="34" t="str">
        <x:v>yes</x:v>
      </x:c>
    </x:row>
    <x:row r="335">
      <x:c r="A335" s="34" t="n">
        <x:v>33</x:v>
      </x:c>
      <x:c r="B335" s="34" t="str">
        <x:f>IF('01_INPUT_COMPANIES'!$A$39="","",'01_INPUT_COMPANIES'!$A$39)</x:f>
      </x:c>
      <x:c r="C335" s="34" t="str">
        <x:f>IF(B335="","",'01_INPUT_COMPANIES'!$B$39)</x:f>
      </x:c>
      <x:c r="D335" s="34" t="str">
        <x:v>foreign_dependency_ratio</x:v>
      </x:c>
      <x:c r="E335" s="42" t="str">
        <x:f>IF(OR(B335="",COUNT('01_INPUT_COMPANIES'!$AB$39)=0),"",'01_INPUT_COMPANIES'!$AB$39)</x:f>
      </x:c>
      <x:c r="F335" s="42" t="n">
        <x:v>1</x:v>
      </x:c>
      <x:c r="G335" s="42" t="str">
        <x:f>IF(NOT(ISNUMBER(E335)),"",MAX(K335,MIN(L335,E335*F335)))</x:f>
      </x:c>
      <x:c r="H335" s="42" t="n">
        <x:v>84</x:v>
      </x:c>
      <x:c r="I335" s="42" t="str">
        <x:f>IF(COUNT(G335)=0,"",(COUNTIFS('93_REF_ANCHORS'!$A$7:$A$766,D335,'93_REF_ANCHORS'!$C$7:$C$766,"&lt;"&amp;G335)+COUNTIFS('93_REF_ANCHORS'!$A$7:$A$766,D335,'93_REF_ANCHORS'!$C$7:$C$766,"&lt;="&amp;G335)-1)/(2*(H335-1)))</x:f>
      </x:c>
      <x:c r="J335" s="34" t="str">
        <x:f>IF(B335="","",IF(COUNT(E335)=0,"MISSING",IF(NOT(ISNUMBER(E335)),"INVALID",IF(E335*F335&lt;K335,"WINSORIZED LOW",IF(E335*F335&gt;L335,"WINSORIZED HIGH","OK")))))</x:f>
      </x:c>
      <x:c r="K335" s="34" t="n">
        <x:v>0.728196</x:v>
      </x:c>
      <x:c r="L335" s="34" t="n">
        <x:v>0.94</x:v>
      </x:c>
      <x:c r="M335" s="34" t="n">
        <x:v>0.1111111111111111</x:v>
      </x:c>
      <x:c r="N335" s="34" t="str">
        <x:v>yes</x:v>
      </x:c>
    </x:row>
    <x:row r="336">
      <x:c r="A336" s="34" t="n">
        <x:v>33</x:v>
      </x:c>
      <x:c r="B336" s="34" t="str">
        <x:f>IF('01_INPUT_COMPANIES'!$A$39="","",'01_INPUT_COMPANIES'!$A$39)</x:f>
      </x:c>
      <x:c r="C336" s="34" t="str">
        <x:f>IF(B336="","",'01_INPUT_COMPANIES'!$B$39)</x:f>
      </x:c>
      <x:c r="D336" s="34" t="str">
        <x:v>outflow_to_capex_ratio</x:v>
      </x:c>
      <x:c r="E336" s="42" t="str">
        <x:f>IF(OR(B336="",COUNT('01_INPUT_COMPANIES'!$AC$39)=0),"",'01_INPUT_COMPANIES'!$AC$39)</x:f>
      </x:c>
      <x:c r="F336" s="42" t="n">
        <x:v>1</x:v>
      </x:c>
      <x:c r="G336" s="42" t="str">
        <x:f>IF(NOT(ISNUMBER(E336)),"",MAX(K336,MIN(L336,E336*F336)))</x:f>
      </x:c>
      <x:c r="H336" s="42" t="n">
        <x:v>97</x:v>
      </x:c>
      <x:c r="I336" s="42" t="str">
        <x:f>IF(COUNT(G336)=0,"",(COUNTIFS('93_REF_ANCHORS'!$A$7:$A$766,D336,'93_REF_ANCHORS'!$C$7:$C$766,"&lt;"&amp;G336)+COUNTIFS('93_REF_ANCHORS'!$A$7:$A$766,D336,'93_REF_ANCHORS'!$C$7:$C$766,"&lt;="&amp;G336)-1)/(2*(H336-1)))</x:f>
      </x:c>
      <x:c r="J336" s="34" t="str">
        <x:f>IF(B336="","",IF(COUNT(E336)=0,"MISSING",IF(NOT(ISNUMBER(E336)),"INVALID",IF(E336*F336&lt;K336,"WINSORIZED LOW",IF(E336*F336&gt;L336,"WINSORIZED HIGH","OK")))))</x:f>
      </x:c>
      <x:c r="K336" s="34" t="n">
        <x:v>-123.5385890408</x:v>
      </x:c>
      <x:c r="L336" s="34" t="n">
        <x:v>974.1666666666999</x:v>
      </x:c>
      <x:c r="M336" s="34" t="n">
        <x:v>0.1111111111111111</x:v>
      </x:c>
      <x:c r="N336" s="34" t="str">
        <x:v>no</x:v>
      </x:c>
    </x:row>
    <x:row r="337">
      <x:c r="A337" s="34" t="n">
        <x:v>34</x:v>
      </x:c>
      <x:c r="B337" s="34" t="str">
        <x:f>IF('01_INPUT_COMPANIES'!$A$40="","",'01_INPUT_COMPANIES'!$A$40)</x:f>
      </x:c>
      <x:c r="C337" s="34" t="str">
        <x:f>IF(B337="","",'01_INPUT_COMPANIES'!$B$40)</x:f>
      </x:c>
      <x:c r="D337" s="34" t="str">
        <x:v>effective_tax_rate_gap</x:v>
      </x:c>
      <x:c r="E337" s="42" t="str">
        <x:f>IF(OR(B337="",COUNT('01_INPUT_COMPANIES'!$T$40)=0),"",'01_INPUT_COMPANIES'!$T$40)</x:f>
      </x:c>
      <x:c r="F337" s="42" t="n">
        <x:v>1</x:v>
      </x:c>
      <x:c r="G337" s="42" t="str">
        <x:f>IF(NOT(ISNUMBER(E337)),"",MAX(K337,MIN(L337,E337*F337)))</x:f>
      </x:c>
      <x:c r="H337" s="42" t="n">
        <x:v>74</x:v>
      </x:c>
      <x:c r="I337" s="42" t="str">
        <x:f>IF(COUNT(G337)=0,"",(COUNTIFS('93_REF_ANCHORS'!$A$7:$A$766,D337,'93_REF_ANCHORS'!$C$7:$C$766,"&lt;"&amp;G337)+COUNTIFS('93_REF_ANCHORS'!$A$7:$A$766,D337,'93_REF_ANCHORS'!$C$7:$C$766,"&lt;="&amp;G337)-1)/(2*(H337-1)))</x:f>
      </x:c>
      <x:c r="J337" s="34" t="str">
        <x:f>IF(B337="","",IF(COUNT(E337)=0,"MISSING",IF(NOT(ISNUMBER(E337)),"INVALID",IF(E337*F337&lt;K337,"WINSORIZED LOW",IF(E337*F337&gt;L337,"WINSORIZED HIGH","OK")))))</x:f>
      </x:c>
      <x:c r="K337" s="34" t="n">
        <x:v>-0.1416111014</x:v>
      </x:c>
      <x:c r="L337" s="34" t="n">
        <x:v>0.2683650488</x:v>
      </x:c>
      <x:c r="M337" s="34" t="n">
        <x:v>0.1111111111111111</x:v>
      </x:c>
      <x:c r="N337" s="34" t="str">
        <x:v>no</x:v>
      </x:c>
    </x:row>
    <x:row r="338">
      <x:c r="A338" s="34" t="n">
        <x:v>34</x:v>
      </x:c>
      <x:c r="B338" s="34" t="str">
        <x:f>IF('01_INPUT_COMPANIES'!$A$40="","",'01_INPUT_COMPANIES'!$A$40)</x:f>
      </x:c>
      <x:c r="C338" s="34" t="str">
        <x:f>IF(B338="","",'01_INPUT_COMPANIES'!$B$40)</x:f>
      </x:c>
      <x:c r="D338" s="34" t="str">
        <x:v>infra_dependency_ratio</x:v>
      </x:c>
      <x:c r="E338" s="42" t="str">
        <x:f>IF(OR(B338="",COUNT('01_INPUT_COMPANIES'!$U$40)=0),"",'01_INPUT_COMPANIES'!$U$40)</x:f>
      </x:c>
      <x:c r="F338" s="42" t="n">
        <x:v>1</x:v>
      </x:c>
      <x:c r="G338" s="42" t="str">
        <x:f>IF(NOT(ISNUMBER(E338)),"",MAX(K338,MIN(L338,E338*F338)))</x:f>
      </x:c>
      <x:c r="H338" s="42" t="n">
        <x:v>64</x:v>
      </x:c>
      <x:c r="I338" s="42" t="str">
        <x:f>IF(COUNT(G338)=0,"",(COUNTIFS('93_REF_ANCHORS'!$A$7:$A$766,D338,'93_REF_ANCHORS'!$C$7:$C$766,"&lt;"&amp;G338)+COUNTIFS('93_REF_ANCHORS'!$A$7:$A$766,D338,'93_REF_ANCHORS'!$C$7:$C$766,"&lt;="&amp;G338)-1)/(2*(H338-1)))</x:f>
      </x:c>
      <x:c r="J338" s="34" t="str">
        <x:f>IF(B338="","",IF(COUNT(E338)=0,"MISSING",IF(NOT(ISNUMBER(E338)),"INVALID",IF(E338*F338&lt;K338,"WINSORIZED LOW",IF(E338*F338&gt;L338,"WINSORIZED HIGH","OK")))))</x:f>
      </x:c>
      <x:c r="K338" s="34" t="n">
        <x:v>-0.10705024705171803</x:v>
      </x:c>
      <x:c r="L338" s="34" t="n">
        <x:v>0.8008753865408955</x:v>
      </x:c>
      <x:c r="M338" s="34" t="n">
        <x:v>0.1111111111111111</x:v>
      </x:c>
      <x:c r="N338" s="34" t="str">
        <x:v>no</x:v>
      </x:c>
    </x:row>
    <x:row r="339">
      <x:c r="A339" s="34" t="n">
        <x:v>34</x:v>
      </x:c>
      <x:c r="B339" s="34" t="str">
        <x:f>IF('01_INPUT_COMPANIES'!$A$40="","",'01_INPUT_COMPANIES'!$A$40)</x:f>
      </x:c>
      <x:c r="C339" s="34" t="str">
        <x:f>IF(B339="","",'01_INPUT_COMPANIES'!$B$40)</x:f>
      </x:c>
      <x:c r="D339" s="34" t="str">
        <x:v>network_cost_ratio</x:v>
      </x:c>
      <x:c r="E339" s="42" t="str">
        <x:f>IF(OR(B339="",COUNT('01_INPUT_COMPANIES'!$V$40)=0),"",'01_INPUT_COMPANIES'!$V$40)</x:f>
      </x:c>
      <x:c r="F339" s="42" t="n">
        <x:v>1</x:v>
      </x:c>
      <x:c r="G339" s="42" t="str">
        <x:f>IF(NOT(ISNUMBER(E339)),"",MAX(K339,MIN(L339,E339*F339)))</x:f>
      </x:c>
      <x:c r="H339" s="42" t="n">
        <x:v>97</x:v>
      </x:c>
      <x:c r="I339" s="42" t="str">
        <x:f>IF(COUNT(G339)=0,"",(COUNTIFS('93_REF_ANCHORS'!$A$7:$A$766,D339,'93_REF_ANCHORS'!$C$7:$C$766,"&lt;"&amp;G339)+COUNTIFS('93_REF_ANCHORS'!$A$7:$A$766,D339,'93_REF_ANCHORS'!$C$7:$C$766,"&lt;="&amp;G339)-1)/(2*(H339-1)))</x:f>
      </x:c>
      <x:c r="J339" s="34" t="str">
        <x:f>IF(B339="","",IF(COUNT(E339)=0,"MISSING",IF(NOT(ISNUMBER(E339)),"INVALID",IF(E339*F339&lt;K339,"WINSORIZED LOW",IF(E339*F339&gt;L339,"WINSORIZED HIGH","OK")))))</x:f>
      </x:c>
      <x:c r="K339" s="34" t="n">
        <x:v>-0.1395374353</x:v>
      </x:c>
      <x:c r="L339" s="34" t="n">
        <x:v>0.9274274845000001</x:v>
      </x:c>
      <x:c r="M339" s="34" t="n">
        <x:v>0.1111111111111111</x:v>
      </x:c>
      <x:c r="N339" s="34" t="str">
        <x:v>no</x:v>
      </x:c>
    </x:row>
    <x:row r="340">
      <x:c r="A340" s="34" t="n">
        <x:v>34</x:v>
      </x:c>
      <x:c r="B340" s="34" t="str">
        <x:f>IF('01_INPUT_COMPANIES'!$A$40="","",'01_INPUT_COMPANIES'!$A$40)</x:f>
      </x:c>
      <x:c r="C340" s="34" t="str">
        <x:f>IF(B340="","",'01_INPUT_COMPANIES'!$B$40)</x:f>
      </x:c>
      <x:c r="D340" s="34" t="str">
        <x:v>cashflow_recovery_ratio</x:v>
      </x:c>
      <x:c r="E340" s="42" t="str">
        <x:f>IF(OR(B340="",COUNT('01_INPUT_COMPANIES'!$W$40)=0),"",'01_INPUT_COMPANIES'!$W$40)</x:f>
      </x:c>
      <x:c r="F340" s="42" t="n">
        <x:v>-1</x:v>
      </x:c>
      <x:c r="G340" s="42" t="str">
        <x:f>IF(NOT(ISNUMBER(E340)),"",MAX(K340,MIN(L340,E340*F340)))</x:f>
      </x:c>
      <x:c r="H340" s="42" t="n">
        <x:v>95</x:v>
      </x:c>
      <x:c r="I340" s="42" t="str">
        <x:f>IF(COUNT(G340)=0,"",(COUNTIFS('93_REF_ANCHORS'!$A$7:$A$766,D340,'93_REF_ANCHORS'!$C$7:$C$766,"&lt;"&amp;G340)+COUNTIFS('93_REF_ANCHORS'!$A$7:$A$766,D340,'93_REF_ANCHORS'!$C$7:$C$766,"&lt;="&amp;G340)-1)/(2*(H340-1)))</x:f>
      </x:c>
      <x:c r="J340" s="34" t="str">
        <x:f>IF(B340="","",IF(COUNT(E340)=0,"MISSING",IF(NOT(ISNUMBER(E340)),"INVALID",IF(E340*F340&lt;K340,"WINSORIZED LOW",IF(E340*F340&gt;L340,"WINSORIZED HIGH","OK")))))</x:f>
      </x:c>
      <x:c r="K340" s="34" t="n">
        <x:v>-300.75</x:v>
      </x:c>
      <x:c r="L340" s="34" t="n">
        <x:v>42.6920305469</x:v>
      </x:c>
      <x:c r="M340" s="34" t="n">
        <x:v>0.08333333333333333</x:v>
      </x:c>
      <x:c r="N340" s="34" t="str">
        <x:v>no</x:v>
      </x:c>
    </x:row>
    <x:row r="341">
      <x:c r="A341" s="34" t="n">
        <x:v>34</x:v>
      </x:c>
      <x:c r="B341" s="34" t="str">
        <x:f>IF('01_INPUT_COMPANIES'!$A$40="","",'01_INPUT_COMPANIES'!$A$40)</x:f>
      </x:c>
      <x:c r="C341" s="34" t="str">
        <x:f>IF(B341="","",'01_INPUT_COMPANIES'!$B$40)</x:f>
      </x:c>
      <x:c r="D341" s="34" t="str">
        <x:v>funding_cost_spread</x:v>
      </x:c>
      <x:c r="E341" s="42" t="str">
        <x:f>IF(OR(B341="",COUNT('01_INPUT_COMPANIES'!$X$40)=0),"",'01_INPUT_COMPANIES'!$X$40)</x:f>
      </x:c>
      <x:c r="F341" s="42" t="n">
        <x:v>1</x:v>
      </x:c>
      <x:c r="G341" s="42" t="str">
        <x:f>IF(NOT(ISNUMBER(E341)),"",MAX(K341,MIN(L341,E341*F341)))</x:f>
      </x:c>
      <x:c r="H341" s="42" t="n">
        <x:v>58</x:v>
      </x:c>
      <x:c r="I341" s="42" t="str">
        <x:f>IF(COUNT(G341)=0,"",(COUNTIFS('93_REF_ANCHORS'!$A$7:$A$766,D341,'93_REF_ANCHORS'!$C$7:$C$766,"&lt;"&amp;G341)+COUNTIFS('93_REF_ANCHORS'!$A$7:$A$766,D341,'93_REF_ANCHORS'!$C$7:$C$766,"&lt;="&amp;G341)-1)/(2*(H341-1)))</x:f>
      </x:c>
      <x:c r="J341" s="34" t="str">
        <x:f>IF(B341="","",IF(COUNT(E341)=0,"MISSING",IF(NOT(ISNUMBER(E341)),"INVALID",IF(E341*F341&lt;K341,"WINSORIZED LOW",IF(E341*F341&gt;L341,"WINSORIZED HIGH","OK")))))</x:f>
      </x:c>
      <x:c r="K341" s="34" t="n">
        <x:v>-0.4430292903</x:v>
      </x:c>
      <x:c r="L341" s="34" t="n">
        <x:v>0.5068913103</x:v>
      </x:c>
      <x:c r="M341" s="34" t="n">
        <x:v>0.08333333333333333</x:v>
      </x:c>
      <x:c r="N341" s="34" t="str">
        <x:v>no</x:v>
      </x:c>
    </x:row>
    <x:row r="342">
      <x:c r="A342" s="34" t="n">
        <x:v>34</x:v>
      </x:c>
      <x:c r="B342" s="34" t="str">
        <x:f>IF('01_INPUT_COMPANIES'!$A$40="","",'01_INPUT_COMPANIES'!$A$40)</x:f>
      </x:c>
      <x:c r="C342" s="34" t="str">
        <x:f>IF(B342="","",'01_INPUT_COMPANIES'!$B$40)</x:f>
      </x:c>
      <x:c r="D342" s="34" t="str">
        <x:v>investment_recovery_ratio</x:v>
      </x:c>
      <x:c r="E342" s="42" t="str">
        <x:f>IF(OR(B342="",COUNT('01_INPUT_COMPANIES'!$Y$40)=0),"",'01_INPUT_COMPANIES'!$Y$40)</x:f>
      </x:c>
      <x:c r="F342" s="42" t="n">
        <x:v>-1</x:v>
      </x:c>
      <x:c r="G342" s="42" t="str">
        <x:f>IF(NOT(ISNUMBER(E342)),"",MAX(K342,MIN(L342,E342*F342)))</x:f>
      </x:c>
      <x:c r="H342" s="42" t="n">
        <x:v>95</x:v>
      </x:c>
      <x:c r="I342" s="42" t="str">
        <x:f>IF(COUNT(G342)=0,"",(COUNTIFS('93_REF_ANCHORS'!$A$7:$A$766,D342,'93_REF_ANCHORS'!$C$7:$C$766,"&lt;"&amp;G342)+COUNTIFS('93_REF_ANCHORS'!$A$7:$A$766,D342,'93_REF_ANCHORS'!$C$7:$C$766,"&lt;="&amp;G342)-1)/(2*(H342-1)))</x:f>
      </x:c>
      <x:c r="J342" s="34" t="str">
        <x:f>IF(B342="","",IF(COUNT(E342)=0,"MISSING",IF(NOT(ISNUMBER(E342)),"INVALID",IF(E342*F342&lt;K342,"WINSORIZED LOW",IF(E342*F342&gt;L342,"WINSORIZED HIGH","OK")))))</x:f>
      </x:c>
      <x:c r="K342" s="34" t="n">
        <x:v>-3163.7500000000014</x:v>
      </x:c>
      <x:c r="L342" s="34" t="n">
        <x:v>189.68191301719997</x:v>
      </x:c>
      <x:c r="M342" s="34" t="n">
        <x:v>0.08333333333333333</x:v>
      </x:c>
      <x:c r="N342" s="34" t="str">
        <x:v>no</x:v>
      </x:c>
    </x:row>
    <x:row r="343">
      <x:c r="A343" s="34" t="n">
        <x:v>34</x:v>
      </x:c>
      <x:c r="B343" s="34" t="str">
        <x:f>IF('01_INPUT_COMPANIES'!$A$40="","",'01_INPUT_COMPANIES'!$A$40)</x:f>
      </x:c>
      <x:c r="C343" s="34" t="str">
        <x:f>IF(B343="","",'01_INPUT_COMPANIES'!$B$40)</x:f>
      </x:c>
      <x:c r="D343" s="34" t="str">
        <x:v>ip_assetization_gap</x:v>
      </x:c>
      <x:c r="E343" s="42" t="str">
        <x:f>IF(OR(B343="",COUNT('01_INPUT_COMPANIES'!$Z$40)=0),"",'01_INPUT_COMPANIES'!$Z$40)</x:f>
      </x:c>
      <x:c r="F343" s="42" t="n">
        <x:v>1</x:v>
      </x:c>
      <x:c r="G343" s="42" t="str">
        <x:f>IF(NOT(ISNUMBER(E343)),"",MAX(K343,MIN(L343,E343*F343)))</x:f>
      </x:c>
      <x:c r="H343" s="42" t="n">
        <x:v>92</x:v>
      </x:c>
      <x:c r="I343" s="42" t="str">
        <x:f>IF(COUNT(G343)=0,"",(COUNTIFS('93_REF_ANCHORS'!$A$7:$A$766,D343,'93_REF_ANCHORS'!$C$7:$C$766,"&lt;"&amp;G343)+COUNTIFS('93_REF_ANCHORS'!$A$7:$A$766,D343,'93_REF_ANCHORS'!$C$7:$C$766,"&lt;="&amp;G343)-1)/(2*(H343-1)))</x:f>
      </x:c>
      <x:c r="J343" s="34" t="str">
        <x:f>IF(B343="","",IF(COUNT(E343)=0,"MISSING",IF(NOT(ISNUMBER(E343)),"INVALID",IF(E343*F343&lt;K343,"WINSORIZED LOW",IF(E343*F343&gt;L343,"WINSORIZED HIGH","OK")))))</x:f>
      </x:c>
      <x:c r="K343" s="34" t="n">
        <x:v>-1.6707152386</x:v>
      </x:c>
      <x:c r="L343" s="34" t="n">
        <x:v>0.7716332556000001</x:v>
      </x:c>
      <x:c r="M343" s="34" t="n">
        <x:v>0.08333333333333333</x:v>
      </x:c>
      <x:c r="N343" s="34" t="str">
        <x:v>no</x:v>
      </x:c>
    </x:row>
    <x:row r="344">
      <x:c r="A344" s="34" t="n">
        <x:v>34</x:v>
      </x:c>
      <x:c r="B344" s="34" t="str">
        <x:f>IF('01_INPUT_COMPANIES'!$A$40="","",'01_INPUT_COMPANIES'!$A$40)</x:f>
      </x:c>
      <x:c r="C344" s="34" t="str">
        <x:f>IF(B344="","",'01_INPUT_COMPANIES'!$B$40)</x:f>
      </x:c>
      <x:c r="D344" s="34" t="str">
        <x:v>cross_market_transfer_index</x:v>
      </x:c>
      <x:c r="E344" s="42" t="str">
        <x:f>IF(OR(B344="",COUNT('01_INPUT_COMPANIES'!$AA$40)=0),"",'01_INPUT_COMPANIES'!$AA$40)</x:f>
      </x:c>
      <x:c r="F344" s="42" t="n">
        <x:v>1</x:v>
      </x:c>
      <x:c r="G344" s="42" t="str">
        <x:f>IF(NOT(ISNUMBER(E344)),"",MAX(K344,MIN(L344,E344*F344)))</x:f>
      </x:c>
      <x:c r="H344" s="42" t="n">
        <x:v>4</x:v>
      </x:c>
      <x:c r="I344" s="42" t="str">
        <x:f>IF(COUNT(G344)=0,"",(COUNTIFS('93_REF_ANCHORS'!$A$7:$A$766,D344,'93_REF_ANCHORS'!$C$7:$C$766,"&lt;"&amp;G344)+COUNTIFS('93_REF_ANCHORS'!$A$7:$A$766,D344,'93_REF_ANCHORS'!$C$7:$C$766,"&lt;="&amp;G344)-1)/(2*(H344-1)))</x:f>
      </x:c>
      <x:c r="J344" s="34" t="str">
        <x:f>IF(B344="","",IF(COUNT(E344)=0,"MISSING",IF(NOT(ISNUMBER(E344)),"INVALID",IF(E344*F344&lt;K344,"WINSORIZED LOW",IF(E344*F344&gt;L344,"WINSORIZED HIGH","OK")))))</x:f>
      </x:c>
      <x:c r="K344" s="34" t="n">
        <x:v>0</x:v>
      </x:c>
      <x:c r="L344" s="34" t="n">
        <x:v>0.7587051325360435</x:v>
      </x:c>
      <x:c r="M344" s="34" t="n">
        <x:v>0.1111111111111111</x:v>
      </x:c>
      <x:c r="N344" s="34" t="str">
        <x:v>yes</x:v>
      </x:c>
    </x:row>
    <x:row r="345">
      <x:c r="A345" s="34" t="n">
        <x:v>34</x:v>
      </x:c>
      <x:c r="B345" s="34" t="str">
        <x:f>IF('01_INPUT_COMPANIES'!$A$40="","",'01_INPUT_COMPANIES'!$A$40)</x:f>
      </x:c>
      <x:c r="C345" s="34" t="str">
        <x:f>IF(B345="","",'01_INPUT_COMPANIES'!$B$40)</x:f>
      </x:c>
      <x:c r="D345" s="34" t="str">
        <x:v>foreign_dependency_ratio</x:v>
      </x:c>
      <x:c r="E345" s="42" t="str">
        <x:f>IF(OR(B345="",COUNT('01_INPUT_COMPANIES'!$AB$40)=0),"",'01_INPUT_COMPANIES'!$AB$40)</x:f>
      </x:c>
      <x:c r="F345" s="42" t="n">
        <x:v>1</x:v>
      </x:c>
      <x:c r="G345" s="42" t="str">
        <x:f>IF(NOT(ISNUMBER(E345)),"",MAX(K345,MIN(L345,E345*F345)))</x:f>
      </x:c>
      <x:c r="H345" s="42" t="n">
        <x:v>84</x:v>
      </x:c>
      <x:c r="I345" s="42" t="str">
        <x:f>IF(COUNT(G345)=0,"",(COUNTIFS('93_REF_ANCHORS'!$A$7:$A$766,D345,'93_REF_ANCHORS'!$C$7:$C$766,"&lt;"&amp;G345)+COUNTIFS('93_REF_ANCHORS'!$A$7:$A$766,D345,'93_REF_ANCHORS'!$C$7:$C$766,"&lt;="&amp;G345)-1)/(2*(H345-1)))</x:f>
      </x:c>
      <x:c r="J345" s="34" t="str">
        <x:f>IF(B345="","",IF(COUNT(E345)=0,"MISSING",IF(NOT(ISNUMBER(E345)),"INVALID",IF(E345*F345&lt;K345,"WINSORIZED LOW",IF(E345*F345&gt;L345,"WINSORIZED HIGH","OK")))))</x:f>
      </x:c>
      <x:c r="K345" s="34" t="n">
        <x:v>0.728196</x:v>
      </x:c>
      <x:c r="L345" s="34" t="n">
        <x:v>0.94</x:v>
      </x:c>
      <x:c r="M345" s="34" t="n">
        <x:v>0.1111111111111111</x:v>
      </x:c>
      <x:c r="N345" s="34" t="str">
        <x:v>yes</x:v>
      </x:c>
    </x:row>
    <x:row r="346">
      <x:c r="A346" s="34" t="n">
        <x:v>34</x:v>
      </x:c>
      <x:c r="B346" s="34" t="str">
        <x:f>IF('01_INPUT_COMPANIES'!$A$40="","",'01_INPUT_COMPANIES'!$A$40)</x:f>
      </x:c>
      <x:c r="C346" s="34" t="str">
        <x:f>IF(B346="","",'01_INPUT_COMPANIES'!$B$40)</x:f>
      </x:c>
      <x:c r="D346" s="34" t="str">
        <x:v>outflow_to_capex_ratio</x:v>
      </x:c>
      <x:c r="E346" s="42" t="str">
        <x:f>IF(OR(B346="",COUNT('01_INPUT_COMPANIES'!$AC$40)=0),"",'01_INPUT_COMPANIES'!$AC$40)</x:f>
      </x:c>
      <x:c r="F346" s="42" t="n">
        <x:v>1</x:v>
      </x:c>
      <x:c r="G346" s="42" t="str">
        <x:f>IF(NOT(ISNUMBER(E346)),"",MAX(K346,MIN(L346,E346*F346)))</x:f>
      </x:c>
      <x:c r="H346" s="42" t="n">
        <x:v>97</x:v>
      </x:c>
      <x:c r="I346" s="42" t="str">
        <x:f>IF(COUNT(G346)=0,"",(COUNTIFS('93_REF_ANCHORS'!$A$7:$A$766,D346,'93_REF_ANCHORS'!$C$7:$C$766,"&lt;"&amp;G346)+COUNTIFS('93_REF_ANCHORS'!$A$7:$A$766,D346,'93_REF_ANCHORS'!$C$7:$C$766,"&lt;="&amp;G346)-1)/(2*(H346-1)))</x:f>
      </x:c>
      <x:c r="J346" s="34" t="str">
        <x:f>IF(B346="","",IF(COUNT(E346)=0,"MISSING",IF(NOT(ISNUMBER(E346)),"INVALID",IF(E346*F346&lt;K346,"WINSORIZED LOW",IF(E346*F346&gt;L346,"WINSORIZED HIGH","OK")))))</x:f>
      </x:c>
      <x:c r="K346" s="34" t="n">
        <x:v>-123.5385890408</x:v>
      </x:c>
      <x:c r="L346" s="34" t="n">
        <x:v>974.1666666666999</x:v>
      </x:c>
      <x:c r="M346" s="34" t="n">
        <x:v>0.1111111111111111</x:v>
      </x:c>
      <x:c r="N346" s="34" t="str">
        <x:v>no</x:v>
      </x:c>
    </x:row>
    <x:row r="347">
      <x:c r="A347" s="34" t="n">
        <x:v>35</x:v>
      </x:c>
      <x:c r="B347" s="34" t="str">
        <x:f>IF('01_INPUT_COMPANIES'!$A$41="","",'01_INPUT_COMPANIES'!$A$41)</x:f>
      </x:c>
      <x:c r="C347" s="34" t="str">
        <x:f>IF(B347="","",'01_INPUT_COMPANIES'!$B$41)</x:f>
      </x:c>
      <x:c r="D347" s="34" t="str">
        <x:v>effective_tax_rate_gap</x:v>
      </x:c>
      <x:c r="E347" s="42" t="str">
        <x:f>IF(OR(B347="",COUNT('01_INPUT_COMPANIES'!$T$41)=0),"",'01_INPUT_COMPANIES'!$T$41)</x:f>
      </x:c>
      <x:c r="F347" s="42" t="n">
        <x:v>1</x:v>
      </x:c>
      <x:c r="G347" s="42" t="str">
        <x:f>IF(NOT(ISNUMBER(E347)),"",MAX(K347,MIN(L347,E347*F347)))</x:f>
      </x:c>
      <x:c r="H347" s="42" t="n">
        <x:v>74</x:v>
      </x:c>
      <x:c r="I347" s="42" t="str">
        <x:f>IF(COUNT(G347)=0,"",(COUNTIFS('93_REF_ANCHORS'!$A$7:$A$766,D347,'93_REF_ANCHORS'!$C$7:$C$766,"&lt;"&amp;G347)+COUNTIFS('93_REF_ANCHORS'!$A$7:$A$766,D347,'93_REF_ANCHORS'!$C$7:$C$766,"&lt;="&amp;G347)-1)/(2*(H347-1)))</x:f>
      </x:c>
      <x:c r="J347" s="34" t="str">
        <x:f>IF(B347="","",IF(COUNT(E347)=0,"MISSING",IF(NOT(ISNUMBER(E347)),"INVALID",IF(E347*F347&lt;K347,"WINSORIZED LOW",IF(E347*F347&gt;L347,"WINSORIZED HIGH","OK")))))</x:f>
      </x:c>
      <x:c r="K347" s="34" t="n">
        <x:v>-0.1416111014</x:v>
      </x:c>
      <x:c r="L347" s="34" t="n">
        <x:v>0.2683650488</x:v>
      </x:c>
      <x:c r="M347" s="34" t="n">
        <x:v>0.1111111111111111</x:v>
      </x:c>
      <x:c r="N347" s="34" t="str">
        <x:v>no</x:v>
      </x:c>
    </x:row>
    <x:row r="348">
      <x:c r="A348" s="34" t="n">
        <x:v>35</x:v>
      </x:c>
      <x:c r="B348" s="34" t="str">
        <x:f>IF('01_INPUT_COMPANIES'!$A$41="","",'01_INPUT_COMPANIES'!$A$41)</x:f>
      </x:c>
      <x:c r="C348" s="34" t="str">
        <x:f>IF(B348="","",'01_INPUT_COMPANIES'!$B$41)</x:f>
      </x:c>
      <x:c r="D348" s="34" t="str">
        <x:v>infra_dependency_ratio</x:v>
      </x:c>
      <x:c r="E348" s="42" t="str">
        <x:f>IF(OR(B348="",COUNT('01_INPUT_COMPANIES'!$U$41)=0),"",'01_INPUT_COMPANIES'!$U$41)</x:f>
      </x:c>
      <x:c r="F348" s="42" t="n">
        <x:v>1</x:v>
      </x:c>
      <x:c r="G348" s="42" t="str">
        <x:f>IF(NOT(ISNUMBER(E348)),"",MAX(K348,MIN(L348,E348*F348)))</x:f>
      </x:c>
      <x:c r="H348" s="42" t="n">
        <x:v>64</x:v>
      </x:c>
      <x:c r="I348" s="42" t="str">
        <x:f>IF(COUNT(G348)=0,"",(COUNTIFS('93_REF_ANCHORS'!$A$7:$A$766,D348,'93_REF_ANCHORS'!$C$7:$C$766,"&lt;"&amp;G348)+COUNTIFS('93_REF_ANCHORS'!$A$7:$A$766,D348,'93_REF_ANCHORS'!$C$7:$C$766,"&lt;="&amp;G348)-1)/(2*(H348-1)))</x:f>
      </x:c>
      <x:c r="J348" s="34" t="str">
        <x:f>IF(B348="","",IF(COUNT(E348)=0,"MISSING",IF(NOT(ISNUMBER(E348)),"INVALID",IF(E348*F348&lt;K348,"WINSORIZED LOW",IF(E348*F348&gt;L348,"WINSORIZED HIGH","OK")))))</x:f>
      </x:c>
      <x:c r="K348" s="34" t="n">
        <x:v>-0.10705024705171803</x:v>
      </x:c>
      <x:c r="L348" s="34" t="n">
        <x:v>0.8008753865408955</x:v>
      </x:c>
      <x:c r="M348" s="34" t="n">
        <x:v>0.1111111111111111</x:v>
      </x:c>
      <x:c r="N348" s="34" t="str">
        <x:v>no</x:v>
      </x:c>
    </x:row>
    <x:row r="349">
      <x:c r="A349" s="34" t="n">
        <x:v>35</x:v>
      </x:c>
      <x:c r="B349" s="34" t="str">
        <x:f>IF('01_INPUT_COMPANIES'!$A$41="","",'01_INPUT_COMPANIES'!$A$41)</x:f>
      </x:c>
      <x:c r="C349" s="34" t="str">
        <x:f>IF(B349="","",'01_INPUT_COMPANIES'!$B$41)</x:f>
      </x:c>
      <x:c r="D349" s="34" t="str">
        <x:v>network_cost_ratio</x:v>
      </x:c>
      <x:c r="E349" s="42" t="str">
        <x:f>IF(OR(B349="",COUNT('01_INPUT_COMPANIES'!$V$41)=0),"",'01_INPUT_COMPANIES'!$V$41)</x:f>
      </x:c>
      <x:c r="F349" s="42" t="n">
        <x:v>1</x:v>
      </x:c>
      <x:c r="G349" s="42" t="str">
        <x:f>IF(NOT(ISNUMBER(E349)),"",MAX(K349,MIN(L349,E349*F349)))</x:f>
      </x:c>
      <x:c r="H349" s="42" t="n">
        <x:v>97</x:v>
      </x:c>
      <x:c r="I349" s="42" t="str">
        <x:f>IF(COUNT(G349)=0,"",(COUNTIFS('93_REF_ANCHORS'!$A$7:$A$766,D349,'93_REF_ANCHORS'!$C$7:$C$766,"&lt;"&amp;G349)+COUNTIFS('93_REF_ANCHORS'!$A$7:$A$766,D349,'93_REF_ANCHORS'!$C$7:$C$766,"&lt;="&amp;G349)-1)/(2*(H349-1)))</x:f>
      </x:c>
      <x:c r="J349" s="34" t="str">
        <x:f>IF(B349="","",IF(COUNT(E349)=0,"MISSING",IF(NOT(ISNUMBER(E349)),"INVALID",IF(E349*F349&lt;K349,"WINSORIZED LOW",IF(E349*F349&gt;L349,"WINSORIZED HIGH","OK")))))</x:f>
      </x:c>
      <x:c r="K349" s="34" t="n">
        <x:v>-0.1395374353</x:v>
      </x:c>
      <x:c r="L349" s="34" t="n">
        <x:v>0.9274274845000001</x:v>
      </x:c>
      <x:c r="M349" s="34" t="n">
        <x:v>0.1111111111111111</x:v>
      </x:c>
      <x:c r="N349" s="34" t="str">
        <x:v>no</x:v>
      </x:c>
    </x:row>
    <x:row r="350">
      <x:c r="A350" s="34" t="n">
        <x:v>35</x:v>
      </x:c>
      <x:c r="B350" s="34" t="str">
        <x:f>IF('01_INPUT_COMPANIES'!$A$41="","",'01_INPUT_COMPANIES'!$A$41)</x:f>
      </x:c>
      <x:c r="C350" s="34" t="str">
        <x:f>IF(B350="","",'01_INPUT_COMPANIES'!$B$41)</x:f>
      </x:c>
      <x:c r="D350" s="34" t="str">
        <x:v>cashflow_recovery_ratio</x:v>
      </x:c>
      <x:c r="E350" s="42" t="str">
        <x:f>IF(OR(B350="",COUNT('01_INPUT_COMPANIES'!$W$41)=0),"",'01_INPUT_COMPANIES'!$W$41)</x:f>
      </x:c>
      <x:c r="F350" s="42" t="n">
        <x:v>-1</x:v>
      </x:c>
      <x:c r="G350" s="42" t="str">
        <x:f>IF(NOT(ISNUMBER(E350)),"",MAX(K350,MIN(L350,E350*F350)))</x:f>
      </x:c>
      <x:c r="H350" s="42" t="n">
        <x:v>95</x:v>
      </x:c>
      <x:c r="I350" s="42" t="str">
        <x:f>IF(COUNT(G350)=0,"",(COUNTIFS('93_REF_ANCHORS'!$A$7:$A$766,D350,'93_REF_ANCHORS'!$C$7:$C$766,"&lt;"&amp;G350)+COUNTIFS('93_REF_ANCHORS'!$A$7:$A$766,D350,'93_REF_ANCHORS'!$C$7:$C$766,"&lt;="&amp;G350)-1)/(2*(H350-1)))</x:f>
      </x:c>
      <x:c r="J350" s="34" t="str">
        <x:f>IF(B350="","",IF(COUNT(E350)=0,"MISSING",IF(NOT(ISNUMBER(E350)),"INVALID",IF(E350*F350&lt;K350,"WINSORIZED LOW",IF(E350*F350&gt;L350,"WINSORIZED HIGH","OK")))))</x:f>
      </x:c>
      <x:c r="K350" s="34" t="n">
        <x:v>-300.75</x:v>
      </x:c>
      <x:c r="L350" s="34" t="n">
        <x:v>42.6920305469</x:v>
      </x:c>
      <x:c r="M350" s="34" t="n">
        <x:v>0.08333333333333333</x:v>
      </x:c>
      <x:c r="N350" s="34" t="str">
        <x:v>no</x:v>
      </x:c>
    </x:row>
    <x:row r="351">
      <x:c r="A351" s="34" t="n">
        <x:v>35</x:v>
      </x:c>
      <x:c r="B351" s="34" t="str">
        <x:f>IF('01_INPUT_COMPANIES'!$A$41="","",'01_INPUT_COMPANIES'!$A$41)</x:f>
      </x:c>
      <x:c r="C351" s="34" t="str">
        <x:f>IF(B351="","",'01_INPUT_COMPANIES'!$B$41)</x:f>
      </x:c>
      <x:c r="D351" s="34" t="str">
        <x:v>funding_cost_spread</x:v>
      </x:c>
      <x:c r="E351" s="42" t="str">
        <x:f>IF(OR(B351="",COUNT('01_INPUT_COMPANIES'!$X$41)=0),"",'01_INPUT_COMPANIES'!$X$41)</x:f>
      </x:c>
      <x:c r="F351" s="42" t="n">
        <x:v>1</x:v>
      </x:c>
      <x:c r="G351" s="42" t="str">
        <x:f>IF(NOT(ISNUMBER(E351)),"",MAX(K351,MIN(L351,E351*F351)))</x:f>
      </x:c>
      <x:c r="H351" s="42" t="n">
        <x:v>58</x:v>
      </x:c>
      <x:c r="I351" s="42" t="str">
        <x:f>IF(COUNT(G351)=0,"",(COUNTIFS('93_REF_ANCHORS'!$A$7:$A$766,D351,'93_REF_ANCHORS'!$C$7:$C$766,"&lt;"&amp;G351)+COUNTIFS('93_REF_ANCHORS'!$A$7:$A$766,D351,'93_REF_ANCHORS'!$C$7:$C$766,"&lt;="&amp;G351)-1)/(2*(H351-1)))</x:f>
      </x:c>
      <x:c r="J351" s="34" t="str">
        <x:f>IF(B351="","",IF(COUNT(E351)=0,"MISSING",IF(NOT(ISNUMBER(E351)),"INVALID",IF(E351*F351&lt;K351,"WINSORIZED LOW",IF(E351*F351&gt;L351,"WINSORIZED HIGH","OK")))))</x:f>
      </x:c>
      <x:c r="K351" s="34" t="n">
        <x:v>-0.4430292903</x:v>
      </x:c>
      <x:c r="L351" s="34" t="n">
        <x:v>0.5068913103</x:v>
      </x:c>
      <x:c r="M351" s="34" t="n">
        <x:v>0.08333333333333333</x:v>
      </x:c>
      <x:c r="N351" s="34" t="str">
        <x:v>no</x:v>
      </x:c>
    </x:row>
    <x:row r="352">
      <x:c r="A352" s="34" t="n">
        <x:v>35</x:v>
      </x:c>
      <x:c r="B352" s="34" t="str">
        <x:f>IF('01_INPUT_COMPANIES'!$A$41="","",'01_INPUT_COMPANIES'!$A$41)</x:f>
      </x:c>
      <x:c r="C352" s="34" t="str">
        <x:f>IF(B352="","",'01_INPUT_COMPANIES'!$B$41)</x:f>
      </x:c>
      <x:c r="D352" s="34" t="str">
        <x:v>investment_recovery_ratio</x:v>
      </x:c>
      <x:c r="E352" s="42" t="str">
        <x:f>IF(OR(B352="",COUNT('01_INPUT_COMPANIES'!$Y$41)=0),"",'01_INPUT_COMPANIES'!$Y$41)</x:f>
      </x:c>
      <x:c r="F352" s="42" t="n">
        <x:v>-1</x:v>
      </x:c>
      <x:c r="G352" s="42" t="str">
        <x:f>IF(NOT(ISNUMBER(E352)),"",MAX(K352,MIN(L352,E352*F352)))</x:f>
      </x:c>
      <x:c r="H352" s="42" t="n">
        <x:v>95</x:v>
      </x:c>
      <x:c r="I352" s="42" t="str">
        <x:f>IF(COUNT(G352)=0,"",(COUNTIFS('93_REF_ANCHORS'!$A$7:$A$766,D352,'93_REF_ANCHORS'!$C$7:$C$766,"&lt;"&amp;G352)+COUNTIFS('93_REF_ANCHORS'!$A$7:$A$766,D352,'93_REF_ANCHORS'!$C$7:$C$766,"&lt;="&amp;G352)-1)/(2*(H352-1)))</x:f>
      </x:c>
      <x:c r="J352" s="34" t="str">
        <x:f>IF(B352="","",IF(COUNT(E352)=0,"MISSING",IF(NOT(ISNUMBER(E352)),"INVALID",IF(E352*F352&lt;K352,"WINSORIZED LOW",IF(E352*F352&gt;L352,"WINSORIZED HIGH","OK")))))</x:f>
      </x:c>
      <x:c r="K352" s="34" t="n">
        <x:v>-3163.7500000000014</x:v>
      </x:c>
      <x:c r="L352" s="34" t="n">
        <x:v>189.68191301719997</x:v>
      </x:c>
      <x:c r="M352" s="34" t="n">
        <x:v>0.08333333333333333</x:v>
      </x:c>
      <x:c r="N352" s="34" t="str">
        <x:v>no</x:v>
      </x:c>
    </x:row>
    <x:row r="353">
      <x:c r="A353" s="34" t="n">
        <x:v>35</x:v>
      </x:c>
      <x:c r="B353" s="34" t="str">
        <x:f>IF('01_INPUT_COMPANIES'!$A$41="","",'01_INPUT_COMPANIES'!$A$41)</x:f>
      </x:c>
      <x:c r="C353" s="34" t="str">
        <x:f>IF(B353="","",'01_INPUT_COMPANIES'!$B$41)</x:f>
      </x:c>
      <x:c r="D353" s="34" t="str">
        <x:v>ip_assetization_gap</x:v>
      </x:c>
      <x:c r="E353" s="42" t="str">
        <x:f>IF(OR(B353="",COUNT('01_INPUT_COMPANIES'!$Z$41)=0),"",'01_INPUT_COMPANIES'!$Z$41)</x:f>
      </x:c>
      <x:c r="F353" s="42" t="n">
        <x:v>1</x:v>
      </x:c>
      <x:c r="G353" s="42" t="str">
        <x:f>IF(NOT(ISNUMBER(E353)),"",MAX(K353,MIN(L353,E353*F353)))</x:f>
      </x:c>
      <x:c r="H353" s="42" t="n">
        <x:v>92</x:v>
      </x:c>
      <x:c r="I353" s="42" t="str">
        <x:f>IF(COUNT(G353)=0,"",(COUNTIFS('93_REF_ANCHORS'!$A$7:$A$766,D353,'93_REF_ANCHORS'!$C$7:$C$766,"&lt;"&amp;G353)+COUNTIFS('93_REF_ANCHORS'!$A$7:$A$766,D353,'93_REF_ANCHORS'!$C$7:$C$766,"&lt;="&amp;G353)-1)/(2*(H353-1)))</x:f>
      </x:c>
      <x:c r="J353" s="34" t="str">
        <x:f>IF(B353="","",IF(COUNT(E353)=0,"MISSING",IF(NOT(ISNUMBER(E353)),"INVALID",IF(E353*F353&lt;K353,"WINSORIZED LOW",IF(E353*F353&gt;L353,"WINSORIZED HIGH","OK")))))</x:f>
      </x:c>
      <x:c r="K353" s="34" t="n">
        <x:v>-1.6707152386</x:v>
      </x:c>
      <x:c r="L353" s="34" t="n">
        <x:v>0.7716332556000001</x:v>
      </x:c>
      <x:c r="M353" s="34" t="n">
        <x:v>0.08333333333333333</x:v>
      </x:c>
      <x:c r="N353" s="34" t="str">
        <x:v>no</x:v>
      </x:c>
    </x:row>
    <x:row r="354">
      <x:c r="A354" s="34" t="n">
        <x:v>35</x:v>
      </x:c>
      <x:c r="B354" s="34" t="str">
        <x:f>IF('01_INPUT_COMPANIES'!$A$41="","",'01_INPUT_COMPANIES'!$A$41)</x:f>
      </x:c>
      <x:c r="C354" s="34" t="str">
        <x:f>IF(B354="","",'01_INPUT_COMPANIES'!$B$41)</x:f>
      </x:c>
      <x:c r="D354" s="34" t="str">
        <x:v>cross_market_transfer_index</x:v>
      </x:c>
      <x:c r="E354" s="42" t="str">
        <x:f>IF(OR(B354="",COUNT('01_INPUT_COMPANIES'!$AA$41)=0),"",'01_INPUT_COMPANIES'!$AA$41)</x:f>
      </x:c>
      <x:c r="F354" s="42" t="n">
        <x:v>1</x:v>
      </x:c>
      <x:c r="G354" s="42" t="str">
        <x:f>IF(NOT(ISNUMBER(E354)),"",MAX(K354,MIN(L354,E354*F354)))</x:f>
      </x:c>
      <x:c r="H354" s="42" t="n">
        <x:v>4</x:v>
      </x:c>
      <x:c r="I354" s="42" t="str">
        <x:f>IF(COUNT(G354)=0,"",(COUNTIFS('93_REF_ANCHORS'!$A$7:$A$766,D354,'93_REF_ANCHORS'!$C$7:$C$766,"&lt;"&amp;G354)+COUNTIFS('93_REF_ANCHORS'!$A$7:$A$766,D354,'93_REF_ANCHORS'!$C$7:$C$766,"&lt;="&amp;G354)-1)/(2*(H354-1)))</x:f>
      </x:c>
      <x:c r="J354" s="34" t="str">
        <x:f>IF(B354="","",IF(COUNT(E354)=0,"MISSING",IF(NOT(ISNUMBER(E354)),"INVALID",IF(E354*F354&lt;K354,"WINSORIZED LOW",IF(E354*F354&gt;L354,"WINSORIZED HIGH","OK")))))</x:f>
      </x:c>
      <x:c r="K354" s="34" t="n">
        <x:v>0</x:v>
      </x:c>
      <x:c r="L354" s="34" t="n">
        <x:v>0.7587051325360435</x:v>
      </x:c>
      <x:c r="M354" s="34" t="n">
        <x:v>0.1111111111111111</x:v>
      </x:c>
      <x:c r="N354" s="34" t="str">
        <x:v>yes</x:v>
      </x:c>
    </x:row>
    <x:row r="355">
      <x:c r="A355" s="34" t="n">
        <x:v>35</x:v>
      </x:c>
      <x:c r="B355" s="34" t="str">
        <x:f>IF('01_INPUT_COMPANIES'!$A$41="","",'01_INPUT_COMPANIES'!$A$41)</x:f>
      </x:c>
      <x:c r="C355" s="34" t="str">
        <x:f>IF(B355="","",'01_INPUT_COMPANIES'!$B$41)</x:f>
      </x:c>
      <x:c r="D355" s="34" t="str">
        <x:v>foreign_dependency_ratio</x:v>
      </x:c>
      <x:c r="E355" s="42" t="str">
        <x:f>IF(OR(B355="",COUNT('01_INPUT_COMPANIES'!$AB$41)=0),"",'01_INPUT_COMPANIES'!$AB$41)</x:f>
      </x:c>
      <x:c r="F355" s="42" t="n">
        <x:v>1</x:v>
      </x:c>
      <x:c r="G355" s="42" t="str">
        <x:f>IF(NOT(ISNUMBER(E355)),"",MAX(K355,MIN(L355,E355*F355)))</x:f>
      </x:c>
      <x:c r="H355" s="42" t="n">
        <x:v>84</x:v>
      </x:c>
      <x:c r="I355" s="42" t="str">
        <x:f>IF(COUNT(G355)=0,"",(COUNTIFS('93_REF_ANCHORS'!$A$7:$A$766,D355,'93_REF_ANCHORS'!$C$7:$C$766,"&lt;"&amp;G355)+COUNTIFS('93_REF_ANCHORS'!$A$7:$A$766,D355,'93_REF_ANCHORS'!$C$7:$C$766,"&lt;="&amp;G355)-1)/(2*(H355-1)))</x:f>
      </x:c>
      <x:c r="J355" s="34" t="str">
        <x:f>IF(B355="","",IF(COUNT(E355)=0,"MISSING",IF(NOT(ISNUMBER(E355)),"INVALID",IF(E355*F355&lt;K355,"WINSORIZED LOW",IF(E355*F355&gt;L355,"WINSORIZED HIGH","OK")))))</x:f>
      </x:c>
      <x:c r="K355" s="34" t="n">
        <x:v>0.728196</x:v>
      </x:c>
      <x:c r="L355" s="34" t="n">
        <x:v>0.94</x:v>
      </x:c>
      <x:c r="M355" s="34" t="n">
        <x:v>0.1111111111111111</x:v>
      </x:c>
      <x:c r="N355" s="34" t="str">
        <x:v>yes</x:v>
      </x:c>
    </x:row>
    <x:row r="356">
      <x:c r="A356" s="34" t="n">
        <x:v>35</x:v>
      </x:c>
      <x:c r="B356" s="34" t="str">
        <x:f>IF('01_INPUT_COMPANIES'!$A$41="","",'01_INPUT_COMPANIES'!$A$41)</x:f>
      </x:c>
      <x:c r="C356" s="34" t="str">
        <x:f>IF(B356="","",'01_INPUT_COMPANIES'!$B$41)</x:f>
      </x:c>
      <x:c r="D356" s="34" t="str">
        <x:v>outflow_to_capex_ratio</x:v>
      </x:c>
      <x:c r="E356" s="42" t="str">
        <x:f>IF(OR(B356="",COUNT('01_INPUT_COMPANIES'!$AC$41)=0),"",'01_INPUT_COMPANIES'!$AC$41)</x:f>
      </x:c>
      <x:c r="F356" s="42" t="n">
        <x:v>1</x:v>
      </x:c>
      <x:c r="G356" s="42" t="str">
        <x:f>IF(NOT(ISNUMBER(E356)),"",MAX(K356,MIN(L356,E356*F356)))</x:f>
      </x:c>
      <x:c r="H356" s="42" t="n">
        <x:v>97</x:v>
      </x:c>
      <x:c r="I356" s="42" t="str">
        <x:f>IF(COUNT(G356)=0,"",(COUNTIFS('93_REF_ANCHORS'!$A$7:$A$766,D356,'93_REF_ANCHORS'!$C$7:$C$766,"&lt;"&amp;G356)+COUNTIFS('93_REF_ANCHORS'!$A$7:$A$766,D356,'93_REF_ANCHORS'!$C$7:$C$766,"&lt;="&amp;G356)-1)/(2*(H356-1)))</x:f>
      </x:c>
      <x:c r="J356" s="34" t="str">
        <x:f>IF(B356="","",IF(COUNT(E356)=0,"MISSING",IF(NOT(ISNUMBER(E356)),"INVALID",IF(E356*F356&lt;K356,"WINSORIZED LOW",IF(E356*F356&gt;L356,"WINSORIZED HIGH","OK")))))</x:f>
      </x:c>
      <x:c r="K356" s="34" t="n">
        <x:v>-123.5385890408</x:v>
      </x:c>
      <x:c r="L356" s="34" t="n">
        <x:v>974.1666666666999</x:v>
      </x:c>
      <x:c r="M356" s="34" t="n">
        <x:v>0.1111111111111111</x:v>
      </x:c>
      <x:c r="N356" s="34" t="str">
        <x:v>no</x:v>
      </x:c>
    </x:row>
    <x:row r="357">
      <x:c r="A357" s="34" t="n">
        <x:v>36</x:v>
      </x:c>
      <x:c r="B357" s="34" t="str">
        <x:f>IF('01_INPUT_COMPANIES'!$A$42="","",'01_INPUT_COMPANIES'!$A$42)</x:f>
      </x:c>
      <x:c r="C357" s="34" t="str">
        <x:f>IF(B357="","",'01_INPUT_COMPANIES'!$B$42)</x:f>
      </x:c>
      <x:c r="D357" s="34" t="str">
        <x:v>effective_tax_rate_gap</x:v>
      </x:c>
      <x:c r="E357" s="42" t="str">
        <x:f>IF(OR(B357="",COUNT('01_INPUT_COMPANIES'!$T$42)=0),"",'01_INPUT_COMPANIES'!$T$42)</x:f>
      </x:c>
      <x:c r="F357" s="42" t="n">
        <x:v>1</x:v>
      </x:c>
      <x:c r="G357" s="42" t="str">
        <x:f>IF(NOT(ISNUMBER(E357)),"",MAX(K357,MIN(L357,E357*F357)))</x:f>
      </x:c>
      <x:c r="H357" s="42" t="n">
        <x:v>74</x:v>
      </x:c>
      <x:c r="I357" s="42" t="str">
        <x:f>IF(COUNT(G357)=0,"",(COUNTIFS('93_REF_ANCHORS'!$A$7:$A$766,D357,'93_REF_ANCHORS'!$C$7:$C$766,"&lt;"&amp;G357)+COUNTIFS('93_REF_ANCHORS'!$A$7:$A$766,D357,'93_REF_ANCHORS'!$C$7:$C$766,"&lt;="&amp;G357)-1)/(2*(H357-1)))</x:f>
      </x:c>
      <x:c r="J357" s="34" t="str">
        <x:f>IF(B357="","",IF(COUNT(E357)=0,"MISSING",IF(NOT(ISNUMBER(E357)),"INVALID",IF(E357*F357&lt;K357,"WINSORIZED LOW",IF(E357*F357&gt;L357,"WINSORIZED HIGH","OK")))))</x:f>
      </x:c>
      <x:c r="K357" s="34" t="n">
        <x:v>-0.1416111014</x:v>
      </x:c>
      <x:c r="L357" s="34" t="n">
        <x:v>0.2683650488</x:v>
      </x:c>
      <x:c r="M357" s="34" t="n">
        <x:v>0.1111111111111111</x:v>
      </x:c>
      <x:c r="N357" s="34" t="str">
        <x:v>no</x:v>
      </x:c>
    </x:row>
    <x:row r="358">
      <x:c r="A358" s="34" t="n">
        <x:v>36</x:v>
      </x:c>
      <x:c r="B358" s="34" t="str">
        <x:f>IF('01_INPUT_COMPANIES'!$A$42="","",'01_INPUT_COMPANIES'!$A$42)</x:f>
      </x:c>
      <x:c r="C358" s="34" t="str">
        <x:f>IF(B358="","",'01_INPUT_COMPANIES'!$B$42)</x:f>
      </x:c>
      <x:c r="D358" s="34" t="str">
        <x:v>infra_dependency_ratio</x:v>
      </x:c>
      <x:c r="E358" s="42" t="str">
        <x:f>IF(OR(B358="",COUNT('01_INPUT_COMPANIES'!$U$42)=0),"",'01_INPUT_COMPANIES'!$U$42)</x:f>
      </x:c>
      <x:c r="F358" s="42" t="n">
        <x:v>1</x:v>
      </x:c>
      <x:c r="G358" s="42" t="str">
        <x:f>IF(NOT(ISNUMBER(E358)),"",MAX(K358,MIN(L358,E358*F358)))</x:f>
      </x:c>
      <x:c r="H358" s="42" t="n">
        <x:v>64</x:v>
      </x:c>
      <x:c r="I358" s="42" t="str">
        <x:f>IF(COUNT(G358)=0,"",(COUNTIFS('93_REF_ANCHORS'!$A$7:$A$766,D358,'93_REF_ANCHORS'!$C$7:$C$766,"&lt;"&amp;G358)+COUNTIFS('93_REF_ANCHORS'!$A$7:$A$766,D358,'93_REF_ANCHORS'!$C$7:$C$766,"&lt;="&amp;G358)-1)/(2*(H358-1)))</x:f>
      </x:c>
      <x:c r="J358" s="34" t="str">
        <x:f>IF(B358="","",IF(COUNT(E358)=0,"MISSING",IF(NOT(ISNUMBER(E358)),"INVALID",IF(E358*F358&lt;K358,"WINSORIZED LOW",IF(E358*F358&gt;L358,"WINSORIZED HIGH","OK")))))</x:f>
      </x:c>
      <x:c r="K358" s="34" t="n">
        <x:v>-0.10705024705171803</x:v>
      </x:c>
      <x:c r="L358" s="34" t="n">
        <x:v>0.8008753865408955</x:v>
      </x:c>
      <x:c r="M358" s="34" t="n">
        <x:v>0.1111111111111111</x:v>
      </x:c>
      <x:c r="N358" s="34" t="str">
        <x:v>no</x:v>
      </x:c>
    </x:row>
    <x:row r="359">
      <x:c r="A359" s="34" t="n">
        <x:v>36</x:v>
      </x:c>
      <x:c r="B359" s="34" t="str">
        <x:f>IF('01_INPUT_COMPANIES'!$A$42="","",'01_INPUT_COMPANIES'!$A$42)</x:f>
      </x:c>
      <x:c r="C359" s="34" t="str">
        <x:f>IF(B359="","",'01_INPUT_COMPANIES'!$B$42)</x:f>
      </x:c>
      <x:c r="D359" s="34" t="str">
        <x:v>network_cost_ratio</x:v>
      </x:c>
      <x:c r="E359" s="42" t="str">
        <x:f>IF(OR(B359="",COUNT('01_INPUT_COMPANIES'!$V$42)=0),"",'01_INPUT_COMPANIES'!$V$42)</x:f>
      </x:c>
      <x:c r="F359" s="42" t="n">
        <x:v>1</x:v>
      </x:c>
      <x:c r="G359" s="42" t="str">
        <x:f>IF(NOT(ISNUMBER(E359)),"",MAX(K359,MIN(L359,E359*F359)))</x:f>
      </x:c>
      <x:c r="H359" s="42" t="n">
        <x:v>97</x:v>
      </x:c>
      <x:c r="I359" s="42" t="str">
        <x:f>IF(COUNT(G359)=0,"",(COUNTIFS('93_REF_ANCHORS'!$A$7:$A$766,D359,'93_REF_ANCHORS'!$C$7:$C$766,"&lt;"&amp;G359)+COUNTIFS('93_REF_ANCHORS'!$A$7:$A$766,D359,'93_REF_ANCHORS'!$C$7:$C$766,"&lt;="&amp;G359)-1)/(2*(H359-1)))</x:f>
      </x:c>
      <x:c r="J359" s="34" t="str">
        <x:f>IF(B359="","",IF(COUNT(E359)=0,"MISSING",IF(NOT(ISNUMBER(E359)),"INVALID",IF(E359*F359&lt;K359,"WINSORIZED LOW",IF(E359*F359&gt;L359,"WINSORIZED HIGH","OK")))))</x:f>
      </x:c>
      <x:c r="K359" s="34" t="n">
        <x:v>-0.1395374353</x:v>
      </x:c>
      <x:c r="L359" s="34" t="n">
        <x:v>0.9274274845000001</x:v>
      </x:c>
      <x:c r="M359" s="34" t="n">
        <x:v>0.1111111111111111</x:v>
      </x:c>
      <x:c r="N359" s="34" t="str">
        <x:v>no</x:v>
      </x:c>
    </x:row>
    <x:row r="360">
      <x:c r="A360" s="34" t="n">
        <x:v>36</x:v>
      </x:c>
      <x:c r="B360" s="34" t="str">
        <x:f>IF('01_INPUT_COMPANIES'!$A$42="","",'01_INPUT_COMPANIES'!$A$42)</x:f>
      </x:c>
      <x:c r="C360" s="34" t="str">
        <x:f>IF(B360="","",'01_INPUT_COMPANIES'!$B$42)</x:f>
      </x:c>
      <x:c r="D360" s="34" t="str">
        <x:v>cashflow_recovery_ratio</x:v>
      </x:c>
      <x:c r="E360" s="42" t="str">
        <x:f>IF(OR(B360="",COUNT('01_INPUT_COMPANIES'!$W$42)=0),"",'01_INPUT_COMPANIES'!$W$42)</x:f>
      </x:c>
      <x:c r="F360" s="42" t="n">
        <x:v>-1</x:v>
      </x:c>
      <x:c r="G360" s="42" t="str">
        <x:f>IF(NOT(ISNUMBER(E360)),"",MAX(K360,MIN(L360,E360*F360)))</x:f>
      </x:c>
      <x:c r="H360" s="42" t="n">
        <x:v>95</x:v>
      </x:c>
      <x:c r="I360" s="42" t="str">
        <x:f>IF(COUNT(G360)=0,"",(COUNTIFS('93_REF_ANCHORS'!$A$7:$A$766,D360,'93_REF_ANCHORS'!$C$7:$C$766,"&lt;"&amp;G360)+COUNTIFS('93_REF_ANCHORS'!$A$7:$A$766,D360,'93_REF_ANCHORS'!$C$7:$C$766,"&lt;="&amp;G360)-1)/(2*(H360-1)))</x:f>
      </x:c>
      <x:c r="J360" s="34" t="str">
        <x:f>IF(B360="","",IF(COUNT(E360)=0,"MISSING",IF(NOT(ISNUMBER(E360)),"INVALID",IF(E360*F360&lt;K360,"WINSORIZED LOW",IF(E360*F360&gt;L360,"WINSORIZED HIGH","OK")))))</x:f>
      </x:c>
      <x:c r="K360" s="34" t="n">
        <x:v>-300.75</x:v>
      </x:c>
      <x:c r="L360" s="34" t="n">
        <x:v>42.6920305469</x:v>
      </x:c>
      <x:c r="M360" s="34" t="n">
        <x:v>0.08333333333333333</x:v>
      </x:c>
      <x:c r="N360" s="34" t="str">
        <x:v>no</x:v>
      </x:c>
    </x:row>
    <x:row r="361">
      <x:c r="A361" s="34" t="n">
        <x:v>36</x:v>
      </x:c>
      <x:c r="B361" s="34" t="str">
        <x:f>IF('01_INPUT_COMPANIES'!$A$42="","",'01_INPUT_COMPANIES'!$A$42)</x:f>
      </x:c>
      <x:c r="C361" s="34" t="str">
        <x:f>IF(B361="","",'01_INPUT_COMPANIES'!$B$42)</x:f>
      </x:c>
      <x:c r="D361" s="34" t="str">
        <x:v>funding_cost_spread</x:v>
      </x:c>
      <x:c r="E361" s="42" t="str">
        <x:f>IF(OR(B361="",COUNT('01_INPUT_COMPANIES'!$X$42)=0),"",'01_INPUT_COMPANIES'!$X$42)</x:f>
      </x:c>
      <x:c r="F361" s="42" t="n">
        <x:v>1</x:v>
      </x:c>
      <x:c r="G361" s="42" t="str">
        <x:f>IF(NOT(ISNUMBER(E361)),"",MAX(K361,MIN(L361,E361*F361)))</x:f>
      </x:c>
      <x:c r="H361" s="42" t="n">
        <x:v>58</x:v>
      </x:c>
      <x:c r="I361" s="42" t="str">
        <x:f>IF(COUNT(G361)=0,"",(COUNTIFS('93_REF_ANCHORS'!$A$7:$A$766,D361,'93_REF_ANCHORS'!$C$7:$C$766,"&lt;"&amp;G361)+COUNTIFS('93_REF_ANCHORS'!$A$7:$A$766,D361,'93_REF_ANCHORS'!$C$7:$C$766,"&lt;="&amp;G361)-1)/(2*(H361-1)))</x:f>
      </x:c>
      <x:c r="J361" s="34" t="str">
        <x:f>IF(B361="","",IF(COUNT(E361)=0,"MISSING",IF(NOT(ISNUMBER(E361)),"INVALID",IF(E361*F361&lt;K361,"WINSORIZED LOW",IF(E361*F361&gt;L361,"WINSORIZED HIGH","OK")))))</x:f>
      </x:c>
      <x:c r="K361" s="34" t="n">
        <x:v>-0.4430292903</x:v>
      </x:c>
      <x:c r="L361" s="34" t="n">
        <x:v>0.5068913103</x:v>
      </x:c>
      <x:c r="M361" s="34" t="n">
        <x:v>0.08333333333333333</x:v>
      </x:c>
      <x:c r="N361" s="34" t="str">
        <x:v>no</x:v>
      </x:c>
    </x:row>
    <x:row r="362">
      <x:c r="A362" s="34" t="n">
        <x:v>36</x:v>
      </x:c>
      <x:c r="B362" s="34" t="str">
        <x:f>IF('01_INPUT_COMPANIES'!$A$42="","",'01_INPUT_COMPANIES'!$A$42)</x:f>
      </x:c>
      <x:c r="C362" s="34" t="str">
        <x:f>IF(B362="","",'01_INPUT_COMPANIES'!$B$42)</x:f>
      </x:c>
      <x:c r="D362" s="34" t="str">
        <x:v>investment_recovery_ratio</x:v>
      </x:c>
      <x:c r="E362" s="42" t="str">
        <x:f>IF(OR(B362="",COUNT('01_INPUT_COMPANIES'!$Y$42)=0),"",'01_INPUT_COMPANIES'!$Y$42)</x:f>
      </x:c>
      <x:c r="F362" s="42" t="n">
        <x:v>-1</x:v>
      </x:c>
      <x:c r="G362" s="42" t="str">
        <x:f>IF(NOT(ISNUMBER(E362)),"",MAX(K362,MIN(L362,E362*F362)))</x:f>
      </x:c>
      <x:c r="H362" s="42" t="n">
        <x:v>95</x:v>
      </x:c>
      <x:c r="I362" s="42" t="str">
        <x:f>IF(COUNT(G362)=0,"",(COUNTIFS('93_REF_ANCHORS'!$A$7:$A$766,D362,'93_REF_ANCHORS'!$C$7:$C$766,"&lt;"&amp;G362)+COUNTIFS('93_REF_ANCHORS'!$A$7:$A$766,D362,'93_REF_ANCHORS'!$C$7:$C$766,"&lt;="&amp;G362)-1)/(2*(H362-1)))</x:f>
      </x:c>
      <x:c r="J362" s="34" t="str">
        <x:f>IF(B362="","",IF(COUNT(E362)=0,"MISSING",IF(NOT(ISNUMBER(E362)),"INVALID",IF(E362*F362&lt;K362,"WINSORIZED LOW",IF(E362*F362&gt;L362,"WINSORIZED HIGH","OK")))))</x:f>
      </x:c>
      <x:c r="K362" s="34" t="n">
        <x:v>-3163.7500000000014</x:v>
      </x:c>
      <x:c r="L362" s="34" t="n">
        <x:v>189.68191301719997</x:v>
      </x:c>
      <x:c r="M362" s="34" t="n">
        <x:v>0.08333333333333333</x:v>
      </x:c>
      <x:c r="N362" s="34" t="str">
        <x:v>no</x:v>
      </x:c>
    </x:row>
    <x:row r="363">
      <x:c r="A363" s="34" t="n">
        <x:v>36</x:v>
      </x:c>
      <x:c r="B363" s="34" t="str">
        <x:f>IF('01_INPUT_COMPANIES'!$A$42="","",'01_INPUT_COMPANIES'!$A$42)</x:f>
      </x:c>
      <x:c r="C363" s="34" t="str">
        <x:f>IF(B363="","",'01_INPUT_COMPANIES'!$B$42)</x:f>
      </x:c>
      <x:c r="D363" s="34" t="str">
        <x:v>ip_assetization_gap</x:v>
      </x:c>
      <x:c r="E363" s="42" t="str">
        <x:f>IF(OR(B363="",COUNT('01_INPUT_COMPANIES'!$Z$42)=0),"",'01_INPUT_COMPANIES'!$Z$42)</x:f>
      </x:c>
      <x:c r="F363" s="42" t="n">
        <x:v>1</x:v>
      </x:c>
      <x:c r="G363" s="42" t="str">
        <x:f>IF(NOT(ISNUMBER(E363)),"",MAX(K363,MIN(L363,E363*F363)))</x:f>
      </x:c>
      <x:c r="H363" s="42" t="n">
        <x:v>92</x:v>
      </x:c>
      <x:c r="I363" s="42" t="str">
        <x:f>IF(COUNT(G363)=0,"",(COUNTIFS('93_REF_ANCHORS'!$A$7:$A$766,D363,'93_REF_ANCHORS'!$C$7:$C$766,"&lt;"&amp;G363)+COUNTIFS('93_REF_ANCHORS'!$A$7:$A$766,D363,'93_REF_ANCHORS'!$C$7:$C$766,"&lt;="&amp;G363)-1)/(2*(H363-1)))</x:f>
      </x:c>
      <x:c r="J363" s="34" t="str">
        <x:f>IF(B363="","",IF(COUNT(E363)=0,"MISSING",IF(NOT(ISNUMBER(E363)),"INVALID",IF(E363*F363&lt;K363,"WINSORIZED LOW",IF(E363*F363&gt;L363,"WINSORIZED HIGH","OK")))))</x:f>
      </x:c>
      <x:c r="K363" s="34" t="n">
        <x:v>-1.6707152386</x:v>
      </x:c>
      <x:c r="L363" s="34" t="n">
        <x:v>0.7716332556000001</x:v>
      </x:c>
      <x:c r="M363" s="34" t="n">
        <x:v>0.08333333333333333</x:v>
      </x:c>
      <x:c r="N363" s="34" t="str">
        <x:v>no</x:v>
      </x:c>
    </x:row>
    <x:row r="364">
      <x:c r="A364" s="34" t="n">
        <x:v>36</x:v>
      </x:c>
      <x:c r="B364" s="34" t="str">
        <x:f>IF('01_INPUT_COMPANIES'!$A$42="","",'01_INPUT_COMPANIES'!$A$42)</x:f>
      </x:c>
      <x:c r="C364" s="34" t="str">
        <x:f>IF(B364="","",'01_INPUT_COMPANIES'!$B$42)</x:f>
      </x:c>
      <x:c r="D364" s="34" t="str">
        <x:v>cross_market_transfer_index</x:v>
      </x:c>
      <x:c r="E364" s="42" t="str">
        <x:f>IF(OR(B364="",COUNT('01_INPUT_COMPANIES'!$AA$42)=0),"",'01_INPUT_COMPANIES'!$AA$42)</x:f>
      </x:c>
      <x:c r="F364" s="42" t="n">
        <x:v>1</x:v>
      </x:c>
      <x:c r="G364" s="42" t="str">
        <x:f>IF(NOT(ISNUMBER(E364)),"",MAX(K364,MIN(L364,E364*F364)))</x:f>
      </x:c>
      <x:c r="H364" s="42" t="n">
        <x:v>4</x:v>
      </x:c>
      <x:c r="I364" s="42" t="str">
        <x:f>IF(COUNT(G364)=0,"",(COUNTIFS('93_REF_ANCHORS'!$A$7:$A$766,D364,'93_REF_ANCHORS'!$C$7:$C$766,"&lt;"&amp;G364)+COUNTIFS('93_REF_ANCHORS'!$A$7:$A$766,D364,'93_REF_ANCHORS'!$C$7:$C$766,"&lt;="&amp;G364)-1)/(2*(H364-1)))</x:f>
      </x:c>
      <x:c r="J364" s="34" t="str">
        <x:f>IF(B364="","",IF(COUNT(E364)=0,"MISSING",IF(NOT(ISNUMBER(E364)),"INVALID",IF(E364*F364&lt;K364,"WINSORIZED LOW",IF(E364*F364&gt;L364,"WINSORIZED HIGH","OK")))))</x:f>
      </x:c>
      <x:c r="K364" s="34" t="n">
        <x:v>0</x:v>
      </x:c>
      <x:c r="L364" s="34" t="n">
        <x:v>0.7587051325360435</x:v>
      </x:c>
      <x:c r="M364" s="34" t="n">
        <x:v>0.1111111111111111</x:v>
      </x:c>
      <x:c r="N364" s="34" t="str">
        <x:v>yes</x:v>
      </x:c>
    </x:row>
    <x:row r="365">
      <x:c r="A365" s="34" t="n">
        <x:v>36</x:v>
      </x:c>
      <x:c r="B365" s="34" t="str">
        <x:f>IF('01_INPUT_COMPANIES'!$A$42="","",'01_INPUT_COMPANIES'!$A$42)</x:f>
      </x:c>
      <x:c r="C365" s="34" t="str">
        <x:f>IF(B365="","",'01_INPUT_COMPANIES'!$B$42)</x:f>
      </x:c>
      <x:c r="D365" s="34" t="str">
        <x:v>foreign_dependency_ratio</x:v>
      </x:c>
      <x:c r="E365" s="42" t="str">
        <x:f>IF(OR(B365="",COUNT('01_INPUT_COMPANIES'!$AB$42)=0),"",'01_INPUT_COMPANIES'!$AB$42)</x:f>
      </x:c>
      <x:c r="F365" s="42" t="n">
        <x:v>1</x:v>
      </x:c>
      <x:c r="G365" s="42" t="str">
        <x:f>IF(NOT(ISNUMBER(E365)),"",MAX(K365,MIN(L365,E365*F365)))</x:f>
      </x:c>
      <x:c r="H365" s="42" t="n">
        <x:v>84</x:v>
      </x:c>
      <x:c r="I365" s="42" t="str">
        <x:f>IF(COUNT(G365)=0,"",(COUNTIFS('93_REF_ANCHORS'!$A$7:$A$766,D365,'93_REF_ANCHORS'!$C$7:$C$766,"&lt;"&amp;G365)+COUNTIFS('93_REF_ANCHORS'!$A$7:$A$766,D365,'93_REF_ANCHORS'!$C$7:$C$766,"&lt;="&amp;G365)-1)/(2*(H365-1)))</x:f>
      </x:c>
      <x:c r="J365" s="34" t="str">
        <x:f>IF(B365="","",IF(COUNT(E365)=0,"MISSING",IF(NOT(ISNUMBER(E365)),"INVALID",IF(E365*F365&lt;K365,"WINSORIZED LOW",IF(E365*F365&gt;L365,"WINSORIZED HIGH","OK")))))</x:f>
      </x:c>
      <x:c r="K365" s="34" t="n">
        <x:v>0.728196</x:v>
      </x:c>
      <x:c r="L365" s="34" t="n">
        <x:v>0.94</x:v>
      </x:c>
      <x:c r="M365" s="34" t="n">
        <x:v>0.1111111111111111</x:v>
      </x:c>
      <x:c r="N365" s="34" t="str">
        <x:v>yes</x:v>
      </x:c>
    </x:row>
    <x:row r="366">
      <x:c r="A366" s="34" t="n">
        <x:v>36</x:v>
      </x:c>
      <x:c r="B366" s="34" t="str">
        <x:f>IF('01_INPUT_COMPANIES'!$A$42="","",'01_INPUT_COMPANIES'!$A$42)</x:f>
      </x:c>
      <x:c r="C366" s="34" t="str">
        <x:f>IF(B366="","",'01_INPUT_COMPANIES'!$B$42)</x:f>
      </x:c>
      <x:c r="D366" s="34" t="str">
        <x:v>outflow_to_capex_ratio</x:v>
      </x:c>
      <x:c r="E366" s="42" t="str">
        <x:f>IF(OR(B366="",COUNT('01_INPUT_COMPANIES'!$AC$42)=0),"",'01_INPUT_COMPANIES'!$AC$42)</x:f>
      </x:c>
      <x:c r="F366" s="42" t="n">
        <x:v>1</x:v>
      </x:c>
      <x:c r="G366" s="42" t="str">
        <x:f>IF(NOT(ISNUMBER(E366)),"",MAX(K366,MIN(L366,E366*F366)))</x:f>
      </x:c>
      <x:c r="H366" s="42" t="n">
        <x:v>97</x:v>
      </x:c>
      <x:c r="I366" s="42" t="str">
        <x:f>IF(COUNT(G366)=0,"",(COUNTIFS('93_REF_ANCHORS'!$A$7:$A$766,D366,'93_REF_ANCHORS'!$C$7:$C$766,"&lt;"&amp;G366)+COUNTIFS('93_REF_ANCHORS'!$A$7:$A$766,D366,'93_REF_ANCHORS'!$C$7:$C$766,"&lt;="&amp;G366)-1)/(2*(H366-1)))</x:f>
      </x:c>
      <x:c r="J366" s="34" t="str">
        <x:f>IF(B366="","",IF(COUNT(E366)=0,"MISSING",IF(NOT(ISNUMBER(E366)),"INVALID",IF(E366*F366&lt;K366,"WINSORIZED LOW",IF(E366*F366&gt;L366,"WINSORIZED HIGH","OK")))))</x:f>
      </x:c>
      <x:c r="K366" s="34" t="n">
        <x:v>-123.5385890408</x:v>
      </x:c>
      <x:c r="L366" s="34" t="n">
        <x:v>974.1666666666999</x:v>
      </x:c>
      <x:c r="M366" s="34" t="n">
        <x:v>0.1111111111111111</x:v>
      </x:c>
      <x:c r="N366" s="34" t="str">
        <x:v>no</x:v>
      </x:c>
    </x:row>
    <x:row r="367">
      <x:c r="A367" s="34" t="n">
        <x:v>37</x:v>
      </x:c>
      <x:c r="B367" s="34" t="str">
        <x:f>IF('01_INPUT_COMPANIES'!$A$43="","",'01_INPUT_COMPANIES'!$A$43)</x:f>
      </x:c>
      <x:c r="C367" s="34" t="str">
        <x:f>IF(B367="","",'01_INPUT_COMPANIES'!$B$43)</x:f>
      </x:c>
      <x:c r="D367" s="34" t="str">
        <x:v>effective_tax_rate_gap</x:v>
      </x:c>
      <x:c r="E367" s="42" t="str">
        <x:f>IF(OR(B367="",COUNT('01_INPUT_COMPANIES'!$T$43)=0),"",'01_INPUT_COMPANIES'!$T$43)</x:f>
      </x:c>
      <x:c r="F367" s="42" t="n">
        <x:v>1</x:v>
      </x:c>
      <x:c r="G367" s="42" t="str">
        <x:f>IF(NOT(ISNUMBER(E367)),"",MAX(K367,MIN(L367,E367*F367)))</x:f>
      </x:c>
      <x:c r="H367" s="42" t="n">
        <x:v>74</x:v>
      </x:c>
      <x:c r="I367" s="42" t="str">
        <x:f>IF(COUNT(G367)=0,"",(COUNTIFS('93_REF_ANCHORS'!$A$7:$A$766,D367,'93_REF_ANCHORS'!$C$7:$C$766,"&lt;"&amp;G367)+COUNTIFS('93_REF_ANCHORS'!$A$7:$A$766,D367,'93_REF_ANCHORS'!$C$7:$C$766,"&lt;="&amp;G367)-1)/(2*(H367-1)))</x:f>
      </x:c>
      <x:c r="J367" s="34" t="str">
        <x:f>IF(B367="","",IF(COUNT(E367)=0,"MISSING",IF(NOT(ISNUMBER(E367)),"INVALID",IF(E367*F367&lt;K367,"WINSORIZED LOW",IF(E367*F367&gt;L367,"WINSORIZED HIGH","OK")))))</x:f>
      </x:c>
      <x:c r="K367" s="34" t="n">
        <x:v>-0.1416111014</x:v>
      </x:c>
      <x:c r="L367" s="34" t="n">
        <x:v>0.2683650488</x:v>
      </x:c>
      <x:c r="M367" s="34" t="n">
        <x:v>0.1111111111111111</x:v>
      </x:c>
      <x:c r="N367" s="34" t="str">
        <x:v>no</x:v>
      </x:c>
    </x:row>
    <x:row r="368">
      <x:c r="A368" s="34" t="n">
        <x:v>37</x:v>
      </x:c>
      <x:c r="B368" s="34" t="str">
        <x:f>IF('01_INPUT_COMPANIES'!$A$43="","",'01_INPUT_COMPANIES'!$A$43)</x:f>
      </x:c>
      <x:c r="C368" s="34" t="str">
        <x:f>IF(B368="","",'01_INPUT_COMPANIES'!$B$43)</x:f>
      </x:c>
      <x:c r="D368" s="34" t="str">
        <x:v>infra_dependency_ratio</x:v>
      </x:c>
      <x:c r="E368" s="42" t="str">
        <x:f>IF(OR(B368="",COUNT('01_INPUT_COMPANIES'!$U$43)=0),"",'01_INPUT_COMPANIES'!$U$43)</x:f>
      </x:c>
      <x:c r="F368" s="42" t="n">
        <x:v>1</x:v>
      </x:c>
      <x:c r="G368" s="42" t="str">
        <x:f>IF(NOT(ISNUMBER(E368)),"",MAX(K368,MIN(L368,E368*F368)))</x:f>
      </x:c>
      <x:c r="H368" s="42" t="n">
        <x:v>64</x:v>
      </x:c>
      <x:c r="I368" s="42" t="str">
        <x:f>IF(COUNT(G368)=0,"",(COUNTIFS('93_REF_ANCHORS'!$A$7:$A$766,D368,'93_REF_ANCHORS'!$C$7:$C$766,"&lt;"&amp;G368)+COUNTIFS('93_REF_ANCHORS'!$A$7:$A$766,D368,'93_REF_ANCHORS'!$C$7:$C$766,"&lt;="&amp;G368)-1)/(2*(H368-1)))</x:f>
      </x:c>
      <x:c r="J368" s="34" t="str">
        <x:f>IF(B368="","",IF(COUNT(E368)=0,"MISSING",IF(NOT(ISNUMBER(E368)),"INVALID",IF(E368*F368&lt;K368,"WINSORIZED LOW",IF(E368*F368&gt;L368,"WINSORIZED HIGH","OK")))))</x:f>
      </x:c>
      <x:c r="K368" s="34" t="n">
        <x:v>-0.10705024705171803</x:v>
      </x:c>
      <x:c r="L368" s="34" t="n">
        <x:v>0.8008753865408955</x:v>
      </x:c>
      <x:c r="M368" s="34" t="n">
        <x:v>0.1111111111111111</x:v>
      </x:c>
      <x:c r="N368" s="34" t="str">
        <x:v>no</x:v>
      </x:c>
    </x:row>
    <x:row r="369">
      <x:c r="A369" s="34" t="n">
        <x:v>37</x:v>
      </x:c>
      <x:c r="B369" s="34" t="str">
        <x:f>IF('01_INPUT_COMPANIES'!$A$43="","",'01_INPUT_COMPANIES'!$A$43)</x:f>
      </x:c>
      <x:c r="C369" s="34" t="str">
        <x:f>IF(B369="","",'01_INPUT_COMPANIES'!$B$43)</x:f>
      </x:c>
      <x:c r="D369" s="34" t="str">
        <x:v>network_cost_ratio</x:v>
      </x:c>
      <x:c r="E369" s="42" t="str">
        <x:f>IF(OR(B369="",COUNT('01_INPUT_COMPANIES'!$V$43)=0),"",'01_INPUT_COMPANIES'!$V$43)</x:f>
      </x:c>
      <x:c r="F369" s="42" t="n">
        <x:v>1</x:v>
      </x:c>
      <x:c r="G369" s="42" t="str">
        <x:f>IF(NOT(ISNUMBER(E369)),"",MAX(K369,MIN(L369,E369*F369)))</x:f>
      </x:c>
      <x:c r="H369" s="42" t="n">
        <x:v>97</x:v>
      </x:c>
      <x:c r="I369" s="42" t="str">
        <x:f>IF(COUNT(G369)=0,"",(COUNTIFS('93_REF_ANCHORS'!$A$7:$A$766,D369,'93_REF_ANCHORS'!$C$7:$C$766,"&lt;"&amp;G369)+COUNTIFS('93_REF_ANCHORS'!$A$7:$A$766,D369,'93_REF_ANCHORS'!$C$7:$C$766,"&lt;="&amp;G369)-1)/(2*(H369-1)))</x:f>
      </x:c>
      <x:c r="J369" s="34" t="str">
        <x:f>IF(B369="","",IF(COUNT(E369)=0,"MISSING",IF(NOT(ISNUMBER(E369)),"INVALID",IF(E369*F369&lt;K369,"WINSORIZED LOW",IF(E369*F369&gt;L369,"WINSORIZED HIGH","OK")))))</x:f>
      </x:c>
      <x:c r="K369" s="34" t="n">
        <x:v>-0.1395374353</x:v>
      </x:c>
      <x:c r="L369" s="34" t="n">
        <x:v>0.9274274845000001</x:v>
      </x:c>
      <x:c r="M369" s="34" t="n">
        <x:v>0.1111111111111111</x:v>
      </x:c>
      <x:c r="N369" s="34" t="str">
        <x:v>no</x:v>
      </x:c>
    </x:row>
    <x:row r="370">
      <x:c r="A370" s="34" t="n">
        <x:v>37</x:v>
      </x:c>
      <x:c r="B370" s="34" t="str">
        <x:f>IF('01_INPUT_COMPANIES'!$A$43="","",'01_INPUT_COMPANIES'!$A$43)</x:f>
      </x:c>
      <x:c r="C370" s="34" t="str">
        <x:f>IF(B370="","",'01_INPUT_COMPANIES'!$B$43)</x:f>
      </x:c>
      <x:c r="D370" s="34" t="str">
        <x:v>cashflow_recovery_ratio</x:v>
      </x:c>
      <x:c r="E370" s="42" t="str">
        <x:f>IF(OR(B370="",COUNT('01_INPUT_COMPANIES'!$W$43)=0),"",'01_INPUT_COMPANIES'!$W$43)</x:f>
      </x:c>
      <x:c r="F370" s="42" t="n">
        <x:v>-1</x:v>
      </x:c>
      <x:c r="G370" s="42" t="str">
        <x:f>IF(NOT(ISNUMBER(E370)),"",MAX(K370,MIN(L370,E370*F370)))</x:f>
      </x:c>
      <x:c r="H370" s="42" t="n">
        <x:v>95</x:v>
      </x:c>
      <x:c r="I370" s="42" t="str">
        <x:f>IF(COUNT(G370)=0,"",(COUNTIFS('93_REF_ANCHORS'!$A$7:$A$766,D370,'93_REF_ANCHORS'!$C$7:$C$766,"&lt;"&amp;G370)+COUNTIFS('93_REF_ANCHORS'!$A$7:$A$766,D370,'93_REF_ANCHORS'!$C$7:$C$766,"&lt;="&amp;G370)-1)/(2*(H370-1)))</x:f>
      </x:c>
      <x:c r="J370" s="34" t="str">
        <x:f>IF(B370="","",IF(COUNT(E370)=0,"MISSING",IF(NOT(ISNUMBER(E370)),"INVALID",IF(E370*F370&lt;K370,"WINSORIZED LOW",IF(E370*F370&gt;L370,"WINSORIZED HIGH","OK")))))</x:f>
      </x:c>
      <x:c r="K370" s="34" t="n">
        <x:v>-300.75</x:v>
      </x:c>
      <x:c r="L370" s="34" t="n">
        <x:v>42.6920305469</x:v>
      </x:c>
      <x:c r="M370" s="34" t="n">
        <x:v>0.08333333333333333</x:v>
      </x:c>
      <x:c r="N370" s="34" t="str">
        <x:v>no</x:v>
      </x:c>
    </x:row>
    <x:row r="371">
      <x:c r="A371" s="34" t="n">
        <x:v>37</x:v>
      </x:c>
      <x:c r="B371" s="34" t="str">
        <x:f>IF('01_INPUT_COMPANIES'!$A$43="","",'01_INPUT_COMPANIES'!$A$43)</x:f>
      </x:c>
      <x:c r="C371" s="34" t="str">
        <x:f>IF(B371="","",'01_INPUT_COMPANIES'!$B$43)</x:f>
      </x:c>
      <x:c r="D371" s="34" t="str">
        <x:v>funding_cost_spread</x:v>
      </x:c>
      <x:c r="E371" s="42" t="str">
        <x:f>IF(OR(B371="",COUNT('01_INPUT_COMPANIES'!$X$43)=0),"",'01_INPUT_COMPANIES'!$X$43)</x:f>
      </x:c>
      <x:c r="F371" s="42" t="n">
        <x:v>1</x:v>
      </x:c>
      <x:c r="G371" s="42" t="str">
        <x:f>IF(NOT(ISNUMBER(E371)),"",MAX(K371,MIN(L371,E371*F371)))</x:f>
      </x:c>
      <x:c r="H371" s="42" t="n">
        <x:v>58</x:v>
      </x:c>
      <x:c r="I371" s="42" t="str">
        <x:f>IF(COUNT(G371)=0,"",(COUNTIFS('93_REF_ANCHORS'!$A$7:$A$766,D371,'93_REF_ANCHORS'!$C$7:$C$766,"&lt;"&amp;G371)+COUNTIFS('93_REF_ANCHORS'!$A$7:$A$766,D371,'93_REF_ANCHORS'!$C$7:$C$766,"&lt;="&amp;G371)-1)/(2*(H371-1)))</x:f>
      </x:c>
      <x:c r="J371" s="34" t="str">
        <x:f>IF(B371="","",IF(COUNT(E371)=0,"MISSING",IF(NOT(ISNUMBER(E371)),"INVALID",IF(E371*F371&lt;K371,"WINSORIZED LOW",IF(E371*F371&gt;L371,"WINSORIZED HIGH","OK")))))</x:f>
      </x:c>
      <x:c r="K371" s="34" t="n">
        <x:v>-0.4430292903</x:v>
      </x:c>
      <x:c r="L371" s="34" t="n">
        <x:v>0.5068913103</x:v>
      </x:c>
      <x:c r="M371" s="34" t="n">
        <x:v>0.08333333333333333</x:v>
      </x:c>
      <x:c r="N371" s="34" t="str">
        <x:v>no</x:v>
      </x:c>
    </x:row>
    <x:row r="372">
      <x:c r="A372" s="34" t="n">
        <x:v>37</x:v>
      </x:c>
      <x:c r="B372" s="34" t="str">
        <x:f>IF('01_INPUT_COMPANIES'!$A$43="","",'01_INPUT_COMPANIES'!$A$43)</x:f>
      </x:c>
      <x:c r="C372" s="34" t="str">
        <x:f>IF(B372="","",'01_INPUT_COMPANIES'!$B$43)</x:f>
      </x:c>
      <x:c r="D372" s="34" t="str">
        <x:v>investment_recovery_ratio</x:v>
      </x:c>
      <x:c r="E372" s="42" t="str">
        <x:f>IF(OR(B372="",COUNT('01_INPUT_COMPANIES'!$Y$43)=0),"",'01_INPUT_COMPANIES'!$Y$43)</x:f>
      </x:c>
      <x:c r="F372" s="42" t="n">
        <x:v>-1</x:v>
      </x:c>
      <x:c r="G372" s="42" t="str">
        <x:f>IF(NOT(ISNUMBER(E372)),"",MAX(K372,MIN(L372,E372*F372)))</x:f>
      </x:c>
      <x:c r="H372" s="42" t="n">
        <x:v>95</x:v>
      </x:c>
      <x:c r="I372" s="42" t="str">
        <x:f>IF(COUNT(G372)=0,"",(COUNTIFS('93_REF_ANCHORS'!$A$7:$A$766,D372,'93_REF_ANCHORS'!$C$7:$C$766,"&lt;"&amp;G372)+COUNTIFS('93_REF_ANCHORS'!$A$7:$A$766,D372,'93_REF_ANCHORS'!$C$7:$C$766,"&lt;="&amp;G372)-1)/(2*(H372-1)))</x:f>
      </x:c>
      <x:c r="J372" s="34" t="str">
        <x:f>IF(B372="","",IF(COUNT(E372)=0,"MISSING",IF(NOT(ISNUMBER(E372)),"INVALID",IF(E372*F372&lt;K372,"WINSORIZED LOW",IF(E372*F372&gt;L372,"WINSORIZED HIGH","OK")))))</x:f>
      </x:c>
      <x:c r="K372" s="34" t="n">
        <x:v>-3163.7500000000014</x:v>
      </x:c>
      <x:c r="L372" s="34" t="n">
        <x:v>189.68191301719997</x:v>
      </x:c>
      <x:c r="M372" s="34" t="n">
        <x:v>0.08333333333333333</x:v>
      </x:c>
      <x:c r="N372" s="34" t="str">
        <x:v>no</x:v>
      </x:c>
    </x:row>
    <x:row r="373">
      <x:c r="A373" s="34" t="n">
        <x:v>37</x:v>
      </x:c>
      <x:c r="B373" s="34" t="str">
        <x:f>IF('01_INPUT_COMPANIES'!$A$43="","",'01_INPUT_COMPANIES'!$A$43)</x:f>
      </x:c>
      <x:c r="C373" s="34" t="str">
        <x:f>IF(B373="","",'01_INPUT_COMPANIES'!$B$43)</x:f>
      </x:c>
      <x:c r="D373" s="34" t="str">
        <x:v>ip_assetization_gap</x:v>
      </x:c>
      <x:c r="E373" s="42" t="str">
        <x:f>IF(OR(B373="",COUNT('01_INPUT_COMPANIES'!$Z$43)=0),"",'01_INPUT_COMPANIES'!$Z$43)</x:f>
      </x:c>
      <x:c r="F373" s="42" t="n">
        <x:v>1</x:v>
      </x:c>
      <x:c r="G373" s="42" t="str">
        <x:f>IF(NOT(ISNUMBER(E373)),"",MAX(K373,MIN(L373,E373*F373)))</x:f>
      </x:c>
      <x:c r="H373" s="42" t="n">
        <x:v>92</x:v>
      </x:c>
      <x:c r="I373" s="42" t="str">
        <x:f>IF(COUNT(G373)=0,"",(COUNTIFS('93_REF_ANCHORS'!$A$7:$A$766,D373,'93_REF_ANCHORS'!$C$7:$C$766,"&lt;"&amp;G373)+COUNTIFS('93_REF_ANCHORS'!$A$7:$A$766,D373,'93_REF_ANCHORS'!$C$7:$C$766,"&lt;="&amp;G373)-1)/(2*(H373-1)))</x:f>
      </x:c>
      <x:c r="J373" s="34" t="str">
        <x:f>IF(B373="","",IF(COUNT(E373)=0,"MISSING",IF(NOT(ISNUMBER(E373)),"INVALID",IF(E373*F373&lt;K373,"WINSORIZED LOW",IF(E373*F373&gt;L373,"WINSORIZED HIGH","OK")))))</x:f>
      </x:c>
      <x:c r="K373" s="34" t="n">
        <x:v>-1.6707152386</x:v>
      </x:c>
      <x:c r="L373" s="34" t="n">
        <x:v>0.7716332556000001</x:v>
      </x:c>
      <x:c r="M373" s="34" t="n">
        <x:v>0.08333333333333333</x:v>
      </x:c>
      <x:c r="N373" s="34" t="str">
        <x:v>no</x:v>
      </x:c>
    </x:row>
    <x:row r="374">
      <x:c r="A374" s="34" t="n">
        <x:v>37</x:v>
      </x:c>
      <x:c r="B374" s="34" t="str">
        <x:f>IF('01_INPUT_COMPANIES'!$A$43="","",'01_INPUT_COMPANIES'!$A$43)</x:f>
      </x:c>
      <x:c r="C374" s="34" t="str">
        <x:f>IF(B374="","",'01_INPUT_COMPANIES'!$B$43)</x:f>
      </x:c>
      <x:c r="D374" s="34" t="str">
        <x:v>cross_market_transfer_index</x:v>
      </x:c>
      <x:c r="E374" s="42" t="str">
        <x:f>IF(OR(B374="",COUNT('01_INPUT_COMPANIES'!$AA$43)=0),"",'01_INPUT_COMPANIES'!$AA$43)</x:f>
      </x:c>
      <x:c r="F374" s="42" t="n">
        <x:v>1</x:v>
      </x:c>
      <x:c r="G374" s="42" t="str">
        <x:f>IF(NOT(ISNUMBER(E374)),"",MAX(K374,MIN(L374,E374*F374)))</x:f>
      </x:c>
      <x:c r="H374" s="42" t="n">
        <x:v>4</x:v>
      </x:c>
      <x:c r="I374" s="42" t="str">
        <x:f>IF(COUNT(G374)=0,"",(COUNTIFS('93_REF_ANCHORS'!$A$7:$A$766,D374,'93_REF_ANCHORS'!$C$7:$C$766,"&lt;"&amp;G374)+COUNTIFS('93_REF_ANCHORS'!$A$7:$A$766,D374,'93_REF_ANCHORS'!$C$7:$C$766,"&lt;="&amp;G374)-1)/(2*(H374-1)))</x:f>
      </x:c>
      <x:c r="J374" s="34" t="str">
        <x:f>IF(B374="","",IF(COUNT(E374)=0,"MISSING",IF(NOT(ISNUMBER(E374)),"INVALID",IF(E374*F374&lt;K374,"WINSORIZED LOW",IF(E374*F374&gt;L374,"WINSORIZED HIGH","OK")))))</x:f>
      </x:c>
      <x:c r="K374" s="34" t="n">
        <x:v>0</x:v>
      </x:c>
      <x:c r="L374" s="34" t="n">
        <x:v>0.7587051325360435</x:v>
      </x:c>
      <x:c r="M374" s="34" t="n">
        <x:v>0.1111111111111111</x:v>
      </x:c>
      <x:c r="N374" s="34" t="str">
        <x:v>yes</x:v>
      </x:c>
    </x:row>
    <x:row r="375">
      <x:c r="A375" s="34" t="n">
        <x:v>37</x:v>
      </x:c>
      <x:c r="B375" s="34" t="str">
        <x:f>IF('01_INPUT_COMPANIES'!$A$43="","",'01_INPUT_COMPANIES'!$A$43)</x:f>
      </x:c>
      <x:c r="C375" s="34" t="str">
        <x:f>IF(B375="","",'01_INPUT_COMPANIES'!$B$43)</x:f>
      </x:c>
      <x:c r="D375" s="34" t="str">
        <x:v>foreign_dependency_ratio</x:v>
      </x:c>
      <x:c r="E375" s="42" t="str">
        <x:f>IF(OR(B375="",COUNT('01_INPUT_COMPANIES'!$AB$43)=0),"",'01_INPUT_COMPANIES'!$AB$43)</x:f>
      </x:c>
      <x:c r="F375" s="42" t="n">
        <x:v>1</x:v>
      </x:c>
      <x:c r="G375" s="42" t="str">
        <x:f>IF(NOT(ISNUMBER(E375)),"",MAX(K375,MIN(L375,E375*F375)))</x:f>
      </x:c>
      <x:c r="H375" s="42" t="n">
        <x:v>84</x:v>
      </x:c>
      <x:c r="I375" s="42" t="str">
        <x:f>IF(COUNT(G375)=0,"",(COUNTIFS('93_REF_ANCHORS'!$A$7:$A$766,D375,'93_REF_ANCHORS'!$C$7:$C$766,"&lt;"&amp;G375)+COUNTIFS('93_REF_ANCHORS'!$A$7:$A$766,D375,'93_REF_ANCHORS'!$C$7:$C$766,"&lt;="&amp;G375)-1)/(2*(H375-1)))</x:f>
      </x:c>
      <x:c r="J375" s="34" t="str">
        <x:f>IF(B375="","",IF(COUNT(E375)=0,"MISSING",IF(NOT(ISNUMBER(E375)),"INVALID",IF(E375*F375&lt;K375,"WINSORIZED LOW",IF(E375*F375&gt;L375,"WINSORIZED HIGH","OK")))))</x:f>
      </x:c>
      <x:c r="K375" s="34" t="n">
        <x:v>0.728196</x:v>
      </x:c>
      <x:c r="L375" s="34" t="n">
        <x:v>0.94</x:v>
      </x:c>
      <x:c r="M375" s="34" t="n">
        <x:v>0.1111111111111111</x:v>
      </x:c>
      <x:c r="N375" s="34" t="str">
        <x:v>yes</x:v>
      </x:c>
    </x:row>
    <x:row r="376">
      <x:c r="A376" s="34" t="n">
        <x:v>37</x:v>
      </x:c>
      <x:c r="B376" s="34" t="str">
        <x:f>IF('01_INPUT_COMPANIES'!$A$43="","",'01_INPUT_COMPANIES'!$A$43)</x:f>
      </x:c>
      <x:c r="C376" s="34" t="str">
        <x:f>IF(B376="","",'01_INPUT_COMPANIES'!$B$43)</x:f>
      </x:c>
      <x:c r="D376" s="34" t="str">
        <x:v>outflow_to_capex_ratio</x:v>
      </x:c>
      <x:c r="E376" s="42" t="str">
        <x:f>IF(OR(B376="",COUNT('01_INPUT_COMPANIES'!$AC$43)=0),"",'01_INPUT_COMPANIES'!$AC$43)</x:f>
      </x:c>
      <x:c r="F376" s="42" t="n">
        <x:v>1</x:v>
      </x:c>
      <x:c r="G376" s="42" t="str">
        <x:f>IF(NOT(ISNUMBER(E376)),"",MAX(K376,MIN(L376,E376*F376)))</x:f>
      </x:c>
      <x:c r="H376" s="42" t="n">
        <x:v>97</x:v>
      </x:c>
      <x:c r="I376" s="42" t="str">
        <x:f>IF(COUNT(G376)=0,"",(COUNTIFS('93_REF_ANCHORS'!$A$7:$A$766,D376,'93_REF_ANCHORS'!$C$7:$C$766,"&lt;"&amp;G376)+COUNTIFS('93_REF_ANCHORS'!$A$7:$A$766,D376,'93_REF_ANCHORS'!$C$7:$C$766,"&lt;="&amp;G376)-1)/(2*(H376-1)))</x:f>
      </x:c>
      <x:c r="J376" s="34" t="str">
        <x:f>IF(B376="","",IF(COUNT(E376)=0,"MISSING",IF(NOT(ISNUMBER(E376)),"INVALID",IF(E376*F376&lt;K376,"WINSORIZED LOW",IF(E376*F376&gt;L376,"WINSORIZED HIGH","OK")))))</x:f>
      </x:c>
      <x:c r="K376" s="34" t="n">
        <x:v>-123.5385890408</x:v>
      </x:c>
      <x:c r="L376" s="34" t="n">
        <x:v>974.1666666666999</x:v>
      </x:c>
      <x:c r="M376" s="34" t="n">
        <x:v>0.1111111111111111</x:v>
      </x:c>
      <x:c r="N376" s="34" t="str">
        <x:v>no</x:v>
      </x:c>
    </x:row>
    <x:row r="377">
      <x:c r="A377" s="34" t="n">
        <x:v>38</x:v>
      </x:c>
      <x:c r="B377" s="34" t="str">
        <x:f>IF('01_INPUT_COMPANIES'!$A$44="","",'01_INPUT_COMPANIES'!$A$44)</x:f>
      </x:c>
      <x:c r="C377" s="34" t="str">
        <x:f>IF(B377="","",'01_INPUT_COMPANIES'!$B$44)</x:f>
      </x:c>
      <x:c r="D377" s="34" t="str">
        <x:v>effective_tax_rate_gap</x:v>
      </x:c>
      <x:c r="E377" s="42" t="str">
        <x:f>IF(OR(B377="",COUNT('01_INPUT_COMPANIES'!$T$44)=0),"",'01_INPUT_COMPANIES'!$T$44)</x:f>
      </x:c>
      <x:c r="F377" s="42" t="n">
        <x:v>1</x:v>
      </x:c>
      <x:c r="G377" s="42" t="str">
        <x:f>IF(NOT(ISNUMBER(E377)),"",MAX(K377,MIN(L377,E377*F377)))</x:f>
      </x:c>
      <x:c r="H377" s="42" t="n">
        <x:v>74</x:v>
      </x:c>
      <x:c r="I377" s="42" t="str">
        <x:f>IF(COUNT(G377)=0,"",(COUNTIFS('93_REF_ANCHORS'!$A$7:$A$766,D377,'93_REF_ANCHORS'!$C$7:$C$766,"&lt;"&amp;G377)+COUNTIFS('93_REF_ANCHORS'!$A$7:$A$766,D377,'93_REF_ANCHORS'!$C$7:$C$766,"&lt;="&amp;G377)-1)/(2*(H377-1)))</x:f>
      </x:c>
      <x:c r="J377" s="34" t="str">
        <x:f>IF(B377="","",IF(COUNT(E377)=0,"MISSING",IF(NOT(ISNUMBER(E377)),"INVALID",IF(E377*F377&lt;K377,"WINSORIZED LOW",IF(E377*F377&gt;L377,"WINSORIZED HIGH","OK")))))</x:f>
      </x:c>
      <x:c r="K377" s="34" t="n">
        <x:v>-0.1416111014</x:v>
      </x:c>
      <x:c r="L377" s="34" t="n">
        <x:v>0.2683650488</x:v>
      </x:c>
      <x:c r="M377" s="34" t="n">
        <x:v>0.1111111111111111</x:v>
      </x:c>
      <x:c r="N377" s="34" t="str">
        <x:v>no</x:v>
      </x:c>
    </x:row>
    <x:row r="378">
      <x:c r="A378" s="34" t="n">
        <x:v>38</x:v>
      </x:c>
      <x:c r="B378" s="34" t="str">
        <x:f>IF('01_INPUT_COMPANIES'!$A$44="","",'01_INPUT_COMPANIES'!$A$44)</x:f>
      </x:c>
      <x:c r="C378" s="34" t="str">
        <x:f>IF(B378="","",'01_INPUT_COMPANIES'!$B$44)</x:f>
      </x:c>
      <x:c r="D378" s="34" t="str">
        <x:v>infra_dependency_ratio</x:v>
      </x:c>
      <x:c r="E378" s="42" t="str">
        <x:f>IF(OR(B378="",COUNT('01_INPUT_COMPANIES'!$U$44)=0),"",'01_INPUT_COMPANIES'!$U$44)</x:f>
      </x:c>
      <x:c r="F378" s="42" t="n">
        <x:v>1</x:v>
      </x:c>
      <x:c r="G378" s="42" t="str">
        <x:f>IF(NOT(ISNUMBER(E378)),"",MAX(K378,MIN(L378,E378*F378)))</x:f>
      </x:c>
      <x:c r="H378" s="42" t="n">
        <x:v>64</x:v>
      </x:c>
      <x:c r="I378" s="42" t="str">
        <x:f>IF(COUNT(G378)=0,"",(COUNTIFS('93_REF_ANCHORS'!$A$7:$A$766,D378,'93_REF_ANCHORS'!$C$7:$C$766,"&lt;"&amp;G378)+COUNTIFS('93_REF_ANCHORS'!$A$7:$A$766,D378,'93_REF_ANCHORS'!$C$7:$C$766,"&lt;="&amp;G378)-1)/(2*(H378-1)))</x:f>
      </x:c>
      <x:c r="J378" s="34" t="str">
        <x:f>IF(B378="","",IF(COUNT(E378)=0,"MISSING",IF(NOT(ISNUMBER(E378)),"INVALID",IF(E378*F378&lt;K378,"WINSORIZED LOW",IF(E378*F378&gt;L378,"WINSORIZED HIGH","OK")))))</x:f>
      </x:c>
      <x:c r="K378" s="34" t="n">
        <x:v>-0.10705024705171803</x:v>
      </x:c>
      <x:c r="L378" s="34" t="n">
        <x:v>0.8008753865408955</x:v>
      </x:c>
      <x:c r="M378" s="34" t="n">
        <x:v>0.1111111111111111</x:v>
      </x:c>
      <x:c r="N378" s="34" t="str">
        <x:v>no</x:v>
      </x:c>
    </x:row>
    <x:row r="379">
      <x:c r="A379" s="34" t="n">
        <x:v>38</x:v>
      </x:c>
      <x:c r="B379" s="34" t="str">
        <x:f>IF('01_INPUT_COMPANIES'!$A$44="","",'01_INPUT_COMPANIES'!$A$44)</x:f>
      </x:c>
      <x:c r="C379" s="34" t="str">
        <x:f>IF(B379="","",'01_INPUT_COMPANIES'!$B$44)</x:f>
      </x:c>
      <x:c r="D379" s="34" t="str">
        <x:v>network_cost_ratio</x:v>
      </x:c>
      <x:c r="E379" s="42" t="str">
        <x:f>IF(OR(B379="",COUNT('01_INPUT_COMPANIES'!$V$44)=0),"",'01_INPUT_COMPANIES'!$V$44)</x:f>
      </x:c>
      <x:c r="F379" s="42" t="n">
        <x:v>1</x:v>
      </x:c>
      <x:c r="G379" s="42" t="str">
        <x:f>IF(NOT(ISNUMBER(E379)),"",MAX(K379,MIN(L379,E379*F379)))</x:f>
      </x:c>
      <x:c r="H379" s="42" t="n">
        <x:v>97</x:v>
      </x:c>
      <x:c r="I379" s="42" t="str">
        <x:f>IF(COUNT(G379)=0,"",(COUNTIFS('93_REF_ANCHORS'!$A$7:$A$766,D379,'93_REF_ANCHORS'!$C$7:$C$766,"&lt;"&amp;G379)+COUNTIFS('93_REF_ANCHORS'!$A$7:$A$766,D379,'93_REF_ANCHORS'!$C$7:$C$766,"&lt;="&amp;G379)-1)/(2*(H379-1)))</x:f>
      </x:c>
      <x:c r="J379" s="34" t="str">
        <x:f>IF(B379="","",IF(COUNT(E379)=0,"MISSING",IF(NOT(ISNUMBER(E379)),"INVALID",IF(E379*F379&lt;K379,"WINSORIZED LOW",IF(E379*F379&gt;L379,"WINSORIZED HIGH","OK")))))</x:f>
      </x:c>
      <x:c r="K379" s="34" t="n">
        <x:v>-0.1395374353</x:v>
      </x:c>
      <x:c r="L379" s="34" t="n">
        <x:v>0.9274274845000001</x:v>
      </x:c>
      <x:c r="M379" s="34" t="n">
        <x:v>0.1111111111111111</x:v>
      </x:c>
      <x:c r="N379" s="34" t="str">
        <x:v>no</x:v>
      </x:c>
    </x:row>
    <x:row r="380">
      <x:c r="A380" s="34" t="n">
        <x:v>38</x:v>
      </x:c>
      <x:c r="B380" s="34" t="str">
        <x:f>IF('01_INPUT_COMPANIES'!$A$44="","",'01_INPUT_COMPANIES'!$A$44)</x:f>
      </x:c>
      <x:c r="C380" s="34" t="str">
        <x:f>IF(B380="","",'01_INPUT_COMPANIES'!$B$44)</x:f>
      </x:c>
      <x:c r="D380" s="34" t="str">
        <x:v>cashflow_recovery_ratio</x:v>
      </x:c>
      <x:c r="E380" s="42" t="str">
        <x:f>IF(OR(B380="",COUNT('01_INPUT_COMPANIES'!$W$44)=0),"",'01_INPUT_COMPANIES'!$W$44)</x:f>
      </x:c>
      <x:c r="F380" s="42" t="n">
        <x:v>-1</x:v>
      </x:c>
      <x:c r="G380" s="42" t="str">
        <x:f>IF(NOT(ISNUMBER(E380)),"",MAX(K380,MIN(L380,E380*F380)))</x:f>
      </x:c>
      <x:c r="H380" s="42" t="n">
        <x:v>95</x:v>
      </x:c>
      <x:c r="I380" s="42" t="str">
        <x:f>IF(COUNT(G380)=0,"",(COUNTIFS('93_REF_ANCHORS'!$A$7:$A$766,D380,'93_REF_ANCHORS'!$C$7:$C$766,"&lt;"&amp;G380)+COUNTIFS('93_REF_ANCHORS'!$A$7:$A$766,D380,'93_REF_ANCHORS'!$C$7:$C$766,"&lt;="&amp;G380)-1)/(2*(H380-1)))</x:f>
      </x:c>
      <x:c r="J380" s="34" t="str">
        <x:f>IF(B380="","",IF(COUNT(E380)=0,"MISSING",IF(NOT(ISNUMBER(E380)),"INVALID",IF(E380*F380&lt;K380,"WINSORIZED LOW",IF(E380*F380&gt;L380,"WINSORIZED HIGH","OK")))))</x:f>
      </x:c>
      <x:c r="K380" s="34" t="n">
        <x:v>-300.75</x:v>
      </x:c>
      <x:c r="L380" s="34" t="n">
        <x:v>42.6920305469</x:v>
      </x:c>
      <x:c r="M380" s="34" t="n">
        <x:v>0.08333333333333333</x:v>
      </x:c>
      <x:c r="N380" s="34" t="str">
        <x:v>no</x:v>
      </x:c>
    </x:row>
    <x:row r="381">
      <x:c r="A381" s="34" t="n">
        <x:v>38</x:v>
      </x:c>
      <x:c r="B381" s="34" t="str">
        <x:f>IF('01_INPUT_COMPANIES'!$A$44="","",'01_INPUT_COMPANIES'!$A$44)</x:f>
      </x:c>
      <x:c r="C381" s="34" t="str">
        <x:f>IF(B381="","",'01_INPUT_COMPANIES'!$B$44)</x:f>
      </x:c>
      <x:c r="D381" s="34" t="str">
        <x:v>funding_cost_spread</x:v>
      </x:c>
      <x:c r="E381" s="42" t="str">
        <x:f>IF(OR(B381="",COUNT('01_INPUT_COMPANIES'!$X$44)=0),"",'01_INPUT_COMPANIES'!$X$44)</x:f>
      </x:c>
      <x:c r="F381" s="42" t="n">
        <x:v>1</x:v>
      </x:c>
      <x:c r="G381" s="42" t="str">
        <x:f>IF(NOT(ISNUMBER(E381)),"",MAX(K381,MIN(L381,E381*F381)))</x:f>
      </x:c>
      <x:c r="H381" s="42" t="n">
        <x:v>58</x:v>
      </x:c>
      <x:c r="I381" s="42" t="str">
        <x:f>IF(COUNT(G381)=0,"",(COUNTIFS('93_REF_ANCHORS'!$A$7:$A$766,D381,'93_REF_ANCHORS'!$C$7:$C$766,"&lt;"&amp;G381)+COUNTIFS('93_REF_ANCHORS'!$A$7:$A$766,D381,'93_REF_ANCHORS'!$C$7:$C$766,"&lt;="&amp;G381)-1)/(2*(H381-1)))</x:f>
      </x:c>
      <x:c r="J381" s="34" t="str">
        <x:f>IF(B381="","",IF(COUNT(E381)=0,"MISSING",IF(NOT(ISNUMBER(E381)),"INVALID",IF(E381*F381&lt;K381,"WINSORIZED LOW",IF(E381*F381&gt;L381,"WINSORIZED HIGH","OK")))))</x:f>
      </x:c>
      <x:c r="K381" s="34" t="n">
        <x:v>-0.4430292903</x:v>
      </x:c>
      <x:c r="L381" s="34" t="n">
        <x:v>0.5068913103</x:v>
      </x:c>
      <x:c r="M381" s="34" t="n">
        <x:v>0.08333333333333333</x:v>
      </x:c>
      <x:c r="N381" s="34" t="str">
        <x:v>no</x:v>
      </x:c>
    </x:row>
    <x:row r="382">
      <x:c r="A382" s="34" t="n">
        <x:v>38</x:v>
      </x:c>
      <x:c r="B382" s="34" t="str">
        <x:f>IF('01_INPUT_COMPANIES'!$A$44="","",'01_INPUT_COMPANIES'!$A$44)</x:f>
      </x:c>
      <x:c r="C382" s="34" t="str">
        <x:f>IF(B382="","",'01_INPUT_COMPANIES'!$B$44)</x:f>
      </x:c>
      <x:c r="D382" s="34" t="str">
        <x:v>investment_recovery_ratio</x:v>
      </x:c>
      <x:c r="E382" s="42" t="str">
        <x:f>IF(OR(B382="",COUNT('01_INPUT_COMPANIES'!$Y$44)=0),"",'01_INPUT_COMPANIES'!$Y$44)</x:f>
      </x:c>
      <x:c r="F382" s="42" t="n">
        <x:v>-1</x:v>
      </x:c>
      <x:c r="G382" s="42" t="str">
        <x:f>IF(NOT(ISNUMBER(E382)),"",MAX(K382,MIN(L382,E382*F382)))</x:f>
      </x:c>
      <x:c r="H382" s="42" t="n">
        <x:v>95</x:v>
      </x:c>
      <x:c r="I382" s="42" t="str">
        <x:f>IF(COUNT(G382)=0,"",(COUNTIFS('93_REF_ANCHORS'!$A$7:$A$766,D382,'93_REF_ANCHORS'!$C$7:$C$766,"&lt;"&amp;G382)+COUNTIFS('93_REF_ANCHORS'!$A$7:$A$766,D382,'93_REF_ANCHORS'!$C$7:$C$766,"&lt;="&amp;G382)-1)/(2*(H382-1)))</x:f>
      </x:c>
      <x:c r="J382" s="34" t="str">
        <x:f>IF(B382="","",IF(COUNT(E382)=0,"MISSING",IF(NOT(ISNUMBER(E382)),"INVALID",IF(E382*F382&lt;K382,"WINSORIZED LOW",IF(E382*F382&gt;L382,"WINSORIZED HIGH","OK")))))</x:f>
      </x:c>
      <x:c r="K382" s="34" t="n">
        <x:v>-3163.7500000000014</x:v>
      </x:c>
      <x:c r="L382" s="34" t="n">
        <x:v>189.68191301719997</x:v>
      </x:c>
      <x:c r="M382" s="34" t="n">
        <x:v>0.08333333333333333</x:v>
      </x:c>
      <x:c r="N382" s="34" t="str">
        <x:v>no</x:v>
      </x:c>
    </x:row>
    <x:row r="383">
      <x:c r="A383" s="34" t="n">
        <x:v>38</x:v>
      </x:c>
      <x:c r="B383" s="34" t="str">
        <x:f>IF('01_INPUT_COMPANIES'!$A$44="","",'01_INPUT_COMPANIES'!$A$44)</x:f>
      </x:c>
      <x:c r="C383" s="34" t="str">
        <x:f>IF(B383="","",'01_INPUT_COMPANIES'!$B$44)</x:f>
      </x:c>
      <x:c r="D383" s="34" t="str">
        <x:v>ip_assetization_gap</x:v>
      </x:c>
      <x:c r="E383" s="42" t="str">
        <x:f>IF(OR(B383="",COUNT('01_INPUT_COMPANIES'!$Z$44)=0),"",'01_INPUT_COMPANIES'!$Z$44)</x:f>
      </x:c>
      <x:c r="F383" s="42" t="n">
        <x:v>1</x:v>
      </x:c>
      <x:c r="G383" s="42" t="str">
        <x:f>IF(NOT(ISNUMBER(E383)),"",MAX(K383,MIN(L383,E383*F383)))</x:f>
      </x:c>
      <x:c r="H383" s="42" t="n">
        <x:v>92</x:v>
      </x:c>
      <x:c r="I383" s="42" t="str">
        <x:f>IF(COUNT(G383)=0,"",(COUNTIFS('93_REF_ANCHORS'!$A$7:$A$766,D383,'93_REF_ANCHORS'!$C$7:$C$766,"&lt;"&amp;G383)+COUNTIFS('93_REF_ANCHORS'!$A$7:$A$766,D383,'93_REF_ANCHORS'!$C$7:$C$766,"&lt;="&amp;G383)-1)/(2*(H383-1)))</x:f>
      </x:c>
      <x:c r="J383" s="34" t="str">
        <x:f>IF(B383="","",IF(COUNT(E383)=0,"MISSING",IF(NOT(ISNUMBER(E383)),"INVALID",IF(E383*F383&lt;K383,"WINSORIZED LOW",IF(E383*F383&gt;L383,"WINSORIZED HIGH","OK")))))</x:f>
      </x:c>
      <x:c r="K383" s="34" t="n">
        <x:v>-1.6707152386</x:v>
      </x:c>
      <x:c r="L383" s="34" t="n">
        <x:v>0.7716332556000001</x:v>
      </x:c>
      <x:c r="M383" s="34" t="n">
        <x:v>0.08333333333333333</x:v>
      </x:c>
      <x:c r="N383" s="34" t="str">
        <x:v>no</x:v>
      </x:c>
    </x:row>
    <x:row r="384">
      <x:c r="A384" s="34" t="n">
        <x:v>38</x:v>
      </x:c>
      <x:c r="B384" s="34" t="str">
        <x:f>IF('01_INPUT_COMPANIES'!$A$44="","",'01_INPUT_COMPANIES'!$A$44)</x:f>
      </x:c>
      <x:c r="C384" s="34" t="str">
        <x:f>IF(B384="","",'01_INPUT_COMPANIES'!$B$44)</x:f>
      </x:c>
      <x:c r="D384" s="34" t="str">
        <x:v>cross_market_transfer_index</x:v>
      </x:c>
      <x:c r="E384" s="42" t="str">
        <x:f>IF(OR(B384="",COUNT('01_INPUT_COMPANIES'!$AA$44)=0),"",'01_INPUT_COMPANIES'!$AA$44)</x:f>
      </x:c>
      <x:c r="F384" s="42" t="n">
        <x:v>1</x:v>
      </x:c>
      <x:c r="G384" s="42" t="str">
        <x:f>IF(NOT(ISNUMBER(E384)),"",MAX(K384,MIN(L384,E384*F384)))</x:f>
      </x:c>
      <x:c r="H384" s="42" t="n">
        <x:v>4</x:v>
      </x:c>
      <x:c r="I384" s="42" t="str">
        <x:f>IF(COUNT(G384)=0,"",(COUNTIFS('93_REF_ANCHORS'!$A$7:$A$766,D384,'93_REF_ANCHORS'!$C$7:$C$766,"&lt;"&amp;G384)+COUNTIFS('93_REF_ANCHORS'!$A$7:$A$766,D384,'93_REF_ANCHORS'!$C$7:$C$766,"&lt;="&amp;G384)-1)/(2*(H384-1)))</x:f>
      </x:c>
      <x:c r="J384" s="34" t="str">
        <x:f>IF(B384="","",IF(COUNT(E384)=0,"MISSING",IF(NOT(ISNUMBER(E384)),"INVALID",IF(E384*F384&lt;K384,"WINSORIZED LOW",IF(E384*F384&gt;L384,"WINSORIZED HIGH","OK")))))</x:f>
      </x:c>
      <x:c r="K384" s="34" t="n">
        <x:v>0</x:v>
      </x:c>
      <x:c r="L384" s="34" t="n">
        <x:v>0.7587051325360435</x:v>
      </x:c>
      <x:c r="M384" s="34" t="n">
        <x:v>0.1111111111111111</x:v>
      </x:c>
      <x:c r="N384" s="34" t="str">
        <x:v>yes</x:v>
      </x:c>
    </x:row>
    <x:row r="385">
      <x:c r="A385" s="34" t="n">
        <x:v>38</x:v>
      </x:c>
      <x:c r="B385" s="34" t="str">
        <x:f>IF('01_INPUT_COMPANIES'!$A$44="","",'01_INPUT_COMPANIES'!$A$44)</x:f>
      </x:c>
      <x:c r="C385" s="34" t="str">
        <x:f>IF(B385="","",'01_INPUT_COMPANIES'!$B$44)</x:f>
      </x:c>
      <x:c r="D385" s="34" t="str">
        <x:v>foreign_dependency_ratio</x:v>
      </x:c>
      <x:c r="E385" s="42" t="str">
        <x:f>IF(OR(B385="",COUNT('01_INPUT_COMPANIES'!$AB$44)=0),"",'01_INPUT_COMPANIES'!$AB$44)</x:f>
      </x:c>
      <x:c r="F385" s="42" t="n">
        <x:v>1</x:v>
      </x:c>
      <x:c r="G385" s="42" t="str">
        <x:f>IF(NOT(ISNUMBER(E385)),"",MAX(K385,MIN(L385,E385*F385)))</x:f>
      </x:c>
      <x:c r="H385" s="42" t="n">
        <x:v>84</x:v>
      </x:c>
      <x:c r="I385" s="42" t="str">
        <x:f>IF(COUNT(G385)=0,"",(COUNTIFS('93_REF_ANCHORS'!$A$7:$A$766,D385,'93_REF_ANCHORS'!$C$7:$C$766,"&lt;"&amp;G385)+COUNTIFS('93_REF_ANCHORS'!$A$7:$A$766,D385,'93_REF_ANCHORS'!$C$7:$C$766,"&lt;="&amp;G385)-1)/(2*(H385-1)))</x:f>
      </x:c>
      <x:c r="J385" s="34" t="str">
        <x:f>IF(B385="","",IF(COUNT(E385)=0,"MISSING",IF(NOT(ISNUMBER(E385)),"INVALID",IF(E385*F385&lt;K385,"WINSORIZED LOW",IF(E385*F385&gt;L385,"WINSORIZED HIGH","OK")))))</x:f>
      </x:c>
      <x:c r="K385" s="34" t="n">
        <x:v>0.728196</x:v>
      </x:c>
      <x:c r="L385" s="34" t="n">
        <x:v>0.94</x:v>
      </x:c>
      <x:c r="M385" s="34" t="n">
        <x:v>0.1111111111111111</x:v>
      </x:c>
      <x:c r="N385" s="34" t="str">
        <x:v>yes</x:v>
      </x:c>
    </x:row>
    <x:row r="386">
      <x:c r="A386" s="34" t="n">
        <x:v>38</x:v>
      </x:c>
      <x:c r="B386" s="34" t="str">
        <x:f>IF('01_INPUT_COMPANIES'!$A$44="","",'01_INPUT_COMPANIES'!$A$44)</x:f>
      </x:c>
      <x:c r="C386" s="34" t="str">
        <x:f>IF(B386="","",'01_INPUT_COMPANIES'!$B$44)</x:f>
      </x:c>
      <x:c r="D386" s="34" t="str">
        <x:v>outflow_to_capex_ratio</x:v>
      </x:c>
      <x:c r="E386" s="42" t="str">
        <x:f>IF(OR(B386="",COUNT('01_INPUT_COMPANIES'!$AC$44)=0),"",'01_INPUT_COMPANIES'!$AC$44)</x:f>
      </x:c>
      <x:c r="F386" s="42" t="n">
        <x:v>1</x:v>
      </x:c>
      <x:c r="G386" s="42" t="str">
        <x:f>IF(NOT(ISNUMBER(E386)),"",MAX(K386,MIN(L386,E386*F386)))</x:f>
      </x:c>
      <x:c r="H386" s="42" t="n">
        <x:v>97</x:v>
      </x:c>
      <x:c r="I386" s="42" t="str">
        <x:f>IF(COUNT(G386)=0,"",(COUNTIFS('93_REF_ANCHORS'!$A$7:$A$766,D386,'93_REF_ANCHORS'!$C$7:$C$766,"&lt;"&amp;G386)+COUNTIFS('93_REF_ANCHORS'!$A$7:$A$766,D386,'93_REF_ANCHORS'!$C$7:$C$766,"&lt;="&amp;G386)-1)/(2*(H386-1)))</x:f>
      </x:c>
      <x:c r="J386" s="34" t="str">
        <x:f>IF(B386="","",IF(COUNT(E386)=0,"MISSING",IF(NOT(ISNUMBER(E386)),"INVALID",IF(E386*F386&lt;K386,"WINSORIZED LOW",IF(E386*F386&gt;L386,"WINSORIZED HIGH","OK")))))</x:f>
      </x:c>
      <x:c r="K386" s="34" t="n">
        <x:v>-123.5385890408</x:v>
      </x:c>
      <x:c r="L386" s="34" t="n">
        <x:v>974.1666666666999</x:v>
      </x:c>
      <x:c r="M386" s="34" t="n">
        <x:v>0.1111111111111111</x:v>
      </x:c>
      <x:c r="N386" s="34" t="str">
        <x:v>no</x:v>
      </x:c>
    </x:row>
    <x:row r="387">
      <x:c r="A387" s="34" t="n">
        <x:v>39</x:v>
      </x:c>
      <x:c r="B387" s="34" t="str">
        <x:f>IF('01_INPUT_COMPANIES'!$A$45="","",'01_INPUT_COMPANIES'!$A$45)</x:f>
      </x:c>
      <x:c r="C387" s="34" t="str">
        <x:f>IF(B387="","",'01_INPUT_COMPANIES'!$B$45)</x:f>
      </x:c>
      <x:c r="D387" s="34" t="str">
        <x:v>effective_tax_rate_gap</x:v>
      </x:c>
      <x:c r="E387" s="42" t="str">
        <x:f>IF(OR(B387="",COUNT('01_INPUT_COMPANIES'!$T$45)=0),"",'01_INPUT_COMPANIES'!$T$45)</x:f>
      </x:c>
      <x:c r="F387" s="42" t="n">
        <x:v>1</x:v>
      </x:c>
      <x:c r="G387" s="42" t="str">
        <x:f>IF(NOT(ISNUMBER(E387)),"",MAX(K387,MIN(L387,E387*F387)))</x:f>
      </x:c>
      <x:c r="H387" s="42" t="n">
        <x:v>74</x:v>
      </x:c>
      <x:c r="I387" s="42" t="str">
        <x:f>IF(COUNT(G387)=0,"",(COUNTIFS('93_REF_ANCHORS'!$A$7:$A$766,D387,'93_REF_ANCHORS'!$C$7:$C$766,"&lt;"&amp;G387)+COUNTIFS('93_REF_ANCHORS'!$A$7:$A$766,D387,'93_REF_ANCHORS'!$C$7:$C$766,"&lt;="&amp;G387)-1)/(2*(H387-1)))</x:f>
      </x:c>
      <x:c r="J387" s="34" t="str">
        <x:f>IF(B387="","",IF(COUNT(E387)=0,"MISSING",IF(NOT(ISNUMBER(E387)),"INVALID",IF(E387*F387&lt;K387,"WINSORIZED LOW",IF(E387*F387&gt;L387,"WINSORIZED HIGH","OK")))))</x:f>
      </x:c>
      <x:c r="K387" s="34" t="n">
        <x:v>-0.1416111014</x:v>
      </x:c>
      <x:c r="L387" s="34" t="n">
        <x:v>0.2683650488</x:v>
      </x:c>
      <x:c r="M387" s="34" t="n">
        <x:v>0.1111111111111111</x:v>
      </x:c>
      <x:c r="N387" s="34" t="str">
        <x:v>no</x:v>
      </x:c>
    </x:row>
    <x:row r="388">
      <x:c r="A388" s="34" t="n">
        <x:v>39</x:v>
      </x:c>
      <x:c r="B388" s="34" t="str">
        <x:f>IF('01_INPUT_COMPANIES'!$A$45="","",'01_INPUT_COMPANIES'!$A$45)</x:f>
      </x:c>
      <x:c r="C388" s="34" t="str">
        <x:f>IF(B388="","",'01_INPUT_COMPANIES'!$B$45)</x:f>
      </x:c>
      <x:c r="D388" s="34" t="str">
        <x:v>infra_dependency_ratio</x:v>
      </x:c>
      <x:c r="E388" s="42" t="str">
        <x:f>IF(OR(B388="",COUNT('01_INPUT_COMPANIES'!$U$45)=0),"",'01_INPUT_COMPANIES'!$U$45)</x:f>
      </x:c>
      <x:c r="F388" s="42" t="n">
        <x:v>1</x:v>
      </x:c>
      <x:c r="G388" s="42" t="str">
        <x:f>IF(NOT(ISNUMBER(E388)),"",MAX(K388,MIN(L388,E388*F388)))</x:f>
      </x:c>
      <x:c r="H388" s="42" t="n">
        <x:v>64</x:v>
      </x:c>
      <x:c r="I388" s="42" t="str">
        <x:f>IF(COUNT(G388)=0,"",(COUNTIFS('93_REF_ANCHORS'!$A$7:$A$766,D388,'93_REF_ANCHORS'!$C$7:$C$766,"&lt;"&amp;G388)+COUNTIFS('93_REF_ANCHORS'!$A$7:$A$766,D388,'93_REF_ANCHORS'!$C$7:$C$766,"&lt;="&amp;G388)-1)/(2*(H388-1)))</x:f>
      </x:c>
      <x:c r="J388" s="34" t="str">
        <x:f>IF(B388="","",IF(COUNT(E388)=0,"MISSING",IF(NOT(ISNUMBER(E388)),"INVALID",IF(E388*F388&lt;K388,"WINSORIZED LOW",IF(E388*F388&gt;L388,"WINSORIZED HIGH","OK")))))</x:f>
      </x:c>
      <x:c r="K388" s="34" t="n">
        <x:v>-0.10705024705171803</x:v>
      </x:c>
      <x:c r="L388" s="34" t="n">
        <x:v>0.8008753865408955</x:v>
      </x:c>
      <x:c r="M388" s="34" t="n">
        <x:v>0.1111111111111111</x:v>
      </x:c>
      <x:c r="N388" s="34" t="str">
        <x:v>no</x:v>
      </x:c>
    </x:row>
    <x:row r="389">
      <x:c r="A389" s="34" t="n">
        <x:v>39</x:v>
      </x:c>
      <x:c r="B389" s="34" t="str">
        <x:f>IF('01_INPUT_COMPANIES'!$A$45="","",'01_INPUT_COMPANIES'!$A$45)</x:f>
      </x:c>
      <x:c r="C389" s="34" t="str">
        <x:f>IF(B389="","",'01_INPUT_COMPANIES'!$B$45)</x:f>
      </x:c>
      <x:c r="D389" s="34" t="str">
        <x:v>network_cost_ratio</x:v>
      </x:c>
      <x:c r="E389" s="42" t="str">
        <x:f>IF(OR(B389="",COUNT('01_INPUT_COMPANIES'!$V$45)=0),"",'01_INPUT_COMPANIES'!$V$45)</x:f>
      </x:c>
      <x:c r="F389" s="42" t="n">
        <x:v>1</x:v>
      </x:c>
      <x:c r="G389" s="42" t="str">
        <x:f>IF(NOT(ISNUMBER(E389)),"",MAX(K389,MIN(L389,E389*F389)))</x:f>
      </x:c>
      <x:c r="H389" s="42" t="n">
        <x:v>97</x:v>
      </x:c>
      <x:c r="I389" s="42" t="str">
        <x:f>IF(COUNT(G389)=0,"",(COUNTIFS('93_REF_ANCHORS'!$A$7:$A$766,D389,'93_REF_ANCHORS'!$C$7:$C$766,"&lt;"&amp;G389)+COUNTIFS('93_REF_ANCHORS'!$A$7:$A$766,D389,'93_REF_ANCHORS'!$C$7:$C$766,"&lt;="&amp;G389)-1)/(2*(H389-1)))</x:f>
      </x:c>
      <x:c r="J389" s="34" t="str">
        <x:f>IF(B389="","",IF(COUNT(E389)=0,"MISSING",IF(NOT(ISNUMBER(E389)),"INVALID",IF(E389*F389&lt;K389,"WINSORIZED LOW",IF(E389*F389&gt;L389,"WINSORIZED HIGH","OK")))))</x:f>
      </x:c>
      <x:c r="K389" s="34" t="n">
        <x:v>-0.1395374353</x:v>
      </x:c>
      <x:c r="L389" s="34" t="n">
        <x:v>0.9274274845000001</x:v>
      </x:c>
      <x:c r="M389" s="34" t="n">
        <x:v>0.1111111111111111</x:v>
      </x:c>
      <x:c r="N389" s="34" t="str">
        <x:v>no</x:v>
      </x:c>
    </x:row>
    <x:row r="390">
      <x:c r="A390" s="34" t="n">
        <x:v>39</x:v>
      </x:c>
      <x:c r="B390" s="34" t="str">
        <x:f>IF('01_INPUT_COMPANIES'!$A$45="","",'01_INPUT_COMPANIES'!$A$45)</x:f>
      </x:c>
      <x:c r="C390" s="34" t="str">
        <x:f>IF(B390="","",'01_INPUT_COMPANIES'!$B$45)</x:f>
      </x:c>
      <x:c r="D390" s="34" t="str">
        <x:v>cashflow_recovery_ratio</x:v>
      </x:c>
      <x:c r="E390" s="42" t="str">
        <x:f>IF(OR(B390="",COUNT('01_INPUT_COMPANIES'!$W$45)=0),"",'01_INPUT_COMPANIES'!$W$45)</x:f>
      </x:c>
      <x:c r="F390" s="42" t="n">
        <x:v>-1</x:v>
      </x:c>
      <x:c r="G390" s="42" t="str">
        <x:f>IF(NOT(ISNUMBER(E390)),"",MAX(K390,MIN(L390,E390*F390)))</x:f>
      </x:c>
      <x:c r="H390" s="42" t="n">
        <x:v>95</x:v>
      </x:c>
      <x:c r="I390" s="42" t="str">
        <x:f>IF(COUNT(G390)=0,"",(COUNTIFS('93_REF_ANCHORS'!$A$7:$A$766,D390,'93_REF_ANCHORS'!$C$7:$C$766,"&lt;"&amp;G390)+COUNTIFS('93_REF_ANCHORS'!$A$7:$A$766,D390,'93_REF_ANCHORS'!$C$7:$C$766,"&lt;="&amp;G390)-1)/(2*(H390-1)))</x:f>
      </x:c>
      <x:c r="J390" s="34" t="str">
        <x:f>IF(B390="","",IF(COUNT(E390)=0,"MISSING",IF(NOT(ISNUMBER(E390)),"INVALID",IF(E390*F390&lt;K390,"WINSORIZED LOW",IF(E390*F390&gt;L390,"WINSORIZED HIGH","OK")))))</x:f>
      </x:c>
      <x:c r="K390" s="34" t="n">
        <x:v>-300.75</x:v>
      </x:c>
      <x:c r="L390" s="34" t="n">
        <x:v>42.6920305469</x:v>
      </x:c>
      <x:c r="M390" s="34" t="n">
        <x:v>0.08333333333333333</x:v>
      </x:c>
      <x:c r="N390" s="34" t="str">
        <x:v>no</x:v>
      </x:c>
    </x:row>
    <x:row r="391">
      <x:c r="A391" s="34" t="n">
        <x:v>39</x:v>
      </x:c>
      <x:c r="B391" s="34" t="str">
        <x:f>IF('01_INPUT_COMPANIES'!$A$45="","",'01_INPUT_COMPANIES'!$A$45)</x:f>
      </x:c>
      <x:c r="C391" s="34" t="str">
        <x:f>IF(B391="","",'01_INPUT_COMPANIES'!$B$45)</x:f>
      </x:c>
      <x:c r="D391" s="34" t="str">
        <x:v>funding_cost_spread</x:v>
      </x:c>
      <x:c r="E391" s="42" t="str">
        <x:f>IF(OR(B391="",COUNT('01_INPUT_COMPANIES'!$X$45)=0),"",'01_INPUT_COMPANIES'!$X$45)</x:f>
      </x:c>
      <x:c r="F391" s="42" t="n">
        <x:v>1</x:v>
      </x:c>
      <x:c r="G391" s="42" t="str">
        <x:f>IF(NOT(ISNUMBER(E391)),"",MAX(K391,MIN(L391,E391*F391)))</x:f>
      </x:c>
      <x:c r="H391" s="42" t="n">
        <x:v>58</x:v>
      </x:c>
      <x:c r="I391" s="42" t="str">
        <x:f>IF(COUNT(G391)=0,"",(COUNTIFS('93_REF_ANCHORS'!$A$7:$A$766,D391,'93_REF_ANCHORS'!$C$7:$C$766,"&lt;"&amp;G391)+COUNTIFS('93_REF_ANCHORS'!$A$7:$A$766,D391,'93_REF_ANCHORS'!$C$7:$C$766,"&lt;="&amp;G391)-1)/(2*(H391-1)))</x:f>
      </x:c>
      <x:c r="J391" s="34" t="str">
        <x:f>IF(B391="","",IF(COUNT(E391)=0,"MISSING",IF(NOT(ISNUMBER(E391)),"INVALID",IF(E391*F391&lt;K391,"WINSORIZED LOW",IF(E391*F391&gt;L391,"WINSORIZED HIGH","OK")))))</x:f>
      </x:c>
      <x:c r="K391" s="34" t="n">
        <x:v>-0.4430292903</x:v>
      </x:c>
      <x:c r="L391" s="34" t="n">
        <x:v>0.5068913103</x:v>
      </x:c>
      <x:c r="M391" s="34" t="n">
        <x:v>0.08333333333333333</x:v>
      </x:c>
      <x:c r="N391" s="34" t="str">
        <x:v>no</x:v>
      </x:c>
    </x:row>
    <x:row r="392">
      <x:c r="A392" s="34" t="n">
        <x:v>39</x:v>
      </x:c>
      <x:c r="B392" s="34" t="str">
        <x:f>IF('01_INPUT_COMPANIES'!$A$45="","",'01_INPUT_COMPANIES'!$A$45)</x:f>
      </x:c>
      <x:c r="C392" s="34" t="str">
        <x:f>IF(B392="","",'01_INPUT_COMPANIES'!$B$45)</x:f>
      </x:c>
      <x:c r="D392" s="34" t="str">
        <x:v>investment_recovery_ratio</x:v>
      </x:c>
      <x:c r="E392" s="42" t="str">
        <x:f>IF(OR(B392="",COUNT('01_INPUT_COMPANIES'!$Y$45)=0),"",'01_INPUT_COMPANIES'!$Y$45)</x:f>
      </x:c>
      <x:c r="F392" s="42" t="n">
        <x:v>-1</x:v>
      </x:c>
      <x:c r="G392" s="42" t="str">
        <x:f>IF(NOT(ISNUMBER(E392)),"",MAX(K392,MIN(L392,E392*F392)))</x:f>
      </x:c>
      <x:c r="H392" s="42" t="n">
        <x:v>95</x:v>
      </x:c>
      <x:c r="I392" s="42" t="str">
        <x:f>IF(COUNT(G392)=0,"",(COUNTIFS('93_REF_ANCHORS'!$A$7:$A$766,D392,'93_REF_ANCHORS'!$C$7:$C$766,"&lt;"&amp;G392)+COUNTIFS('93_REF_ANCHORS'!$A$7:$A$766,D392,'93_REF_ANCHORS'!$C$7:$C$766,"&lt;="&amp;G392)-1)/(2*(H392-1)))</x:f>
      </x:c>
      <x:c r="J392" s="34" t="str">
        <x:f>IF(B392="","",IF(COUNT(E392)=0,"MISSING",IF(NOT(ISNUMBER(E392)),"INVALID",IF(E392*F392&lt;K392,"WINSORIZED LOW",IF(E392*F392&gt;L392,"WINSORIZED HIGH","OK")))))</x:f>
      </x:c>
      <x:c r="K392" s="34" t="n">
        <x:v>-3163.7500000000014</x:v>
      </x:c>
      <x:c r="L392" s="34" t="n">
        <x:v>189.68191301719997</x:v>
      </x:c>
      <x:c r="M392" s="34" t="n">
        <x:v>0.08333333333333333</x:v>
      </x:c>
      <x:c r="N392" s="34" t="str">
        <x:v>no</x:v>
      </x:c>
    </x:row>
    <x:row r="393">
      <x:c r="A393" s="34" t="n">
        <x:v>39</x:v>
      </x:c>
      <x:c r="B393" s="34" t="str">
        <x:f>IF('01_INPUT_COMPANIES'!$A$45="","",'01_INPUT_COMPANIES'!$A$45)</x:f>
      </x:c>
      <x:c r="C393" s="34" t="str">
        <x:f>IF(B393="","",'01_INPUT_COMPANIES'!$B$45)</x:f>
      </x:c>
      <x:c r="D393" s="34" t="str">
        <x:v>ip_assetization_gap</x:v>
      </x:c>
      <x:c r="E393" s="42" t="str">
        <x:f>IF(OR(B393="",COUNT('01_INPUT_COMPANIES'!$Z$45)=0),"",'01_INPUT_COMPANIES'!$Z$45)</x:f>
      </x:c>
      <x:c r="F393" s="42" t="n">
        <x:v>1</x:v>
      </x:c>
      <x:c r="G393" s="42" t="str">
        <x:f>IF(NOT(ISNUMBER(E393)),"",MAX(K393,MIN(L393,E393*F393)))</x:f>
      </x:c>
      <x:c r="H393" s="42" t="n">
        <x:v>92</x:v>
      </x:c>
      <x:c r="I393" s="42" t="str">
        <x:f>IF(COUNT(G393)=0,"",(COUNTIFS('93_REF_ANCHORS'!$A$7:$A$766,D393,'93_REF_ANCHORS'!$C$7:$C$766,"&lt;"&amp;G393)+COUNTIFS('93_REF_ANCHORS'!$A$7:$A$766,D393,'93_REF_ANCHORS'!$C$7:$C$766,"&lt;="&amp;G393)-1)/(2*(H393-1)))</x:f>
      </x:c>
      <x:c r="J393" s="34" t="str">
        <x:f>IF(B393="","",IF(COUNT(E393)=0,"MISSING",IF(NOT(ISNUMBER(E393)),"INVALID",IF(E393*F393&lt;K393,"WINSORIZED LOW",IF(E393*F393&gt;L393,"WINSORIZED HIGH","OK")))))</x:f>
      </x:c>
      <x:c r="K393" s="34" t="n">
        <x:v>-1.6707152386</x:v>
      </x:c>
      <x:c r="L393" s="34" t="n">
        <x:v>0.7716332556000001</x:v>
      </x:c>
      <x:c r="M393" s="34" t="n">
        <x:v>0.08333333333333333</x:v>
      </x:c>
      <x:c r="N393" s="34" t="str">
        <x:v>no</x:v>
      </x:c>
    </x:row>
    <x:row r="394">
      <x:c r="A394" s="34" t="n">
        <x:v>39</x:v>
      </x:c>
      <x:c r="B394" s="34" t="str">
        <x:f>IF('01_INPUT_COMPANIES'!$A$45="","",'01_INPUT_COMPANIES'!$A$45)</x:f>
      </x:c>
      <x:c r="C394" s="34" t="str">
        <x:f>IF(B394="","",'01_INPUT_COMPANIES'!$B$45)</x:f>
      </x:c>
      <x:c r="D394" s="34" t="str">
        <x:v>cross_market_transfer_index</x:v>
      </x:c>
      <x:c r="E394" s="42" t="str">
        <x:f>IF(OR(B394="",COUNT('01_INPUT_COMPANIES'!$AA$45)=0),"",'01_INPUT_COMPANIES'!$AA$45)</x:f>
      </x:c>
      <x:c r="F394" s="42" t="n">
        <x:v>1</x:v>
      </x:c>
      <x:c r="G394" s="42" t="str">
        <x:f>IF(NOT(ISNUMBER(E394)),"",MAX(K394,MIN(L394,E394*F394)))</x:f>
      </x:c>
      <x:c r="H394" s="42" t="n">
        <x:v>4</x:v>
      </x:c>
      <x:c r="I394" s="42" t="str">
        <x:f>IF(COUNT(G394)=0,"",(COUNTIFS('93_REF_ANCHORS'!$A$7:$A$766,D394,'93_REF_ANCHORS'!$C$7:$C$766,"&lt;"&amp;G394)+COUNTIFS('93_REF_ANCHORS'!$A$7:$A$766,D394,'93_REF_ANCHORS'!$C$7:$C$766,"&lt;="&amp;G394)-1)/(2*(H394-1)))</x:f>
      </x:c>
      <x:c r="J394" s="34" t="str">
        <x:f>IF(B394="","",IF(COUNT(E394)=0,"MISSING",IF(NOT(ISNUMBER(E394)),"INVALID",IF(E394*F394&lt;K394,"WINSORIZED LOW",IF(E394*F394&gt;L394,"WINSORIZED HIGH","OK")))))</x:f>
      </x:c>
      <x:c r="K394" s="34" t="n">
        <x:v>0</x:v>
      </x:c>
      <x:c r="L394" s="34" t="n">
        <x:v>0.7587051325360435</x:v>
      </x:c>
      <x:c r="M394" s="34" t="n">
        <x:v>0.1111111111111111</x:v>
      </x:c>
      <x:c r="N394" s="34" t="str">
        <x:v>yes</x:v>
      </x:c>
    </x:row>
    <x:row r="395">
      <x:c r="A395" s="34" t="n">
        <x:v>39</x:v>
      </x:c>
      <x:c r="B395" s="34" t="str">
        <x:f>IF('01_INPUT_COMPANIES'!$A$45="","",'01_INPUT_COMPANIES'!$A$45)</x:f>
      </x:c>
      <x:c r="C395" s="34" t="str">
        <x:f>IF(B395="","",'01_INPUT_COMPANIES'!$B$45)</x:f>
      </x:c>
      <x:c r="D395" s="34" t="str">
        <x:v>foreign_dependency_ratio</x:v>
      </x:c>
      <x:c r="E395" s="42" t="str">
        <x:f>IF(OR(B395="",COUNT('01_INPUT_COMPANIES'!$AB$45)=0),"",'01_INPUT_COMPANIES'!$AB$45)</x:f>
      </x:c>
      <x:c r="F395" s="42" t="n">
        <x:v>1</x:v>
      </x:c>
      <x:c r="G395" s="42" t="str">
        <x:f>IF(NOT(ISNUMBER(E395)),"",MAX(K395,MIN(L395,E395*F395)))</x:f>
      </x:c>
      <x:c r="H395" s="42" t="n">
        <x:v>84</x:v>
      </x:c>
      <x:c r="I395" s="42" t="str">
        <x:f>IF(COUNT(G395)=0,"",(COUNTIFS('93_REF_ANCHORS'!$A$7:$A$766,D395,'93_REF_ANCHORS'!$C$7:$C$766,"&lt;"&amp;G395)+COUNTIFS('93_REF_ANCHORS'!$A$7:$A$766,D395,'93_REF_ANCHORS'!$C$7:$C$766,"&lt;="&amp;G395)-1)/(2*(H395-1)))</x:f>
      </x:c>
      <x:c r="J395" s="34" t="str">
        <x:f>IF(B395="","",IF(COUNT(E395)=0,"MISSING",IF(NOT(ISNUMBER(E395)),"INVALID",IF(E395*F395&lt;K395,"WINSORIZED LOW",IF(E395*F395&gt;L395,"WINSORIZED HIGH","OK")))))</x:f>
      </x:c>
      <x:c r="K395" s="34" t="n">
        <x:v>0.728196</x:v>
      </x:c>
      <x:c r="L395" s="34" t="n">
        <x:v>0.94</x:v>
      </x:c>
      <x:c r="M395" s="34" t="n">
        <x:v>0.1111111111111111</x:v>
      </x:c>
      <x:c r="N395" s="34" t="str">
        <x:v>yes</x:v>
      </x:c>
    </x:row>
    <x:row r="396">
      <x:c r="A396" s="34" t="n">
        <x:v>39</x:v>
      </x:c>
      <x:c r="B396" s="34" t="str">
        <x:f>IF('01_INPUT_COMPANIES'!$A$45="","",'01_INPUT_COMPANIES'!$A$45)</x:f>
      </x:c>
      <x:c r="C396" s="34" t="str">
        <x:f>IF(B396="","",'01_INPUT_COMPANIES'!$B$45)</x:f>
      </x:c>
      <x:c r="D396" s="34" t="str">
        <x:v>outflow_to_capex_ratio</x:v>
      </x:c>
      <x:c r="E396" s="42" t="str">
        <x:f>IF(OR(B396="",COUNT('01_INPUT_COMPANIES'!$AC$45)=0),"",'01_INPUT_COMPANIES'!$AC$45)</x:f>
      </x:c>
      <x:c r="F396" s="42" t="n">
        <x:v>1</x:v>
      </x:c>
      <x:c r="G396" s="42" t="str">
        <x:f>IF(NOT(ISNUMBER(E396)),"",MAX(K396,MIN(L396,E396*F396)))</x:f>
      </x:c>
      <x:c r="H396" s="42" t="n">
        <x:v>97</x:v>
      </x:c>
      <x:c r="I396" s="42" t="str">
        <x:f>IF(COUNT(G396)=0,"",(COUNTIFS('93_REF_ANCHORS'!$A$7:$A$766,D396,'93_REF_ANCHORS'!$C$7:$C$766,"&lt;"&amp;G396)+COUNTIFS('93_REF_ANCHORS'!$A$7:$A$766,D396,'93_REF_ANCHORS'!$C$7:$C$766,"&lt;="&amp;G396)-1)/(2*(H396-1)))</x:f>
      </x:c>
      <x:c r="J396" s="34" t="str">
        <x:f>IF(B396="","",IF(COUNT(E396)=0,"MISSING",IF(NOT(ISNUMBER(E396)),"INVALID",IF(E396*F396&lt;K396,"WINSORIZED LOW",IF(E396*F396&gt;L396,"WINSORIZED HIGH","OK")))))</x:f>
      </x:c>
      <x:c r="K396" s="34" t="n">
        <x:v>-123.5385890408</x:v>
      </x:c>
      <x:c r="L396" s="34" t="n">
        <x:v>974.1666666666999</x:v>
      </x:c>
      <x:c r="M396" s="34" t="n">
        <x:v>0.1111111111111111</x:v>
      </x:c>
      <x:c r="N396" s="34" t="str">
        <x:v>no</x:v>
      </x:c>
    </x:row>
    <x:row r="397">
      <x:c r="A397" s="34" t="n">
        <x:v>40</x:v>
      </x:c>
      <x:c r="B397" s="34" t="str">
        <x:f>IF('01_INPUT_COMPANIES'!$A$46="","",'01_INPUT_COMPANIES'!$A$46)</x:f>
      </x:c>
      <x:c r="C397" s="34" t="str">
        <x:f>IF(B397="","",'01_INPUT_COMPANIES'!$B$46)</x:f>
      </x:c>
      <x:c r="D397" s="34" t="str">
        <x:v>effective_tax_rate_gap</x:v>
      </x:c>
      <x:c r="E397" s="42" t="str">
        <x:f>IF(OR(B397="",COUNT('01_INPUT_COMPANIES'!$T$46)=0),"",'01_INPUT_COMPANIES'!$T$46)</x:f>
      </x:c>
      <x:c r="F397" s="42" t="n">
        <x:v>1</x:v>
      </x:c>
      <x:c r="G397" s="42" t="str">
        <x:f>IF(NOT(ISNUMBER(E397)),"",MAX(K397,MIN(L397,E397*F397)))</x:f>
      </x:c>
      <x:c r="H397" s="42" t="n">
        <x:v>74</x:v>
      </x:c>
      <x:c r="I397" s="42" t="str">
        <x:f>IF(COUNT(G397)=0,"",(COUNTIFS('93_REF_ANCHORS'!$A$7:$A$766,D397,'93_REF_ANCHORS'!$C$7:$C$766,"&lt;"&amp;G397)+COUNTIFS('93_REF_ANCHORS'!$A$7:$A$766,D397,'93_REF_ANCHORS'!$C$7:$C$766,"&lt;="&amp;G397)-1)/(2*(H397-1)))</x:f>
      </x:c>
      <x:c r="J397" s="34" t="str">
        <x:f>IF(B397="","",IF(COUNT(E397)=0,"MISSING",IF(NOT(ISNUMBER(E397)),"INVALID",IF(E397*F397&lt;K397,"WINSORIZED LOW",IF(E397*F397&gt;L397,"WINSORIZED HIGH","OK")))))</x:f>
      </x:c>
      <x:c r="K397" s="34" t="n">
        <x:v>-0.1416111014</x:v>
      </x:c>
      <x:c r="L397" s="34" t="n">
        <x:v>0.2683650488</x:v>
      </x:c>
      <x:c r="M397" s="34" t="n">
        <x:v>0.1111111111111111</x:v>
      </x:c>
      <x:c r="N397" s="34" t="str">
        <x:v>no</x:v>
      </x:c>
    </x:row>
    <x:row r="398">
      <x:c r="A398" s="34" t="n">
        <x:v>40</x:v>
      </x:c>
      <x:c r="B398" s="34" t="str">
        <x:f>IF('01_INPUT_COMPANIES'!$A$46="","",'01_INPUT_COMPANIES'!$A$46)</x:f>
      </x:c>
      <x:c r="C398" s="34" t="str">
        <x:f>IF(B398="","",'01_INPUT_COMPANIES'!$B$46)</x:f>
      </x:c>
      <x:c r="D398" s="34" t="str">
        <x:v>infra_dependency_ratio</x:v>
      </x:c>
      <x:c r="E398" s="42" t="str">
        <x:f>IF(OR(B398="",COUNT('01_INPUT_COMPANIES'!$U$46)=0),"",'01_INPUT_COMPANIES'!$U$46)</x:f>
      </x:c>
      <x:c r="F398" s="42" t="n">
        <x:v>1</x:v>
      </x:c>
      <x:c r="G398" s="42" t="str">
        <x:f>IF(NOT(ISNUMBER(E398)),"",MAX(K398,MIN(L398,E398*F398)))</x:f>
      </x:c>
      <x:c r="H398" s="42" t="n">
        <x:v>64</x:v>
      </x:c>
      <x:c r="I398" s="42" t="str">
        <x:f>IF(COUNT(G398)=0,"",(COUNTIFS('93_REF_ANCHORS'!$A$7:$A$766,D398,'93_REF_ANCHORS'!$C$7:$C$766,"&lt;"&amp;G398)+COUNTIFS('93_REF_ANCHORS'!$A$7:$A$766,D398,'93_REF_ANCHORS'!$C$7:$C$766,"&lt;="&amp;G398)-1)/(2*(H398-1)))</x:f>
      </x:c>
      <x:c r="J398" s="34" t="str">
        <x:f>IF(B398="","",IF(COUNT(E398)=0,"MISSING",IF(NOT(ISNUMBER(E398)),"INVALID",IF(E398*F398&lt;K398,"WINSORIZED LOW",IF(E398*F398&gt;L398,"WINSORIZED HIGH","OK")))))</x:f>
      </x:c>
      <x:c r="K398" s="34" t="n">
        <x:v>-0.10705024705171803</x:v>
      </x:c>
      <x:c r="L398" s="34" t="n">
        <x:v>0.8008753865408955</x:v>
      </x:c>
      <x:c r="M398" s="34" t="n">
        <x:v>0.1111111111111111</x:v>
      </x:c>
      <x:c r="N398" s="34" t="str">
        <x:v>no</x:v>
      </x:c>
    </x:row>
    <x:row r="399">
      <x:c r="A399" s="34" t="n">
        <x:v>40</x:v>
      </x:c>
      <x:c r="B399" s="34" t="str">
        <x:f>IF('01_INPUT_COMPANIES'!$A$46="","",'01_INPUT_COMPANIES'!$A$46)</x:f>
      </x:c>
      <x:c r="C399" s="34" t="str">
        <x:f>IF(B399="","",'01_INPUT_COMPANIES'!$B$46)</x:f>
      </x:c>
      <x:c r="D399" s="34" t="str">
        <x:v>network_cost_ratio</x:v>
      </x:c>
      <x:c r="E399" s="42" t="str">
        <x:f>IF(OR(B399="",COUNT('01_INPUT_COMPANIES'!$V$46)=0),"",'01_INPUT_COMPANIES'!$V$46)</x:f>
      </x:c>
      <x:c r="F399" s="42" t="n">
        <x:v>1</x:v>
      </x:c>
      <x:c r="G399" s="42" t="str">
        <x:f>IF(NOT(ISNUMBER(E399)),"",MAX(K399,MIN(L399,E399*F399)))</x:f>
      </x:c>
      <x:c r="H399" s="42" t="n">
        <x:v>97</x:v>
      </x:c>
      <x:c r="I399" s="42" t="str">
        <x:f>IF(COUNT(G399)=0,"",(COUNTIFS('93_REF_ANCHORS'!$A$7:$A$766,D399,'93_REF_ANCHORS'!$C$7:$C$766,"&lt;"&amp;G399)+COUNTIFS('93_REF_ANCHORS'!$A$7:$A$766,D399,'93_REF_ANCHORS'!$C$7:$C$766,"&lt;="&amp;G399)-1)/(2*(H399-1)))</x:f>
      </x:c>
      <x:c r="J399" s="34" t="str">
        <x:f>IF(B399="","",IF(COUNT(E399)=0,"MISSING",IF(NOT(ISNUMBER(E399)),"INVALID",IF(E399*F399&lt;K399,"WINSORIZED LOW",IF(E399*F399&gt;L399,"WINSORIZED HIGH","OK")))))</x:f>
      </x:c>
      <x:c r="K399" s="34" t="n">
        <x:v>-0.1395374353</x:v>
      </x:c>
      <x:c r="L399" s="34" t="n">
        <x:v>0.9274274845000001</x:v>
      </x:c>
      <x:c r="M399" s="34" t="n">
        <x:v>0.1111111111111111</x:v>
      </x:c>
      <x:c r="N399" s="34" t="str">
        <x:v>no</x:v>
      </x:c>
    </x:row>
    <x:row r="400">
      <x:c r="A400" s="34" t="n">
        <x:v>40</x:v>
      </x:c>
      <x:c r="B400" s="34" t="str">
        <x:f>IF('01_INPUT_COMPANIES'!$A$46="","",'01_INPUT_COMPANIES'!$A$46)</x:f>
      </x:c>
      <x:c r="C400" s="34" t="str">
        <x:f>IF(B400="","",'01_INPUT_COMPANIES'!$B$46)</x:f>
      </x:c>
      <x:c r="D400" s="34" t="str">
        <x:v>cashflow_recovery_ratio</x:v>
      </x:c>
      <x:c r="E400" s="42" t="str">
        <x:f>IF(OR(B400="",COUNT('01_INPUT_COMPANIES'!$W$46)=0),"",'01_INPUT_COMPANIES'!$W$46)</x:f>
      </x:c>
      <x:c r="F400" s="42" t="n">
        <x:v>-1</x:v>
      </x:c>
      <x:c r="G400" s="42" t="str">
        <x:f>IF(NOT(ISNUMBER(E400)),"",MAX(K400,MIN(L400,E400*F400)))</x:f>
      </x:c>
      <x:c r="H400" s="42" t="n">
        <x:v>95</x:v>
      </x:c>
      <x:c r="I400" s="42" t="str">
        <x:f>IF(COUNT(G400)=0,"",(COUNTIFS('93_REF_ANCHORS'!$A$7:$A$766,D400,'93_REF_ANCHORS'!$C$7:$C$766,"&lt;"&amp;G400)+COUNTIFS('93_REF_ANCHORS'!$A$7:$A$766,D400,'93_REF_ANCHORS'!$C$7:$C$766,"&lt;="&amp;G400)-1)/(2*(H400-1)))</x:f>
      </x:c>
      <x:c r="J400" s="34" t="str">
        <x:f>IF(B400="","",IF(COUNT(E400)=0,"MISSING",IF(NOT(ISNUMBER(E400)),"INVALID",IF(E400*F400&lt;K400,"WINSORIZED LOW",IF(E400*F400&gt;L400,"WINSORIZED HIGH","OK")))))</x:f>
      </x:c>
      <x:c r="K400" s="34" t="n">
        <x:v>-300.75</x:v>
      </x:c>
      <x:c r="L400" s="34" t="n">
        <x:v>42.6920305469</x:v>
      </x:c>
      <x:c r="M400" s="34" t="n">
        <x:v>0.08333333333333333</x:v>
      </x:c>
      <x:c r="N400" s="34" t="str">
        <x:v>no</x:v>
      </x:c>
    </x:row>
    <x:row r="401">
      <x:c r="A401" s="34" t="n">
        <x:v>40</x:v>
      </x:c>
      <x:c r="B401" s="34" t="str">
        <x:f>IF('01_INPUT_COMPANIES'!$A$46="","",'01_INPUT_COMPANIES'!$A$46)</x:f>
      </x:c>
      <x:c r="C401" s="34" t="str">
        <x:f>IF(B401="","",'01_INPUT_COMPANIES'!$B$46)</x:f>
      </x:c>
      <x:c r="D401" s="34" t="str">
        <x:v>funding_cost_spread</x:v>
      </x:c>
      <x:c r="E401" s="42" t="str">
        <x:f>IF(OR(B401="",COUNT('01_INPUT_COMPANIES'!$X$46)=0),"",'01_INPUT_COMPANIES'!$X$46)</x:f>
      </x:c>
      <x:c r="F401" s="42" t="n">
        <x:v>1</x:v>
      </x:c>
      <x:c r="G401" s="42" t="str">
        <x:f>IF(NOT(ISNUMBER(E401)),"",MAX(K401,MIN(L401,E401*F401)))</x:f>
      </x:c>
      <x:c r="H401" s="42" t="n">
        <x:v>58</x:v>
      </x:c>
      <x:c r="I401" s="42" t="str">
        <x:f>IF(COUNT(G401)=0,"",(COUNTIFS('93_REF_ANCHORS'!$A$7:$A$766,D401,'93_REF_ANCHORS'!$C$7:$C$766,"&lt;"&amp;G401)+COUNTIFS('93_REF_ANCHORS'!$A$7:$A$766,D401,'93_REF_ANCHORS'!$C$7:$C$766,"&lt;="&amp;G401)-1)/(2*(H401-1)))</x:f>
      </x:c>
      <x:c r="J401" s="34" t="str">
        <x:f>IF(B401="","",IF(COUNT(E401)=0,"MISSING",IF(NOT(ISNUMBER(E401)),"INVALID",IF(E401*F401&lt;K401,"WINSORIZED LOW",IF(E401*F401&gt;L401,"WINSORIZED HIGH","OK")))))</x:f>
      </x:c>
      <x:c r="K401" s="34" t="n">
        <x:v>-0.4430292903</x:v>
      </x:c>
      <x:c r="L401" s="34" t="n">
        <x:v>0.5068913103</x:v>
      </x:c>
      <x:c r="M401" s="34" t="n">
        <x:v>0.08333333333333333</x:v>
      </x:c>
      <x:c r="N401" s="34" t="str">
        <x:v>no</x:v>
      </x:c>
    </x:row>
    <x:row r="402">
      <x:c r="A402" s="34" t="n">
        <x:v>40</x:v>
      </x:c>
      <x:c r="B402" s="34" t="str">
        <x:f>IF('01_INPUT_COMPANIES'!$A$46="","",'01_INPUT_COMPANIES'!$A$46)</x:f>
      </x:c>
      <x:c r="C402" s="34" t="str">
        <x:f>IF(B402="","",'01_INPUT_COMPANIES'!$B$46)</x:f>
      </x:c>
      <x:c r="D402" s="34" t="str">
        <x:v>investment_recovery_ratio</x:v>
      </x:c>
      <x:c r="E402" s="42" t="str">
        <x:f>IF(OR(B402="",COUNT('01_INPUT_COMPANIES'!$Y$46)=0),"",'01_INPUT_COMPANIES'!$Y$46)</x:f>
      </x:c>
      <x:c r="F402" s="42" t="n">
        <x:v>-1</x:v>
      </x:c>
      <x:c r="G402" s="42" t="str">
        <x:f>IF(NOT(ISNUMBER(E402)),"",MAX(K402,MIN(L402,E402*F402)))</x:f>
      </x:c>
      <x:c r="H402" s="42" t="n">
        <x:v>95</x:v>
      </x:c>
      <x:c r="I402" s="42" t="str">
        <x:f>IF(COUNT(G402)=0,"",(COUNTIFS('93_REF_ANCHORS'!$A$7:$A$766,D402,'93_REF_ANCHORS'!$C$7:$C$766,"&lt;"&amp;G402)+COUNTIFS('93_REF_ANCHORS'!$A$7:$A$766,D402,'93_REF_ANCHORS'!$C$7:$C$766,"&lt;="&amp;G402)-1)/(2*(H402-1)))</x:f>
      </x:c>
      <x:c r="J402" s="34" t="str">
        <x:f>IF(B402="","",IF(COUNT(E402)=0,"MISSING",IF(NOT(ISNUMBER(E402)),"INVALID",IF(E402*F402&lt;K402,"WINSORIZED LOW",IF(E402*F402&gt;L402,"WINSORIZED HIGH","OK")))))</x:f>
      </x:c>
      <x:c r="K402" s="34" t="n">
        <x:v>-3163.7500000000014</x:v>
      </x:c>
      <x:c r="L402" s="34" t="n">
        <x:v>189.68191301719997</x:v>
      </x:c>
      <x:c r="M402" s="34" t="n">
        <x:v>0.08333333333333333</x:v>
      </x:c>
      <x:c r="N402" s="34" t="str">
        <x:v>no</x:v>
      </x:c>
    </x:row>
    <x:row r="403">
      <x:c r="A403" s="34" t="n">
        <x:v>40</x:v>
      </x:c>
      <x:c r="B403" s="34" t="str">
        <x:f>IF('01_INPUT_COMPANIES'!$A$46="","",'01_INPUT_COMPANIES'!$A$46)</x:f>
      </x:c>
      <x:c r="C403" s="34" t="str">
        <x:f>IF(B403="","",'01_INPUT_COMPANIES'!$B$46)</x:f>
      </x:c>
      <x:c r="D403" s="34" t="str">
        <x:v>ip_assetization_gap</x:v>
      </x:c>
      <x:c r="E403" s="42" t="str">
        <x:f>IF(OR(B403="",COUNT('01_INPUT_COMPANIES'!$Z$46)=0),"",'01_INPUT_COMPANIES'!$Z$46)</x:f>
      </x:c>
      <x:c r="F403" s="42" t="n">
        <x:v>1</x:v>
      </x:c>
      <x:c r="G403" s="42" t="str">
        <x:f>IF(NOT(ISNUMBER(E403)),"",MAX(K403,MIN(L403,E403*F403)))</x:f>
      </x:c>
      <x:c r="H403" s="42" t="n">
        <x:v>92</x:v>
      </x:c>
      <x:c r="I403" s="42" t="str">
        <x:f>IF(COUNT(G403)=0,"",(COUNTIFS('93_REF_ANCHORS'!$A$7:$A$766,D403,'93_REF_ANCHORS'!$C$7:$C$766,"&lt;"&amp;G403)+COUNTIFS('93_REF_ANCHORS'!$A$7:$A$766,D403,'93_REF_ANCHORS'!$C$7:$C$766,"&lt;="&amp;G403)-1)/(2*(H403-1)))</x:f>
      </x:c>
      <x:c r="J403" s="34" t="str">
        <x:f>IF(B403="","",IF(COUNT(E403)=0,"MISSING",IF(NOT(ISNUMBER(E403)),"INVALID",IF(E403*F403&lt;K403,"WINSORIZED LOW",IF(E403*F403&gt;L403,"WINSORIZED HIGH","OK")))))</x:f>
      </x:c>
      <x:c r="K403" s="34" t="n">
        <x:v>-1.6707152386</x:v>
      </x:c>
      <x:c r="L403" s="34" t="n">
        <x:v>0.7716332556000001</x:v>
      </x:c>
      <x:c r="M403" s="34" t="n">
        <x:v>0.08333333333333333</x:v>
      </x:c>
      <x:c r="N403" s="34" t="str">
        <x:v>no</x:v>
      </x:c>
    </x:row>
    <x:row r="404">
      <x:c r="A404" s="34" t="n">
        <x:v>40</x:v>
      </x:c>
      <x:c r="B404" s="34" t="str">
        <x:f>IF('01_INPUT_COMPANIES'!$A$46="","",'01_INPUT_COMPANIES'!$A$46)</x:f>
      </x:c>
      <x:c r="C404" s="34" t="str">
        <x:f>IF(B404="","",'01_INPUT_COMPANIES'!$B$46)</x:f>
      </x:c>
      <x:c r="D404" s="34" t="str">
        <x:v>cross_market_transfer_index</x:v>
      </x:c>
      <x:c r="E404" s="42" t="str">
        <x:f>IF(OR(B404="",COUNT('01_INPUT_COMPANIES'!$AA$46)=0),"",'01_INPUT_COMPANIES'!$AA$46)</x:f>
      </x:c>
      <x:c r="F404" s="42" t="n">
        <x:v>1</x:v>
      </x:c>
      <x:c r="G404" s="42" t="str">
        <x:f>IF(NOT(ISNUMBER(E404)),"",MAX(K404,MIN(L404,E404*F404)))</x:f>
      </x:c>
      <x:c r="H404" s="42" t="n">
        <x:v>4</x:v>
      </x:c>
      <x:c r="I404" s="42" t="str">
        <x:f>IF(COUNT(G404)=0,"",(COUNTIFS('93_REF_ANCHORS'!$A$7:$A$766,D404,'93_REF_ANCHORS'!$C$7:$C$766,"&lt;"&amp;G404)+COUNTIFS('93_REF_ANCHORS'!$A$7:$A$766,D404,'93_REF_ANCHORS'!$C$7:$C$766,"&lt;="&amp;G404)-1)/(2*(H404-1)))</x:f>
      </x:c>
      <x:c r="J404" s="34" t="str">
        <x:f>IF(B404="","",IF(COUNT(E404)=0,"MISSING",IF(NOT(ISNUMBER(E404)),"INVALID",IF(E404*F404&lt;K404,"WINSORIZED LOW",IF(E404*F404&gt;L404,"WINSORIZED HIGH","OK")))))</x:f>
      </x:c>
      <x:c r="K404" s="34" t="n">
        <x:v>0</x:v>
      </x:c>
      <x:c r="L404" s="34" t="n">
        <x:v>0.7587051325360435</x:v>
      </x:c>
      <x:c r="M404" s="34" t="n">
        <x:v>0.1111111111111111</x:v>
      </x:c>
      <x:c r="N404" s="34" t="str">
        <x:v>yes</x:v>
      </x:c>
    </x:row>
    <x:row r="405">
      <x:c r="A405" s="34" t="n">
        <x:v>40</x:v>
      </x:c>
      <x:c r="B405" s="34" t="str">
        <x:f>IF('01_INPUT_COMPANIES'!$A$46="","",'01_INPUT_COMPANIES'!$A$46)</x:f>
      </x:c>
      <x:c r="C405" s="34" t="str">
        <x:f>IF(B405="","",'01_INPUT_COMPANIES'!$B$46)</x:f>
      </x:c>
      <x:c r="D405" s="34" t="str">
        <x:v>foreign_dependency_ratio</x:v>
      </x:c>
      <x:c r="E405" s="42" t="str">
        <x:f>IF(OR(B405="",COUNT('01_INPUT_COMPANIES'!$AB$46)=0),"",'01_INPUT_COMPANIES'!$AB$46)</x:f>
      </x:c>
      <x:c r="F405" s="42" t="n">
        <x:v>1</x:v>
      </x:c>
      <x:c r="G405" s="42" t="str">
        <x:f>IF(NOT(ISNUMBER(E405)),"",MAX(K405,MIN(L405,E405*F405)))</x:f>
      </x:c>
      <x:c r="H405" s="42" t="n">
        <x:v>84</x:v>
      </x:c>
      <x:c r="I405" s="42" t="str">
        <x:f>IF(COUNT(G405)=0,"",(COUNTIFS('93_REF_ANCHORS'!$A$7:$A$766,D405,'93_REF_ANCHORS'!$C$7:$C$766,"&lt;"&amp;G405)+COUNTIFS('93_REF_ANCHORS'!$A$7:$A$766,D405,'93_REF_ANCHORS'!$C$7:$C$766,"&lt;="&amp;G405)-1)/(2*(H405-1)))</x:f>
      </x:c>
      <x:c r="J405" s="34" t="str">
        <x:f>IF(B405="","",IF(COUNT(E405)=0,"MISSING",IF(NOT(ISNUMBER(E405)),"INVALID",IF(E405*F405&lt;K405,"WINSORIZED LOW",IF(E405*F405&gt;L405,"WINSORIZED HIGH","OK")))))</x:f>
      </x:c>
      <x:c r="K405" s="34" t="n">
        <x:v>0.728196</x:v>
      </x:c>
      <x:c r="L405" s="34" t="n">
        <x:v>0.94</x:v>
      </x:c>
      <x:c r="M405" s="34" t="n">
        <x:v>0.1111111111111111</x:v>
      </x:c>
      <x:c r="N405" s="34" t="str">
        <x:v>yes</x:v>
      </x:c>
    </x:row>
    <x:row r="406">
      <x:c r="A406" s="34" t="n">
        <x:v>40</x:v>
      </x:c>
      <x:c r="B406" s="34" t="str">
        <x:f>IF('01_INPUT_COMPANIES'!$A$46="","",'01_INPUT_COMPANIES'!$A$46)</x:f>
      </x:c>
      <x:c r="C406" s="34" t="str">
        <x:f>IF(B406="","",'01_INPUT_COMPANIES'!$B$46)</x:f>
      </x:c>
      <x:c r="D406" s="34" t="str">
        <x:v>outflow_to_capex_ratio</x:v>
      </x:c>
      <x:c r="E406" s="42" t="str">
        <x:f>IF(OR(B406="",COUNT('01_INPUT_COMPANIES'!$AC$46)=0),"",'01_INPUT_COMPANIES'!$AC$46)</x:f>
      </x:c>
      <x:c r="F406" s="42" t="n">
        <x:v>1</x:v>
      </x:c>
      <x:c r="G406" s="42" t="str">
        <x:f>IF(NOT(ISNUMBER(E406)),"",MAX(K406,MIN(L406,E406*F406)))</x:f>
      </x:c>
      <x:c r="H406" s="42" t="n">
        <x:v>97</x:v>
      </x:c>
      <x:c r="I406" s="42" t="str">
        <x:f>IF(COUNT(G406)=0,"",(COUNTIFS('93_REF_ANCHORS'!$A$7:$A$766,D406,'93_REF_ANCHORS'!$C$7:$C$766,"&lt;"&amp;G406)+COUNTIFS('93_REF_ANCHORS'!$A$7:$A$766,D406,'93_REF_ANCHORS'!$C$7:$C$766,"&lt;="&amp;G406)-1)/(2*(H406-1)))</x:f>
      </x:c>
      <x:c r="J406" s="34" t="str">
        <x:f>IF(B406="","",IF(COUNT(E406)=0,"MISSING",IF(NOT(ISNUMBER(E406)),"INVALID",IF(E406*F406&lt;K406,"WINSORIZED LOW",IF(E406*F406&gt;L406,"WINSORIZED HIGH","OK")))))</x:f>
      </x:c>
      <x:c r="K406" s="34" t="n">
        <x:v>-123.5385890408</x:v>
      </x:c>
      <x:c r="L406" s="34" t="n">
        <x:v>974.1666666666999</x:v>
      </x:c>
      <x:c r="M406" s="34" t="n">
        <x:v>0.1111111111111111</x:v>
      </x:c>
      <x:c r="N406" s="34" t="str">
        <x:v>no</x:v>
      </x:c>
    </x:row>
    <x:row r="407">
      <x:c r="A407" s="34" t="n">
        <x:v>41</x:v>
      </x:c>
      <x:c r="B407" s="34" t="str">
        <x:f>IF('01_INPUT_COMPANIES'!$A$47="","",'01_INPUT_COMPANIES'!$A$47)</x:f>
      </x:c>
      <x:c r="C407" s="34" t="str">
        <x:f>IF(B407="","",'01_INPUT_COMPANIES'!$B$47)</x:f>
      </x:c>
      <x:c r="D407" s="34" t="str">
        <x:v>effective_tax_rate_gap</x:v>
      </x:c>
      <x:c r="E407" s="42" t="str">
        <x:f>IF(OR(B407="",COUNT('01_INPUT_COMPANIES'!$T$47)=0),"",'01_INPUT_COMPANIES'!$T$47)</x:f>
      </x:c>
      <x:c r="F407" s="42" t="n">
        <x:v>1</x:v>
      </x:c>
      <x:c r="G407" s="42" t="str">
        <x:f>IF(NOT(ISNUMBER(E407)),"",MAX(K407,MIN(L407,E407*F407)))</x:f>
      </x:c>
      <x:c r="H407" s="42" t="n">
        <x:v>74</x:v>
      </x:c>
      <x:c r="I407" s="42" t="str">
        <x:f>IF(COUNT(G407)=0,"",(COUNTIFS('93_REF_ANCHORS'!$A$7:$A$766,D407,'93_REF_ANCHORS'!$C$7:$C$766,"&lt;"&amp;G407)+COUNTIFS('93_REF_ANCHORS'!$A$7:$A$766,D407,'93_REF_ANCHORS'!$C$7:$C$766,"&lt;="&amp;G407)-1)/(2*(H407-1)))</x:f>
      </x:c>
      <x:c r="J407" s="34" t="str">
        <x:f>IF(B407="","",IF(COUNT(E407)=0,"MISSING",IF(NOT(ISNUMBER(E407)),"INVALID",IF(E407*F407&lt;K407,"WINSORIZED LOW",IF(E407*F407&gt;L407,"WINSORIZED HIGH","OK")))))</x:f>
      </x:c>
      <x:c r="K407" s="34" t="n">
        <x:v>-0.1416111014</x:v>
      </x:c>
      <x:c r="L407" s="34" t="n">
        <x:v>0.2683650488</x:v>
      </x:c>
      <x:c r="M407" s="34" t="n">
        <x:v>0.1111111111111111</x:v>
      </x:c>
      <x:c r="N407" s="34" t="str">
        <x:v>no</x:v>
      </x:c>
    </x:row>
    <x:row r="408">
      <x:c r="A408" s="34" t="n">
        <x:v>41</x:v>
      </x:c>
      <x:c r="B408" s="34" t="str">
        <x:f>IF('01_INPUT_COMPANIES'!$A$47="","",'01_INPUT_COMPANIES'!$A$47)</x:f>
      </x:c>
      <x:c r="C408" s="34" t="str">
        <x:f>IF(B408="","",'01_INPUT_COMPANIES'!$B$47)</x:f>
      </x:c>
      <x:c r="D408" s="34" t="str">
        <x:v>infra_dependency_ratio</x:v>
      </x:c>
      <x:c r="E408" s="42" t="str">
        <x:f>IF(OR(B408="",COUNT('01_INPUT_COMPANIES'!$U$47)=0),"",'01_INPUT_COMPANIES'!$U$47)</x:f>
      </x:c>
      <x:c r="F408" s="42" t="n">
        <x:v>1</x:v>
      </x:c>
      <x:c r="G408" s="42" t="str">
        <x:f>IF(NOT(ISNUMBER(E408)),"",MAX(K408,MIN(L408,E408*F408)))</x:f>
      </x:c>
      <x:c r="H408" s="42" t="n">
        <x:v>64</x:v>
      </x:c>
      <x:c r="I408" s="42" t="str">
        <x:f>IF(COUNT(G408)=0,"",(COUNTIFS('93_REF_ANCHORS'!$A$7:$A$766,D408,'93_REF_ANCHORS'!$C$7:$C$766,"&lt;"&amp;G408)+COUNTIFS('93_REF_ANCHORS'!$A$7:$A$766,D408,'93_REF_ANCHORS'!$C$7:$C$766,"&lt;="&amp;G408)-1)/(2*(H408-1)))</x:f>
      </x:c>
      <x:c r="J408" s="34" t="str">
        <x:f>IF(B408="","",IF(COUNT(E408)=0,"MISSING",IF(NOT(ISNUMBER(E408)),"INVALID",IF(E408*F408&lt;K408,"WINSORIZED LOW",IF(E408*F408&gt;L408,"WINSORIZED HIGH","OK")))))</x:f>
      </x:c>
      <x:c r="K408" s="34" t="n">
        <x:v>-0.10705024705171803</x:v>
      </x:c>
      <x:c r="L408" s="34" t="n">
        <x:v>0.8008753865408955</x:v>
      </x:c>
      <x:c r="M408" s="34" t="n">
        <x:v>0.1111111111111111</x:v>
      </x:c>
      <x:c r="N408" s="34" t="str">
        <x:v>no</x:v>
      </x:c>
    </x:row>
    <x:row r="409">
      <x:c r="A409" s="34" t="n">
        <x:v>41</x:v>
      </x:c>
      <x:c r="B409" s="34" t="str">
        <x:f>IF('01_INPUT_COMPANIES'!$A$47="","",'01_INPUT_COMPANIES'!$A$47)</x:f>
      </x:c>
      <x:c r="C409" s="34" t="str">
        <x:f>IF(B409="","",'01_INPUT_COMPANIES'!$B$47)</x:f>
      </x:c>
      <x:c r="D409" s="34" t="str">
        <x:v>network_cost_ratio</x:v>
      </x:c>
      <x:c r="E409" s="42" t="str">
        <x:f>IF(OR(B409="",COUNT('01_INPUT_COMPANIES'!$V$47)=0),"",'01_INPUT_COMPANIES'!$V$47)</x:f>
      </x:c>
      <x:c r="F409" s="42" t="n">
        <x:v>1</x:v>
      </x:c>
      <x:c r="G409" s="42" t="str">
        <x:f>IF(NOT(ISNUMBER(E409)),"",MAX(K409,MIN(L409,E409*F409)))</x:f>
      </x:c>
      <x:c r="H409" s="42" t="n">
        <x:v>97</x:v>
      </x:c>
      <x:c r="I409" s="42" t="str">
        <x:f>IF(COUNT(G409)=0,"",(COUNTIFS('93_REF_ANCHORS'!$A$7:$A$766,D409,'93_REF_ANCHORS'!$C$7:$C$766,"&lt;"&amp;G409)+COUNTIFS('93_REF_ANCHORS'!$A$7:$A$766,D409,'93_REF_ANCHORS'!$C$7:$C$766,"&lt;="&amp;G409)-1)/(2*(H409-1)))</x:f>
      </x:c>
      <x:c r="J409" s="34" t="str">
        <x:f>IF(B409="","",IF(COUNT(E409)=0,"MISSING",IF(NOT(ISNUMBER(E409)),"INVALID",IF(E409*F409&lt;K409,"WINSORIZED LOW",IF(E409*F409&gt;L409,"WINSORIZED HIGH","OK")))))</x:f>
      </x:c>
      <x:c r="K409" s="34" t="n">
        <x:v>-0.1395374353</x:v>
      </x:c>
      <x:c r="L409" s="34" t="n">
        <x:v>0.9274274845000001</x:v>
      </x:c>
      <x:c r="M409" s="34" t="n">
        <x:v>0.1111111111111111</x:v>
      </x:c>
      <x:c r="N409" s="34" t="str">
        <x:v>no</x:v>
      </x:c>
    </x:row>
    <x:row r="410">
      <x:c r="A410" s="34" t="n">
        <x:v>41</x:v>
      </x:c>
      <x:c r="B410" s="34" t="str">
        <x:f>IF('01_INPUT_COMPANIES'!$A$47="","",'01_INPUT_COMPANIES'!$A$47)</x:f>
      </x:c>
      <x:c r="C410" s="34" t="str">
        <x:f>IF(B410="","",'01_INPUT_COMPANIES'!$B$47)</x:f>
      </x:c>
      <x:c r="D410" s="34" t="str">
        <x:v>cashflow_recovery_ratio</x:v>
      </x:c>
      <x:c r="E410" s="42" t="str">
        <x:f>IF(OR(B410="",COUNT('01_INPUT_COMPANIES'!$W$47)=0),"",'01_INPUT_COMPANIES'!$W$47)</x:f>
      </x:c>
      <x:c r="F410" s="42" t="n">
        <x:v>-1</x:v>
      </x:c>
      <x:c r="G410" s="42" t="str">
        <x:f>IF(NOT(ISNUMBER(E410)),"",MAX(K410,MIN(L410,E410*F410)))</x:f>
      </x:c>
      <x:c r="H410" s="42" t="n">
        <x:v>95</x:v>
      </x:c>
      <x:c r="I410" s="42" t="str">
        <x:f>IF(COUNT(G410)=0,"",(COUNTIFS('93_REF_ANCHORS'!$A$7:$A$766,D410,'93_REF_ANCHORS'!$C$7:$C$766,"&lt;"&amp;G410)+COUNTIFS('93_REF_ANCHORS'!$A$7:$A$766,D410,'93_REF_ANCHORS'!$C$7:$C$766,"&lt;="&amp;G410)-1)/(2*(H410-1)))</x:f>
      </x:c>
      <x:c r="J410" s="34" t="str">
        <x:f>IF(B410="","",IF(COUNT(E410)=0,"MISSING",IF(NOT(ISNUMBER(E410)),"INVALID",IF(E410*F410&lt;K410,"WINSORIZED LOW",IF(E410*F410&gt;L410,"WINSORIZED HIGH","OK")))))</x:f>
      </x:c>
      <x:c r="K410" s="34" t="n">
        <x:v>-300.75</x:v>
      </x:c>
      <x:c r="L410" s="34" t="n">
        <x:v>42.6920305469</x:v>
      </x:c>
      <x:c r="M410" s="34" t="n">
        <x:v>0.08333333333333333</x:v>
      </x:c>
      <x:c r="N410" s="34" t="str">
        <x:v>no</x:v>
      </x:c>
    </x:row>
    <x:row r="411">
      <x:c r="A411" s="34" t="n">
        <x:v>41</x:v>
      </x:c>
      <x:c r="B411" s="34" t="str">
        <x:f>IF('01_INPUT_COMPANIES'!$A$47="","",'01_INPUT_COMPANIES'!$A$47)</x:f>
      </x:c>
      <x:c r="C411" s="34" t="str">
        <x:f>IF(B411="","",'01_INPUT_COMPANIES'!$B$47)</x:f>
      </x:c>
      <x:c r="D411" s="34" t="str">
        <x:v>funding_cost_spread</x:v>
      </x:c>
      <x:c r="E411" s="42" t="str">
        <x:f>IF(OR(B411="",COUNT('01_INPUT_COMPANIES'!$X$47)=0),"",'01_INPUT_COMPANIES'!$X$47)</x:f>
      </x:c>
      <x:c r="F411" s="42" t="n">
        <x:v>1</x:v>
      </x:c>
      <x:c r="G411" s="42" t="str">
        <x:f>IF(NOT(ISNUMBER(E411)),"",MAX(K411,MIN(L411,E411*F411)))</x:f>
      </x:c>
      <x:c r="H411" s="42" t="n">
        <x:v>58</x:v>
      </x:c>
      <x:c r="I411" s="42" t="str">
        <x:f>IF(COUNT(G411)=0,"",(COUNTIFS('93_REF_ANCHORS'!$A$7:$A$766,D411,'93_REF_ANCHORS'!$C$7:$C$766,"&lt;"&amp;G411)+COUNTIFS('93_REF_ANCHORS'!$A$7:$A$766,D411,'93_REF_ANCHORS'!$C$7:$C$766,"&lt;="&amp;G411)-1)/(2*(H411-1)))</x:f>
      </x:c>
      <x:c r="J411" s="34" t="str">
        <x:f>IF(B411="","",IF(COUNT(E411)=0,"MISSING",IF(NOT(ISNUMBER(E411)),"INVALID",IF(E411*F411&lt;K411,"WINSORIZED LOW",IF(E411*F411&gt;L411,"WINSORIZED HIGH","OK")))))</x:f>
      </x:c>
      <x:c r="K411" s="34" t="n">
        <x:v>-0.4430292903</x:v>
      </x:c>
      <x:c r="L411" s="34" t="n">
        <x:v>0.5068913103</x:v>
      </x:c>
      <x:c r="M411" s="34" t="n">
        <x:v>0.08333333333333333</x:v>
      </x:c>
      <x:c r="N411" s="34" t="str">
        <x:v>no</x:v>
      </x:c>
    </x:row>
    <x:row r="412">
      <x:c r="A412" s="34" t="n">
        <x:v>41</x:v>
      </x:c>
      <x:c r="B412" s="34" t="str">
        <x:f>IF('01_INPUT_COMPANIES'!$A$47="","",'01_INPUT_COMPANIES'!$A$47)</x:f>
      </x:c>
      <x:c r="C412" s="34" t="str">
        <x:f>IF(B412="","",'01_INPUT_COMPANIES'!$B$47)</x:f>
      </x:c>
      <x:c r="D412" s="34" t="str">
        <x:v>investment_recovery_ratio</x:v>
      </x:c>
      <x:c r="E412" s="42" t="str">
        <x:f>IF(OR(B412="",COUNT('01_INPUT_COMPANIES'!$Y$47)=0),"",'01_INPUT_COMPANIES'!$Y$47)</x:f>
      </x:c>
      <x:c r="F412" s="42" t="n">
        <x:v>-1</x:v>
      </x:c>
      <x:c r="G412" s="42" t="str">
        <x:f>IF(NOT(ISNUMBER(E412)),"",MAX(K412,MIN(L412,E412*F412)))</x:f>
      </x:c>
      <x:c r="H412" s="42" t="n">
        <x:v>95</x:v>
      </x:c>
      <x:c r="I412" s="42" t="str">
        <x:f>IF(COUNT(G412)=0,"",(COUNTIFS('93_REF_ANCHORS'!$A$7:$A$766,D412,'93_REF_ANCHORS'!$C$7:$C$766,"&lt;"&amp;G412)+COUNTIFS('93_REF_ANCHORS'!$A$7:$A$766,D412,'93_REF_ANCHORS'!$C$7:$C$766,"&lt;="&amp;G412)-1)/(2*(H412-1)))</x:f>
      </x:c>
      <x:c r="J412" s="34" t="str">
        <x:f>IF(B412="","",IF(COUNT(E412)=0,"MISSING",IF(NOT(ISNUMBER(E412)),"INVALID",IF(E412*F412&lt;K412,"WINSORIZED LOW",IF(E412*F412&gt;L412,"WINSORIZED HIGH","OK")))))</x:f>
      </x:c>
      <x:c r="K412" s="34" t="n">
        <x:v>-3163.7500000000014</x:v>
      </x:c>
      <x:c r="L412" s="34" t="n">
        <x:v>189.68191301719997</x:v>
      </x:c>
      <x:c r="M412" s="34" t="n">
        <x:v>0.08333333333333333</x:v>
      </x:c>
      <x:c r="N412" s="34" t="str">
        <x:v>no</x:v>
      </x:c>
    </x:row>
    <x:row r="413">
      <x:c r="A413" s="34" t="n">
        <x:v>41</x:v>
      </x:c>
      <x:c r="B413" s="34" t="str">
        <x:f>IF('01_INPUT_COMPANIES'!$A$47="","",'01_INPUT_COMPANIES'!$A$47)</x:f>
      </x:c>
      <x:c r="C413" s="34" t="str">
        <x:f>IF(B413="","",'01_INPUT_COMPANIES'!$B$47)</x:f>
      </x:c>
      <x:c r="D413" s="34" t="str">
        <x:v>ip_assetization_gap</x:v>
      </x:c>
      <x:c r="E413" s="42" t="str">
        <x:f>IF(OR(B413="",COUNT('01_INPUT_COMPANIES'!$Z$47)=0),"",'01_INPUT_COMPANIES'!$Z$47)</x:f>
      </x:c>
      <x:c r="F413" s="42" t="n">
        <x:v>1</x:v>
      </x:c>
      <x:c r="G413" s="42" t="str">
        <x:f>IF(NOT(ISNUMBER(E413)),"",MAX(K413,MIN(L413,E413*F413)))</x:f>
      </x:c>
      <x:c r="H413" s="42" t="n">
        <x:v>92</x:v>
      </x:c>
      <x:c r="I413" s="42" t="str">
        <x:f>IF(COUNT(G413)=0,"",(COUNTIFS('93_REF_ANCHORS'!$A$7:$A$766,D413,'93_REF_ANCHORS'!$C$7:$C$766,"&lt;"&amp;G413)+COUNTIFS('93_REF_ANCHORS'!$A$7:$A$766,D413,'93_REF_ANCHORS'!$C$7:$C$766,"&lt;="&amp;G413)-1)/(2*(H413-1)))</x:f>
      </x:c>
      <x:c r="J413" s="34" t="str">
        <x:f>IF(B413="","",IF(COUNT(E413)=0,"MISSING",IF(NOT(ISNUMBER(E413)),"INVALID",IF(E413*F413&lt;K413,"WINSORIZED LOW",IF(E413*F413&gt;L413,"WINSORIZED HIGH","OK")))))</x:f>
      </x:c>
      <x:c r="K413" s="34" t="n">
        <x:v>-1.6707152386</x:v>
      </x:c>
      <x:c r="L413" s="34" t="n">
        <x:v>0.7716332556000001</x:v>
      </x:c>
      <x:c r="M413" s="34" t="n">
        <x:v>0.08333333333333333</x:v>
      </x:c>
      <x:c r="N413" s="34" t="str">
        <x:v>no</x:v>
      </x:c>
    </x:row>
    <x:row r="414">
      <x:c r="A414" s="34" t="n">
        <x:v>41</x:v>
      </x:c>
      <x:c r="B414" s="34" t="str">
        <x:f>IF('01_INPUT_COMPANIES'!$A$47="","",'01_INPUT_COMPANIES'!$A$47)</x:f>
      </x:c>
      <x:c r="C414" s="34" t="str">
        <x:f>IF(B414="","",'01_INPUT_COMPANIES'!$B$47)</x:f>
      </x:c>
      <x:c r="D414" s="34" t="str">
        <x:v>cross_market_transfer_index</x:v>
      </x:c>
      <x:c r="E414" s="42" t="str">
        <x:f>IF(OR(B414="",COUNT('01_INPUT_COMPANIES'!$AA$47)=0),"",'01_INPUT_COMPANIES'!$AA$47)</x:f>
      </x:c>
      <x:c r="F414" s="42" t="n">
        <x:v>1</x:v>
      </x:c>
      <x:c r="G414" s="42" t="str">
        <x:f>IF(NOT(ISNUMBER(E414)),"",MAX(K414,MIN(L414,E414*F414)))</x:f>
      </x:c>
      <x:c r="H414" s="42" t="n">
        <x:v>4</x:v>
      </x:c>
      <x:c r="I414" s="42" t="str">
        <x:f>IF(COUNT(G414)=0,"",(COUNTIFS('93_REF_ANCHORS'!$A$7:$A$766,D414,'93_REF_ANCHORS'!$C$7:$C$766,"&lt;"&amp;G414)+COUNTIFS('93_REF_ANCHORS'!$A$7:$A$766,D414,'93_REF_ANCHORS'!$C$7:$C$766,"&lt;="&amp;G414)-1)/(2*(H414-1)))</x:f>
      </x:c>
      <x:c r="J414" s="34" t="str">
        <x:f>IF(B414="","",IF(COUNT(E414)=0,"MISSING",IF(NOT(ISNUMBER(E414)),"INVALID",IF(E414*F414&lt;K414,"WINSORIZED LOW",IF(E414*F414&gt;L414,"WINSORIZED HIGH","OK")))))</x:f>
      </x:c>
      <x:c r="K414" s="34" t="n">
        <x:v>0</x:v>
      </x:c>
      <x:c r="L414" s="34" t="n">
        <x:v>0.7587051325360435</x:v>
      </x:c>
      <x:c r="M414" s="34" t="n">
        <x:v>0.1111111111111111</x:v>
      </x:c>
      <x:c r="N414" s="34" t="str">
        <x:v>yes</x:v>
      </x:c>
    </x:row>
    <x:row r="415">
      <x:c r="A415" s="34" t="n">
        <x:v>41</x:v>
      </x:c>
      <x:c r="B415" s="34" t="str">
        <x:f>IF('01_INPUT_COMPANIES'!$A$47="","",'01_INPUT_COMPANIES'!$A$47)</x:f>
      </x:c>
      <x:c r="C415" s="34" t="str">
        <x:f>IF(B415="","",'01_INPUT_COMPANIES'!$B$47)</x:f>
      </x:c>
      <x:c r="D415" s="34" t="str">
        <x:v>foreign_dependency_ratio</x:v>
      </x:c>
      <x:c r="E415" s="42" t="str">
        <x:f>IF(OR(B415="",COUNT('01_INPUT_COMPANIES'!$AB$47)=0),"",'01_INPUT_COMPANIES'!$AB$47)</x:f>
      </x:c>
      <x:c r="F415" s="42" t="n">
        <x:v>1</x:v>
      </x:c>
      <x:c r="G415" s="42" t="str">
        <x:f>IF(NOT(ISNUMBER(E415)),"",MAX(K415,MIN(L415,E415*F415)))</x:f>
      </x:c>
      <x:c r="H415" s="42" t="n">
        <x:v>84</x:v>
      </x:c>
      <x:c r="I415" s="42" t="str">
        <x:f>IF(COUNT(G415)=0,"",(COUNTIFS('93_REF_ANCHORS'!$A$7:$A$766,D415,'93_REF_ANCHORS'!$C$7:$C$766,"&lt;"&amp;G415)+COUNTIFS('93_REF_ANCHORS'!$A$7:$A$766,D415,'93_REF_ANCHORS'!$C$7:$C$766,"&lt;="&amp;G415)-1)/(2*(H415-1)))</x:f>
      </x:c>
      <x:c r="J415" s="34" t="str">
        <x:f>IF(B415="","",IF(COUNT(E415)=0,"MISSING",IF(NOT(ISNUMBER(E415)),"INVALID",IF(E415*F415&lt;K415,"WINSORIZED LOW",IF(E415*F415&gt;L415,"WINSORIZED HIGH","OK")))))</x:f>
      </x:c>
      <x:c r="K415" s="34" t="n">
        <x:v>0.728196</x:v>
      </x:c>
      <x:c r="L415" s="34" t="n">
        <x:v>0.94</x:v>
      </x:c>
      <x:c r="M415" s="34" t="n">
        <x:v>0.1111111111111111</x:v>
      </x:c>
      <x:c r="N415" s="34" t="str">
        <x:v>yes</x:v>
      </x:c>
    </x:row>
    <x:row r="416">
      <x:c r="A416" s="34" t="n">
        <x:v>41</x:v>
      </x:c>
      <x:c r="B416" s="34" t="str">
        <x:f>IF('01_INPUT_COMPANIES'!$A$47="","",'01_INPUT_COMPANIES'!$A$47)</x:f>
      </x:c>
      <x:c r="C416" s="34" t="str">
        <x:f>IF(B416="","",'01_INPUT_COMPANIES'!$B$47)</x:f>
      </x:c>
      <x:c r="D416" s="34" t="str">
        <x:v>outflow_to_capex_ratio</x:v>
      </x:c>
      <x:c r="E416" s="42" t="str">
        <x:f>IF(OR(B416="",COUNT('01_INPUT_COMPANIES'!$AC$47)=0),"",'01_INPUT_COMPANIES'!$AC$47)</x:f>
      </x:c>
      <x:c r="F416" s="42" t="n">
        <x:v>1</x:v>
      </x:c>
      <x:c r="G416" s="42" t="str">
        <x:f>IF(NOT(ISNUMBER(E416)),"",MAX(K416,MIN(L416,E416*F416)))</x:f>
      </x:c>
      <x:c r="H416" s="42" t="n">
        <x:v>97</x:v>
      </x:c>
      <x:c r="I416" s="42" t="str">
        <x:f>IF(COUNT(G416)=0,"",(COUNTIFS('93_REF_ANCHORS'!$A$7:$A$766,D416,'93_REF_ANCHORS'!$C$7:$C$766,"&lt;"&amp;G416)+COUNTIFS('93_REF_ANCHORS'!$A$7:$A$766,D416,'93_REF_ANCHORS'!$C$7:$C$766,"&lt;="&amp;G416)-1)/(2*(H416-1)))</x:f>
      </x:c>
      <x:c r="J416" s="34" t="str">
        <x:f>IF(B416="","",IF(COUNT(E416)=0,"MISSING",IF(NOT(ISNUMBER(E416)),"INVALID",IF(E416*F416&lt;K416,"WINSORIZED LOW",IF(E416*F416&gt;L416,"WINSORIZED HIGH","OK")))))</x:f>
      </x:c>
      <x:c r="K416" s="34" t="n">
        <x:v>-123.5385890408</x:v>
      </x:c>
      <x:c r="L416" s="34" t="n">
        <x:v>974.1666666666999</x:v>
      </x:c>
      <x:c r="M416" s="34" t="n">
        <x:v>0.1111111111111111</x:v>
      </x:c>
      <x:c r="N416" s="34" t="str">
        <x:v>no</x:v>
      </x:c>
    </x:row>
    <x:row r="417">
      <x:c r="A417" s="34" t="n">
        <x:v>42</x:v>
      </x:c>
      <x:c r="B417" s="34" t="str">
        <x:f>IF('01_INPUT_COMPANIES'!$A$48="","",'01_INPUT_COMPANIES'!$A$48)</x:f>
      </x:c>
      <x:c r="C417" s="34" t="str">
        <x:f>IF(B417="","",'01_INPUT_COMPANIES'!$B$48)</x:f>
      </x:c>
      <x:c r="D417" s="34" t="str">
        <x:v>effective_tax_rate_gap</x:v>
      </x:c>
      <x:c r="E417" s="42" t="str">
        <x:f>IF(OR(B417="",COUNT('01_INPUT_COMPANIES'!$T$48)=0),"",'01_INPUT_COMPANIES'!$T$48)</x:f>
      </x:c>
      <x:c r="F417" s="42" t="n">
        <x:v>1</x:v>
      </x:c>
      <x:c r="G417" s="42" t="str">
        <x:f>IF(NOT(ISNUMBER(E417)),"",MAX(K417,MIN(L417,E417*F417)))</x:f>
      </x:c>
      <x:c r="H417" s="42" t="n">
        <x:v>74</x:v>
      </x:c>
      <x:c r="I417" s="42" t="str">
        <x:f>IF(COUNT(G417)=0,"",(COUNTIFS('93_REF_ANCHORS'!$A$7:$A$766,D417,'93_REF_ANCHORS'!$C$7:$C$766,"&lt;"&amp;G417)+COUNTIFS('93_REF_ANCHORS'!$A$7:$A$766,D417,'93_REF_ANCHORS'!$C$7:$C$766,"&lt;="&amp;G417)-1)/(2*(H417-1)))</x:f>
      </x:c>
      <x:c r="J417" s="34" t="str">
        <x:f>IF(B417="","",IF(COUNT(E417)=0,"MISSING",IF(NOT(ISNUMBER(E417)),"INVALID",IF(E417*F417&lt;K417,"WINSORIZED LOW",IF(E417*F417&gt;L417,"WINSORIZED HIGH","OK")))))</x:f>
      </x:c>
      <x:c r="K417" s="34" t="n">
        <x:v>-0.1416111014</x:v>
      </x:c>
      <x:c r="L417" s="34" t="n">
        <x:v>0.2683650488</x:v>
      </x:c>
      <x:c r="M417" s="34" t="n">
        <x:v>0.1111111111111111</x:v>
      </x:c>
      <x:c r="N417" s="34" t="str">
        <x:v>no</x:v>
      </x:c>
    </x:row>
    <x:row r="418">
      <x:c r="A418" s="34" t="n">
        <x:v>42</x:v>
      </x:c>
      <x:c r="B418" s="34" t="str">
        <x:f>IF('01_INPUT_COMPANIES'!$A$48="","",'01_INPUT_COMPANIES'!$A$48)</x:f>
      </x:c>
      <x:c r="C418" s="34" t="str">
        <x:f>IF(B418="","",'01_INPUT_COMPANIES'!$B$48)</x:f>
      </x:c>
      <x:c r="D418" s="34" t="str">
        <x:v>infra_dependency_ratio</x:v>
      </x:c>
      <x:c r="E418" s="42" t="str">
        <x:f>IF(OR(B418="",COUNT('01_INPUT_COMPANIES'!$U$48)=0),"",'01_INPUT_COMPANIES'!$U$48)</x:f>
      </x:c>
      <x:c r="F418" s="42" t="n">
        <x:v>1</x:v>
      </x:c>
      <x:c r="G418" s="42" t="str">
        <x:f>IF(NOT(ISNUMBER(E418)),"",MAX(K418,MIN(L418,E418*F418)))</x:f>
      </x:c>
      <x:c r="H418" s="42" t="n">
        <x:v>64</x:v>
      </x:c>
      <x:c r="I418" s="42" t="str">
        <x:f>IF(COUNT(G418)=0,"",(COUNTIFS('93_REF_ANCHORS'!$A$7:$A$766,D418,'93_REF_ANCHORS'!$C$7:$C$766,"&lt;"&amp;G418)+COUNTIFS('93_REF_ANCHORS'!$A$7:$A$766,D418,'93_REF_ANCHORS'!$C$7:$C$766,"&lt;="&amp;G418)-1)/(2*(H418-1)))</x:f>
      </x:c>
      <x:c r="J418" s="34" t="str">
        <x:f>IF(B418="","",IF(COUNT(E418)=0,"MISSING",IF(NOT(ISNUMBER(E418)),"INVALID",IF(E418*F418&lt;K418,"WINSORIZED LOW",IF(E418*F418&gt;L418,"WINSORIZED HIGH","OK")))))</x:f>
      </x:c>
      <x:c r="K418" s="34" t="n">
        <x:v>-0.10705024705171803</x:v>
      </x:c>
      <x:c r="L418" s="34" t="n">
        <x:v>0.8008753865408955</x:v>
      </x:c>
      <x:c r="M418" s="34" t="n">
        <x:v>0.1111111111111111</x:v>
      </x:c>
      <x:c r="N418" s="34" t="str">
        <x:v>no</x:v>
      </x:c>
    </x:row>
    <x:row r="419">
      <x:c r="A419" s="34" t="n">
        <x:v>42</x:v>
      </x:c>
      <x:c r="B419" s="34" t="str">
        <x:f>IF('01_INPUT_COMPANIES'!$A$48="","",'01_INPUT_COMPANIES'!$A$48)</x:f>
      </x:c>
      <x:c r="C419" s="34" t="str">
        <x:f>IF(B419="","",'01_INPUT_COMPANIES'!$B$48)</x:f>
      </x:c>
      <x:c r="D419" s="34" t="str">
        <x:v>network_cost_ratio</x:v>
      </x:c>
      <x:c r="E419" s="42" t="str">
        <x:f>IF(OR(B419="",COUNT('01_INPUT_COMPANIES'!$V$48)=0),"",'01_INPUT_COMPANIES'!$V$48)</x:f>
      </x:c>
      <x:c r="F419" s="42" t="n">
        <x:v>1</x:v>
      </x:c>
      <x:c r="G419" s="42" t="str">
        <x:f>IF(NOT(ISNUMBER(E419)),"",MAX(K419,MIN(L419,E419*F419)))</x:f>
      </x:c>
      <x:c r="H419" s="42" t="n">
        <x:v>97</x:v>
      </x:c>
      <x:c r="I419" s="42" t="str">
        <x:f>IF(COUNT(G419)=0,"",(COUNTIFS('93_REF_ANCHORS'!$A$7:$A$766,D419,'93_REF_ANCHORS'!$C$7:$C$766,"&lt;"&amp;G419)+COUNTIFS('93_REF_ANCHORS'!$A$7:$A$766,D419,'93_REF_ANCHORS'!$C$7:$C$766,"&lt;="&amp;G419)-1)/(2*(H419-1)))</x:f>
      </x:c>
      <x:c r="J419" s="34" t="str">
        <x:f>IF(B419="","",IF(COUNT(E419)=0,"MISSING",IF(NOT(ISNUMBER(E419)),"INVALID",IF(E419*F419&lt;K419,"WINSORIZED LOW",IF(E419*F419&gt;L419,"WINSORIZED HIGH","OK")))))</x:f>
      </x:c>
      <x:c r="K419" s="34" t="n">
        <x:v>-0.1395374353</x:v>
      </x:c>
      <x:c r="L419" s="34" t="n">
        <x:v>0.9274274845000001</x:v>
      </x:c>
      <x:c r="M419" s="34" t="n">
        <x:v>0.1111111111111111</x:v>
      </x:c>
      <x:c r="N419" s="34" t="str">
        <x:v>no</x:v>
      </x:c>
    </x:row>
    <x:row r="420">
      <x:c r="A420" s="34" t="n">
        <x:v>42</x:v>
      </x:c>
      <x:c r="B420" s="34" t="str">
        <x:f>IF('01_INPUT_COMPANIES'!$A$48="","",'01_INPUT_COMPANIES'!$A$48)</x:f>
      </x:c>
      <x:c r="C420" s="34" t="str">
        <x:f>IF(B420="","",'01_INPUT_COMPANIES'!$B$48)</x:f>
      </x:c>
      <x:c r="D420" s="34" t="str">
        <x:v>cashflow_recovery_ratio</x:v>
      </x:c>
      <x:c r="E420" s="42" t="str">
        <x:f>IF(OR(B420="",COUNT('01_INPUT_COMPANIES'!$W$48)=0),"",'01_INPUT_COMPANIES'!$W$48)</x:f>
      </x:c>
      <x:c r="F420" s="42" t="n">
        <x:v>-1</x:v>
      </x:c>
      <x:c r="G420" s="42" t="str">
        <x:f>IF(NOT(ISNUMBER(E420)),"",MAX(K420,MIN(L420,E420*F420)))</x:f>
      </x:c>
      <x:c r="H420" s="42" t="n">
        <x:v>95</x:v>
      </x:c>
      <x:c r="I420" s="42" t="str">
        <x:f>IF(COUNT(G420)=0,"",(COUNTIFS('93_REF_ANCHORS'!$A$7:$A$766,D420,'93_REF_ANCHORS'!$C$7:$C$766,"&lt;"&amp;G420)+COUNTIFS('93_REF_ANCHORS'!$A$7:$A$766,D420,'93_REF_ANCHORS'!$C$7:$C$766,"&lt;="&amp;G420)-1)/(2*(H420-1)))</x:f>
      </x:c>
      <x:c r="J420" s="34" t="str">
        <x:f>IF(B420="","",IF(COUNT(E420)=0,"MISSING",IF(NOT(ISNUMBER(E420)),"INVALID",IF(E420*F420&lt;K420,"WINSORIZED LOW",IF(E420*F420&gt;L420,"WINSORIZED HIGH","OK")))))</x:f>
      </x:c>
      <x:c r="K420" s="34" t="n">
        <x:v>-300.75</x:v>
      </x:c>
      <x:c r="L420" s="34" t="n">
        <x:v>42.6920305469</x:v>
      </x:c>
      <x:c r="M420" s="34" t="n">
        <x:v>0.08333333333333333</x:v>
      </x:c>
      <x:c r="N420" s="34" t="str">
        <x:v>no</x:v>
      </x:c>
    </x:row>
    <x:row r="421">
      <x:c r="A421" s="34" t="n">
        <x:v>42</x:v>
      </x:c>
      <x:c r="B421" s="34" t="str">
        <x:f>IF('01_INPUT_COMPANIES'!$A$48="","",'01_INPUT_COMPANIES'!$A$48)</x:f>
      </x:c>
      <x:c r="C421" s="34" t="str">
        <x:f>IF(B421="","",'01_INPUT_COMPANIES'!$B$48)</x:f>
      </x:c>
      <x:c r="D421" s="34" t="str">
        <x:v>funding_cost_spread</x:v>
      </x:c>
      <x:c r="E421" s="42" t="str">
        <x:f>IF(OR(B421="",COUNT('01_INPUT_COMPANIES'!$X$48)=0),"",'01_INPUT_COMPANIES'!$X$48)</x:f>
      </x:c>
      <x:c r="F421" s="42" t="n">
        <x:v>1</x:v>
      </x:c>
      <x:c r="G421" s="42" t="str">
        <x:f>IF(NOT(ISNUMBER(E421)),"",MAX(K421,MIN(L421,E421*F421)))</x:f>
      </x:c>
      <x:c r="H421" s="42" t="n">
        <x:v>58</x:v>
      </x:c>
      <x:c r="I421" s="42" t="str">
        <x:f>IF(COUNT(G421)=0,"",(COUNTIFS('93_REF_ANCHORS'!$A$7:$A$766,D421,'93_REF_ANCHORS'!$C$7:$C$766,"&lt;"&amp;G421)+COUNTIFS('93_REF_ANCHORS'!$A$7:$A$766,D421,'93_REF_ANCHORS'!$C$7:$C$766,"&lt;="&amp;G421)-1)/(2*(H421-1)))</x:f>
      </x:c>
      <x:c r="J421" s="34" t="str">
        <x:f>IF(B421="","",IF(COUNT(E421)=0,"MISSING",IF(NOT(ISNUMBER(E421)),"INVALID",IF(E421*F421&lt;K421,"WINSORIZED LOW",IF(E421*F421&gt;L421,"WINSORIZED HIGH","OK")))))</x:f>
      </x:c>
      <x:c r="K421" s="34" t="n">
        <x:v>-0.4430292903</x:v>
      </x:c>
      <x:c r="L421" s="34" t="n">
        <x:v>0.5068913103</x:v>
      </x:c>
      <x:c r="M421" s="34" t="n">
        <x:v>0.08333333333333333</x:v>
      </x:c>
      <x:c r="N421" s="34" t="str">
        <x:v>no</x:v>
      </x:c>
    </x:row>
    <x:row r="422">
      <x:c r="A422" s="34" t="n">
        <x:v>42</x:v>
      </x:c>
      <x:c r="B422" s="34" t="str">
        <x:f>IF('01_INPUT_COMPANIES'!$A$48="","",'01_INPUT_COMPANIES'!$A$48)</x:f>
      </x:c>
      <x:c r="C422" s="34" t="str">
        <x:f>IF(B422="","",'01_INPUT_COMPANIES'!$B$48)</x:f>
      </x:c>
      <x:c r="D422" s="34" t="str">
        <x:v>investment_recovery_ratio</x:v>
      </x:c>
      <x:c r="E422" s="42" t="str">
        <x:f>IF(OR(B422="",COUNT('01_INPUT_COMPANIES'!$Y$48)=0),"",'01_INPUT_COMPANIES'!$Y$48)</x:f>
      </x:c>
      <x:c r="F422" s="42" t="n">
        <x:v>-1</x:v>
      </x:c>
      <x:c r="G422" s="42" t="str">
        <x:f>IF(NOT(ISNUMBER(E422)),"",MAX(K422,MIN(L422,E422*F422)))</x:f>
      </x:c>
      <x:c r="H422" s="42" t="n">
        <x:v>95</x:v>
      </x:c>
      <x:c r="I422" s="42" t="str">
        <x:f>IF(COUNT(G422)=0,"",(COUNTIFS('93_REF_ANCHORS'!$A$7:$A$766,D422,'93_REF_ANCHORS'!$C$7:$C$766,"&lt;"&amp;G422)+COUNTIFS('93_REF_ANCHORS'!$A$7:$A$766,D422,'93_REF_ANCHORS'!$C$7:$C$766,"&lt;="&amp;G422)-1)/(2*(H422-1)))</x:f>
      </x:c>
      <x:c r="J422" s="34" t="str">
        <x:f>IF(B422="","",IF(COUNT(E422)=0,"MISSING",IF(NOT(ISNUMBER(E422)),"INVALID",IF(E422*F422&lt;K422,"WINSORIZED LOW",IF(E422*F422&gt;L422,"WINSORIZED HIGH","OK")))))</x:f>
      </x:c>
      <x:c r="K422" s="34" t="n">
        <x:v>-3163.7500000000014</x:v>
      </x:c>
      <x:c r="L422" s="34" t="n">
        <x:v>189.68191301719997</x:v>
      </x:c>
      <x:c r="M422" s="34" t="n">
        <x:v>0.08333333333333333</x:v>
      </x:c>
      <x:c r="N422" s="34" t="str">
        <x:v>no</x:v>
      </x:c>
    </x:row>
    <x:row r="423">
      <x:c r="A423" s="34" t="n">
        <x:v>42</x:v>
      </x:c>
      <x:c r="B423" s="34" t="str">
        <x:f>IF('01_INPUT_COMPANIES'!$A$48="","",'01_INPUT_COMPANIES'!$A$48)</x:f>
      </x:c>
      <x:c r="C423" s="34" t="str">
        <x:f>IF(B423="","",'01_INPUT_COMPANIES'!$B$48)</x:f>
      </x:c>
      <x:c r="D423" s="34" t="str">
        <x:v>ip_assetization_gap</x:v>
      </x:c>
      <x:c r="E423" s="42" t="str">
        <x:f>IF(OR(B423="",COUNT('01_INPUT_COMPANIES'!$Z$48)=0),"",'01_INPUT_COMPANIES'!$Z$48)</x:f>
      </x:c>
      <x:c r="F423" s="42" t="n">
        <x:v>1</x:v>
      </x:c>
      <x:c r="G423" s="42" t="str">
        <x:f>IF(NOT(ISNUMBER(E423)),"",MAX(K423,MIN(L423,E423*F423)))</x:f>
      </x:c>
      <x:c r="H423" s="42" t="n">
        <x:v>92</x:v>
      </x:c>
      <x:c r="I423" s="42" t="str">
        <x:f>IF(COUNT(G423)=0,"",(COUNTIFS('93_REF_ANCHORS'!$A$7:$A$766,D423,'93_REF_ANCHORS'!$C$7:$C$766,"&lt;"&amp;G423)+COUNTIFS('93_REF_ANCHORS'!$A$7:$A$766,D423,'93_REF_ANCHORS'!$C$7:$C$766,"&lt;="&amp;G423)-1)/(2*(H423-1)))</x:f>
      </x:c>
      <x:c r="J423" s="34" t="str">
        <x:f>IF(B423="","",IF(COUNT(E423)=0,"MISSING",IF(NOT(ISNUMBER(E423)),"INVALID",IF(E423*F423&lt;K423,"WINSORIZED LOW",IF(E423*F423&gt;L423,"WINSORIZED HIGH","OK")))))</x:f>
      </x:c>
      <x:c r="K423" s="34" t="n">
        <x:v>-1.6707152386</x:v>
      </x:c>
      <x:c r="L423" s="34" t="n">
        <x:v>0.7716332556000001</x:v>
      </x:c>
      <x:c r="M423" s="34" t="n">
        <x:v>0.08333333333333333</x:v>
      </x:c>
      <x:c r="N423" s="34" t="str">
        <x:v>no</x:v>
      </x:c>
    </x:row>
    <x:row r="424">
      <x:c r="A424" s="34" t="n">
        <x:v>42</x:v>
      </x:c>
      <x:c r="B424" s="34" t="str">
        <x:f>IF('01_INPUT_COMPANIES'!$A$48="","",'01_INPUT_COMPANIES'!$A$48)</x:f>
      </x:c>
      <x:c r="C424" s="34" t="str">
        <x:f>IF(B424="","",'01_INPUT_COMPANIES'!$B$48)</x:f>
      </x:c>
      <x:c r="D424" s="34" t="str">
        <x:v>cross_market_transfer_index</x:v>
      </x:c>
      <x:c r="E424" s="42" t="str">
        <x:f>IF(OR(B424="",COUNT('01_INPUT_COMPANIES'!$AA$48)=0),"",'01_INPUT_COMPANIES'!$AA$48)</x:f>
      </x:c>
      <x:c r="F424" s="42" t="n">
        <x:v>1</x:v>
      </x:c>
      <x:c r="G424" s="42" t="str">
        <x:f>IF(NOT(ISNUMBER(E424)),"",MAX(K424,MIN(L424,E424*F424)))</x:f>
      </x:c>
      <x:c r="H424" s="42" t="n">
        <x:v>4</x:v>
      </x:c>
      <x:c r="I424" s="42" t="str">
        <x:f>IF(COUNT(G424)=0,"",(COUNTIFS('93_REF_ANCHORS'!$A$7:$A$766,D424,'93_REF_ANCHORS'!$C$7:$C$766,"&lt;"&amp;G424)+COUNTIFS('93_REF_ANCHORS'!$A$7:$A$766,D424,'93_REF_ANCHORS'!$C$7:$C$766,"&lt;="&amp;G424)-1)/(2*(H424-1)))</x:f>
      </x:c>
      <x:c r="J424" s="34" t="str">
        <x:f>IF(B424="","",IF(COUNT(E424)=0,"MISSING",IF(NOT(ISNUMBER(E424)),"INVALID",IF(E424*F424&lt;K424,"WINSORIZED LOW",IF(E424*F424&gt;L424,"WINSORIZED HIGH","OK")))))</x:f>
      </x:c>
      <x:c r="K424" s="34" t="n">
        <x:v>0</x:v>
      </x:c>
      <x:c r="L424" s="34" t="n">
        <x:v>0.7587051325360435</x:v>
      </x:c>
      <x:c r="M424" s="34" t="n">
        <x:v>0.1111111111111111</x:v>
      </x:c>
      <x:c r="N424" s="34" t="str">
        <x:v>yes</x:v>
      </x:c>
    </x:row>
    <x:row r="425">
      <x:c r="A425" s="34" t="n">
        <x:v>42</x:v>
      </x:c>
      <x:c r="B425" s="34" t="str">
        <x:f>IF('01_INPUT_COMPANIES'!$A$48="","",'01_INPUT_COMPANIES'!$A$48)</x:f>
      </x:c>
      <x:c r="C425" s="34" t="str">
        <x:f>IF(B425="","",'01_INPUT_COMPANIES'!$B$48)</x:f>
      </x:c>
      <x:c r="D425" s="34" t="str">
        <x:v>foreign_dependency_ratio</x:v>
      </x:c>
      <x:c r="E425" s="42" t="str">
        <x:f>IF(OR(B425="",COUNT('01_INPUT_COMPANIES'!$AB$48)=0),"",'01_INPUT_COMPANIES'!$AB$48)</x:f>
      </x:c>
      <x:c r="F425" s="42" t="n">
        <x:v>1</x:v>
      </x:c>
      <x:c r="G425" s="42" t="str">
        <x:f>IF(NOT(ISNUMBER(E425)),"",MAX(K425,MIN(L425,E425*F425)))</x:f>
      </x:c>
      <x:c r="H425" s="42" t="n">
        <x:v>84</x:v>
      </x:c>
      <x:c r="I425" s="42" t="str">
        <x:f>IF(COUNT(G425)=0,"",(COUNTIFS('93_REF_ANCHORS'!$A$7:$A$766,D425,'93_REF_ANCHORS'!$C$7:$C$766,"&lt;"&amp;G425)+COUNTIFS('93_REF_ANCHORS'!$A$7:$A$766,D425,'93_REF_ANCHORS'!$C$7:$C$766,"&lt;="&amp;G425)-1)/(2*(H425-1)))</x:f>
      </x:c>
      <x:c r="J425" s="34" t="str">
        <x:f>IF(B425="","",IF(COUNT(E425)=0,"MISSING",IF(NOT(ISNUMBER(E425)),"INVALID",IF(E425*F425&lt;K425,"WINSORIZED LOW",IF(E425*F425&gt;L425,"WINSORIZED HIGH","OK")))))</x:f>
      </x:c>
      <x:c r="K425" s="34" t="n">
        <x:v>0.728196</x:v>
      </x:c>
      <x:c r="L425" s="34" t="n">
        <x:v>0.94</x:v>
      </x:c>
      <x:c r="M425" s="34" t="n">
        <x:v>0.1111111111111111</x:v>
      </x:c>
      <x:c r="N425" s="34" t="str">
        <x:v>yes</x:v>
      </x:c>
    </x:row>
    <x:row r="426">
      <x:c r="A426" s="34" t="n">
        <x:v>42</x:v>
      </x:c>
      <x:c r="B426" s="34" t="str">
        <x:f>IF('01_INPUT_COMPANIES'!$A$48="","",'01_INPUT_COMPANIES'!$A$48)</x:f>
      </x:c>
      <x:c r="C426" s="34" t="str">
        <x:f>IF(B426="","",'01_INPUT_COMPANIES'!$B$48)</x:f>
      </x:c>
      <x:c r="D426" s="34" t="str">
        <x:v>outflow_to_capex_ratio</x:v>
      </x:c>
      <x:c r="E426" s="42" t="str">
        <x:f>IF(OR(B426="",COUNT('01_INPUT_COMPANIES'!$AC$48)=0),"",'01_INPUT_COMPANIES'!$AC$48)</x:f>
      </x:c>
      <x:c r="F426" s="42" t="n">
        <x:v>1</x:v>
      </x:c>
      <x:c r="G426" s="42" t="str">
        <x:f>IF(NOT(ISNUMBER(E426)),"",MAX(K426,MIN(L426,E426*F426)))</x:f>
      </x:c>
      <x:c r="H426" s="42" t="n">
        <x:v>97</x:v>
      </x:c>
      <x:c r="I426" s="42" t="str">
        <x:f>IF(COUNT(G426)=0,"",(COUNTIFS('93_REF_ANCHORS'!$A$7:$A$766,D426,'93_REF_ANCHORS'!$C$7:$C$766,"&lt;"&amp;G426)+COUNTIFS('93_REF_ANCHORS'!$A$7:$A$766,D426,'93_REF_ANCHORS'!$C$7:$C$766,"&lt;="&amp;G426)-1)/(2*(H426-1)))</x:f>
      </x:c>
      <x:c r="J426" s="34" t="str">
        <x:f>IF(B426="","",IF(COUNT(E426)=0,"MISSING",IF(NOT(ISNUMBER(E426)),"INVALID",IF(E426*F426&lt;K426,"WINSORIZED LOW",IF(E426*F426&gt;L426,"WINSORIZED HIGH","OK")))))</x:f>
      </x:c>
      <x:c r="K426" s="34" t="n">
        <x:v>-123.5385890408</x:v>
      </x:c>
      <x:c r="L426" s="34" t="n">
        <x:v>974.1666666666999</x:v>
      </x:c>
      <x:c r="M426" s="34" t="n">
        <x:v>0.1111111111111111</x:v>
      </x:c>
      <x:c r="N426" s="34" t="str">
        <x:v>no</x:v>
      </x:c>
    </x:row>
    <x:row r="427">
      <x:c r="A427" s="34" t="n">
        <x:v>43</x:v>
      </x:c>
      <x:c r="B427" s="34" t="str">
        <x:f>IF('01_INPUT_COMPANIES'!$A$49="","",'01_INPUT_COMPANIES'!$A$49)</x:f>
      </x:c>
      <x:c r="C427" s="34" t="str">
        <x:f>IF(B427="","",'01_INPUT_COMPANIES'!$B$49)</x:f>
      </x:c>
      <x:c r="D427" s="34" t="str">
        <x:v>effective_tax_rate_gap</x:v>
      </x:c>
      <x:c r="E427" s="42" t="str">
        <x:f>IF(OR(B427="",COUNT('01_INPUT_COMPANIES'!$T$49)=0),"",'01_INPUT_COMPANIES'!$T$49)</x:f>
      </x:c>
      <x:c r="F427" s="42" t="n">
        <x:v>1</x:v>
      </x:c>
      <x:c r="G427" s="42" t="str">
        <x:f>IF(NOT(ISNUMBER(E427)),"",MAX(K427,MIN(L427,E427*F427)))</x:f>
      </x:c>
      <x:c r="H427" s="42" t="n">
        <x:v>74</x:v>
      </x:c>
      <x:c r="I427" s="42" t="str">
        <x:f>IF(COUNT(G427)=0,"",(COUNTIFS('93_REF_ANCHORS'!$A$7:$A$766,D427,'93_REF_ANCHORS'!$C$7:$C$766,"&lt;"&amp;G427)+COUNTIFS('93_REF_ANCHORS'!$A$7:$A$766,D427,'93_REF_ANCHORS'!$C$7:$C$766,"&lt;="&amp;G427)-1)/(2*(H427-1)))</x:f>
      </x:c>
      <x:c r="J427" s="34" t="str">
        <x:f>IF(B427="","",IF(COUNT(E427)=0,"MISSING",IF(NOT(ISNUMBER(E427)),"INVALID",IF(E427*F427&lt;K427,"WINSORIZED LOW",IF(E427*F427&gt;L427,"WINSORIZED HIGH","OK")))))</x:f>
      </x:c>
      <x:c r="K427" s="34" t="n">
        <x:v>-0.1416111014</x:v>
      </x:c>
      <x:c r="L427" s="34" t="n">
        <x:v>0.2683650488</x:v>
      </x:c>
      <x:c r="M427" s="34" t="n">
        <x:v>0.1111111111111111</x:v>
      </x:c>
      <x:c r="N427" s="34" t="str">
        <x:v>no</x:v>
      </x:c>
    </x:row>
    <x:row r="428">
      <x:c r="A428" s="34" t="n">
        <x:v>43</x:v>
      </x:c>
      <x:c r="B428" s="34" t="str">
        <x:f>IF('01_INPUT_COMPANIES'!$A$49="","",'01_INPUT_COMPANIES'!$A$49)</x:f>
      </x:c>
      <x:c r="C428" s="34" t="str">
        <x:f>IF(B428="","",'01_INPUT_COMPANIES'!$B$49)</x:f>
      </x:c>
      <x:c r="D428" s="34" t="str">
        <x:v>infra_dependency_ratio</x:v>
      </x:c>
      <x:c r="E428" s="42" t="str">
        <x:f>IF(OR(B428="",COUNT('01_INPUT_COMPANIES'!$U$49)=0),"",'01_INPUT_COMPANIES'!$U$49)</x:f>
      </x:c>
      <x:c r="F428" s="42" t="n">
        <x:v>1</x:v>
      </x:c>
      <x:c r="G428" s="42" t="str">
        <x:f>IF(NOT(ISNUMBER(E428)),"",MAX(K428,MIN(L428,E428*F428)))</x:f>
      </x:c>
      <x:c r="H428" s="42" t="n">
        <x:v>64</x:v>
      </x:c>
      <x:c r="I428" s="42" t="str">
        <x:f>IF(COUNT(G428)=0,"",(COUNTIFS('93_REF_ANCHORS'!$A$7:$A$766,D428,'93_REF_ANCHORS'!$C$7:$C$766,"&lt;"&amp;G428)+COUNTIFS('93_REF_ANCHORS'!$A$7:$A$766,D428,'93_REF_ANCHORS'!$C$7:$C$766,"&lt;="&amp;G428)-1)/(2*(H428-1)))</x:f>
      </x:c>
      <x:c r="J428" s="34" t="str">
        <x:f>IF(B428="","",IF(COUNT(E428)=0,"MISSING",IF(NOT(ISNUMBER(E428)),"INVALID",IF(E428*F428&lt;K428,"WINSORIZED LOW",IF(E428*F428&gt;L428,"WINSORIZED HIGH","OK")))))</x:f>
      </x:c>
      <x:c r="K428" s="34" t="n">
        <x:v>-0.10705024705171803</x:v>
      </x:c>
      <x:c r="L428" s="34" t="n">
        <x:v>0.8008753865408955</x:v>
      </x:c>
      <x:c r="M428" s="34" t="n">
        <x:v>0.1111111111111111</x:v>
      </x:c>
      <x:c r="N428" s="34" t="str">
        <x:v>no</x:v>
      </x:c>
    </x:row>
    <x:row r="429">
      <x:c r="A429" s="34" t="n">
        <x:v>43</x:v>
      </x:c>
      <x:c r="B429" s="34" t="str">
        <x:f>IF('01_INPUT_COMPANIES'!$A$49="","",'01_INPUT_COMPANIES'!$A$49)</x:f>
      </x:c>
      <x:c r="C429" s="34" t="str">
        <x:f>IF(B429="","",'01_INPUT_COMPANIES'!$B$49)</x:f>
      </x:c>
      <x:c r="D429" s="34" t="str">
        <x:v>network_cost_ratio</x:v>
      </x:c>
      <x:c r="E429" s="42" t="str">
        <x:f>IF(OR(B429="",COUNT('01_INPUT_COMPANIES'!$V$49)=0),"",'01_INPUT_COMPANIES'!$V$49)</x:f>
      </x:c>
      <x:c r="F429" s="42" t="n">
        <x:v>1</x:v>
      </x:c>
      <x:c r="G429" s="42" t="str">
        <x:f>IF(NOT(ISNUMBER(E429)),"",MAX(K429,MIN(L429,E429*F429)))</x:f>
      </x:c>
      <x:c r="H429" s="42" t="n">
        <x:v>97</x:v>
      </x:c>
      <x:c r="I429" s="42" t="str">
        <x:f>IF(COUNT(G429)=0,"",(COUNTIFS('93_REF_ANCHORS'!$A$7:$A$766,D429,'93_REF_ANCHORS'!$C$7:$C$766,"&lt;"&amp;G429)+COUNTIFS('93_REF_ANCHORS'!$A$7:$A$766,D429,'93_REF_ANCHORS'!$C$7:$C$766,"&lt;="&amp;G429)-1)/(2*(H429-1)))</x:f>
      </x:c>
      <x:c r="J429" s="34" t="str">
        <x:f>IF(B429="","",IF(COUNT(E429)=0,"MISSING",IF(NOT(ISNUMBER(E429)),"INVALID",IF(E429*F429&lt;K429,"WINSORIZED LOW",IF(E429*F429&gt;L429,"WINSORIZED HIGH","OK")))))</x:f>
      </x:c>
      <x:c r="K429" s="34" t="n">
        <x:v>-0.1395374353</x:v>
      </x:c>
      <x:c r="L429" s="34" t="n">
        <x:v>0.9274274845000001</x:v>
      </x:c>
      <x:c r="M429" s="34" t="n">
        <x:v>0.1111111111111111</x:v>
      </x:c>
      <x:c r="N429" s="34" t="str">
        <x:v>no</x:v>
      </x:c>
    </x:row>
    <x:row r="430">
      <x:c r="A430" s="34" t="n">
        <x:v>43</x:v>
      </x:c>
      <x:c r="B430" s="34" t="str">
        <x:f>IF('01_INPUT_COMPANIES'!$A$49="","",'01_INPUT_COMPANIES'!$A$49)</x:f>
      </x:c>
      <x:c r="C430" s="34" t="str">
        <x:f>IF(B430="","",'01_INPUT_COMPANIES'!$B$49)</x:f>
      </x:c>
      <x:c r="D430" s="34" t="str">
        <x:v>cashflow_recovery_ratio</x:v>
      </x:c>
      <x:c r="E430" s="42" t="str">
        <x:f>IF(OR(B430="",COUNT('01_INPUT_COMPANIES'!$W$49)=0),"",'01_INPUT_COMPANIES'!$W$49)</x:f>
      </x:c>
      <x:c r="F430" s="42" t="n">
        <x:v>-1</x:v>
      </x:c>
      <x:c r="G430" s="42" t="str">
        <x:f>IF(NOT(ISNUMBER(E430)),"",MAX(K430,MIN(L430,E430*F430)))</x:f>
      </x:c>
      <x:c r="H430" s="42" t="n">
        <x:v>95</x:v>
      </x:c>
      <x:c r="I430" s="42" t="str">
        <x:f>IF(COUNT(G430)=0,"",(COUNTIFS('93_REF_ANCHORS'!$A$7:$A$766,D430,'93_REF_ANCHORS'!$C$7:$C$766,"&lt;"&amp;G430)+COUNTIFS('93_REF_ANCHORS'!$A$7:$A$766,D430,'93_REF_ANCHORS'!$C$7:$C$766,"&lt;="&amp;G430)-1)/(2*(H430-1)))</x:f>
      </x:c>
      <x:c r="J430" s="34" t="str">
        <x:f>IF(B430="","",IF(COUNT(E430)=0,"MISSING",IF(NOT(ISNUMBER(E430)),"INVALID",IF(E430*F430&lt;K430,"WINSORIZED LOW",IF(E430*F430&gt;L430,"WINSORIZED HIGH","OK")))))</x:f>
      </x:c>
      <x:c r="K430" s="34" t="n">
        <x:v>-300.75</x:v>
      </x:c>
      <x:c r="L430" s="34" t="n">
        <x:v>42.6920305469</x:v>
      </x:c>
      <x:c r="M430" s="34" t="n">
        <x:v>0.08333333333333333</x:v>
      </x:c>
      <x:c r="N430" s="34" t="str">
        <x:v>no</x:v>
      </x:c>
    </x:row>
    <x:row r="431">
      <x:c r="A431" s="34" t="n">
        <x:v>43</x:v>
      </x:c>
      <x:c r="B431" s="34" t="str">
        <x:f>IF('01_INPUT_COMPANIES'!$A$49="","",'01_INPUT_COMPANIES'!$A$49)</x:f>
      </x:c>
      <x:c r="C431" s="34" t="str">
        <x:f>IF(B431="","",'01_INPUT_COMPANIES'!$B$49)</x:f>
      </x:c>
      <x:c r="D431" s="34" t="str">
        <x:v>funding_cost_spread</x:v>
      </x:c>
      <x:c r="E431" s="42" t="str">
        <x:f>IF(OR(B431="",COUNT('01_INPUT_COMPANIES'!$X$49)=0),"",'01_INPUT_COMPANIES'!$X$49)</x:f>
      </x:c>
      <x:c r="F431" s="42" t="n">
        <x:v>1</x:v>
      </x:c>
      <x:c r="G431" s="42" t="str">
        <x:f>IF(NOT(ISNUMBER(E431)),"",MAX(K431,MIN(L431,E431*F431)))</x:f>
      </x:c>
      <x:c r="H431" s="42" t="n">
        <x:v>58</x:v>
      </x:c>
      <x:c r="I431" s="42" t="str">
        <x:f>IF(COUNT(G431)=0,"",(COUNTIFS('93_REF_ANCHORS'!$A$7:$A$766,D431,'93_REF_ANCHORS'!$C$7:$C$766,"&lt;"&amp;G431)+COUNTIFS('93_REF_ANCHORS'!$A$7:$A$766,D431,'93_REF_ANCHORS'!$C$7:$C$766,"&lt;="&amp;G431)-1)/(2*(H431-1)))</x:f>
      </x:c>
      <x:c r="J431" s="34" t="str">
        <x:f>IF(B431="","",IF(COUNT(E431)=0,"MISSING",IF(NOT(ISNUMBER(E431)),"INVALID",IF(E431*F431&lt;K431,"WINSORIZED LOW",IF(E431*F431&gt;L431,"WINSORIZED HIGH","OK")))))</x:f>
      </x:c>
      <x:c r="K431" s="34" t="n">
        <x:v>-0.4430292903</x:v>
      </x:c>
      <x:c r="L431" s="34" t="n">
        <x:v>0.5068913103</x:v>
      </x:c>
      <x:c r="M431" s="34" t="n">
        <x:v>0.08333333333333333</x:v>
      </x:c>
      <x:c r="N431" s="34" t="str">
        <x:v>no</x:v>
      </x:c>
    </x:row>
    <x:row r="432">
      <x:c r="A432" s="34" t="n">
        <x:v>43</x:v>
      </x:c>
      <x:c r="B432" s="34" t="str">
        <x:f>IF('01_INPUT_COMPANIES'!$A$49="","",'01_INPUT_COMPANIES'!$A$49)</x:f>
      </x:c>
      <x:c r="C432" s="34" t="str">
        <x:f>IF(B432="","",'01_INPUT_COMPANIES'!$B$49)</x:f>
      </x:c>
      <x:c r="D432" s="34" t="str">
        <x:v>investment_recovery_ratio</x:v>
      </x:c>
      <x:c r="E432" s="42" t="str">
        <x:f>IF(OR(B432="",COUNT('01_INPUT_COMPANIES'!$Y$49)=0),"",'01_INPUT_COMPANIES'!$Y$49)</x:f>
      </x:c>
      <x:c r="F432" s="42" t="n">
        <x:v>-1</x:v>
      </x:c>
      <x:c r="G432" s="42" t="str">
        <x:f>IF(NOT(ISNUMBER(E432)),"",MAX(K432,MIN(L432,E432*F432)))</x:f>
      </x:c>
      <x:c r="H432" s="42" t="n">
        <x:v>95</x:v>
      </x:c>
      <x:c r="I432" s="42" t="str">
        <x:f>IF(COUNT(G432)=0,"",(COUNTIFS('93_REF_ANCHORS'!$A$7:$A$766,D432,'93_REF_ANCHORS'!$C$7:$C$766,"&lt;"&amp;G432)+COUNTIFS('93_REF_ANCHORS'!$A$7:$A$766,D432,'93_REF_ANCHORS'!$C$7:$C$766,"&lt;="&amp;G432)-1)/(2*(H432-1)))</x:f>
      </x:c>
      <x:c r="J432" s="34" t="str">
        <x:f>IF(B432="","",IF(COUNT(E432)=0,"MISSING",IF(NOT(ISNUMBER(E432)),"INVALID",IF(E432*F432&lt;K432,"WINSORIZED LOW",IF(E432*F432&gt;L432,"WINSORIZED HIGH","OK")))))</x:f>
      </x:c>
      <x:c r="K432" s="34" t="n">
        <x:v>-3163.7500000000014</x:v>
      </x:c>
      <x:c r="L432" s="34" t="n">
        <x:v>189.68191301719997</x:v>
      </x:c>
      <x:c r="M432" s="34" t="n">
        <x:v>0.08333333333333333</x:v>
      </x:c>
      <x:c r="N432" s="34" t="str">
        <x:v>no</x:v>
      </x:c>
    </x:row>
    <x:row r="433">
      <x:c r="A433" s="34" t="n">
        <x:v>43</x:v>
      </x:c>
      <x:c r="B433" s="34" t="str">
        <x:f>IF('01_INPUT_COMPANIES'!$A$49="","",'01_INPUT_COMPANIES'!$A$49)</x:f>
      </x:c>
      <x:c r="C433" s="34" t="str">
        <x:f>IF(B433="","",'01_INPUT_COMPANIES'!$B$49)</x:f>
      </x:c>
      <x:c r="D433" s="34" t="str">
        <x:v>ip_assetization_gap</x:v>
      </x:c>
      <x:c r="E433" s="42" t="str">
        <x:f>IF(OR(B433="",COUNT('01_INPUT_COMPANIES'!$Z$49)=0),"",'01_INPUT_COMPANIES'!$Z$49)</x:f>
      </x:c>
      <x:c r="F433" s="42" t="n">
        <x:v>1</x:v>
      </x:c>
      <x:c r="G433" s="42" t="str">
        <x:f>IF(NOT(ISNUMBER(E433)),"",MAX(K433,MIN(L433,E433*F433)))</x:f>
      </x:c>
      <x:c r="H433" s="42" t="n">
        <x:v>92</x:v>
      </x:c>
      <x:c r="I433" s="42" t="str">
        <x:f>IF(COUNT(G433)=0,"",(COUNTIFS('93_REF_ANCHORS'!$A$7:$A$766,D433,'93_REF_ANCHORS'!$C$7:$C$766,"&lt;"&amp;G433)+COUNTIFS('93_REF_ANCHORS'!$A$7:$A$766,D433,'93_REF_ANCHORS'!$C$7:$C$766,"&lt;="&amp;G433)-1)/(2*(H433-1)))</x:f>
      </x:c>
      <x:c r="J433" s="34" t="str">
        <x:f>IF(B433="","",IF(COUNT(E433)=0,"MISSING",IF(NOT(ISNUMBER(E433)),"INVALID",IF(E433*F433&lt;K433,"WINSORIZED LOW",IF(E433*F433&gt;L433,"WINSORIZED HIGH","OK")))))</x:f>
      </x:c>
      <x:c r="K433" s="34" t="n">
        <x:v>-1.6707152386</x:v>
      </x:c>
      <x:c r="L433" s="34" t="n">
        <x:v>0.7716332556000001</x:v>
      </x:c>
      <x:c r="M433" s="34" t="n">
        <x:v>0.08333333333333333</x:v>
      </x:c>
      <x:c r="N433" s="34" t="str">
        <x:v>no</x:v>
      </x:c>
    </x:row>
    <x:row r="434">
      <x:c r="A434" s="34" t="n">
        <x:v>43</x:v>
      </x:c>
      <x:c r="B434" s="34" t="str">
        <x:f>IF('01_INPUT_COMPANIES'!$A$49="","",'01_INPUT_COMPANIES'!$A$49)</x:f>
      </x:c>
      <x:c r="C434" s="34" t="str">
        <x:f>IF(B434="","",'01_INPUT_COMPANIES'!$B$49)</x:f>
      </x:c>
      <x:c r="D434" s="34" t="str">
        <x:v>cross_market_transfer_index</x:v>
      </x:c>
      <x:c r="E434" s="42" t="str">
        <x:f>IF(OR(B434="",COUNT('01_INPUT_COMPANIES'!$AA$49)=0),"",'01_INPUT_COMPANIES'!$AA$49)</x:f>
      </x:c>
      <x:c r="F434" s="42" t="n">
        <x:v>1</x:v>
      </x:c>
      <x:c r="G434" s="42" t="str">
        <x:f>IF(NOT(ISNUMBER(E434)),"",MAX(K434,MIN(L434,E434*F434)))</x:f>
      </x:c>
      <x:c r="H434" s="42" t="n">
        <x:v>4</x:v>
      </x:c>
      <x:c r="I434" s="42" t="str">
        <x:f>IF(COUNT(G434)=0,"",(COUNTIFS('93_REF_ANCHORS'!$A$7:$A$766,D434,'93_REF_ANCHORS'!$C$7:$C$766,"&lt;"&amp;G434)+COUNTIFS('93_REF_ANCHORS'!$A$7:$A$766,D434,'93_REF_ANCHORS'!$C$7:$C$766,"&lt;="&amp;G434)-1)/(2*(H434-1)))</x:f>
      </x:c>
      <x:c r="J434" s="34" t="str">
        <x:f>IF(B434="","",IF(COUNT(E434)=0,"MISSING",IF(NOT(ISNUMBER(E434)),"INVALID",IF(E434*F434&lt;K434,"WINSORIZED LOW",IF(E434*F434&gt;L434,"WINSORIZED HIGH","OK")))))</x:f>
      </x:c>
      <x:c r="K434" s="34" t="n">
        <x:v>0</x:v>
      </x:c>
      <x:c r="L434" s="34" t="n">
        <x:v>0.7587051325360435</x:v>
      </x:c>
      <x:c r="M434" s="34" t="n">
        <x:v>0.1111111111111111</x:v>
      </x:c>
      <x:c r="N434" s="34" t="str">
        <x:v>yes</x:v>
      </x:c>
    </x:row>
    <x:row r="435">
      <x:c r="A435" s="34" t="n">
        <x:v>43</x:v>
      </x:c>
      <x:c r="B435" s="34" t="str">
        <x:f>IF('01_INPUT_COMPANIES'!$A$49="","",'01_INPUT_COMPANIES'!$A$49)</x:f>
      </x:c>
      <x:c r="C435" s="34" t="str">
        <x:f>IF(B435="","",'01_INPUT_COMPANIES'!$B$49)</x:f>
      </x:c>
      <x:c r="D435" s="34" t="str">
        <x:v>foreign_dependency_ratio</x:v>
      </x:c>
      <x:c r="E435" s="42" t="str">
        <x:f>IF(OR(B435="",COUNT('01_INPUT_COMPANIES'!$AB$49)=0),"",'01_INPUT_COMPANIES'!$AB$49)</x:f>
      </x:c>
      <x:c r="F435" s="42" t="n">
        <x:v>1</x:v>
      </x:c>
      <x:c r="G435" s="42" t="str">
        <x:f>IF(NOT(ISNUMBER(E435)),"",MAX(K435,MIN(L435,E435*F435)))</x:f>
      </x:c>
      <x:c r="H435" s="42" t="n">
        <x:v>84</x:v>
      </x:c>
      <x:c r="I435" s="42" t="str">
        <x:f>IF(COUNT(G435)=0,"",(COUNTIFS('93_REF_ANCHORS'!$A$7:$A$766,D435,'93_REF_ANCHORS'!$C$7:$C$766,"&lt;"&amp;G435)+COUNTIFS('93_REF_ANCHORS'!$A$7:$A$766,D435,'93_REF_ANCHORS'!$C$7:$C$766,"&lt;="&amp;G435)-1)/(2*(H435-1)))</x:f>
      </x:c>
      <x:c r="J435" s="34" t="str">
        <x:f>IF(B435="","",IF(COUNT(E435)=0,"MISSING",IF(NOT(ISNUMBER(E435)),"INVALID",IF(E435*F435&lt;K435,"WINSORIZED LOW",IF(E435*F435&gt;L435,"WINSORIZED HIGH","OK")))))</x:f>
      </x:c>
      <x:c r="K435" s="34" t="n">
        <x:v>0.728196</x:v>
      </x:c>
      <x:c r="L435" s="34" t="n">
        <x:v>0.94</x:v>
      </x:c>
      <x:c r="M435" s="34" t="n">
        <x:v>0.1111111111111111</x:v>
      </x:c>
      <x:c r="N435" s="34" t="str">
        <x:v>yes</x:v>
      </x:c>
    </x:row>
    <x:row r="436">
      <x:c r="A436" s="34" t="n">
        <x:v>43</x:v>
      </x:c>
      <x:c r="B436" s="34" t="str">
        <x:f>IF('01_INPUT_COMPANIES'!$A$49="","",'01_INPUT_COMPANIES'!$A$49)</x:f>
      </x:c>
      <x:c r="C436" s="34" t="str">
        <x:f>IF(B436="","",'01_INPUT_COMPANIES'!$B$49)</x:f>
      </x:c>
      <x:c r="D436" s="34" t="str">
        <x:v>outflow_to_capex_ratio</x:v>
      </x:c>
      <x:c r="E436" s="42" t="str">
        <x:f>IF(OR(B436="",COUNT('01_INPUT_COMPANIES'!$AC$49)=0),"",'01_INPUT_COMPANIES'!$AC$49)</x:f>
      </x:c>
      <x:c r="F436" s="42" t="n">
        <x:v>1</x:v>
      </x:c>
      <x:c r="G436" s="42" t="str">
        <x:f>IF(NOT(ISNUMBER(E436)),"",MAX(K436,MIN(L436,E436*F436)))</x:f>
      </x:c>
      <x:c r="H436" s="42" t="n">
        <x:v>97</x:v>
      </x:c>
      <x:c r="I436" s="42" t="str">
        <x:f>IF(COUNT(G436)=0,"",(COUNTIFS('93_REF_ANCHORS'!$A$7:$A$766,D436,'93_REF_ANCHORS'!$C$7:$C$766,"&lt;"&amp;G436)+COUNTIFS('93_REF_ANCHORS'!$A$7:$A$766,D436,'93_REF_ANCHORS'!$C$7:$C$766,"&lt;="&amp;G436)-1)/(2*(H436-1)))</x:f>
      </x:c>
      <x:c r="J436" s="34" t="str">
        <x:f>IF(B436="","",IF(COUNT(E436)=0,"MISSING",IF(NOT(ISNUMBER(E436)),"INVALID",IF(E436*F436&lt;K436,"WINSORIZED LOW",IF(E436*F436&gt;L436,"WINSORIZED HIGH","OK")))))</x:f>
      </x:c>
      <x:c r="K436" s="34" t="n">
        <x:v>-123.5385890408</x:v>
      </x:c>
      <x:c r="L436" s="34" t="n">
        <x:v>974.1666666666999</x:v>
      </x:c>
      <x:c r="M436" s="34" t="n">
        <x:v>0.1111111111111111</x:v>
      </x:c>
      <x:c r="N436" s="34" t="str">
        <x:v>no</x:v>
      </x:c>
    </x:row>
    <x:row r="437">
      <x:c r="A437" s="34" t="n">
        <x:v>44</x:v>
      </x:c>
      <x:c r="B437" s="34" t="str">
        <x:f>IF('01_INPUT_COMPANIES'!$A$50="","",'01_INPUT_COMPANIES'!$A$50)</x:f>
      </x:c>
      <x:c r="C437" s="34" t="str">
        <x:f>IF(B437="","",'01_INPUT_COMPANIES'!$B$50)</x:f>
      </x:c>
      <x:c r="D437" s="34" t="str">
        <x:v>effective_tax_rate_gap</x:v>
      </x:c>
      <x:c r="E437" s="42" t="str">
        <x:f>IF(OR(B437="",COUNT('01_INPUT_COMPANIES'!$T$50)=0),"",'01_INPUT_COMPANIES'!$T$50)</x:f>
      </x:c>
      <x:c r="F437" s="42" t="n">
        <x:v>1</x:v>
      </x:c>
      <x:c r="G437" s="42" t="str">
        <x:f>IF(NOT(ISNUMBER(E437)),"",MAX(K437,MIN(L437,E437*F437)))</x:f>
      </x:c>
      <x:c r="H437" s="42" t="n">
        <x:v>74</x:v>
      </x:c>
      <x:c r="I437" s="42" t="str">
        <x:f>IF(COUNT(G437)=0,"",(COUNTIFS('93_REF_ANCHORS'!$A$7:$A$766,D437,'93_REF_ANCHORS'!$C$7:$C$766,"&lt;"&amp;G437)+COUNTIFS('93_REF_ANCHORS'!$A$7:$A$766,D437,'93_REF_ANCHORS'!$C$7:$C$766,"&lt;="&amp;G437)-1)/(2*(H437-1)))</x:f>
      </x:c>
      <x:c r="J437" s="34" t="str">
        <x:f>IF(B437="","",IF(COUNT(E437)=0,"MISSING",IF(NOT(ISNUMBER(E437)),"INVALID",IF(E437*F437&lt;K437,"WINSORIZED LOW",IF(E437*F437&gt;L437,"WINSORIZED HIGH","OK")))))</x:f>
      </x:c>
      <x:c r="K437" s="34" t="n">
        <x:v>-0.1416111014</x:v>
      </x:c>
      <x:c r="L437" s="34" t="n">
        <x:v>0.2683650488</x:v>
      </x:c>
      <x:c r="M437" s="34" t="n">
        <x:v>0.1111111111111111</x:v>
      </x:c>
      <x:c r="N437" s="34" t="str">
        <x:v>no</x:v>
      </x:c>
    </x:row>
    <x:row r="438">
      <x:c r="A438" s="34" t="n">
        <x:v>44</x:v>
      </x:c>
      <x:c r="B438" s="34" t="str">
        <x:f>IF('01_INPUT_COMPANIES'!$A$50="","",'01_INPUT_COMPANIES'!$A$50)</x:f>
      </x:c>
      <x:c r="C438" s="34" t="str">
        <x:f>IF(B438="","",'01_INPUT_COMPANIES'!$B$50)</x:f>
      </x:c>
      <x:c r="D438" s="34" t="str">
        <x:v>infra_dependency_ratio</x:v>
      </x:c>
      <x:c r="E438" s="42" t="str">
        <x:f>IF(OR(B438="",COUNT('01_INPUT_COMPANIES'!$U$50)=0),"",'01_INPUT_COMPANIES'!$U$50)</x:f>
      </x:c>
      <x:c r="F438" s="42" t="n">
        <x:v>1</x:v>
      </x:c>
      <x:c r="G438" s="42" t="str">
        <x:f>IF(NOT(ISNUMBER(E438)),"",MAX(K438,MIN(L438,E438*F438)))</x:f>
      </x:c>
      <x:c r="H438" s="42" t="n">
        <x:v>64</x:v>
      </x:c>
      <x:c r="I438" s="42" t="str">
        <x:f>IF(COUNT(G438)=0,"",(COUNTIFS('93_REF_ANCHORS'!$A$7:$A$766,D438,'93_REF_ANCHORS'!$C$7:$C$766,"&lt;"&amp;G438)+COUNTIFS('93_REF_ANCHORS'!$A$7:$A$766,D438,'93_REF_ANCHORS'!$C$7:$C$766,"&lt;="&amp;G438)-1)/(2*(H438-1)))</x:f>
      </x:c>
      <x:c r="J438" s="34" t="str">
        <x:f>IF(B438="","",IF(COUNT(E438)=0,"MISSING",IF(NOT(ISNUMBER(E438)),"INVALID",IF(E438*F438&lt;K438,"WINSORIZED LOW",IF(E438*F438&gt;L438,"WINSORIZED HIGH","OK")))))</x:f>
      </x:c>
      <x:c r="K438" s="34" t="n">
        <x:v>-0.10705024705171803</x:v>
      </x:c>
      <x:c r="L438" s="34" t="n">
        <x:v>0.8008753865408955</x:v>
      </x:c>
      <x:c r="M438" s="34" t="n">
        <x:v>0.1111111111111111</x:v>
      </x:c>
      <x:c r="N438" s="34" t="str">
        <x:v>no</x:v>
      </x:c>
    </x:row>
    <x:row r="439">
      <x:c r="A439" s="34" t="n">
        <x:v>44</x:v>
      </x:c>
      <x:c r="B439" s="34" t="str">
        <x:f>IF('01_INPUT_COMPANIES'!$A$50="","",'01_INPUT_COMPANIES'!$A$50)</x:f>
      </x:c>
      <x:c r="C439" s="34" t="str">
        <x:f>IF(B439="","",'01_INPUT_COMPANIES'!$B$50)</x:f>
      </x:c>
      <x:c r="D439" s="34" t="str">
        <x:v>network_cost_ratio</x:v>
      </x:c>
      <x:c r="E439" s="42" t="str">
        <x:f>IF(OR(B439="",COUNT('01_INPUT_COMPANIES'!$V$50)=0),"",'01_INPUT_COMPANIES'!$V$50)</x:f>
      </x:c>
      <x:c r="F439" s="42" t="n">
        <x:v>1</x:v>
      </x:c>
      <x:c r="G439" s="42" t="str">
        <x:f>IF(NOT(ISNUMBER(E439)),"",MAX(K439,MIN(L439,E439*F439)))</x:f>
      </x:c>
      <x:c r="H439" s="42" t="n">
        <x:v>97</x:v>
      </x:c>
      <x:c r="I439" s="42" t="str">
        <x:f>IF(COUNT(G439)=0,"",(COUNTIFS('93_REF_ANCHORS'!$A$7:$A$766,D439,'93_REF_ANCHORS'!$C$7:$C$766,"&lt;"&amp;G439)+COUNTIFS('93_REF_ANCHORS'!$A$7:$A$766,D439,'93_REF_ANCHORS'!$C$7:$C$766,"&lt;="&amp;G439)-1)/(2*(H439-1)))</x:f>
      </x:c>
      <x:c r="J439" s="34" t="str">
        <x:f>IF(B439="","",IF(COUNT(E439)=0,"MISSING",IF(NOT(ISNUMBER(E439)),"INVALID",IF(E439*F439&lt;K439,"WINSORIZED LOW",IF(E439*F439&gt;L439,"WINSORIZED HIGH","OK")))))</x:f>
      </x:c>
      <x:c r="K439" s="34" t="n">
        <x:v>-0.1395374353</x:v>
      </x:c>
      <x:c r="L439" s="34" t="n">
        <x:v>0.9274274845000001</x:v>
      </x:c>
      <x:c r="M439" s="34" t="n">
        <x:v>0.1111111111111111</x:v>
      </x:c>
      <x:c r="N439" s="34" t="str">
        <x:v>no</x:v>
      </x:c>
    </x:row>
    <x:row r="440">
      <x:c r="A440" s="34" t="n">
        <x:v>44</x:v>
      </x:c>
      <x:c r="B440" s="34" t="str">
        <x:f>IF('01_INPUT_COMPANIES'!$A$50="","",'01_INPUT_COMPANIES'!$A$50)</x:f>
      </x:c>
      <x:c r="C440" s="34" t="str">
        <x:f>IF(B440="","",'01_INPUT_COMPANIES'!$B$50)</x:f>
      </x:c>
      <x:c r="D440" s="34" t="str">
        <x:v>cashflow_recovery_ratio</x:v>
      </x:c>
      <x:c r="E440" s="42" t="str">
        <x:f>IF(OR(B440="",COUNT('01_INPUT_COMPANIES'!$W$50)=0),"",'01_INPUT_COMPANIES'!$W$50)</x:f>
      </x:c>
      <x:c r="F440" s="42" t="n">
        <x:v>-1</x:v>
      </x:c>
      <x:c r="G440" s="42" t="str">
        <x:f>IF(NOT(ISNUMBER(E440)),"",MAX(K440,MIN(L440,E440*F440)))</x:f>
      </x:c>
      <x:c r="H440" s="42" t="n">
        <x:v>95</x:v>
      </x:c>
      <x:c r="I440" s="42" t="str">
        <x:f>IF(COUNT(G440)=0,"",(COUNTIFS('93_REF_ANCHORS'!$A$7:$A$766,D440,'93_REF_ANCHORS'!$C$7:$C$766,"&lt;"&amp;G440)+COUNTIFS('93_REF_ANCHORS'!$A$7:$A$766,D440,'93_REF_ANCHORS'!$C$7:$C$766,"&lt;="&amp;G440)-1)/(2*(H440-1)))</x:f>
      </x:c>
      <x:c r="J440" s="34" t="str">
        <x:f>IF(B440="","",IF(COUNT(E440)=0,"MISSING",IF(NOT(ISNUMBER(E440)),"INVALID",IF(E440*F440&lt;K440,"WINSORIZED LOW",IF(E440*F440&gt;L440,"WINSORIZED HIGH","OK")))))</x:f>
      </x:c>
      <x:c r="K440" s="34" t="n">
        <x:v>-300.75</x:v>
      </x:c>
      <x:c r="L440" s="34" t="n">
        <x:v>42.6920305469</x:v>
      </x:c>
      <x:c r="M440" s="34" t="n">
        <x:v>0.08333333333333333</x:v>
      </x:c>
      <x:c r="N440" s="34" t="str">
        <x:v>no</x:v>
      </x:c>
    </x:row>
    <x:row r="441">
      <x:c r="A441" s="34" t="n">
        <x:v>44</x:v>
      </x:c>
      <x:c r="B441" s="34" t="str">
        <x:f>IF('01_INPUT_COMPANIES'!$A$50="","",'01_INPUT_COMPANIES'!$A$50)</x:f>
      </x:c>
      <x:c r="C441" s="34" t="str">
        <x:f>IF(B441="","",'01_INPUT_COMPANIES'!$B$50)</x:f>
      </x:c>
      <x:c r="D441" s="34" t="str">
        <x:v>funding_cost_spread</x:v>
      </x:c>
      <x:c r="E441" s="42" t="str">
        <x:f>IF(OR(B441="",COUNT('01_INPUT_COMPANIES'!$X$50)=0),"",'01_INPUT_COMPANIES'!$X$50)</x:f>
      </x:c>
      <x:c r="F441" s="42" t="n">
        <x:v>1</x:v>
      </x:c>
      <x:c r="G441" s="42" t="str">
        <x:f>IF(NOT(ISNUMBER(E441)),"",MAX(K441,MIN(L441,E441*F441)))</x:f>
      </x:c>
      <x:c r="H441" s="42" t="n">
        <x:v>58</x:v>
      </x:c>
      <x:c r="I441" s="42" t="str">
        <x:f>IF(COUNT(G441)=0,"",(COUNTIFS('93_REF_ANCHORS'!$A$7:$A$766,D441,'93_REF_ANCHORS'!$C$7:$C$766,"&lt;"&amp;G441)+COUNTIFS('93_REF_ANCHORS'!$A$7:$A$766,D441,'93_REF_ANCHORS'!$C$7:$C$766,"&lt;="&amp;G441)-1)/(2*(H441-1)))</x:f>
      </x:c>
      <x:c r="J441" s="34" t="str">
        <x:f>IF(B441="","",IF(COUNT(E441)=0,"MISSING",IF(NOT(ISNUMBER(E441)),"INVALID",IF(E441*F441&lt;K441,"WINSORIZED LOW",IF(E441*F441&gt;L441,"WINSORIZED HIGH","OK")))))</x:f>
      </x:c>
      <x:c r="K441" s="34" t="n">
        <x:v>-0.4430292903</x:v>
      </x:c>
      <x:c r="L441" s="34" t="n">
        <x:v>0.5068913103</x:v>
      </x:c>
      <x:c r="M441" s="34" t="n">
        <x:v>0.08333333333333333</x:v>
      </x:c>
      <x:c r="N441" s="34" t="str">
        <x:v>no</x:v>
      </x:c>
    </x:row>
    <x:row r="442">
      <x:c r="A442" s="34" t="n">
        <x:v>44</x:v>
      </x:c>
      <x:c r="B442" s="34" t="str">
        <x:f>IF('01_INPUT_COMPANIES'!$A$50="","",'01_INPUT_COMPANIES'!$A$50)</x:f>
      </x:c>
      <x:c r="C442" s="34" t="str">
        <x:f>IF(B442="","",'01_INPUT_COMPANIES'!$B$50)</x:f>
      </x:c>
      <x:c r="D442" s="34" t="str">
        <x:v>investment_recovery_ratio</x:v>
      </x:c>
      <x:c r="E442" s="42" t="str">
        <x:f>IF(OR(B442="",COUNT('01_INPUT_COMPANIES'!$Y$50)=0),"",'01_INPUT_COMPANIES'!$Y$50)</x:f>
      </x:c>
      <x:c r="F442" s="42" t="n">
        <x:v>-1</x:v>
      </x:c>
      <x:c r="G442" s="42" t="str">
        <x:f>IF(NOT(ISNUMBER(E442)),"",MAX(K442,MIN(L442,E442*F442)))</x:f>
      </x:c>
      <x:c r="H442" s="42" t="n">
        <x:v>95</x:v>
      </x:c>
      <x:c r="I442" s="42" t="str">
        <x:f>IF(COUNT(G442)=0,"",(COUNTIFS('93_REF_ANCHORS'!$A$7:$A$766,D442,'93_REF_ANCHORS'!$C$7:$C$766,"&lt;"&amp;G442)+COUNTIFS('93_REF_ANCHORS'!$A$7:$A$766,D442,'93_REF_ANCHORS'!$C$7:$C$766,"&lt;="&amp;G442)-1)/(2*(H442-1)))</x:f>
      </x:c>
      <x:c r="J442" s="34" t="str">
        <x:f>IF(B442="","",IF(COUNT(E442)=0,"MISSING",IF(NOT(ISNUMBER(E442)),"INVALID",IF(E442*F442&lt;K442,"WINSORIZED LOW",IF(E442*F442&gt;L442,"WINSORIZED HIGH","OK")))))</x:f>
      </x:c>
      <x:c r="K442" s="34" t="n">
        <x:v>-3163.7500000000014</x:v>
      </x:c>
      <x:c r="L442" s="34" t="n">
        <x:v>189.68191301719997</x:v>
      </x:c>
      <x:c r="M442" s="34" t="n">
        <x:v>0.08333333333333333</x:v>
      </x:c>
      <x:c r="N442" s="34" t="str">
        <x:v>no</x:v>
      </x:c>
    </x:row>
    <x:row r="443">
      <x:c r="A443" s="34" t="n">
        <x:v>44</x:v>
      </x:c>
      <x:c r="B443" s="34" t="str">
        <x:f>IF('01_INPUT_COMPANIES'!$A$50="","",'01_INPUT_COMPANIES'!$A$50)</x:f>
      </x:c>
      <x:c r="C443" s="34" t="str">
        <x:f>IF(B443="","",'01_INPUT_COMPANIES'!$B$50)</x:f>
      </x:c>
      <x:c r="D443" s="34" t="str">
        <x:v>ip_assetization_gap</x:v>
      </x:c>
      <x:c r="E443" s="42" t="str">
        <x:f>IF(OR(B443="",COUNT('01_INPUT_COMPANIES'!$Z$50)=0),"",'01_INPUT_COMPANIES'!$Z$50)</x:f>
      </x:c>
      <x:c r="F443" s="42" t="n">
        <x:v>1</x:v>
      </x:c>
      <x:c r="G443" s="42" t="str">
        <x:f>IF(NOT(ISNUMBER(E443)),"",MAX(K443,MIN(L443,E443*F443)))</x:f>
      </x:c>
      <x:c r="H443" s="42" t="n">
        <x:v>92</x:v>
      </x:c>
      <x:c r="I443" s="42" t="str">
        <x:f>IF(COUNT(G443)=0,"",(COUNTIFS('93_REF_ANCHORS'!$A$7:$A$766,D443,'93_REF_ANCHORS'!$C$7:$C$766,"&lt;"&amp;G443)+COUNTIFS('93_REF_ANCHORS'!$A$7:$A$766,D443,'93_REF_ANCHORS'!$C$7:$C$766,"&lt;="&amp;G443)-1)/(2*(H443-1)))</x:f>
      </x:c>
      <x:c r="J443" s="34" t="str">
        <x:f>IF(B443="","",IF(COUNT(E443)=0,"MISSING",IF(NOT(ISNUMBER(E443)),"INVALID",IF(E443*F443&lt;K443,"WINSORIZED LOW",IF(E443*F443&gt;L443,"WINSORIZED HIGH","OK")))))</x:f>
      </x:c>
      <x:c r="K443" s="34" t="n">
        <x:v>-1.6707152386</x:v>
      </x:c>
      <x:c r="L443" s="34" t="n">
        <x:v>0.7716332556000001</x:v>
      </x:c>
      <x:c r="M443" s="34" t="n">
        <x:v>0.08333333333333333</x:v>
      </x:c>
      <x:c r="N443" s="34" t="str">
        <x:v>no</x:v>
      </x:c>
    </x:row>
    <x:row r="444">
      <x:c r="A444" s="34" t="n">
        <x:v>44</x:v>
      </x:c>
      <x:c r="B444" s="34" t="str">
        <x:f>IF('01_INPUT_COMPANIES'!$A$50="","",'01_INPUT_COMPANIES'!$A$50)</x:f>
      </x:c>
      <x:c r="C444" s="34" t="str">
        <x:f>IF(B444="","",'01_INPUT_COMPANIES'!$B$50)</x:f>
      </x:c>
      <x:c r="D444" s="34" t="str">
        <x:v>cross_market_transfer_index</x:v>
      </x:c>
      <x:c r="E444" s="42" t="str">
        <x:f>IF(OR(B444="",COUNT('01_INPUT_COMPANIES'!$AA$50)=0),"",'01_INPUT_COMPANIES'!$AA$50)</x:f>
      </x:c>
      <x:c r="F444" s="42" t="n">
        <x:v>1</x:v>
      </x:c>
      <x:c r="G444" s="42" t="str">
        <x:f>IF(NOT(ISNUMBER(E444)),"",MAX(K444,MIN(L444,E444*F444)))</x:f>
      </x:c>
      <x:c r="H444" s="42" t="n">
        <x:v>4</x:v>
      </x:c>
      <x:c r="I444" s="42" t="str">
        <x:f>IF(COUNT(G444)=0,"",(COUNTIFS('93_REF_ANCHORS'!$A$7:$A$766,D444,'93_REF_ANCHORS'!$C$7:$C$766,"&lt;"&amp;G444)+COUNTIFS('93_REF_ANCHORS'!$A$7:$A$766,D444,'93_REF_ANCHORS'!$C$7:$C$766,"&lt;="&amp;G444)-1)/(2*(H444-1)))</x:f>
      </x:c>
      <x:c r="J444" s="34" t="str">
        <x:f>IF(B444="","",IF(COUNT(E444)=0,"MISSING",IF(NOT(ISNUMBER(E444)),"INVALID",IF(E444*F444&lt;K444,"WINSORIZED LOW",IF(E444*F444&gt;L444,"WINSORIZED HIGH","OK")))))</x:f>
      </x:c>
      <x:c r="K444" s="34" t="n">
        <x:v>0</x:v>
      </x:c>
      <x:c r="L444" s="34" t="n">
        <x:v>0.7587051325360435</x:v>
      </x:c>
      <x:c r="M444" s="34" t="n">
        <x:v>0.1111111111111111</x:v>
      </x:c>
      <x:c r="N444" s="34" t="str">
        <x:v>yes</x:v>
      </x:c>
    </x:row>
    <x:row r="445">
      <x:c r="A445" s="34" t="n">
        <x:v>44</x:v>
      </x:c>
      <x:c r="B445" s="34" t="str">
        <x:f>IF('01_INPUT_COMPANIES'!$A$50="","",'01_INPUT_COMPANIES'!$A$50)</x:f>
      </x:c>
      <x:c r="C445" s="34" t="str">
        <x:f>IF(B445="","",'01_INPUT_COMPANIES'!$B$50)</x:f>
      </x:c>
      <x:c r="D445" s="34" t="str">
        <x:v>foreign_dependency_ratio</x:v>
      </x:c>
      <x:c r="E445" s="42" t="str">
        <x:f>IF(OR(B445="",COUNT('01_INPUT_COMPANIES'!$AB$50)=0),"",'01_INPUT_COMPANIES'!$AB$50)</x:f>
      </x:c>
      <x:c r="F445" s="42" t="n">
        <x:v>1</x:v>
      </x:c>
      <x:c r="G445" s="42" t="str">
        <x:f>IF(NOT(ISNUMBER(E445)),"",MAX(K445,MIN(L445,E445*F445)))</x:f>
      </x:c>
      <x:c r="H445" s="42" t="n">
        <x:v>84</x:v>
      </x:c>
      <x:c r="I445" s="42" t="str">
        <x:f>IF(COUNT(G445)=0,"",(COUNTIFS('93_REF_ANCHORS'!$A$7:$A$766,D445,'93_REF_ANCHORS'!$C$7:$C$766,"&lt;"&amp;G445)+COUNTIFS('93_REF_ANCHORS'!$A$7:$A$766,D445,'93_REF_ANCHORS'!$C$7:$C$766,"&lt;="&amp;G445)-1)/(2*(H445-1)))</x:f>
      </x:c>
      <x:c r="J445" s="34" t="str">
        <x:f>IF(B445="","",IF(COUNT(E445)=0,"MISSING",IF(NOT(ISNUMBER(E445)),"INVALID",IF(E445*F445&lt;K445,"WINSORIZED LOW",IF(E445*F445&gt;L445,"WINSORIZED HIGH","OK")))))</x:f>
      </x:c>
      <x:c r="K445" s="34" t="n">
        <x:v>0.728196</x:v>
      </x:c>
      <x:c r="L445" s="34" t="n">
        <x:v>0.94</x:v>
      </x:c>
      <x:c r="M445" s="34" t="n">
        <x:v>0.1111111111111111</x:v>
      </x:c>
      <x:c r="N445" s="34" t="str">
        <x:v>yes</x:v>
      </x:c>
    </x:row>
    <x:row r="446">
      <x:c r="A446" s="34" t="n">
        <x:v>44</x:v>
      </x:c>
      <x:c r="B446" s="34" t="str">
        <x:f>IF('01_INPUT_COMPANIES'!$A$50="","",'01_INPUT_COMPANIES'!$A$50)</x:f>
      </x:c>
      <x:c r="C446" s="34" t="str">
        <x:f>IF(B446="","",'01_INPUT_COMPANIES'!$B$50)</x:f>
      </x:c>
      <x:c r="D446" s="34" t="str">
        <x:v>outflow_to_capex_ratio</x:v>
      </x:c>
      <x:c r="E446" s="42" t="str">
        <x:f>IF(OR(B446="",COUNT('01_INPUT_COMPANIES'!$AC$50)=0),"",'01_INPUT_COMPANIES'!$AC$50)</x:f>
      </x:c>
      <x:c r="F446" s="42" t="n">
        <x:v>1</x:v>
      </x:c>
      <x:c r="G446" s="42" t="str">
        <x:f>IF(NOT(ISNUMBER(E446)),"",MAX(K446,MIN(L446,E446*F446)))</x:f>
      </x:c>
      <x:c r="H446" s="42" t="n">
        <x:v>97</x:v>
      </x:c>
      <x:c r="I446" s="42" t="str">
        <x:f>IF(COUNT(G446)=0,"",(COUNTIFS('93_REF_ANCHORS'!$A$7:$A$766,D446,'93_REF_ANCHORS'!$C$7:$C$766,"&lt;"&amp;G446)+COUNTIFS('93_REF_ANCHORS'!$A$7:$A$766,D446,'93_REF_ANCHORS'!$C$7:$C$766,"&lt;="&amp;G446)-1)/(2*(H446-1)))</x:f>
      </x:c>
      <x:c r="J446" s="34" t="str">
        <x:f>IF(B446="","",IF(COUNT(E446)=0,"MISSING",IF(NOT(ISNUMBER(E446)),"INVALID",IF(E446*F446&lt;K446,"WINSORIZED LOW",IF(E446*F446&gt;L446,"WINSORIZED HIGH","OK")))))</x:f>
      </x:c>
      <x:c r="K446" s="34" t="n">
        <x:v>-123.5385890408</x:v>
      </x:c>
      <x:c r="L446" s="34" t="n">
        <x:v>974.1666666666999</x:v>
      </x:c>
      <x:c r="M446" s="34" t="n">
        <x:v>0.1111111111111111</x:v>
      </x:c>
      <x:c r="N446" s="34" t="str">
        <x:v>no</x:v>
      </x:c>
    </x:row>
    <x:row r="447">
      <x:c r="A447" s="34" t="n">
        <x:v>45</x:v>
      </x:c>
      <x:c r="B447" s="34" t="str">
        <x:f>IF('01_INPUT_COMPANIES'!$A$51="","",'01_INPUT_COMPANIES'!$A$51)</x:f>
      </x:c>
      <x:c r="C447" s="34" t="str">
        <x:f>IF(B447="","",'01_INPUT_COMPANIES'!$B$51)</x:f>
      </x:c>
      <x:c r="D447" s="34" t="str">
        <x:v>effective_tax_rate_gap</x:v>
      </x:c>
      <x:c r="E447" s="42" t="str">
        <x:f>IF(OR(B447="",COUNT('01_INPUT_COMPANIES'!$T$51)=0),"",'01_INPUT_COMPANIES'!$T$51)</x:f>
      </x:c>
      <x:c r="F447" s="42" t="n">
        <x:v>1</x:v>
      </x:c>
      <x:c r="G447" s="42" t="str">
        <x:f>IF(NOT(ISNUMBER(E447)),"",MAX(K447,MIN(L447,E447*F447)))</x:f>
      </x:c>
      <x:c r="H447" s="42" t="n">
        <x:v>74</x:v>
      </x:c>
      <x:c r="I447" s="42" t="str">
        <x:f>IF(COUNT(G447)=0,"",(COUNTIFS('93_REF_ANCHORS'!$A$7:$A$766,D447,'93_REF_ANCHORS'!$C$7:$C$766,"&lt;"&amp;G447)+COUNTIFS('93_REF_ANCHORS'!$A$7:$A$766,D447,'93_REF_ANCHORS'!$C$7:$C$766,"&lt;="&amp;G447)-1)/(2*(H447-1)))</x:f>
      </x:c>
      <x:c r="J447" s="34" t="str">
        <x:f>IF(B447="","",IF(COUNT(E447)=0,"MISSING",IF(NOT(ISNUMBER(E447)),"INVALID",IF(E447*F447&lt;K447,"WINSORIZED LOW",IF(E447*F447&gt;L447,"WINSORIZED HIGH","OK")))))</x:f>
      </x:c>
      <x:c r="K447" s="34" t="n">
        <x:v>-0.1416111014</x:v>
      </x:c>
      <x:c r="L447" s="34" t="n">
        <x:v>0.2683650488</x:v>
      </x:c>
      <x:c r="M447" s="34" t="n">
        <x:v>0.1111111111111111</x:v>
      </x:c>
      <x:c r="N447" s="34" t="str">
        <x:v>no</x:v>
      </x:c>
    </x:row>
    <x:row r="448">
      <x:c r="A448" s="34" t="n">
        <x:v>45</x:v>
      </x:c>
      <x:c r="B448" s="34" t="str">
        <x:f>IF('01_INPUT_COMPANIES'!$A$51="","",'01_INPUT_COMPANIES'!$A$51)</x:f>
      </x:c>
      <x:c r="C448" s="34" t="str">
        <x:f>IF(B448="","",'01_INPUT_COMPANIES'!$B$51)</x:f>
      </x:c>
      <x:c r="D448" s="34" t="str">
        <x:v>infra_dependency_ratio</x:v>
      </x:c>
      <x:c r="E448" s="42" t="str">
        <x:f>IF(OR(B448="",COUNT('01_INPUT_COMPANIES'!$U$51)=0),"",'01_INPUT_COMPANIES'!$U$51)</x:f>
      </x:c>
      <x:c r="F448" s="42" t="n">
        <x:v>1</x:v>
      </x:c>
      <x:c r="G448" s="42" t="str">
        <x:f>IF(NOT(ISNUMBER(E448)),"",MAX(K448,MIN(L448,E448*F448)))</x:f>
      </x:c>
      <x:c r="H448" s="42" t="n">
        <x:v>64</x:v>
      </x:c>
      <x:c r="I448" s="42" t="str">
        <x:f>IF(COUNT(G448)=0,"",(COUNTIFS('93_REF_ANCHORS'!$A$7:$A$766,D448,'93_REF_ANCHORS'!$C$7:$C$766,"&lt;"&amp;G448)+COUNTIFS('93_REF_ANCHORS'!$A$7:$A$766,D448,'93_REF_ANCHORS'!$C$7:$C$766,"&lt;="&amp;G448)-1)/(2*(H448-1)))</x:f>
      </x:c>
      <x:c r="J448" s="34" t="str">
        <x:f>IF(B448="","",IF(COUNT(E448)=0,"MISSING",IF(NOT(ISNUMBER(E448)),"INVALID",IF(E448*F448&lt;K448,"WINSORIZED LOW",IF(E448*F448&gt;L448,"WINSORIZED HIGH","OK")))))</x:f>
      </x:c>
      <x:c r="K448" s="34" t="n">
        <x:v>-0.10705024705171803</x:v>
      </x:c>
      <x:c r="L448" s="34" t="n">
        <x:v>0.8008753865408955</x:v>
      </x:c>
      <x:c r="M448" s="34" t="n">
        <x:v>0.1111111111111111</x:v>
      </x:c>
      <x:c r="N448" s="34" t="str">
        <x:v>no</x:v>
      </x:c>
    </x:row>
    <x:row r="449">
      <x:c r="A449" s="34" t="n">
        <x:v>45</x:v>
      </x:c>
      <x:c r="B449" s="34" t="str">
        <x:f>IF('01_INPUT_COMPANIES'!$A$51="","",'01_INPUT_COMPANIES'!$A$51)</x:f>
      </x:c>
      <x:c r="C449" s="34" t="str">
        <x:f>IF(B449="","",'01_INPUT_COMPANIES'!$B$51)</x:f>
      </x:c>
      <x:c r="D449" s="34" t="str">
        <x:v>network_cost_ratio</x:v>
      </x:c>
      <x:c r="E449" s="42" t="str">
        <x:f>IF(OR(B449="",COUNT('01_INPUT_COMPANIES'!$V$51)=0),"",'01_INPUT_COMPANIES'!$V$51)</x:f>
      </x:c>
      <x:c r="F449" s="42" t="n">
        <x:v>1</x:v>
      </x:c>
      <x:c r="G449" s="42" t="str">
        <x:f>IF(NOT(ISNUMBER(E449)),"",MAX(K449,MIN(L449,E449*F449)))</x:f>
      </x:c>
      <x:c r="H449" s="42" t="n">
        <x:v>97</x:v>
      </x:c>
      <x:c r="I449" s="42" t="str">
        <x:f>IF(COUNT(G449)=0,"",(COUNTIFS('93_REF_ANCHORS'!$A$7:$A$766,D449,'93_REF_ANCHORS'!$C$7:$C$766,"&lt;"&amp;G449)+COUNTIFS('93_REF_ANCHORS'!$A$7:$A$766,D449,'93_REF_ANCHORS'!$C$7:$C$766,"&lt;="&amp;G449)-1)/(2*(H449-1)))</x:f>
      </x:c>
      <x:c r="J449" s="34" t="str">
        <x:f>IF(B449="","",IF(COUNT(E449)=0,"MISSING",IF(NOT(ISNUMBER(E449)),"INVALID",IF(E449*F449&lt;K449,"WINSORIZED LOW",IF(E449*F449&gt;L449,"WINSORIZED HIGH","OK")))))</x:f>
      </x:c>
      <x:c r="K449" s="34" t="n">
        <x:v>-0.1395374353</x:v>
      </x:c>
      <x:c r="L449" s="34" t="n">
        <x:v>0.9274274845000001</x:v>
      </x:c>
      <x:c r="M449" s="34" t="n">
        <x:v>0.1111111111111111</x:v>
      </x:c>
      <x:c r="N449" s="34" t="str">
        <x:v>no</x:v>
      </x:c>
    </x:row>
    <x:row r="450">
      <x:c r="A450" s="34" t="n">
        <x:v>45</x:v>
      </x:c>
      <x:c r="B450" s="34" t="str">
        <x:f>IF('01_INPUT_COMPANIES'!$A$51="","",'01_INPUT_COMPANIES'!$A$51)</x:f>
      </x:c>
      <x:c r="C450" s="34" t="str">
        <x:f>IF(B450="","",'01_INPUT_COMPANIES'!$B$51)</x:f>
      </x:c>
      <x:c r="D450" s="34" t="str">
        <x:v>cashflow_recovery_ratio</x:v>
      </x:c>
      <x:c r="E450" s="42" t="str">
        <x:f>IF(OR(B450="",COUNT('01_INPUT_COMPANIES'!$W$51)=0),"",'01_INPUT_COMPANIES'!$W$51)</x:f>
      </x:c>
      <x:c r="F450" s="42" t="n">
        <x:v>-1</x:v>
      </x:c>
      <x:c r="G450" s="42" t="str">
        <x:f>IF(NOT(ISNUMBER(E450)),"",MAX(K450,MIN(L450,E450*F450)))</x:f>
      </x:c>
      <x:c r="H450" s="42" t="n">
        <x:v>95</x:v>
      </x:c>
      <x:c r="I450" s="42" t="str">
        <x:f>IF(COUNT(G450)=0,"",(COUNTIFS('93_REF_ANCHORS'!$A$7:$A$766,D450,'93_REF_ANCHORS'!$C$7:$C$766,"&lt;"&amp;G450)+COUNTIFS('93_REF_ANCHORS'!$A$7:$A$766,D450,'93_REF_ANCHORS'!$C$7:$C$766,"&lt;="&amp;G450)-1)/(2*(H450-1)))</x:f>
      </x:c>
      <x:c r="J450" s="34" t="str">
        <x:f>IF(B450="","",IF(COUNT(E450)=0,"MISSING",IF(NOT(ISNUMBER(E450)),"INVALID",IF(E450*F450&lt;K450,"WINSORIZED LOW",IF(E450*F450&gt;L450,"WINSORIZED HIGH","OK")))))</x:f>
      </x:c>
      <x:c r="K450" s="34" t="n">
        <x:v>-300.75</x:v>
      </x:c>
      <x:c r="L450" s="34" t="n">
        <x:v>42.6920305469</x:v>
      </x:c>
      <x:c r="M450" s="34" t="n">
        <x:v>0.08333333333333333</x:v>
      </x:c>
      <x:c r="N450" s="34" t="str">
        <x:v>no</x:v>
      </x:c>
    </x:row>
    <x:row r="451">
      <x:c r="A451" s="34" t="n">
        <x:v>45</x:v>
      </x:c>
      <x:c r="B451" s="34" t="str">
        <x:f>IF('01_INPUT_COMPANIES'!$A$51="","",'01_INPUT_COMPANIES'!$A$51)</x:f>
      </x:c>
      <x:c r="C451" s="34" t="str">
        <x:f>IF(B451="","",'01_INPUT_COMPANIES'!$B$51)</x:f>
      </x:c>
      <x:c r="D451" s="34" t="str">
        <x:v>funding_cost_spread</x:v>
      </x:c>
      <x:c r="E451" s="42" t="str">
        <x:f>IF(OR(B451="",COUNT('01_INPUT_COMPANIES'!$X$51)=0),"",'01_INPUT_COMPANIES'!$X$51)</x:f>
      </x:c>
      <x:c r="F451" s="42" t="n">
        <x:v>1</x:v>
      </x:c>
      <x:c r="G451" s="42" t="str">
        <x:f>IF(NOT(ISNUMBER(E451)),"",MAX(K451,MIN(L451,E451*F451)))</x:f>
      </x:c>
      <x:c r="H451" s="42" t="n">
        <x:v>58</x:v>
      </x:c>
      <x:c r="I451" s="42" t="str">
        <x:f>IF(COUNT(G451)=0,"",(COUNTIFS('93_REF_ANCHORS'!$A$7:$A$766,D451,'93_REF_ANCHORS'!$C$7:$C$766,"&lt;"&amp;G451)+COUNTIFS('93_REF_ANCHORS'!$A$7:$A$766,D451,'93_REF_ANCHORS'!$C$7:$C$766,"&lt;="&amp;G451)-1)/(2*(H451-1)))</x:f>
      </x:c>
      <x:c r="J451" s="34" t="str">
        <x:f>IF(B451="","",IF(COUNT(E451)=0,"MISSING",IF(NOT(ISNUMBER(E451)),"INVALID",IF(E451*F451&lt;K451,"WINSORIZED LOW",IF(E451*F451&gt;L451,"WINSORIZED HIGH","OK")))))</x:f>
      </x:c>
      <x:c r="K451" s="34" t="n">
        <x:v>-0.4430292903</x:v>
      </x:c>
      <x:c r="L451" s="34" t="n">
        <x:v>0.5068913103</x:v>
      </x:c>
      <x:c r="M451" s="34" t="n">
        <x:v>0.08333333333333333</x:v>
      </x:c>
      <x:c r="N451" s="34" t="str">
        <x:v>no</x:v>
      </x:c>
    </x:row>
    <x:row r="452">
      <x:c r="A452" s="34" t="n">
        <x:v>45</x:v>
      </x:c>
      <x:c r="B452" s="34" t="str">
        <x:f>IF('01_INPUT_COMPANIES'!$A$51="","",'01_INPUT_COMPANIES'!$A$51)</x:f>
      </x:c>
      <x:c r="C452" s="34" t="str">
        <x:f>IF(B452="","",'01_INPUT_COMPANIES'!$B$51)</x:f>
      </x:c>
      <x:c r="D452" s="34" t="str">
        <x:v>investment_recovery_ratio</x:v>
      </x:c>
      <x:c r="E452" s="42" t="str">
        <x:f>IF(OR(B452="",COUNT('01_INPUT_COMPANIES'!$Y$51)=0),"",'01_INPUT_COMPANIES'!$Y$51)</x:f>
      </x:c>
      <x:c r="F452" s="42" t="n">
        <x:v>-1</x:v>
      </x:c>
      <x:c r="G452" s="42" t="str">
        <x:f>IF(NOT(ISNUMBER(E452)),"",MAX(K452,MIN(L452,E452*F452)))</x:f>
      </x:c>
      <x:c r="H452" s="42" t="n">
        <x:v>95</x:v>
      </x:c>
      <x:c r="I452" s="42" t="str">
        <x:f>IF(COUNT(G452)=0,"",(COUNTIFS('93_REF_ANCHORS'!$A$7:$A$766,D452,'93_REF_ANCHORS'!$C$7:$C$766,"&lt;"&amp;G452)+COUNTIFS('93_REF_ANCHORS'!$A$7:$A$766,D452,'93_REF_ANCHORS'!$C$7:$C$766,"&lt;="&amp;G452)-1)/(2*(H452-1)))</x:f>
      </x:c>
      <x:c r="J452" s="34" t="str">
        <x:f>IF(B452="","",IF(COUNT(E452)=0,"MISSING",IF(NOT(ISNUMBER(E452)),"INVALID",IF(E452*F452&lt;K452,"WINSORIZED LOW",IF(E452*F452&gt;L452,"WINSORIZED HIGH","OK")))))</x:f>
      </x:c>
      <x:c r="K452" s="34" t="n">
        <x:v>-3163.7500000000014</x:v>
      </x:c>
      <x:c r="L452" s="34" t="n">
        <x:v>189.68191301719997</x:v>
      </x:c>
      <x:c r="M452" s="34" t="n">
        <x:v>0.08333333333333333</x:v>
      </x:c>
      <x:c r="N452" s="34" t="str">
        <x:v>no</x:v>
      </x:c>
    </x:row>
    <x:row r="453">
      <x:c r="A453" s="34" t="n">
        <x:v>45</x:v>
      </x:c>
      <x:c r="B453" s="34" t="str">
        <x:f>IF('01_INPUT_COMPANIES'!$A$51="","",'01_INPUT_COMPANIES'!$A$51)</x:f>
      </x:c>
      <x:c r="C453" s="34" t="str">
        <x:f>IF(B453="","",'01_INPUT_COMPANIES'!$B$51)</x:f>
      </x:c>
      <x:c r="D453" s="34" t="str">
        <x:v>ip_assetization_gap</x:v>
      </x:c>
      <x:c r="E453" s="42" t="str">
        <x:f>IF(OR(B453="",COUNT('01_INPUT_COMPANIES'!$Z$51)=0),"",'01_INPUT_COMPANIES'!$Z$51)</x:f>
      </x:c>
      <x:c r="F453" s="42" t="n">
        <x:v>1</x:v>
      </x:c>
      <x:c r="G453" s="42" t="str">
        <x:f>IF(NOT(ISNUMBER(E453)),"",MAX(K453,MIN(L453,E453*F453)))</x:f>
      </x:c>
      <x:c r="H453" s="42" t="n">
        <x:v>92</x:v>
      </x:c>
      <x:c r="I453" s="42" t="str">
        <x:f>IF(COUNT(G453)=0,"",(COUNTIFS('93_REF_ANCHORS'!$A$7:$A$766,D453,'93_REF_ANCHORS'!$C$7:$C$766,"&lt;"&amp;G453)+COUNTIFS('93_REF_ANCHORS'!$A$7:$A$766,D453,'93_REF_ANCHORS'!$C$7:$C$766,"&lt;="&amp;G453)-1)/(2*(H453-1)))</x:f>
      </x:c>
      <x:c r="J453" s="34" t="str">
        <x:f>IF(B453="","",IF(COUNT(E453)=0,"MISSING",IF(NOT(ISNUMBER(E453)),"INVALID",IF(E453*F453&lt;K453,"WINSORIZED LOW",IF(E453*F453&gt;L453,"WINSORIZED HIGH","OK")))))</x:f>
      </x:c>
      <x:c r="K453" s="34" t="n">
        <x:v>-1.6707152386</x:v>
      </x:c>
      <x:c r="L453" s="34" t="n">
        <x:v>0.7716332556000001</x:v>
      </x:c>
      <x:c r="M453" s="34" t="n">
        <x:v>0.08333333333333333</x:v>
      </x:c>
      <x:c r="N453" s="34" t="str">
        <x:v>no</x:v>
      </x:c>
    </x:row>
    <x:row r="454">
      <x:c r="A454" s="34" t="n">
        <x:v>45</x:v>
      </x:c>
      <x:c r="B454" s="34" t="str">
        <x:f>IF('01_INPUT_COMPANIES'!$A$51="","",'01_INPUT_COMPANIES'!$A$51)</x:f>
      </x:c>
      <x:c r="C454" s="34" t="str">
        <x:f>IF(B454="","",'01_INPUT_COMPANIES'!$B$51)</x:f>
      </x:c>
      <x:c r="D454" s="34" t="str">
        <x:v>cross_market_transfer_index</x:v>
      </x:c>
      <x:c r="E454" s="42" t="str">
        <x:f>IF(OR(B454="",COUNT('01_INPUT_COMPANIES'!$AA$51)=0),"",'01_INPUT_COMPANIES'!$AA$51)</x:f>
      </x:c>
      <x:c r="F454" s="42" t="n">
        <x:v>1</x:v>
      </x:c>
      <x:c r="G454" s="42" t="str">
        <x:f>IF(NOT(ISNUMBER(E454)),"",MAX(K454,MIN(L454,E454*F454)))</x:f>
      </x:c>
      <x:c r="H454" s="42" t="n">
        <x:v>4</x:v>
      </x:c>
      <x:c r="I454" s="42" t="str">
        <x:f>IF(COUNT(G454)=0,"",(COUNTIFS('93_REF_ANCHORS'!$A$7:$A$766,D454,'93_REF_ANCHORS'!$C$7:$C$766,"&lt;"&amp;G454)+COUNTIFS('93_REF_ANCHORS'!$A$7:$A$766,D454,'93_REF_ANCHORS'!$C$7:$C$766,"&lt;="&amp;G454)-1)/(2*(H454-1)))</x:f>
      </x:c>
      <x:c r="J454" s="34" t="str">
        <x:f>IF(B454="","",IF(COUNT(E454)=0,"MISSING",IF(NOT(ISNUMBER(E454)),"INVALID",IF(E454*F454&lt;K454,"WINSORIZED LOW",IF(E454*F454&gt;L454,"WINSORIZED HIGH","OK")))))</x:f>
      </x:c>
      <x:c r="K454" s="34" t="n">
        <x:v>0</x:v>
      </x:c>
      <x:c r="L454" s="34" t="n">
        <x:v>0.7587051325360435</x:v>
      </x:c>
      <x:c r="M454" s="34" t="n">
        <x:v>0.1111111111111111</x:v>
      </x:c>
      <x:c r="N454" s="34" t="str">
        <x:v>yes</x:v>
      </x:c>
    </x:row>
    <x:row r="455">
      <x:c r="A455" s="34" t="n">
        <x:v>45</x:v>
      </x:c>
      <x:c r="B455" s="34" t="str">
        <x:f>IF('01_INPUT_COMPANIES'!$A$51="","",'01_INPUT_COMPANIES'!$A$51)</x:f>
      </x:c>
      <x:c r="C455" s="34" t="str">
        <x:f>IF(B455="","",'01_INPUT_COMPANIES'!$B$51)</x:f>
      </x:c>
      <x:c r="D455" s="34" t="str">
        <x:v>foreign_dependency_ratio</x:v>
      </x:c>
      <x:c r="E455" s="42" t="str">
        <x:f>IF(OR(B455="",COUNT('01_INPUT_COMPANIES'!$AB$51)=0),"",'01_INPUT_COMPANIES'!$AB$51)</x:f>
      </x:c>
      <x:c r="F455" s="42" t="n">
        <x:v>1</x:v>
      </x:c>
      <x:c r="G455" s="42" t="str">
        <x:f>IF(NOT(ISNUMBER(E455)),"",MAX(K455,MIN(L455,E455*F455)))</x:f>
      </x:c>
      <x:c r="H455" s="42" t="n">
        <x:v>84</x:v>
      </x:c>
      <x:c r="I455" s="42" t="str">
        <x:f>IF(COUNT(G455)=0,"",(COUNTIFS('93_REF_ANCHORS'!$A$7:$A$766,D455,'93_REF_ANCHORS'!$C$7:$C$766,"&lt;"&amp;G455)+COUNTIFS('93_REF_ANCHORS'!$A$7:$A$766,D455,'93_REF_ANCHORS'!$C$7:$C$766,"&lt;="&amp;G455)-1)/(2*(H455-1)))</x:f>
      </x:c>
      <x:c r="J455" s="34" t="str">
        <x:f>IF(B455="","",IF(COUNT(E455)=0,"MISSING",IF(NOT(ISNUMBER(E455)),"INVALID",IF(E455*F455&lt;K455,"WINSORIZED LOW",IF(E455*F455&gt;L455,"WINSORIZED HIGH","OK")))))</x:f>
      </x:c>
      <x:c r="K455" s="34" t="n">
        <x:v>0.728196</x:v>
      </x:c>
      <x:c r="L455" s="34" t="n">
        <x:v>0.94</x:v>
      </x:c>
      <x:c r="M455" s="34" t="n">
        <x:v>0.1111111111111111</x:v>
      </x:c>
      <x:c r="N455" s="34" t="str">
        <x:v>yes</x:v>
      </x:c>
    </x:row>
    <x:row r="456">
      <x:c r="A456" s="34" t="n">
        <x:v>45</x:v>
      </x:c>
      <x:c r="B456" s="34" t="str">
        <x:f>IF('01_INPUT_COMPANIES'!$A$51="","",'01_INPUT_COMPANIES'!$A$51)</x:f>
      </x:c>
      <x:c r="C456" s="34" t="str">
        <x:f>IF(B456="","",'01_INPUT_COMPANIES'!$B$51)</x:f>
      </x:c>
      <x:c r="D456" s="34" t="str">
        <x:v>outflow_to_capex_ratio</x:v>
      </x:c>
      <x:c r="E456" s="42" t="str">
        <x:f>IF(OR(B456="",COUNT('01_INPUT_COMPANIES'!$AC$51)=0),"",'01_INPUT_COMPANIES'!$AC$51)</x:f>
      </x:c>
      <x:c r="F456" s="42" t="n">
        <x:v>1</x:v>
      </x:c>
      <x:c r="G456" s="42" t="str">
        <x:f>IF(NOT(ISNUMBER(E456)),"",MAX(K456,MIN(L456,E456*F456)))</x:f>
      </x:c>
      <x:c r="H456" s="42" t="n">
        <x:v>97</x:v>
      </x:c>
      <x:c r="I456" s="42" t="str">
        <x:f>IF(COUNT(G456)=0,"",(COUNTIFS('93_REF_ANCHORS'!$A$7:$A$766,D456,'93_REF_ANCHORS'!$C$7:$C$766,"&lt;"&amp;G456)+COUNTIFS('93_REF_ANCHORS'!$A$7:$A$766,D456,'93_REF_ANCHORS'!$C$7:$C$766,"&lt;="&amp;G456)-1)/(2*(H456-1)))</x:f>
      </x:c>
      <x:c r="J456" s="34" t="str">
        <x:f>IF(B456="","",IF(COUNT(E456)=0,"MISSING",IF(NOT(ISNUMBER(E456)),"INVALID",IF(E456*F456&lt;K456,"WINSORIZED LOW",IF(E456*F456&gt;L456,"WINSORIZED HIGH","OK")))))</x:f>
      </x:c>
      <x:c r="K456" s="34" t="n">
        <x:v>-123.5385890408</x:v>
      </x:c>
      <x:c r="L456" s="34" t="n">
        <x:v>974.1666666666999</x:v>
      </x:c>
      <x:c r="M456" s="34" t="n">
        <x:v>0.1111111111111111</x:v>
      </x:c>
      <x:c r="N456" s="34" t="str">
        <x:v>no</x:v>
      </x:c>
    </x:row>
    <x:row r="457">
      <x:c r="A457" s="34" t="n">
        <x:v>46</x:v>
      </x:c>
      <x:c r="B457" s="34" t="str">
        <x:f>IF('01_INPUT_COMPANIES'!$A$52="","",'01_INPUT_COMPANIES'!$A$52)</x:f>
      </x:c>
      <x:c r="C457" s="34" t="str">
        <x:f>IF(B457="","",'01_INPUT_COMPANIES'!$B$52)</x:f>
      </x:c>
      <x:c r="D457" s="34" t="str">
        <x:v>effective_tax_rate_gap</x:v>
      </x:c>
      <x:c r="E457" s="42" t="str">
        <x:f>IF(OR(B457="",COUNT('01_INPUT_COMPANIES'!$T$52)=0),"",'01_INPUT_COMPANIES'!$T$52)</x:f>
      </x:c>
      <x:c r="F457" s="42" t="n">
        <x:v>1</x:v>
      </x:c>
      <x:c r="G457" s="42" t="str">
        <x:f>IF(NOT(ISNUMBER(E457)),"",MAX(K457,MIN(L457,E457*F457)))</x:f>
      </x:c>
      <x:c r="H457" s="42" t="n">
        <x:v>74</x:v>
      </x:c>
      <x:c r="I457" s="42" t="str">
        <x:f>IF(COUNT(G457)=0,"",(COUNTIFS('93_REF_ANCHORS'!$A$7:$A$766,D457,'93_REF_ANCHORS'!$C$7:$C$766,"&lt;"&amp;G457)+COUNTIFS('93_REF_ANCHORS'!$A$7:$A$766,D457,'93_REF_ANCHORS'!$C$7:$C$766,"&lt;="&amp;G457)-1)/(2*(H457-1)))</x:f>
      </x:c>
      <x:c r="J457" s="34" t="str">
        <x:f>IF(B457="","",IF(COUNT(E457)=0,"MISSING",IF(NOT(ISNUMBER(E457)),"INVALID",IF(E457*F457&lt;K457,"WINSORIZED LOW",IF(E457*F457&gt;L457,"WINSORIZED HIGH","OK")))))</x:f>
      </x:c>
      <x:c r="K457" s="34" t="n">
        <x:v>-0.1416111014</x:v>
      </x:c>
      <x:c r="L457" s="34" t="n">
        <x:v>0.2683650488</x:v>
      </x:c>
      <x:c r="M457" s="34" t="n">
        <x:v>0.1111111111111111</x:v>
      </x:c>
      <x:c r="N457" s="34" t="str">
        <x:v>no</x:v>
      </x:c>
    </x:row>
    <x:row r="458">
      <x:c r="A458" s="34" t="n">
        <x:v>46</x:v>
      </x:c>
      <x:c r="B458" s="34" t="str">
        <x:f>IF('01_INPUT_COMPANIES'!$A$52="","",'01_INPUT_COMPANIES'!$A$52)</x:f>
      </x:c>
      <x:c r="C458" s="34" t="str">
        <x:f>IF(B458="","",'01_INPUT_COMPANIES'!$B$52)</x:f>
      </x:c>
      <x:c r="D458" s="34" t="str">
        <x:v>infra_dependency_ratio</x:v>
      </x:c>
      <x:c r="E458" s="42" t="str">
        <x:f>IF(OR(B458="",COUNT('01_INPUT_COMPANIES'!$U$52)=0),"",'01_INPUT_COMPANIES'!$U$52)</x:f>
      </x:c>
      <x:c r="F458" s="42" t="n">
        <x:v>1</x:v>
      </x:c>
      <x:c r="G458" s="42" t="str">
        <x:f>IF(NOT(ISNUMBER(E458)),"",MAX(K458,MIN(L458,E458*F458)))</x:f>
      </x:c>
      <x:c r="H458" s="42" t="n">
        <x:v>64</x:v>
      </x:c>
      <x:c r="I458" s="42" t="str">
        <x:f>IF(COUNT(G458)=0,"",(COUNTIFS('93_REF_ANCHORS'!$A$7:$A$766,D458,'93_REF_ANCHORS'!$C$7:$C$766,"&lt;"&amp;G458)+COUNTIFS('93_REF_ANCHORS'!$A$7:$A$766,D458,'93_REF_ANCHORS'!$C$7:$C$766,"&lt;="&amp;G458)-1)/(2*(H458-1)))</x:f>
      </x:c>
      <x:c r="J458" s="34" t="str">
        <x:f>IF(B458="","",IF(COUNT(E458)=0,"MISSING",IF(NOT(ISNUMBER(E458)),"INVALID",IF(E458*F458&lt;K458,"WINSORIZED LOW",IF(E458*F458&gt;L458,"WINSORIZED HIGH","OK")))))</x:f>
      </x:c>
      <x:c r="K458" s="34" t="n">
        <x:v>-0.10705024705171803</x:v>
      </x:c>
      <x:c r="L458" s="34" t="n">
        <x:v>0.8008753865408955</x:v>
      </x:c>
      <x:c r="M458" s="34" t="n">
        <x:v>0.1111111111111111</x:v>
      </x:c>
      <x:c r="N458" s="34" t="str">
        <x:v>no</x:v>
      </x:c>
    </x:row>
    <x:row r="459">
      <x:c r="A459" s="34" t="n">
        <x:v>46</x:v>
      </x:c>
      <x:c r="B459" s="34" t="str">
        <x:f>IF('01_INPUT_COMPANIES'!$A$52="","",'01_INPUT_COMPANIES'!$A$52)</x:f>
      </x:c>
      <x:c r="C459" s="34" t="str">
        <x:f>IF(B459="","",'01_INPUT_COMPANIES'!$B$52)</x:f>
      </x:c>
      <x:c r="D459" s="34" t="str">
        <x:v>network_cost_ratio</x:v>
      </x:c>
      <x:c r="E459" s="42" t="str">
        <x:f>IF(OR(B459="",COUNT('01_INPUT_COMPANIES'!$V$52)=0),"",'01_INPUT_COMPANIES'!$V$52)</x:f>
      </x:c>
      <x:c r="F459" s="42" t="n">
        <x:v>1</x:v>
      </x:c>
      <x:c r="G459" s="42" t="str">
        <x:f>IF(NOT(ISNUMBER(E459)),"",MAX(K459,MIN(L459,E459*F459)))</x:f>
      </x:c>
      <x:c r="H459" s="42" t="n">
        <x:v>97</x:v>
      </x:c>
      <x:c r="I459" s="42" t="str">
        <x:f>IF(COUNT(G459)=0,"",(COUNTIFS('93_REF_ANCHORS'!$A$7:$A$766,D459,'93_REF_ANCHORS'!$C$7:$C$766,"&lt;"&amp;G459)+COUNTIFS('93_REF_ANCHORS'!$A$7:$A$766,D459,'93_REF_ANCHORS'!$C$7:$C$766,"&lt;="&amp;G459)-1)/(2*(H459-1)))</x:f>
      </x:c>
      <x:c r="J459" s="34" t="str">
        <x:f>IF(B459="","",IF(COUNT(E459)=0,"MISSING",IF(NOT(ISNUMBER(E459)),"INVALID",IF(E459*F459&lt;K459,"WINSORIZED LOW",IF(E459*F459&gt;L459,"WINSORIZED HIGH","OK")))))</x:f>
      </x:c>
      <x:c r="K459" s="34" t="n">
        <x:v>-0.1395374353</x:v>
      </x:c>
      <x:c r="L459" s="34" t="n">
        <x:v>0.9274274845000001</x:v>
      </x:c>
      <x:c r="M459" s="34" t="n">
        <x:v>0.1111111111111111</x:v>
      </x:c>
      <x:c r="N459" s="34" t="str">
        <x:v>no</x:v>
      </x:c>
    </x:row>
    <x:row r="460">
      <x:c r="A460" s="34" t="n">
        <x:v>46</x:v>
      </x:c>
      <x:c r="B460" s="34" t="str">
        <x:f>IF('01_INPUT_COMPANIES'!$A$52="","",'01_INPUT_COMPANIES'!$A$52)</x:f>
      </x:c>
      <x:c r="C460" s="34" t="str">
        <x:f>IF(B460="","",'01_INPUT_COMPANIES'!$B$52)</x:f>
      </x:c>
      <x:c r="D460" s="34" t="str">
        <x:v>cashflow_recovery_ratio</x:v>
      </x:c>
      <x:c r="E460" s="42" t="str">
        <x:f>IF(OR(B460="",COUNT('01_INPUT_COMPANIES'!$W$52)=0),"",'01_INPUT_COMPANIES'!$W$52)</x:f>
      </x:c>
      <x:c r="F460" s="42" t="n">
        <x:v>-1</x:v>
      </x:c>
      <x:c r="G460" s="42" t="str">
        <x:f>IF(NOT(ISNUMBER(E460)),"",MAX(K460,MIN(L460,E460*F460)))</x:f>
      </x:c>
      <x:c r="H460" s="42" t="n">
        <x:v>95</x:v>
      </x:c>
      <x:c r="I460" s="42" t="str">
        <x:f>IF(COUNT(G460)=0,"",(COUNTIFS('93_REF_ANCHORS'!$A$7:$A$766,D460,'93_REF_ANCHORS'!$C$7:$C$766,"&lt;"&amp;G460)+COUNTIFS('93_REF_ANCHORS'!$A$7:$A$766,D460,'93_REF_ANCHORS'!$C$7:$C$766,"&lt;="&amp;G460)-1)/(2*(H460-1)))</x:f>
      </x:c>
      <x:c r="J460" s="34" t="str">
        <x:f>IF(B460="","",IF(COUNT(E460)=0,"MISSING",IF(NOT(ISNUMBER(E460)),"INVALID",IF(E460*F460&lt;K460,"WINSORIZED LOW",IF(E460*F460&gt;L460,"WINSORIZED HIGH","OK")))))</x:f>
      </x:c>
      <x:c r="K460" s="34" t="n">
        <x:v>-300.75</x:v>
      </x:c>
      <x:c r="L460" s="34" t="n">
        <x:v>42.6920305469</x:v>
      </x:c>
      <x:c r="M460" s="34" t="n">
        <x:v>0.08333333333333333</x:v>
      </x:c>
      <x:c r="N460" s="34" t="str">
        <x:v>no</x:v>
      </x:c>
    </x:row>
    <x:row r="461">
      <x:c r="A461" s="34" t="n">
        <x:v>46</x:v>
      </x:c>
      <x:c r="B461" s="34" t="str">
        <x:f>IF('01_INPUT_COMPANIES'!$A$52="","",'01_INPUT_COMPANIES'!$A$52)</x:f>
      </x:c>
      <x:c r="C461" s="34" t="str">
        <x:f>IF(B461="","",'01_INPUT_COMPANIES'!$B$52)</x:f>
      </x:c>
      <x:c r="D461" s="34" t="str">
        <x:v>funding_cost_spread</x:v>
      </x:c>
      <x:c r="E461" s="42" t="str">
        <x:f>IF(OR(B461="",COUNT('01_INPUT_COMPANIES'!$X$52)=0),"",'01_INPUT_COMPANIES'!$X$52)</x:f>
      </x:c>
      <x:c r="F461" s="42" t="n">
        <x:v>1</x:v>
      </x:c>
      <x:c r="G461" s="42" t="str">
        <x:f>IF(NOT(ISNUMBER(E461)),"",MAX(K461,MIN(L461,E461*F461)))</x:f>
      </x:c>
      <x:c r="H461" s="42" t="n">
        <x:v>58</x:v>
      </x:c>
      <x:c r="I461" s="42" t="str">
        <x:f>IF(COUNT(G461)=0,"",(COUNTIFS('93_REF_ANCHORS'!$A$7:$A$766,D461,'93_REF_ANCHORS'!$C$7:$C$766,"&lt;"&amp;G461)+COUNTIFS('93_REF_ANCHORS'!$A$7:$A$766,D461,'93_REF_ANCHORS'!$C$7:$C$766,"&lt;="&amp;G461)-1)/(2*(H461-1)))</x:f>
      </x:c>
      <x:c r="J461" s="34" t="str">
        <x:f>IF(B461="","",IF(COUNT(E461)=0,"MISSING",IF(NOT(ISNUMBER(E461)),"INVALID",IF(E461*F461&lt;K461,"WINSORIZED LOW",IF(E461*F461&gt;L461,"WINSORIZED HIGH","OK")))))</x:f>
      </x:c>
      <x:c r="K461" s="34" t="n">
        <x:v>-0.4430292903</x:v>
      </x:c>
      <x:c r="L461" s="34" t="n">
        <x:v>0.5068913103</x:v>
      </x:c>
      <x:c r="M461" s="34" t="n">
        <x:v>0.08333333333333333</x:v>
      </x:c>
      <x:c r="N461" s="34" t="str">
        <x:v>no</x:v>
      </x:c>
    </x:row>
    <x:row r="462">
      <x:c r="A462" s="34" t="n">
        <x:v>46</x:v>
      </x:c>
      <x:c r="B462" s="34" t="str">
        <x:f>IF('01_INPUT_COMPANIES'!$A$52="","",'01_INPUT_COMPANIES'!$A$52)</x:f>
      </x:c>
      <x:c r="C462" s="34" t="str">
        <x:f>IF(B462="","",'01_INPUT_COMPANIES'!$B$52)</x:f>
      </x:c>
      <x:c r="D462" s="34" t="str">
        <x:v>investment_recovery_ratio</x:v>
      </x:c>
      <x:c r="E462" s="42" t="str">
        <x:f>IF(OR(B462="",COUNT('01_INPUT_COMPANIES'!$Y$52)=0),"",'01_INPUT_COMPANIES'!$Y$52)</x:f>
      </x:c>
      <x:c r="F462" s="42" t="n">
        <x:v>-1</x:v>
      </x:c>
      <x:c r="G462" s="42" t="str">
        <x:f>IF(NOT(ISNUMBER(E462)),"",MAX(K462,MIN(L462,E462*F462)))</x:f>
      </x:c>
      <x:c r="H462" s="42" t="n">
        <x:v>95</x:v>
      </x:c>
      <x:c r="I462" s="42" t="str">
        <x:f>IF(COUNT(G462)=0,"",(COUNTIFS('93_REF_ANCHORS'!$A$7:$A$766,D462,'93_REF_ANCHORS'!$C$7:$C$766,"&lt;"&amp;G462)+COUNTIFS('93_REF_ANCHORS'!$A$7:$A$766,D462,'93_REF_ANCHORS'!$C$7:$C$766,"&lt;="&amp;G462)-1)/(2*(H462-1)))</x:f>
      </x:c>
      <x:c r="J462" s="34" t="str">
        <x:f>IF(B462="","",IF(COUNT(E462)=0,"MISSING",IF(NOT(ISNUMBER(E462)),"INVALID",IF(E462*F462&lt;K462,"WINSORIZED LOW",IF(E462*F462&gt;L462,"WINSORIZED HIGH","OK")))))</x:f>
      </x:c>
      <x:c r="K462" s="34" t="n">
        <x:v>-3163.7500000000014</x:v>
      </x:c>
      <x:c r="L462" s="34" t="n">
        <x:v>189.68191301719997</x:v>
      </x:c>
      <x:c r="M462" s="34" t="n">
        <x:v>0.08333333333333333</x:v>
      </x:c>
      <x:c r="N462" s="34" t="str">
        <x:v>no</x:v>
      </x:c>
    </x:row>
    <x:row r="463">
      <x:c r="A463" s="34" t="n">
        <x:v>46</x:v>
      </x:c>
      <x:c r="B463" s="34" t="str">
        <x:f>IF('01_INPUT_COMPANIES'!$A$52="","",'01_INPUT_COMPANIES'!$A$52)</x:f>
      </x:c>
      <x:c r="C463" s="34" t="str">
        <x:f>IF(B463="","",'01_INPUT_COMPANIES'!$B$52)</x:f>
      </x:c>
      <x:c r="D463" s="34" t="str">
        <x:v>ip_assetization_gap</x:v>
      </x:c>
      <x:c r="E463" s="42" t="str">
        <x:f>IF(OR(B463="",COUNT('01_INPUT_COMPANIES'!$Z$52)=0),"",'01_INPUT_COMPANIES'!$Z$52)</x:f>
      </x:c>
      <x:c r="F463" s="42" t="n">
        <x:v>1</x:v>
      </x:c>
      <x:c r="G463" s="42" t="str">
        <x:f>IF(NOT(ISNUMBER(E463)),"",MAX(K463,MIN(L463,E463*F463)))</x:f>
      </x:c>
      <x:c r="H463" s="42" t="n">
        <x:v>92</x:v>
      </x:c>
      <x:c r="I463" s="42" t="str">
        <x:f>IF(COUNT(G463)=0,"",(COUNTIFS('93_REF_ANCHORS'!$A$7:$A$766,D463,'93_REF_ANCHORS'!$C$7:$C$766,"&lt;"&amp;G463)+COUNTIFS('93_REF_ANCHORS'!$A$7:$A$766,D463,'93_REF_ANCHORS'!$C$7:$C$766,"&lt;="&amp;G463)-1)/(2*(H463-1)))</x:f>
      </x:c>
      <x:c r="J463" s="34" t="str">
        <x:f>IF(B463="","",IF(COUNT(E463)=0,"MISSING",IF(NOT(ISNUMBER(E463)),"INVALID",IF(E463*F463&lt;K463,"WINSORIZED LOW",IF(E463*F463&gt;L463,"WINSORIZED HIGH","OK")))))</x:f>
      </x:c>
      <x:c r="K463" s="34" t="n">
        <x:v>-1.6707152386</x:v>
      </x:c>
      <x:c r="L463" s="34" t="n">
        <x:v>0.7716332556000001</x:v>
      </x:c>
      <x:c r="M463" s="34" t="n">
        <x:v>0.08333333333333333</x:v>
      </x:c>
      <x:c r="N463" s="34" t="str">
        <x:v>no</x:v>
      </x:c>
    </x:row>
    <x:row r="464">
      <x:c r="A464" s="34" t="n">
        <x:v>46</x:v>
      </x:c>
      <x:c r="B464" s="34" t="str">
        <x:f>IF('01_INPUT_COMPANIES'!$A$52="","",'01_INPUT_COMPANIES'!$A$52)</x:f>
      </x:c>
      <x:c r="C464" s="34" t="str">
        <x:f>IF(B464="","",'01_INPUT_COMPANIES'!$B$52)</x:f>
      </x:c>
      <x:c r="D464" s="34" t="str">
        <x:v>cross_market_transfer_index</x:v>
      </x:c>
      <x:c r="E464" s="42" t="str">
        <x:f>IF(OR(B464="",COUNT('01_INPUT_COMPANIES'!$AA$52)=0),"",'01_INPUT_COMPANIES'!$AA$52)</x:f>
      </x:c>
      <x:c r="F464" s="42" t="n">
        <x:v>1</x:v>
      </x:c>
      <x:c r="G464" s="42" t="str">
        <x:f>IF(NOT(ISNUMBER(E464)),"",MAX(K464,MIN(L464,E464*F464)))</x:f>
      </x:c>
      <x:c r="H464" s="42" t="n">
        <x:v>4</x:v>
      </x:c>
      <x:c r="I464" s="42" t="str">
        <x:f>IF(COUNT(G464)=0,"",(COUNTIFS('93_REF_ANCHORS'!$A$7:$A$766,D464,'93_REF_ANCHORS'!$C$7:$C$766,"&lt;"&amp;G464)+COUNTIFS('93_REF_ANCHORS'!$A$7:$A$766,D464,'93_REF_ANCHORS'!$C$7:$C$766,"&lt;="&amp;G464)-1)/(2*(H464-1)))</x:f>
      </x:c>
      <x:c r="J464" s="34" t="str">
        <x:f>IF(B464="","",IF(COUNT(E464)=0,"MISSING",IF(NOT(ISNUMBER(E464)),"INVALID",IF(E464*F464&lt;K464,"WINSORIZED LOW",IF(E464*F464&gt;L464,"WINSORIZED HIGH","OK")))))</x:f>
      </x:c>
      <x:c r="K464" s="34" t="n">
        <x:v>0</x:v>
      </x:c>
      <x:c r="L464" s="34" t="n">
        <x:v>0.7587051325360435</x:v>
      </x:c>
      <x:c r="M464" s="34" t="n">
        <x:v>0.1111111111111111</x:v>
      </x:c>
      <x:c r="N464" s="34" t="str">
        <x:v>yes</x:v>
      </x:c>
    </x:row>
    <x:row r="465">
      <x:c r="A465" s="34" t="n">
        <x:v>46</x:v>
      </x:c>
      <x:c r="B465" s="34" t="str">
        <x:f>IF('01_INPUT_COMPANIES'!$A$52="","",'01_INPUT_COMPANIES'!$A$52)</x:f>
      </x:c>
      <x:c r="C465" s="34" t="str">
        <x:f>IF(B465="","",'01_INPUT_COMPANIES'!$B$52)</x:f>
      </x:c>
      <x:c r="D465" s="34" t="str">
        <x:v>foreign_dependency_ratio</x:v>
      </x:c>
      <x:c r="E465" s="42" t="str">
        <x:f>IF(OR(B465="",COUNT('01_INPUT_COMPANIES'!$AB$52)=0),"",'01_INPUT_COMPANIES'!$AB$52)</x:f>
      </x:c>
      <x:c r="F465" s="42" t="n">
        <x:v>1</x:v>
      </x:c>
      <x:c r="G465" s="42" t="str">
        <x:f>IF(NOT(ISNUMBER(E465)),"",MAX(K465,MIN(L465,E465*F465)))</x:f>
      </x:c>
      <x:c r="H465" s="42" t="n">
        <x:v>84</x:v>
      </x:c>
      <x:c r="I465" s="42" t="str">
        <x:f>IF(COUNT(G465)=0,"",(COUNTIFS('93_REF_ANCHORS'!$A$7:$A$766,D465,'93_REF_ANCHORS'!$C$7:$C$766,"&lt;"&amp;G465)+COUNTIFS('93_REF_ANCHORS'!$A$7:$A$766,D465,'93_REF_ANCHORS'!$C$7:$C$766,"&lt;="&amp;G465)-1)/(2*(H465-1)))</x:f>
      </x:c>
      <x:c r="J465" s="34" t="str">
        <x:f>IF(B465="","",IF(COUNT(E465)=0,"MISSING",IF(NOT(ISNUMBER(E465)),"INVALID",IF(E465*F465&lt;K465,"WINSORIZED LOW",IF(E465*F465&gt;L465,"WINSORIZED HIGH","OK")))))</x:f>
      </x:c>
      <x:c r="K465" s="34" t="n">
        <x:v>0.728196</x:v>
      </x:c>
      <x:c r="L465" s="34" t="n">
        <x:v>0.94</x:v>
      </x:c>
      <x:c r="M465" s="34" t="n">
        <x:v>0.1111111111111111</x:v>
      </x:c>
      <x:c r="N465" s="34" t="str">
        <x:v>yes</x:v>
      </x:c>
    </x:row>
    <x:row r="466">
      <x:c r="A466" s="34" t="n">
        <x:v>46</x:v>
      </x:c>
      <x:c r="B466" s="34" t="str">
        <x:f>IF('01_INPUT_COMPANIES'!$A$52="","",'01_INPUT_COMPANIES'!$A$52)</x:f>
      </x:c>
      <x:c r="C466" s="34" t="str">
        <x:f>IF(B466="","",'01_INPUT_COMPANIES'!$B$52)</x:f>
      </x:c>
      <x:c r="D466" s="34" t="str">
        <x:v>outflow_to_capex_ratio</x:v>
      </x:c>
      <x:c r="E466" s="42" t="str">
        <x:f>IF(OR(B466="",COUNT('01_INPUT_COMPANIES'!$AC$52)=0),"",'01_INPUT_COMPANIES'!$AC$52)</x:f>
      </x:c>
      <x:c r="F466" s="42" t="n">
        <x:v>1</x:v>
      </x:c>
      <x:c r="G466" s="42" t="str">
        <x:f>IF(NOT(ISNUMBER(E466)),"",MAX(K466,MIN(L466,E466*F466)))</x:f>
      </x:c>
      <x:c r="H466" s="42" t="n">
        <x:v>97</x:v>
      </x:c>
      <x:c r="I466" s="42" t="str">
        <x:f>IF(COUNT(G466)=0,"",(COUNTIFS('93_REF_ANCHORS'!$A$7:$A$766,D466,'93_REF_ANCHORS'!$C$7:$C$766,"&lt;"&amp;G466)+COUNTIFS('93_REF_ANCHORS'!$A$7:$A$766,D466,'93_REF_ANCHORS'!$C$7:$C$766,"&lt;="&amp;G466)-1)/(2*(H466-1)))</x:f>
      </x:c>
      <x:c r="J466" s="34" t="str">
        <x:f>IF(B466="","",IF(COUNT(E466)=0,"MISSING",IF(NOT(ISNUMBER(E466)),"INVALID",IF(E466*F466&lt;K466,"WINSORIZED LOW",IF(E466*F466&gt;L466,"WINSORIZED HIGH","OK")))))</x:f>
      </x:c>
      <x:c r="K466" s="34" t="n">
        <x:v>-123.5385890408</x:v>
      </x:c>
      <x:c r="L466" s="34" t="n">
        <x:v>974.1666666666999</x:v>
      </x:c>
      <x:c r="M466" s="34" t="n">
        <x:v>0.1111111111111111</x:v>
      </x:c>
      <x:c r="N466" s="34" t="str">
        <x:v>no</x:v>
      </x:c>
    </x:row>
    <x:row r="467">
      <x:c r="A467" s="34" t="n">
        <x:v>47</x:v>
      </x:c>
      <x:c r="B467" s="34" t="str">
        <x:f>IF('01_INPUT_COMPANIES'!$A$53="","",'01_INPUT_COMPANIES'!$A$53)</x:f>
      </x:c>
      <x:c r="C467" s="34" t="str">
        <x:f>IF(B467="","",'01_INPUT_COMPANIES'!$B$53)</x:f>
      </x:c>
      <x:c r="D467" s="34" t="str">
        <x:v>effective_tax_rate_gap</x:v>
      </x:c>
      <x:c r="E467" s="42" t="str">
        <x:f>IF(OR(B467="",COUNT('01_INPUT_COMPANIES'!$T$53)=0),"",'01_INPUT_COMPANIES'!$T$53)</x:f>
      </x:c>
      <x:c r="F467" s="42" t="n">
        <x:v>1</x:v>
      </x:c>
      <x:c r="G467" s="42" t="str">
        <x:f>IF(NOT(ISNUMBER(E467)),"",MAX(K467,MIN(L467,E467*F467)))</x:f>
      </x:c>
      <x:c r="H467" s="42" t="n">
        <x:v>74</x:v>
      </x:c>
      <x:c r="I467" s="42" t="str">
        <x:f>IF(COUNT(G467)=0,"",(COUNTIFS('93_REF_ANCHORS'!$A$7:$A$766,D467,'93_REF_ANCHORS'!$C$7:$C$766,"&lt;"&amp;G467)+COUNTIFS('93_REF_ANCHORS'!$A$7:$A$766,D467,'93_REF_ANCHORS'!$C$7:$C$766,"&lt;="&amp;G467)-1)/(2*(H467-1)))</x:f>
      </x:c>
      <x:c r="J467" s="34" t="str">
        <x:f>IF(B467="","",IF(COUNT(E467)=0,"MISSING",IF(NOT(ISNUMBER(E467)),"INVALID",IF(E467*F467&lt;K467,"WINSORIZED LOW",IF(E467*F467&gt;L467,"WINSORIZED HIGH","OK")))))</x:f>
      </x:c>
      <x:c r="K467" s="34" t="n">
        <x:v>-0.1416111014</x:v>
      </x:c>
      <x:c r="L467" s="34" t="n">
        <x:v>0.2683650488</x:v>
      </x:c>
      <x:c r="M467" s="34" t="n">
        <x:v>0.1111111111111111</x:v>
      </x:c>
      <x:c r="N467" s="34" t="str">
        <x:v>no</x:v>
      </x:c>
    </x:row>
    <x:row r="468">
      <x:c r="A468" s="34" t="n">
        <x:v>47</x:v>
      </x:c>
      <x:c r="B468" s="34" t="str">
        <x:f>IF('01_INPUT_COMPANIES'!$A$53="","",'01_INPUT_COMPANIES'!$A$53)</x:f>
      </x:c>
      <x:c r="C468" s="34" t="str">
        <x:f>IF(B468="","",'01_INPUT_COMPANIES'!$B$53)</x:f>
      </x:c>
      <x:c r="D468" s="34" t="str">
        <x:v>infra_dependency_ratio</x:v>
      </x:c>
      <x:c r="E468" s="42" t="str">
        <x:f>IF(OR(B468="",COUNT('01_INPUT_COMPANIES'!$U$53)=0),"",'01_INPUT_COMPANIES'!$U$53)</x:f>
      </x:c>
      <x:c r="F468" s="42" t="n">
        <x:v>1</x:v>
      </x:c>
      <x:c r="G468" s="42" t="str">
        <x:f>IF(NOT(ISNUMBER(E468)),"",MAX(K468,MIN(L468,E468*F468)))</x:f>
      </x:c>
      <x:c r="H468" s="42" t="n">
        <x:v>64</x:v>
      </x:c>
      <x:c r="I468" s="42" t="str">
        <x:f>IF(COUNT(G468)=0,"",(COUNTIFS('93_REF_ANCHORS'!$A$7:$A$766,D468,'93_REF_ANCHORS'!$C$7:$C$766,"&lt;"&amp;G468)+COUNTIFS('93_REF_ANCHORS'!$A$7:$A$766,D468,'93_REF_ANCHORS'!$C$7:$C$766,"&lt;="&amp;G468)-1)/(2*(H468-1)))</x:f>
      </x:c>
      <x:c r="J468" s="34" t="str">
        <x:f>IF(B468="","",IF(COUNT(E468)=0,"MISSING",IF(NOT(ISNUMBER(E468)),"INVALID",IF(E468*F468&lt;K468,"WINSORIZED LOW",IF(E468*F468&gt;L468,"WINSORIZED HIGH","OK")))))</x:f>
      </x:c>
      <x:c r="K468" s="34" t="n">
        <x:v>-0.10705024705171803</x:v>
      </x:c>
      <x:c r="L468" s="34" t="n">
        <x:v>0.8008753865408955</x:v>
      </x:c>
      <x:c r="M468" s="34" t="n">
        <x:v>0.1111111111111111</x:v>
      </x:c>
      <x:c r="N468" s="34" t="str">
        <x:v>no</x:v>
      </x:c>
    </x:row>
    <x:row r="469">
      <x:c r="A469" s="34" t="n">
        <x:v>47</x:v>
      </x:c>
      <x:c r="B469" s="34" t="str">
        <x:f>IF('01_INPUT_COMPANIES'!$A$53="","",'01_INPUT_COMPANIES'!$A$53)</x:f>
      </x:c>
      <x:c r="C469" s="34" t="str">
        <x:f>IF(B469="","",'01_INPUT_COMPANIES'!$B$53)</x:f>
      </x:c>
      <x:c r="D469" s="34" t="str">
        <x:v>network_cost_ratio</x:v>
      </x:c>
      <x:c r="E469" s="42" t="str">
        <x:f>IF(OR(B469="",COUNT('01_INPUT_COMPANIES'!$V$53)=0),"",'01_INPUT_COMPANIES'!$V$53)</x:f>
      </x:c>
      <x:c r="F469" s="42" t="n">
        <x:v>1</x:v>
      </x:c>
      <x:c r="G469" s="42" t="str">
        <x:f>IF(NOT(ISNUMBER(E469)),"",MAX(K469,MIN(L469,E469*F469)))</x:f>
      </x:c>
      <x:c r="H469" s="42" t="n">
        <x:v>97</x:v>
      </x:c>
      <x:c r="I469" s="42" t="str">
        <x:f>IF(COUNT(G469)=0,"",(COUNTIFS('93_REF_ANCHORS'!$A$7:$A$766,D469,'93_REF_ANCHORS'!$C$7:$C$766,"&lt;"&amp;G469)+COUNTIFS('93_REF_ANCHORS'!$A$7:$A$766,D469,'93_REF_ANCHORS'!$C$7:$C$766,"&lt;="&amp;G469)-1)/(2*(H469-1)))</x:f>
      </x:c>
      <x:c r="J469" s="34" t="str">
        <x:f>IF(B469="","",IF(COUNT(E469)=0,"MISSING",IF(NOT(ISNUMBER(E469)),"INVALID",IF(E469*F469&lt;K469,"WINSORIZED LOW",IF(E469*F469&gt;L469,"WINSORIZED HIGH","OK")))))</x:f>
      </x:c>
      <x:c r="K469" s="34" t="n">
        <x:v>-0.1395374353</x:v>
      </x:c>
      <x:c r="L469" s="34" t="n">
        <x:v>0.9274274845000001</x:v>
      </x:c>
      <x:c r="M469" s="34" t="n">
        <x:v>0.1111111111111111</x:v>
      </x:c>
      <x:c r="N469" s="34" t="str">
        <x:v>no</x:v>
      </x:c>
    </x:row>
    <x:row r="470">
      <x:c r="A470" s="34" t="n">
        <x:v>47</x:v>
      </x:c>
      <x:c r="B470" s="34" t="str">
        <x:f>IF('01_INPUT_COMPANIES'!$A$53="","",'01_INPUT_COMPANIES'!$A$53)</x:f>
      </x:c>
      <x:c r="C470" s="34" t="str">
        <x:f>IF(B470="","",'01_INPUT_COMPANIES'!$B$53)</x:f>
      </x:c>
      <x:c r="D470" s="34" t="str">
        <x:v>cashflow_recovery_ratio</x:v>
      </x:c>
      <x:c r="E470" s="42" t="str">
        <x:f>IF(OR(B470="",COUNT('01_INPUT_COMPANIES'!$W$53)=0),"",'01_INPUT_COMPANIES'!$W$53)</x:f>
      </x:c>
      <x:c r="F470" s="42" t="n">
        <x:v>-1</x:v>
      </x:c>
      <x:c r="G470" s="42" t="str">
        <x:f>IF(NOT(ISNUMBER(E470)),"",MAX(K470,MIN(L470,E470*F470)))</x:f>
      </x:c>
      <x:c r="H470" s="42" t="n">
        <x:v>95</x:v>
      </x:c>
      <x:c r="I470" s="42" t="str">
        <x:f>IF(COUNT(G470)=0,"",(COUNTIFS('93_REF_ANCHORS'!$A$7:$A$766,D470,'93_REF_ANCHORS'!$C$7:$C$766,"&lt;"&amp;G470)+COUNTIFS('93_REF_ANCHORS'!$A$7:$A$766,D470,'93_REF_ANCHORS'!$C$7:$C$766,"&lt;="&amp;G470)-1)/(2*(H470-1)))</x:f>
      </x:c>
      <x:c r="J470" s="34" t="str">
        <x:f>IF(B470="","",IF(COUNT(E470)=0,"MISSING",IF(NOT(ISNUMBER(E470)),"INVALID",IF(E470*F470&lt;K470,"WINSORIZED LOW",IF(E470*F470&gt;L470,"WINSORIZED HIGH","OK")))))</x:f>
      </x:c>
      <x:c r="K470" s="34" t="n">
        <x:v>-300.75</x:v>
      </x:c>
      <x:c r="L470" s="34" t="n">
        <x:v>42.6920305469</x:v>
      </x:c>
      <x:c r="M470" s="34" t="n">
        <x:v>0.08333333333333333</x:v>
      </x:c>
      <x:c r="N470" s="34" t="str">
        <x:v>no</x:v>
      </x:c>
    </x:row>
    <x:row r="471">
      <x:c r="A471" s="34" t="n">
        <x:v>47</x:v>
      </x:c>
      <x:c r="B471" s="34" t="str">
        <x:f>IF('01_INPUT_COMPANIES'!$A$53="","",'01_INPUT_COMPANIES'!$A$53)</x:f>
      </x:c>
      <x:c r="C471" s="34" t="str">
        <x:f>IF(B471="","",'01_INPUT_COMPANIES'!$B$53)</x:f>
      </x:c>
      <x:c r="D471" s="34" t="str">
        <x:v>funding_cost_spread</x:v>
      </x:c>
      <x:c r="E471" s="42" t="str">
        <x:f>IF(OR(B471="",COUNT('01_INPUT_COMPANIES'!$X$53)=0),"",'01_INPUT_COMPANIES'!$X$53)</x:f>
      </x:c>
      <x:c r="F471" s="42" t="n">
        <x:v>1</x:v>
      </x:c>
      <x:c r="G471" s="42" t="str">
        <x:f>IF(NOT(ISNUMBER(E471)),"",MAX(K471,MIN(L471,E471*F471)))</x:f>
      </x:c>
      <x:c r="H471" s="42" t="n">
        <x:v>58</x:v>
      </x:c>
      <x:c r="I471" s="42" t="str">
        <x:f>IF(COUNT(G471)=0,"",(COUNTIFS('93_REF_ANCHORS'!$A$7:$A$766,D471,'93_REF_ANCHORS'!$C$7:$C$766,"&lt;"&amp;G471)+COUNTIFS('93_REF_ANCHORS'!$A$7:$A$766,D471,'93_REF_ANCHORS'!$C$7:$C$766,"&lt;="&amp;G471)-1)/(2*(H471-1)))</x:f>
      </x:c>
      <x:c r="J471" s="34" t="str">
        <x:f>IF(B471="","",IF(COUNT(E471)=0,"MISSING",IF(NOT(ISNUMBER(E471)),"INVALID",IF(E471*F471&lt;K471,"WINSORIZED LOW",IF(E471*F471&gt;L471,"WINSORIZED HIGH","OK")))))</x:f>
      </x:c>
      <x:c r="K471" s="34" t="n">
        <x:v>-0.4430292903</x:v>
      </x:c>
      <x:c r="L471" s="34" t="n">
        <x:v>0.5068913103</x:v>
      </x:c>
      <x:c r="M471" s="34" t="n">
        <x:v>0.08333333333333333</x:v>
      </x:c>
      <x:c r="N471" s="34" t="str">
        <x:v>no</x:v>
      </x:c>
    </x:row>
    <x:row r="472">
      <x:c r="A472" s="34" t="n">
        <x:v>47</x:v>
      </x:c>
      <x:c r="B472" s="34" t="str">
        <x:f>IF('01_INPUT_COMPANIES'!$A$53="","",'01_INPUT_COMPANIES'!$A$53)</x:f>
      </x:c>
      <x:c r="C472" s="34" t="str">
        <x:f>IF(B472="","",'01_INPUT_COMPANIES'!$B$53)</x:f>
      </x:c>
      <x:c r="D472" s="34" t="str">
        <x:v>investment_recovery_ratio</x:v>
      </x:c>
      <x:c r="E472" s="42" t="str">
        <x:f>IF(OR(B472="",COUNT('01_INPUT_COMPANIES'!$Y$53)=0),"",'01_INPUT_COMPANIES'!$Y$53)</x:f>
      </x:c>
      <x:c r="F472" s="42" t="n">
        <x:v>-1</x:v>
      </x:c>
      <x:c r="G472" s="42" t="str">
        <x:f>IF(NOT(ISNUMBER(E472)),"",MAX(K472,MIN(L472,E472*F472)))</x:f>
      </x:c>
      <x:c r="H472" s="42" t="n">
        <x:v>95</x:v>
      </x:c>
      <x:c r="I472" s="42" t="str">
        <x:f>IF(COUNT(G472)=0,"",(COUNTIFS('93_REF_ANCHORS'!$A$7:$A$766,D472,'93_REF_ANCHORS'!$C$7:$C$766,"&lt;"&amp;G472)+COUNTIFS('93_REF_ANCHORS'!$A$7:$A$766,D472,'93_REF_ANCHORS'!$C$7:$C$766,"&lt;="&amp;G472)-1)/(2*(H472-1)))</x:f>
      </x:c>
      <x:c r="J472" s="34" t="str">
        <x:f>IF(B472="","",IF(COUNT(E472)=0,"MISSING",IF(NOT(ISNUMBER(E472)),"INVALID",IF(E472*F472&lt;K472,"WINSORIZED LOW",IF(E472*F472&gt;L472,"WINSORIZED HIGH","OK")))))</x:f>
      </x:c>
      <x:c r="K472" s="34" t="n">
        <x:v>-3163.7500000000014</x:v>
      </x:c>
      <x:c r="L472" s="34" t="n">
        <x:v>189.68191301719997</x:v>
      </x:c>
      <x:c r="M472" s="34" t="n">
        <x:v>0.08333333333333333</x:v>
      </x:c>
      <x:c r="N472" s="34" t="str">
        <x:v>no</x:v>
      </x:c>
    </x:row>
    <x:row r="473">
      <x:c r="A473" s="34" t="n">
        <x:v>47</x:v>
      </x:c>
      <x:c r="B473" s="34" t="str">
        <x:f>IF('01_INPUT_COMPANIES'!$A$53="","",'01_INPUT_COMPANIES'!$A$53)</x:f>
      </x:c>
      <x:c r="C473" s="34" t="str">
        <x:f>IF(B473="","",'01_INPUT_COMPANIES'!$B$53)</x:f>
      </x:c>
      <x:c r="D473" s="34" t="str">
        <x:v>ip_assetization_gap</x:v>
      </x:c>
      <x:c r="E473" s="42" t="str">
        <x:f>IF(OR(B473="",COUNT('01_INPUT_COMPANIES'!$Z$53)=0),"",'01_INPUT_COMPANIES'!$Z$53)</x:f>
      </x:c>
      <x:c r="F473" s="42" t="n">
        <x:v>1</x:v>
      </x:c>
      <x:c r="G473" s="42" t="str">
        <x:f>IF(NOT(ISNUMBER(E473)),"",MAX(K473,MIN(L473,E473*F473)))</x:f>
      </x:c>
      <x:c r="H473" s="42" t="n">
        <x:v>92</x:v>
      </x:c>
      <x:c r="I473" s="42" t="str">
        <x:f>IF(COUNT(G473)=0,"",(COUNTIFS('93_REF_ANCHORS'!$A$7:$A$766,D473,'93_REF_ANCHORS'!$C$7:$C$766,"&lt;"&amp;G473)+COUNTIFS('93_REF_ANCHORS'!$A$7:$A$766,D473,'93_REF_ANCHORS'!$C$7:$C$766,"&lt;="&amp;G473)-1)/(2*(H473-1)))</x:f>
      </x:c>
      <x:c r="J473" s="34" t="str">
        <x:f>IF(B473="","",IF(COUNT(E473)=0,"MISSING",IF(NOT(ISNUMBER(E473)),"INVALID",IF(E473*F473&lt;K473,"WINSORIZED LOW",IF(E473*F473&gt;L473,"WINSORIZED HIGH","OK")))))</x:f>
      </x:c>
      <x:c r="K473" s="34" t="n">
        <x:v>-1.6707152386</x:v>
      </x:c>
      <x:c r="L473" s="34" t="n">
        <x:v>0.7716332556000001</x:v>
      </x:c>
      <x:c r="M473" s="34" t="n">
        <x:v>0.08333333333333333</x:v>
      </x:c>
      <x:c r="N473" s="34" t="str">
        <x:v>no</x:v>
      </x:c>
    </x:row>
    <x:row r="474">
      <x:c r="A474" s="34" t="n">
        <x:v>47</x:v>
      </x:c>
      <x:c r="B474" s="34" t="str">
        <x:f>IF('01_INPUT_COMPANIES'!$A$53="","",'01_INPUT_COMPANIES'!$A$53)</x:f>
      </x:c>
      <x:c r="C474" s="34" t="str">
        <x:f>IF(B474="","",'01_INPUT_COMPANIES'!$B$53)</x:f>
      </x:c>
      <x:c r="D474" s="34" t="str">
        <x:v>cross_market_transfer_index</x:v>
      </x:c>
      <x:c r="E474" s="42" t="str">
        <x:f>IF(OR(B474="",COUNT('01_INPUT_COMPANIES'!$AA$53)=0),"",'01_INPUT_COMPANIES'!$AA$53)</x:f>
      </x:c>
      <x:c r="F474" s="42" t="n">
        <x:v>1</x:v>
      </x:c>
      <x:c r="G474" s="42" t="str">
        <x:f>IF(NOT(ISNUMBER(E474)),"",MAX(K474,MIN(L474,E474*F474)))</x:f>
      </x:c>
      <x:c r="H474" s="42" t="n">
        <x:v>4</x:v>
      </x:c>
      <x:c r="I474" s="42" t="str">
        <x:f>IF(COUNT(G474)=0,"",(COUNTIFS('93_REF_ANCHORS'!$A$7:$A$766,D474,'93_REF_ANCHORS'!$C$7:$C$766,"&lt;"&amp;G474)+COUNTIFS('93_REF_ANCHORS'!$A$7:$A$766,D474,'93_REF_ANCHORS'!$C$7:$C$766,"&lt;="&amp;G474)-1)/(2*(H474-1)))</x:f>
      </x:c>
      <x:c r="J474" s="34" t="str">
        <x:f>IF(B474="","",IF(COUNT(E474)=0,"MISSING",IF(NOT(ISNUMBER(E474)),"INVALID",IF(E474*F474&lt;K474,"WINSORIZED LOW",IF(E474*F474&gt;L474,"WINSORIZED HIGH","OK")))))</x:f>
      </x:c>
      <x:c r="K474" s="34" t="n">
        <x:v>0</x:v>
      </x:c>
      <x:c r="L474" s="34" t="n">
        <x:v>0.7587051325360435</x:v>
      </x:c>
      <x:c r="M474" s="34" t="n">
        <x:v>0.1111111111111111</x:v>
      </x:c>
      <x:c r="N474" s="34" t="str">
        <x:v>yes</x:v>
      </x:c>
    </x:row>
    <x:row r="475">
      <x:c r="A475" s="34" t="n">
        <x:v>47</x:v>
      </x:c>
      <x:c r="B475" s="34" t="str">
        <x:f>IF('01_INPUT_COMPANIES'!$A$53="","",'01_INPUT_COMPANIES'!$A$53)</x:f>
      </x:c>
      <x:c r="C475" s="34" t="str">
        <x:f>IF(B475="","",'01_INPUT_COMPANIES'!$B$53)</x:f>
      </x:c>
      <x:c r="D475" s="34" t="str">
        <x:v>foreign_dependency_ratio</x:v>
      </x:c>
      <x:c r="E475" s="42" t="str">
        <x:f>IF(OR(B475="",COUNT('01_INPUT_COMPANIES'!$AB$53)=0),"",'01_INPUT_COMPANIES'!$AB$53)</x:f>
      </x:c>
      <x:c r="F475" s="42" t="n">
        <x:v>1</x:v>
      </x:c>
      <x:c r="G475" s="42" t="str">
        <x:f>IF(NOT(ISNUMBER(E475)),"",MAX(K475,MIN(L475,E475*F475)))</x:f>
      </x:c>
      <x:c r="H475" s="42" t="n">
        <x:v>84</x:v>
      </x:c>
      <x:c r="I475" s="42" t="str">
        <x:f>IF(COUNT(G475)=0,"",(COUNTIFS('93_REF_ANCHORS'!$A$7:$A$766,D475,'93_REF_ANCHORS'!$C$7:$C$766,"&lt;"&amp;G475)+COUNTIFS('93_REF_ANCHORS'!$A$7:$A$766,D475,'93_REF_ANCHORS'!$C$7:$C$766,"&lt;="&amp;G475)-1)/(2*(H475-1)))</x:f>
      </x:c>
      <x:c r="J475" s="34" t="str">
        <x:f>IF(B475="","",IF(COUNT(E475)=0,"MISSING",IF(NOT(ISNUMBER(E475)),"INVALID",IF(E475*F475&lt;K475,"WINSORIZED LOW",IF(E475*F475&gt;L475,"WINSORIZED HIGH","OK")))))</x:f>
      </x:c>
      <x:c r="K475" s="34" t="n">
        <x:v>0.728196</x:v>
      </x:c>
      <x:c r="L475" s="34" t="n">
        <x:v>0.94</x:v>
      </x:c>
      <x:c r="M475" s="34" t="n">
        <x:v>0.1111111111111111</x:v>
      </x:c>
      <x:c r="N475" s="34" t="str">
        <x:v>yes</x:v>
      </x:c>
    </x:row>
    <x:row r="476">
      <x:c r="A476" s="34" t="n">
        <x:v>47</x:v>
      </x:c>
      <x:c r="B476" s="34" t="str">
        <x:f>IF('01_INPUT_COMPANIES'!$A$53="","",'01_INPUT_COMPANIES'!$A$53)</x:f>
      </x:c>
      <x:c r="C476" s="34" t="str">
        <x:f>IF(B476="","",'01_INPUT_COMPANIES'!$B$53)</x:f>
      </x:c>
      <x:c r="D476" s="34" t="str">
        <x:v>outflow_to_capex_ratio</x:v>
      </x:c>
      <x:c r="E476" s="42" t="str">
        <x:f>IF(OR(B476="",COUNT('01_INPUT_COMPANIES'!$AC$53)=0),"",'01_INPUT_COMPANIES'!$AC$53)</x:f>
      </x:c>
      <x:c r="F476" s="42" t="n">
        <x:v>1</x:v>
      </x:c>
      <x:c r="G476" s="42" t="str">
        <x:f>IF(NOT(ISNUMBER(E476)),"",MAX(K476,MIN(L476,E476*F476)))</x:f>
      </x:c>
      <x:c r="H476" s="42" t="n">
        <x:v>97</x:v>
      </x:c>
      <x:c r="I476" s="42" t="str">
        <x:f>IF(COUNT(G476)=0,"",(COUNTIFS('93_REF_ANCHORS'!$A$7:$A$766,D476,'93_REF_ANCHORS'!$C$7:$C$766,"&lt;"&amp;G476)+COUNTIFS('93_REF_ANCHORS'!$A$7:$A$766,D476,'93_REF_ANCHORS'!$C$7:$C$766,"&lt;="&amp;G476)-1)/(2*(H476-1)))</x:f>
      </x:c>
      <x:c r="J476" s="34" t="str">
        <x:f>IF(B476="","",IF(COUNT(E476)=0,"MISSING",IF(NOT(ISNUMBER(E476)),"INVALID",IF(E476*F476&lt;K476,"WINSORIZED LOW",IF(E476*F476&gt;L476,"WINSORIZED HIGH","OK")))))</x:f>
      </x:c>
      <x:c r="K476" s="34" t="n">
        <x:v>-123.5385890408</x:v>
      </x:c>
      <x:c r="L476" s="34" t="n">
        <x:v>974.1666666666999</x:v>
      </x:c>
      <x:c r="M476" s="34" t="n">
        <x:v>0.1111111111111111</x:v>
      </x:c>
      <x:c r="N476" s="34" t="str">
        <x:v>no</x:v>
      </x:c>
    </x:row>
    <x:row r="477">
      <x:c r="A477" s="34" t="n">
        <x:v>48</x:v>
      </x:c>
      <x:c r="B477" s="34" t="str">
        <x:f>IF('01_INPUT_COMPANIES'!$A$54="","",'01_INPUT_COMPANIES'!$A$54)</x:f>
      </x:c>
      <x:c r="C477" s="34" t="str">
        <x:f>IF(B477="","",'01_INPUT_COMPANIES'!$B$54)</x:f>
      </x:c>
      <x:c r="D477" s="34" t="str">
        <x:v>effective_tax_rate_gap</x:v>
      </x:c>
      <x:c r="E477" s="42" t="str">
        <x:f>IF(OR(B477="",COUNT('01_INPUT_COMPANIES'!$T$54)=0),"",'01_INPUT_COMPANIES'!$T$54)</x:f>
      </x:c>
      <x:c r="F477" s="42" t="n">
        <x:v>1</x:v>
      </x:c>
      <x:c r="G477" s="42" t="str">
        <x:f>IF(NOT(ISNUMBER(E477)),"",MAX(K477,MIN(L477,E477*F477)))</x:f>
      </x:c>
      <x:c r="H477" s="42" t="n">
        <x:v>74</x:v>
      </x:c>
      <x:c r="I477" s="42" t="str">
        <x:f>IF(COUNT(G477)=0,"",(COUNTIFS('93_REF_ANCHORS'!$A$7:$A$766,D477,'93_REF_ANCHORS'!$C$7:$C$766,"&lt;"&amp;G477)+COUNTIFS('93_REF_ANCHORS'!$A$7:$A$766,D477,'93_REF_ANCHORS'!$C$7:$C$766,"&lt;="&amp;G477)-1)/(2*(H477-1)))</x:f>
      </x:c>
      <x:c r="J477" s="34" t="str">
        <x:f>IF(B477="","",IF(COUNT(E477)=0,"MISSING",IF(NOT(ISNUMBER(E477)),"INVALID",IF(E477*F477&lt;K477,"WINSORIZED LOW",IF(E477*F477&gt;L477,"WINSORIZED HIGH","OK")))))</x:f>
      </x:c>
      <x:c r="K477" s="34" t="n">
        <x:v>-0.1416111014</x:v>
      </x:c>
      <x:c r="L477" s="34" t="n">
        <x:v>0.2683650488</x:v>
      </x:c>
      <x:c r="M477" s="34" t="n">
        <x:v>0.1111111111111111</x:v>
      </x:c>
      <x:c r="N477" s="34" t="str">
        <x:v>no</x:v>
      </x:c>
    </x:row>
    <x:row r="478">
      <x:c r="A478" s="34" t="n">
        <x:v>48</x:v>
      </x:c>
      <x:c r="B478" s="34" t="str">
        <x:f>IF('01_INPUT_COMPANIES'!$A$54="","",'01_INPUT_COMPANIES'!$A$54)</x:f>
      </x:c>
      <x:c r="C478" s="34" t="str">
        <x:f>IF(B478="","",'01_INPUT_COMPANIES'!$B$54)</x:f>
      </x:c>
      <x:c r="D478" s="34" t="str">
        <x:v>infra_dependency_ratio</x:v>
      </x:c>
      <x:c r="E478" s="42" t="str">
        <x:f>IF(OR(B478="",COUNT('01_INPUT_COMPANIES'!$U$54)=0),"",'01_INPUT_COMPANIES'!$U$54)</x:f>
      </x:c>
      <x:c r="F478" s="42" t="n">
        <x:v>1</x:v>
      </x:c>
      <x:c r="G478" s="42" t="str">
        <x:f>IF(NOT(ISNUMBER(E478)),"",MAX(K478,MIN(L478,E478*F478)))</x:f>
      </x:c>
      <x:c r="H478" s="42" t="n">
        <x:v>64</x:v>
      </x:c>
      <x:c r="I478" s="42" t="str">
        <x:f>IF(COUNT(G478)=0,"",(COUNTIFS('93_REF_ANCHORS'!$A$7:$A$766,D478,'93_REF_ANCHORS'!$C$7:$C$766,"&lt;"&amp;G478)+COUNTIFS('93_REF_ANCHORS'!$A$7:$A$766,D478,'93_REF_ANCHORS'!$C$7:$C$766,"&lt;="&amp;G478)-1)/(2*(H478-1)))</x:f>
      </x:c>
      <x:c r="J478" s="34" t="str">
        <x:f>IF(B478="","",IF(COUNT(E478)=0,"MISSING",IF(NOT(ISNUMBER(E478)),"INVALID",IF(E478*F478&lt;K478,"WINSORIZED LOW",IF(E478*F478&gt;L478,"WINSORIZED HIGH","OK")))))</x:f>
      </x:c>
      <x:c r="K478" s="34" t="n">
        <x:v>-0.10705024705171803</x:v>
      </x:c>
      <x:c r="L478" s="34" t="n">
        <x:v>0.8008753865408955</x:v>
      </x:c>
      <x:c r="M478" s="34" t="n">
        <x:v>0.1111111111111111</x:v>
      </x:c>
      <x:c r="N478" s="34" t="str">
        <x:v>no</x:v>
      </x:c>
    </x:row>
    <x:row r="479">
      <x:c r="A479" s="34" t="n">
        <x:v>48</x:v>
      </x:c>
      <x:c r="B479" s="34" t="str">
        <x:f>IF('01_INPUT_COMPANIES'!$A$54="","",'01_INPUT_COMPANIES'!$A$54)</x:f>
      </x:c>
      <x:c r="C479" s="34" t="str">
        <x:f>IF(B479="","",'01_INPUT_COMPANIES'!$B$54)</x:f>
      </x:c>
      <x:c r="D479" s="34" t="str">
        <x:v>network_cost_ratio</x:v>
      </x:c>
      <x:c r="E479" s="42" t="str">
        <x:f>IF(OR(B479="",COUNT('01_INPUT_COMPANIES'!$V$54)=0),"",'01_INPUT_COMPANIES'!$V$54)</x:f>
      </x:c>
      <x:c r="F479" s="42" t="n">
        <x:v>1</x:v>
      </x:c>
      <x:c r="G479" s="42" t="str">
        <x:f>IF(NOT(ISNUMBER(E479)),"",MAX(K479,MIN(L479,E479*F479)))</x:f>
      </x:c>
      <x:c r="H479" s="42" t="n">
        <x:v>97</x:v>
      </x:c>
      <x:c r="I479" s="42" t="str">
        <x:f>IF(COUNT(G479)=0,"",(COUNTIFS('93_REF_ANCHORS'!$A$7:$A$766,D479,'93_REF_ANCHORS'!$C$7:$C$766,"&lt;"&amp;G479)+COUNTIFS('93_REF_ANCHORS'!$A$7:$A$766,D479,'93_REF_ANCHORS'!$C$7:$C$766,"&lt;="&amp;G479)-1)/(2*(H479-1)))</x:f>
      </x:c>
      <x:c r="J479" s="34" t="str">
        <x:f>IF(B479="","",IF(COUNT(E479)=0,"MISSING",IF(NOT(ISNUMBER(E479)),"INVALID",IF(E479*F479&lt;K479,"WINSORIZED LOW",IF(E479*F479&gt;L479,"WINSORIZED HIGH","OK")))))</x:f>
      </x:c>
      <x:c r="K479" s="34" t="n">
        <x:v>-0.1395374353</x:v>
      </x:c>
      <x:c r="L479" s="34" t="n">
        <x:v>0.9274274845000001</x:v>
      </x:c>
      <x:c r="M479" s="34" t="n">
        <x:v>0.1111111111111111</x:v>
      </x:c>
      <x:c r="N479" s="34" t="str">
        <x:v>no</x:v>
      </x:c>
    </x:row>
    <x:row r="480">
      <x:c r="A480" s="34" t="n">
        <x:v>48</x:v>
      </x:c>
      <x:c r="B480" s="34" t="str">
        <x:f>IF('01_INPUT_COMPANIES'!$A$54="","",'01_INPUT_COMPANIES'!$A$54)</x:f>
      </x:c>
      <x:c r="C480" s="34" t="str">
        <x:f>IF(B480="","",'01_INPUT_COMPANIES'!$B$54)</x:f>
      </x:c>
      <x:c r="D480" s="34" t="str">
        <x:v>cashflow_recovery_ratio</x:v>
      </x:c>
      <x:c r="E480" s="42" t="str">
        <x:f>IF(OR(B480="",COUNT('01_INPUT_COMPANIES'!$W$54)=0),"",'01_INPUT_COMPANIES'!$W$54)</x:f>
      </x:c>
      <x:c r="F480" s="42" t="n">
        <x:v>-1</x:v>
      </x:c>
      <x:c r="G480" s="42" t="str">
        <x:f>IF(NOT(ISNUMBER(E480)),"",MAX(K480,MIN(L480,E480*F480)))</x:f>
      </x:c>
      <x:c r="H480" s="42" t="n">
        <x:v>95</x:v>
      </x:c>
      <x:c r="I480" s="42" t="str">
        <x:f>IF(COUNT(G480)=0,"",(COUNTIFS('93_REF_ANCHORS'!$A$7:$A$766,D480,'93_REF_ANCHORS'!$C$7:$C$766,"&lt;"&amp;G480)+COUNTIFS('93_REF_ANCHORS'!$A$7:$A$766,D480,'93_REF_ANCHORS'!$C$7:$C$766,"&lt;="&amp;G480)-1)/(2*(H480-1)))</x:f>
      </x:c>
      <x:c r="J480" s="34" t="str">
        <x:f>IF(B480="","",IF(COUNT(E480)=0,"MISSING",IF(NOT(ISNUMBER(E480)),"INVALID",IF(E480*F480&lt;K480,"WINSORIZED LOW",IF(E480*F480&gt;L480,"WINSORIZED HIGH","OK")))))</x:f>
      </x:c>
      <x:c r="K480" s="34" t="n">
        <x:v>-300.75</x:v>
      </x:c>
      <x:c r="L480" s="34" t="n">
        <x:v>42.6920305469</x:v>
      </x:c>
      <x:c r="M480" s="34" t="n">
        <x:v>0.08333333333333333</x:v>
      </x:c>
      <x:c r="N480" s="34" t="str">
        <x:v>no</x:v>
      </x:c>
    </x:row>
    <x:row r="481">
      <x:c r="A481" s="34" t="n">
        <x:v>48</x:v>
      </x:c>
      <x:c r="B481" s="34" t="str">
        <x:f>IF('01_INPUT_COMPANIES'!$A$54="","",'01_INPUT_COMPANIES'!$A$54)</x:f>
      </x:c>
      <x:c r="C481" s="34" t="str">
        <x:f>IF(B481="","",'01_INPUT_COMPANIES'!$B$54)</x:f>
      </x:c>
      <x:c r="D481" s="34" t="str">
        <x:v>funding_cost_spread</x:v>
      </x:c>
      <x:c r="E481" s="42" t="str">
        <x:f>IF(OR(B481="",COUNT('01_INPUT_COMPANIES'!$X$54)=0),"",'01_INPUT_COMPANIES'!$X$54)</x:f>
      </x:c>
      <x:c r="F481" s="42" t="n">
        <x:v>1</x:v>
      </x:c>
      <x:c r="G481" s="42" t="str">
        <x:f>IF(NOT(ISNUMBER(E481)),"",MAX(K481,MIN(L481,E481*F481)))</x:f>
      </x:c>
      <x:c r="H481" s="42" t="n">
        <x:v>58</x:v>
      </x:c>
      <x:c r="I481" s="42" t="str">
        <x:f>IF(COUNT(G481)=0,"",(COUNTIFS('93_REF_ANCHORS'!$A$7:$A$766,D481,'93_REF_ANCHORS'!$C$7:$C$766,"&lt;"&amp;G481)+COUNTIFS('93_REF_ANCHORS'!$A$7:$A$766,D481,'93_REF_ANCHORS'!$C$7:$C$766,"&lt;="&amp;G481)-1)/(2*(H481-1)))</x:f>
      </x:c>
      <x:c r="J481" s="34" t="str">
        <x:f>IF(B481="","",IF(COUNT(E481)=0,"MISSING",IF(NOT(ISNUMBER(E481)),"INVALID",IF(E481*F481&lt;K481,"WINSORIZED LOW",IF(E481*F481&gt;L481,"WINSORIZED HIGH","OK")))))</x:f>
      </x:c>
      <x:c r="K481" s="34" t="n">
        <x:v>-0.4430292903</x:v>
      </x:c>
      <x:c r="L481" s="34" t="n">
        <x:v>0.5068913103</x:v>
      </x:c>
      <x:c r="M481" s="34" t="n">
        <x:v>0.08333333333333333</x:v>
      </x:c>
      <x:c r="N481" s="34" t="str">
        <x:v>no</x:v>
      </x:c>
    </x:row>
    <x:row r="482">
      <x:c r="A482" s="34" t="n">
        <x:v>48</x:v>
      </x:c>
      <x:c r="B482" s="34" t="str">
        <x:f>IF('01_INPUT_COMPANIES'!$A$54="","",'01_INPUT_COMPANIES'!$A$54)</x:f>
      </x:c>
      <x:c r="C482" s="34" t="str">
        <x:f>IF(B482="","",'01_INPUT_COMPANIES'!$B$54)</x:f>
      </x:c>
      <x:c r="D482" s="34" t="str">
        <x:v>investment_recovery_ratio</x:v>
      </x:c>
      <x:c r="E482" s="42" t="str">
        <x:f>IF(OR(B482="",COUNT('01_INPUT_COMPANIES'!$Y$54)=0),"",'01_INPUT_COMPANIES'!$Y$54)</x:f>
      </x:c>
      <x:c r="F482" s="42" t="n">
        <x:v>-1</x:v>
      </x:c>
      <x:c r="G482" s="42" t="str">
        <x:f>IF(NOT(ISNUMBER(E482)),"",MAX(K482,MIN(L482,E482*F482)))</x:f>
      </x:c>
      <x:c r="H482" s="42" t="n">
        <x:v>95</x:v>
      </x:c>
      <x:c r="I482" s="42" t="str">
        <x:f>IF(COUNT(G482)=0,"",(COUNTIFS('93_REF_ANCHORS'!$A$7:$A$766,D482,'93_REF_ANCHORS'!$C$7:$C$766,"&lt;"&amp;G482)+COUNTIFS('93_REF_ANCHORS'!$A$7:$A$766,D482,'93_REF_ANCHORS'!$C$7:$C$766,"&lt;="&amp;G482)-1)/(2*(H482-1)))</x:f>
      </x:c>
      <x:c r="J482" s="34" t="str">
        <x:f>IF(B482="","",IF(COUNT(E482)=0,"MISSING",IF(NOT(ISNUMBER(E482)),"INVALID",IF(E482*F482&lt;K482,"WINSORIZED LOW",IF(E482*F482&gt;L482,"WINSORIZED HIGH","OK")))))</x:f>
      </x:c>
      <x:c r="K482" s="34" t="n">
        <x:v>-3163.7500000000014</x:v>
      </x:c>
      <x:c r="L482" s="34" t="n">
        <x:v>189.68191301719997</x:v>
      </x:c>
      <x:c r="M482" s="34" t="n">
        <x:v>0.08333333333333333</x:v>
      </x:c>
      <x:c r="N482" s="34" t="str">
        <x:v>no</x:v>
      </x:c>
    </x:row>
    <x:row r="483">
      <x:c r="A483" s="34" t="n">
        <x:v>48</x:v>
      </x:c>
      <x:c r="B483" s="34" t="str">
        <x:f>IF('01_INPUT_COMPANIES'!$A$54="","",'01_INPUT_COMPANIES'!$A$54)</x:f>
      </x:c>
      <x:c r="C483" s="34" t="str">
        <x:f>IF(B483="","",'01_INPUT_COMPANIES'!$B$54)</x:f>
      </x:c>
      <x:c r="D483" s="34" t="str">
        <x:v>ip_assetization_gap</x:v>
      </x:c>
      <x:c r="E483" s="42" t="str">
        <x:f>IF(OR(B483="",COUNT('01_INPUT_COMPANIES'!$Z$54)=0),"",'01_INPUT_COMPANIES'!$Z$54)</x:f>
      </x:c>
      <x:c r="F483" s="42" t="n">
        <x:v>1</x:v>
      </x:c>
      <x:c r="G483" s="42" t="str">
        <x:f>IF(NOT(ISNUMBER(E483)),"",MAX(K483,MIN(L483,E483*F483)))</x:f>
      </x:c>
      <x:c r="H483" s="42" t="n">
        <x:v>92</x:v>
      </x:c>
      <x:c r="I483" s="42" t="str">
        <x:f>IF(COUNT(G483)=0,"",(COUNTIFS('93_REF_ANCHORS'!$A$7:$A$766,D483,'93_REF_ANCHORS'!$C$7:$C$766,"&lt;"&amp;G483)+COUNTIFS('93_REF_ANCHORS'!$A$7:$A$766,D483,'93_REF_ANCHORS'!$C$7:$C$766,"&lt;="&amp;G483)-1)/(2*(H483-1)))</x:f>
      </x:c>
      <x:c r="J483" s="34" t="str">
        <x:f>IF(B483="","",IF(COUNT(E483)=0,"MISSING",IF(NOT(ISNUMBER(E483)),"INVALID",IF(E483*F483&lt;K483,"WINSORIZED LOW",IF(E483*F483&gt;L483,"WINSORIZED HIGH","OK")))))</x:f>
      </x:c>
      <x:c r="K483" s="34" t="n">
        <x:v>-1.6707152386</x:v>
      </x:c>
      <x:c r="L483" s="34" t="n">
        <x:v>0.7716332556000001</x:v>
      </x:c>
      <x:c r="M483" s="34" t="n">
        <x:v>0.08333333333333333</x:v>
      </x:c>
      <x:c r="N483" s="34" t="str">
        <x:v>no</x:v>
      </x:c>
    </x:row>
    <x:row r="484">
      <x:c r="A484" s="34" t="n">
        <x:v>48</x:v>
      </x:c>
      <x:c r="B484" s="34" t="str">
        <x:f>IF('01_INPUT_COMPANIES'!$A$54="","",'01_INPUT_COMPANIES'!$A$54)</x:f>
      </x:c>
      <x:c r="C484" s="34" t="str">
        <x:f>IF(B484="","",'01_INPUT_COMPANIES'!$B$54)</x:f>
      </x:c>
      <x:c r="D484" s="34" t="str">
        <x:v>cross_market_transfer_index</x:v>
      </x:c>
      <x:c r="E484" s="42" t="str">
        <x:f>IF(OR(B484="",COUNT('01_INPUT_COMPANIES'!$AA$54)=0),"",'01_INPUT_COMPANIES'!$AA$54)</x:f>
      </x:c>
      <x:c r="F484" s="42" t="n">
        <x:v>1</x:v>
      </x:c>
      <x:c r="G484" s="42" t="str">
        <x:f>IF(NOT(ISNUMBER(E484)),"",MAX(K484,MIN(L484,E484*F484)))</x:f>
      </x:c>
      <x:c r="H484" s="42" t="n">
        <x:v>4</x:v>
      </x:c>
      <x:c r="I484" s="42" t="str">
        <x:f>IF(COUNT(G484)=0,"",(COUNTIFS('93_REF_ANCHORS'!$A$7:$A$766,D484,'93_REF_ANCHORS'!$C$7:$C$766,"&lt;"&amp;G484)+COUNTIFS('93_REF_ANCHORS'!$A$7:$A$766,D484,'93_REF_ANCHORS'!$C$7:$C$766,"&lt;="&amp;G484)-1)/(2*(H484-1)))</x:f>
      </x:c>
      <x:c r="J484" s="34" t="str">
        <x:f>IF(B484="","",IF(COUNT(E484)=0,"MISSING",IF(NOT(ISNUMBER(E484)),"INVALID",IF(E484*F484&lt;K484,"WINSORIZED LOW",IF(E484*F484&gt;L484,"WINSORIZED HIGH","OK")))))</x:f>
      </x:c>
      <x:c r="K484" s="34" t="n">
        <x:v>0</x:v>
      </x:c>
      <x:c r="L484" s="34" t="n">
        <x:v>0.7587051325360435</x:v>
      </x:c>
      <x:c r="M484" s="34" t="n">
        <x:v>0.1111111111111111</x:v>
      </x:c>
      <x:c r="N484" s="34" t="str">
        <x:v>yes</x:v>
      </x:c>
    </x:row>
    <x:row r="485">
      <x:c r="A485" s="34" t="n">
        <x:v>48</x:v>
      </x:c>
      <x:c r="B485" s="34" t="str">
        <x:f>IF('01_INPUT_COMPANIES'!$A$54="","",'01_INPUT_COMPANIES'!$A$54)</x:f>
      </x:c>
      <x:c r="C485" s="34" t="str">
        <x:f>IF(B485="","",'01_INPUT_COMPANIES'!$B$54)</x:f>
      </x:c>
      <x:c r="D485" s="34" t="str">
        <x:v>foreign_dependency_ratio</x:v>
      </x:c>
      <x:c r="E485" s="42" t="str">
        <x:f>IF(OR(B485="",COUNT('01_INPUT_COMPANIES'!$AB$54)=0),"",'01_INPUT_COMPANIES'!$AB$54)</x:f>
      </x:c>
      <x:c r="F485" s="42" t="n">
        <x:v>1</x:v>
      </x:c>
      <x:c r="G485" s="42" t="str">
        <x:f>IF(NOT(ISNUMBER(E485)),"",MAX(K485,MIN(L485,E485*F485)))</x:f>
      </x:c>
      <x:c r="H485" s="42" t="n">
        <x:v>84</x:v>
      </x:c>
      <x:c r="I485" s="42" t="str">
        <x:f>IF(COUNT(G485)=0,"",(COUNTIFS('93_REF_ANCHORS'!$A$7:$A$766,D485,'93_REF_ANCHORS'!$C$7:$C$766,"&lt;"&amp;G485)+COUNTIFS('93_REF_ANCHORS'!$A$7:$A$766,D485,'93_REF_ANCHORS'!$C$7:$C$766,"&lt;="&amp;G485)-1)/(2*(H485-1)))</x:f>
      </x:c>
      <x:c r="J485" s="34" t="str">
        <x:f>IF(B485="","",IF(COUNT(E485)=0,"MISSING",IF(NOT(ISNUMBER(E485)),"INVALID",IF(E485*F485&lt;K485,"WINSORIZED LOW",IF(E485*F485&gt;L485,"WINSORIZED HIGH","OK")))))</x:f>
      </x:c>
      <x:c r="K485" s="34" t="n">
        <x:v>0.728196</x:v>
      </x:c>
      <x:c r="L485" s="34" t="n">
        <x:v>0.94</x:v>
      </x:c>
      <x:c r="M485" s="34" t="n">
        <x:v>0.1111111111111111</x:v>
      </x:c>
      <x:c r="N485" s="34" t="str">
        <x:v>yes</x:v>
      </x:c>
    </x:row>
    <x:row r="486">
      <x:c r="A486" s="34" t="n">
        <x:v>48</x:v>
      </x:c>
      <x:c r="B486" s="34" t="str">
        <x:f>IF('01_INPUT_COMPANIES'!$A$54="","",'01_INPUT_COMPANIES'!$A$54)</x:f>
      </x:c>
      <x:c r="C486" s="34" t="str">
        <x:f>IF(B486="","",'01_INPUT_COMPANIES'!$B$54)</x:f>
      </x:c>
      <x:c r="D486" s="34" t="str">
        <x:v>outflow_to_capex_ratio</x:v>
      </x:c>
      <x:c r="E486" s="42" t="str">
        <x:f>IF(OR(B486="",COUNT('01_INPUT_COMPANIES'!$AC$54)=0),"",'01_INPUT_COMPANIES'!$AC$54)</x:f>
      </x:c>
      <x:c r="F486" s="42" t="n">
        <x:v>1</x:v>
      </x:c>
      <x:c r="G486" s="42" t="str">
        <x:f>IF(NOT(ISNUMBER(E486)),"",MAX(K486,MIN(L486,E486*F486)))</x:f>
      </x:c>
      <x:c r="H486" s="42" t="n">
        <x:v>97</x:v>
      </x:c>
      <x:c r="I486" s="42" t="str">
        <x:f>IF(COUNT(G486)=0,"",(COUNTIFS('93_REF_ANCHORS'!$A$7:$A$766,D486,'93_REF_ANCHORS'!$C$7:$C$766,"&lt;"&amp;G486)+COUNTIFS('93_REF_ANCHORS'!$A$7:$A$766,D486,'93_REF_ANCHORS'!$C$7:$C$766,"&lt;="&amp;G486)-1)/(2*(H486-1)))</x:f>
      </x:c>
      <x:c r="J486" s="34" t="str">
        <x:f>IF(B486="","",IF(COUNT(E486)=0,"MISSING",IF(NOT(ISNUMBER(E486)),"INVALID",IF(E486*F486&lt;K486,"WINSORIZED LOW",IF(E486*F486&gt;L486,"WINSORIZED HIGH","OK")))))</x:f>
      </x:c>
      <x:c r="K486" s="34" t="n">
        <x:v>-123.5385890408</x:v>
      </x:c>
      <x:c r="L486" s="34" t="n">
        <x:v>974.1666666666999</x:v>
      </x:c>
      <x:c r="M486" s="34" t="n">
        <x:v>0.1111111111111111</x:v>
      </x:c>
      <x:c r="N486" s="34" t="str">
        <x:v>no</x:v>
      </x:c>
    </x:row>
    <x:row r="487">
      <x:c r="A487" s="34" t="n">
        <x:v>49</x:v>
      </x:c>
      <x:c r="B487" s="34" t="str">
        <x:f>IF('01_INPUT_COMPANIES'!$A$55="","",'01_INPUT_COMPANIES'!$A$55)</x:f>
      </x:c>
      <x:c r="C487" s="34" t="str">
        <x:f>IF(B487="","",'01_INPUT_COMPANIES'!$B$55)</x:f>
      </x:c>
      <x:c r="D487" s="34" t="str">
        <x:v>effective_tax_rate_gap</x:v>
      </x:c>
      <x:c r="E487" s="42" t="str">
        <x:f>IF(OR(B487="",COUNT('01_INPUT_COMPANIES'!$T$55)=0),"",'01_INPUT_COMPANIES'!$T$55)</x:f>
      </x:c>
      <x:c r="F487" s="42" t="n">
        <x:v>1</x:v>
      </x:c>
      <x:c r="G487" s="42" t="str">
        <x:f>IF(NOT(ISNUMBER(E487)),"",MAX(K487,MIN(L487,E487*F487)))</x:f>
      </x:c>
      <x:c r="H487" s="42" t="n">
        <x:v>74</x:v>
      </x:c>
      <x:c r="I487" s="42" t="str">
        <x:f>IF(COUNT(G487)=0,"",(COUNTIFS('93_REF_ANCHORS'!$A$7:$A$766,D487,'93_REF_ANCHORS'!$C$7:$C$766,"&lt;"&amp;G487)+COUNTIFS('93_REF_ANCHORS'!$A$7:$A$766,D487,'93_REF_ANCHORS'!$C$7:$C$766,"&lt;="&amp;G487)-1)/(2*(H487-1)))</x:f>
      </x:c>
      <x:c r="J487" s="34" t="str">
        <x:f>IF(B487="","",IF(COUNT(E487)=0,"MISSING",IF(NOT(ISNUMBER(E487)),"INVALID",IF(E487*F487&lt;K487,"WINSORIZED LOW",IF(E487*F487&gt;L487,"WINSORIZED HIGH","OK")))))</x:f>
      </x:c>
      <x:c r="K487" s="34" t="n">
        <x:v>-0.1416111014</x:v>
      </x:c>
      <x:c r="L487" s="34" t="n">
        <x:v>0.2683650488</x:v>
      </x:c>
      <x:c r="M487" s="34" t="n">
        <x:v>0.1111111111111111</x:v>
      </x:c>
      <x:c r="N487" s="34" t="str">
        <x:v>no</x:v>
      </x:c>
    </x:row>
    <x:row r="488">
      <x:c r="A488" s="34" t="n">
        <x:v>49</x:v>
      </x:c>
      <x:c r="B488" s="34" t="str">
        <x:f>IF('01_INPUT_COMPANIES'!$A$55="","",'01_INPUT_COMPANIES'!$A$55)</x:f>
      </x:c>
      <x:c r="C488" s="34" t="str">
        <x:f>IF(B488="","",'01_INPUT_COMPANIES'!$B$55)</x:f>
      </x:c>
      <x:c r="D488" s="34" t="str">
        <x:v>infra_dependency_ratio</x:v>
      </x:c>
      <x:c r="E488" s="42" t="str">
        <x:f>IF(OR(B488="",COUNT('01_INPUT_COMPANIES'!$U$55)=0),"",'01_INPUT_COMPANIES'!$U$55)</x:f>
      </x:c>
      <x:c r="F488" s="42" t="n">
        <x:v>1</x:v>
      </x:c>
      <x:c r="G488" s="42" t="str">
        <x:f>IF(NOT(ISNUMBER(E488)),"",MAX(K488,MIN(L488,E488*F488)))</x:f>
      </x:c>
      <x:c r="H488" s="42" t="n">
        <x:v>64</x:v>
      </x:c>
      <x:c r="I488" s="42" t="str">
        <x:f>IF(COUNT(G488)=0,"",(COUNTIFS('93_REF_ANCHORS'!$A$7:$A$766,D488,'93_REF_ANCHORS'!$C$7:$C$766,"&lt;"&amp;G488)+COUNTIFS('93_REF_ANCHORS'!$A$7:$A$766,D488,'93_REF_ANCHORS'!$C$7:$C$766,"&lt;="&amp;G488)-1)/(2*(H488-1)))</x:f>
      </x:c>
      <x:c r="J488" s="34" t="str">
        <x:f>IF(B488="","",IF(COUNT(E488)=0,"MISSING",IF(NOT(ISNUMBER(E488)),"INVALID",IF(E488*F488&lt;K488,"WINSORIZED LOW",IF(E488*F488&gt;L488,"WINSORIZED HIGH","OK")))))</x:f>
      </x:c>
      <x:c r="K488" s="34" t="n">
        <x:v>-0.10705024705171803</x:v>
      </x:c>
      <x:c r="L488" s="34" t="n">
        <x:v>0.8008753865408955</x:v>
      </x:c>
      <x:c r="M488" s="34" t="n">
        <x:v>0.1111111111111111</x:v>
      </x:c>
      <x:c r="N488" s="34" t="str">
        <x:v>no</x:v>
      </x:c>
    </x:row>
    <x:row r="489">
      <x:c r="A489" s="34" t="n">
        <x:v>49</x:v>
      </x:c>
      <x:c r="B489" s="34" t="str">
        <x:f>IF('01_INPUT_COMPANIES'!$A$55="","",'01_INPUT_COMPANIES'!$A$55)</x:f>
      </x:c>
      <x:c r="C489" s="34" t="str">
        <x:f>IF(B489="","",'01_INPUT_COMPANIES'!$B$55)</x:f>
      </x:c>
      <x:c r="D489" s="34" t="str">
        <x:v>network_cost_ratio</x:v>
      </x:c>
      <x:c r="E489" s="42" t="str">
        <x:f>IF(OR(B489="",COUNT('01_INPUT_COMPANIES'!$V$55)=0),"",'01_INPUT_COMPANIES'!$V$55)</x:f>
      </x:c>
      <x:c r="F489" s="42" t="n">
        <x:v>1</x:v>
      </x:c>
      <x:c r="G489" s="42" t="str">
        <x:f>IF(NOT(ISNUMBER(E489)),"",MAX(K489,MIN(L489,E489*F489)))</x:f>
      </x:c>
      <x:c r="H489" s="42" t="n">
        <x:v>97</x:v>
      </x:c>
      <x:c r="I489" s="42" t="str">
        <x:f>IF(COUNT(G489)=0,"",(COUNTIFS('93_REF_ANCHORS'!$A$7:$A$766,D489,'93_REF_ANCHORS'!$C$7:$C$766,"&lt;"&amp;G489)+COUNTIFS('93_REF_ANCHORS'!$A$7:$A$766,D489,'93_REF_ANCHORS'!$C$7:$C$766,"&lt;="&amp;G489)-1)/(2*(H489-1)))</x:f>
      </x:c>
      <x:c r="J489" s="34" t="str">
        <x:f>IF(B489="","",IF(COUNT(E489)=0,"MISSING",IF(NOT(ISNUMBER(E489)),"INVALID",IF(E489*F489&lt;K489,"WINSORIZED LOW",IF(E489*F489&gt;L489,"WINSORIZED HIGH","OK")))))</x:f>
      </x:c>
      <x:c r="K489" s="34" t="n">
        <x:v>-0.1395374353</x:v>
      </x:c>
      <x:c r="L489" s="34" t="n">
        <x:v>0.9274274845000001</x:v>
      </x:c>
      <x:c r="M489" s="34" t="n">
        <x:v>0.1111111111111111</x:v>
      </x:c>
      <x:c r="N489" s="34" t="str">
        <x:v>no</x:v>
      </x:c>
    </x:row>
    <x:row r="490">
      <x:c r="A490" s="34" t="n">
        <x:v>49</x:v>
      </x:c>
      <x:c r="B490" s="34" t="str">
        <x:f>IF('01_INPUT_COMPANIES'!$A$55="","",'01_INPUT_COMPANIES'!$A$55)</x:f>
      </x:c>
      <x:c r="C490" s="34" t="str">
        <x:f>IF(B490="","",'01_INPUT_COMPANIES'!$B$55)</x:f>
      </x:c>
      <x:c r="D490" s="34" t="str">
        <x:v>cashflow_recovery_ratio</x:v>
      </x:c>
      <x:c r="E490" s="42" t="str">
        <x:f>IF(OR(B490="",COUNT('01_INPUT_COMPANIES'!$W$55)=0),"",'01_INPUT_COMPANIES'!$W$55)</x:f>
      </x:c>
      <x:c r="F490" s="42" t="n">
        <x:v>-1</x:v>
      </x:c>
      <x:c r="G490" s="42" t="str">
        <x:f>IF(NOT(ISNUMBER(E490)),"",MAX(K490,MIN(L490,E490*F490)))</x:f>
      </x:c>
      <x:c r="H490" s="42" t="n">
        <x:v>95</x:v>
      </x:c>
      <x:c r="I490" s="42" t="str">
        <x:f>IF(COUNT(G490)=0,"",(COUNTIFS('93_REF_ANCHORS'!$A$7:$A$766,D490,'93_REF_ANCHORS'!$C$7:$C$766,"&lt;"&amp;G490)+COUNTIFS('93_REF_ANCHORS'!$A$7:$A$766,D490,'93_REF_ANCHORS'!$C$7:$C$766,"&lt;="&amp;G490)-1)/(2*(H490-1)))</x:f>
      </x:c>
      <x:c r="J490" s="34" t="str">
        <x:f>IF(B490="","",IF(COUNT(E490)=0,"MISSING",IF(NOT(ISNUMBER(E490)),"INVALID",IF(E490*F490&lt;K490,"WINSORIZED LOW",IF(E490*F490&gt;L490,"WINSORIZED HIGH","OK")))))</x:f>
      </x:c>
      <x:c r="K490" s="34" t="n">
        <x:v>-300.75</x:v>
      </x:c>
      <x:c r="L490" s="34" t="n">
        <x:v>42.6920305469</x:v>
      </x:c>
      <x:c r="M490" s="34" t="n">
        <x:v>0.08333333333333333</x:v>
      </x:c>
      <x:c r="N490" s="34" t="str">
        <x:v>no</x:v>
      </x:c>
    </x:row>
    <x:row r="491">
      <x:c r="A491" s="34" t="n">
        <x:v>49</x:v>
      </x:c>
      <x:c r="B491" s="34" t="str">
        <x:f>IF('01_INPUT_COMPANIES'!$A$55="","",'01_INPUT_COMPANIES'!$A$55)</x:f>
      </x:c>
      <x:c r="C491" s="34" t="str">
        <x:f>IF(B491="","",'01_INPUT_COMPANIES'!$B$55)</x:f>
      </x:c>
      <x:c r="D491" s="34" t="str">
        <x:v>funding_cost_spread</x:v>
      </x:c>
      <x:c r="E491" s="42" t="str">
        <x:f>IF(OR(B491="",COUNT('01_INPUT_COMPANIES'!$X$55)=0),"",'01_INPUT_COMPANIES'!$X$55)</x:f>
      </x:c>
      <x:c r="F491" s="42" t="n">
        <x:v>1</x:v>
      </x:c>
      <x:c r="G491" s="42" t="str">
        <x:f>IF(NOT(ISNUMBER(E491)),"",MAX(K491,MIN(L491,E491*F491)))</x:f>
      </x:c>
      <x:c r="H491" s="42" t="n">
        <x:v>58</x:v>
      </x:c>
      <x:c r="I491" s="42" t="str">
        <x:f>IF(COUNT(G491)=0,"",(COUNTIFS('93_REF_ANCHORS'!$A$7:$A$766,D491,'93_REF_ANCHORS'!$C$7:$C$766,"&lt;"&amp;G491)+COUNTIFS('93_REF_ANCHORS'!$A$7:$A$766,D491,'93_REF_ANCHORS'!$C$7:$C$766,"&lt;="&amp;G491)-1)/(2*(H491-1)))</x:f>
      </x:c>
      <x:c r="J491" s="34" t="str">
        <x:f>IF(B491="","",IF(COUNT(E491)=0,"MISSING",IF(NOT(ISNUMBER(E491)),"INVALID",IF(E491*F491&lt;K491,"WINSORIZED LOW",IF(E491*F491&gt;L491,"WINSORIZED HIGH","OK")))))</x:f>
      </x:c>
      <x:c r="K491" s="34" t="n">
        <x:v>-0.4430292903</x:v>
      </x:c>
      <x:c r="L491" s="34" t="n">
        <x:v>0.5068913103</x:v>
      </x:c>
      <x:c r="M491" s="34" t="n">
        <x:v>0.08333333333333333</x:v>
      </x:c>
      <x:c r="N491" s="34" t="str">
        <x:v>no</x:v>
      </x:c>
    </x:row>
    <x:row r="492">
      <x:c r="A492" s="34" t="n">
        <x:v>49</x:v>
      </x:c>
      <x:c r="B492" s="34" t="str">
        <x:f>IF('01_INPUT_COMPANIES'!$A$55="","",'01_INPUT_COMPANIES'!$A$55)</x:f>
      </x:c>
      <x:c r="C492" s="34" t="str">
        <x:f>IF(B492="","",'01_INPUT_COMPANIES'!$B$55)</x:f>
      </x:c>
      <x:c r="D492" s="34" t="str">
        <x:v>investment_recovery_ratio</x:v>
      </x:c>
      <x:c r="E492" s="42" t="str">
        <x:f>IF(OR(B492="",COUNT('01_INPUT_COMPANIES'!$Y$55)=0),"",'01_INPUT_COMPANIES'!$Y$55)</x:f>
      </x:c>
      <x:c r="F492" s="42" t="n">
        <x:v>-1</x:v>
      </x:c>
      <x:c r="G492" s="42" t="str">
        <x:f>IF(NOT(ISNUMBER(E492)),"",MAX(K492,MIN(L492,E492*F492)))</x:f>
      </x:c>
      <x:c r="H492" s="42" t="n">
        <x:v>95</x:v>
      </x:c>
      <x:c r="I492" s="42" t="str">
        <x:f>IF(COUNT(G492)=0,"",(COUNTIFS('93_REF_ANCHORS'!$A$7:$A$766,D492,'93_REF_ANCHORS'!$C$7:$C$766,"&lt;"&amp;G492)+COUNTIFS('93_REF_ANCHORS'!$A$7:$A$766,D492,'93_REF_ANCHORS'!$C$7:$C$766,"&lt;="&amp;G492)-1)/(2*(H492-1)))</x:f>
      </x:c>
      <x:c r="J492" s="34" t="str">
        <x:f>IF(B492="","",IF(COUNT(E492)=0,"MISSING",IF(NOT(ISNUMBER(E492)),"INVALID",IF(E492*F492&lt;K492,"WINSORIZED LOW",IF(E492*F492&gt;L492,"WINSORIZED HIGH","OK")))))</x:f>
      </x:c>
      <x:c r="K492" s="34" t="n">
        <x:v>-3163.7500000000014</x:v>
      </x:c>
      <x:c r="L492" s="34" t="n">
        <x:v>189.68191301719997</x:v>
      </x:c>
      <x:c r="M492" s="34" t="n">
        <x:v>0.08333333333333333</x:v>
      </x:c>
      <x:c r="N492" s="34" t="str">
        <x:v>no</x:v>
      </x:c>
    </x:row>
    <x:row r="493">
      <x:c r="A493" s="34" t="n">
        <x:v>49</x:v>
      </x:c>
      <x:c r="B493" s="34" t="str">
        <x:f>IF('01_INPUT_COMPANIES'!$A$55="","",'01_INPUT_COMPANIES'!$A$55)</x:f>
      </x:c>
      <x:c r="C493" s="34" t="str">
        <x:f>IF(B493="","",'01_INPUT_COMPANIES'!$B$55)</x:f>
      </x:c>
      <x:c r="D493" s="34" t="str">
        <x:v>ip_assetization_gap</x:v>
      </x:c>
      <x:c r="E493" s="42" t="str">
        <x:f>IF(OR(B493="",COUNT('01_INPUT_COMPANIES'!$Z$55)=0),"",'01_INPUT_COMPANIES'!$Z$55)</x:f>
      </x:c>
      <x:c r="F493" s="42" t="n">
        <x:v>1</x:v>
      </x:c>
      <x:c r="G493" s="42" t="str">
        <x:f>IF(NOT(ISNUMBER(E493)),"",MAX(K493,MIN(L493,E493*F493)))</x:f>
      </x:c>
      <x:c r="H493" s="42" t="n">
        <x:v>92</x:v>
      </x:c>
      <x:c r="I493" s="42" t="str">
        <x:f>IF(COUNT(G493)=0,"",(COUNTIFS('93_REF_ANCHORS'!$A$7:$A$766,D493,'93_REF_ANCHORS'!$C$7:$C$766,"&lt;"&amp;G493)+COUNTIFS('93_REF_ANCHORS'!$A$7:$A$766,D493,'93_REF_ANCHORS'!$C$7:$C$766,"&lt;="&amp;G493)-1)/(2*(H493-1)))</x:f>
      </x:c>
      <x:c r="J493" s="34" t="str">
        <x:f>IF(B493="","",IF(COUNT(E493)=0,"MISSING",IF(NOT(ISNUMBER(E493)),"INVALID",IF(E493*F493&lt;K493,"WINSORIZED LOW",IF(E493*F493&gt;L493,"WINSORIZED HIGH","OK")))))</x:f>
      </x:c>
      <x:c r="K493" s="34" t="n">
        <x:v>-1.6707152386</x:v>
      </x:c>
      <x:c r="L493" s="34" t="n">
        <x:v>0.7716332556000001</x:v>
      </x:c>
      <x:c r="M493" s="34" t="n">
        <x:v>0.08333333333333333</x:v>
      </x:c>
      <x:c r="N493" s="34" t="str">
        <x:v>no</x:v>
      </x:c>
    </x:row>
    <x:row r="494">
      <x:c r="A494" s="34" t="n">
        <x:v>49</x:v>
      </x:c>
      <x:c r="B494" s="34" t="str">
        <x:f>IF('01_INPUT_COMPANIES'!$A$55="","",'01_INPUT_COMPANIES'!$A$55)</x:f>
      </x:c>
      <x:c r="C494" s="34" t="str">
        <x:f>IF(B494="","",'01_INPUT_COMPANIES'!$B$55)</x:f>
      </x:c>
      <x:c r="D494" s="34" t="str">
        <x:v>cross_market_transfer_index</x:v>
      </x:c>
      <x:c r="E494" s="42" t="str">
        <x:f>IF(OR(B494="",COUNT('01_INPUT_COMPANIES'!$AA$55)=0),"",'01_INPUT_COMPANIES'!$AA$55)</x:f>
      </x:c>
      <x:c r="F494" s="42" t="n">
        <x:v>1</x:v>
      </x:c>
      <x:c r="G494" s="42" t="str">
        <x:f>IF(NOT(ISNUMBER(E494)),"",MAX(K494,MIN(L494,E494*F494)))</x:f>
      </x:c>
      <x:c r="H494" s="42" t="n">
        <x:v>4</x:v>
      </x:c>
      <x:c r="I494" s="42" t="str">
        <x:f>IF(COUNT(G494)=0,"",(COUNTIFS('93_REF_ANCHORS'!$A$7:$A$766,D494,'93_REF_ANCHORS'!$C$7:$C$766,"&lt;"&amp;G494)+COUNTIFS('93_REF_ANCHORS'!$A$7:$A$766,D494,'93_REF_ANCHORS'!$C$7:$C$766,"&lt;="&amp;G494)-1)/(2*(H494-1)))</x:f>
      </x:c>
      <x:c r="J494" s="34" t="str">
        <x:f>IF(B494="","",IF(COUNT(E494)=0,"MISSING",IF(NOT(ISNUMBER(E494)),"INVALID",IF(E494*F494&lt;K494,"WINSORIZED LOW",IF(E494*F494&gt;L494,"WINSORIZED HIGH","OK")))))</x:f>
      </x:c>
      <x:c r="K494" s="34" t="n">
        <x:v>0</x:v>
      </x:c>
      <x:c r="L494" s="34" t="n">
        <x:v>0.7587051325360435</x:v>
      </x:c>
      <x:c r="M494" s="34" t="n">
        <x:v>0.1111111111111111</x:v>
      </x:c>
      <x:c r="N494" s="34" t="str">
        <x:v>yes</x:v>
      </x:c>
    </x:row>
    <x:row r="495">
      <x:c r="A495" s="34" t="n">
        <x:v>49</x:v>
      </x:c>
      <x:c r="B495" s="34" t="str">
        <x:f>IF('01_INPUT_COMPANIES'!$A$55="","",'01_INPUT_COMPANIES'!$A$55)</x:f>
      </x:c>
      <x:c r="C495" s="34" t="str">
        <x:f>IF(B495="","",'01_INPUT_COMPANIES'!$B$55)</x:f>
      </x:c>
      <x:c r="D495" s="34" t="str">
        <x:v>foreign_dependency_ratio</x:v>
      </x:c>
      <x:c r="E495" s="42" t="str">
        <x:f>IF(OR(B495="",COUNT('01_INPUT_COMPANIES'!$AB$55)=0),"",'01_INPUT_COMPANIES'!$AB$55)</x:f>
      </x:c>
      <x:c r="F495" s="42" t="n">
        <x:v>1</x:v>
      </x:c>
      <x:c r="G495" s="42" t="str">
        <x:f>IF(NOT(ISNUMBER(E495)),"",MAX(K495,MIN(L495,E495*F495)))</x:f>
      </x:c>
      <x:c r="H495" s="42" t="n">
        <x:v>84</x:v>
      </x:c>
      <x:c r="I495" s="42" t="str">
        <x:f>IF(COUNT(G495)=0,"",(COUNTIFS('93_REF_ANCHORS'!$A$7:$A$766,D495,'93_REF_ANCHORS'!$C$7:$C$766,"&lt;"&amp;G495)+COUNTIFS('93_REF_ANCHORS'!$A$7:$A$766,D495,'93_REF_ANCHORS'!$C$7:$C$766,"&lt;="&amp;G495)-1)/(2*(H495-1)))</x:f>
      </x:c>
      <x:c r="J495" s="34" t="str">
        <x:f>IF(B495="","",IF(COUNT(E495)=0,"MISSING",IF(NOT(ISNUMBER(E495)),"INVALID",IF(E495*F495&lt;K495,"WINSORIZED LOW",IF(E495*F495&gt;L495,"WINSORIZED HIGH","OK")))))</x:f>
      </x:c>
      <x:c r="K495" s="34" t="n">
        <x:v>0.728196</x:v>
      </x:c>
      <x:c r="L495" s="34" t="n">
        <x:v>0.94</x:v>
      </x:c>
      <x:c r="M495" s="34" t="n">
        <x:v>0.1111111111111111</x:v>
      </x:c>
      <x:c r="N495" s="34" t="str">
        <x:v>yes</x:v>
      </x:c>
    </x:row>
    <x:row r="496">
      <x:c r="A496" s="34" t="n">
        <x:v>49</x:v>
      </x:c>
      <x:c r="B496" s="34" t="str">
        <x:f>IF('01_INPUT_COMPANIES'!$A$55="","",'01_INPUT_COMPANIES'!$A$55)</x:f>
      </x:c>
      <x:c r="C496" s="34" t="str">
        <x:f>IF(B496="","",'01_INPUT_COMPANIES'!$B$55)</x:f>
      </x:c>
      <x:c r="D496" s="34" t="str">
        <x:v>outflow_to_capex_ratio</x:v>
      </x:c>
      <x:c r="E496" s="42" t="str">
        <x:f>IF(OR(B496="",COUNT('01_INPUT_COMPANIES'!$AC$55)=0),"",'01_INPUT_COMPANIES'!$AC$55)</x:f>
      </x:c>
      <x:c r="F496" s="42" t="n">
        <x:v>1</x:v>
      </x:c>
      <x:c r="G496" s="42" t="str">
        <x:f>IF(NOT(ISNUMBER(E496)),"",MAX(K496,MIN(L496,E496*F496)))</x:f>
      </x:c>
      <x:c r="H496" s="42" t="n">
        <x:v>97</x:v>
      </x:c>
      <x:c r="I496" s="42" t="str">
        <x:f>IF(COUNT(G496)=0,"",(COUNTIFS('93_REF_ANCHORS'!$A$7:$A$766,D496,'93_REF_ANCHORS'!$C$7:$C$766,"&lt;"&amp;G496)+COUNTIFS('93_REF_ANCHORS'!$A$7:$A$766,D496,'93_REF_ANCHORS'!$C$7:$C$766,"&lt;="&amp;G496)-1)/(2*(H496-1)))</x:f>
      </x:c>
      <x:c r="J496" s="34" t="str">
        <x:f>IF(B496="","",IF(COUNT(E496)=0,"MISSING",IF(NOT(ISNUMBER(E496)),"INVALID",IF(E496*F496&lt;K496,"WINSORIZED LOW",IF(E496*F496&gt;L496,"WINSORIZED HIGH","OK")))))</x:f>
      </x:c>
      <x:c r="K496" s="34" t="n">
        <x:v>-123.5385890408</x:v>
      </x:c>
      <x:c r="L496" s="34" t="n">
        <x:v>974.1666666666999</x:v>
      </x:c>
      <x:c r="M496" s="34" t="n">
        <x:v>0.1111111111111111</x:v>
      </x:c>
      <x:c r="N496" s="34" t="str">
        <x:v>no</x:v>
      </x:c>
    </x:row>
    <x:row r="497">
      <x:c r="A497" s="34" t="n">
        <x:v>50</x:v>
      </x:c>
      <x:c r="B497" s="34" t="str">
        <x:f>IF('01_INPUT_COMPANIES'!$A$56="","",'01_INPUT_COMPANIES'!$A$56)</x:f>
      </x:c>
      <x:c r="C497" s="34" t="str">
        <x:f>IF(B497="","",'01_INPUT_COMPANIES'!$B$56)</x:f>
      </x:c>
      <x:c r="D497" s="34" t="str">
        <x:v>effective_tax_rate_gap</x:v>
      </x:c>
      <x:c r="E497" s="42" t="str">
        <x:f>IF(OR(B497="",COUNT('01_INPUT_COMPANIES'!$T$56)=0),"",'01_INPUT_COMPANIES'!$T$56)</x:f>
      </x:c>
      <x:c r="F497" s="42" t="n">
        <x:v>1</x:v>
      </x:c>
      <x:c r="G497" s="42" t="str">
        <x:f>IF(NOT(ISNUMBER(E497)),"",MAX(K497,MIN(L497,E497*F497)))</x:f>
      </x:c>
      <x:c r="H497" s="42" t="n">
        <x:v>74</x:v>
      </x:c>
      <x:c r="I497" s="42" t="str">
        <x:f>IF(COUNT(G497)=0,"",(COUNTIFS('93_REF_ANCHORS'!$A$7:$A$766,D497,'93_REF_ANCHORS'!$C$7:$C$766,"&lt;"&amp;G497)+COUNTIFS('93_REF_ANCHORS'!$A$7:$A$766,D497,'93_REF_ANCHORS'!$C$7:$C$766,"&lt;="&amp;G497)-1)/(2*(H497-1)))</x:f>
      </x:c>
      <x:c r="J497" s="34" t="str">
        <x:f>IF(B497="","",IF(COUNT(E497)=0,"MISSING",IF(NOT(ISNUMBER(E497)),"INVALID",IF(E497*F497&lt;K497,"WINSORIZED LOW",IF(E497*F497&gt;L497,"WINSORIZED HIGH","OK")))))</x:f>
      </x:c>
      <x:c r="K497" s="34" t="n">
        <x:v>-0.1416111014</x:v>
      </x:c>
      <x:c r="L497" s="34" t="n">
        <x:v>0.2683650488</x:v>
      </x:c>
      <x:c r="M497" s="34" t="n">
        <x:v>0.1111111111111111</x:v>
      </x:c>
      <x:c r="N497" s="34" t="str">
        <x:v>no</x:v>
      </x:c>
    </x:row>
    <x:row r="498">
      <x:c r="A498" s="34" t="n">
        <x:v>50</x:v>
      </x:c>
      <x:c r="B498" s="34" t="str">
        <x:f>IF('01_INPUT_COMPANIES'!$A$56="","",'01_INPUT_COMPANIES'!$A$56)</x:f>
      </x:c>
      <x:c r="C498" s="34" t="str">
        <x:f>IF(B498="","",'01_INPUT_COMPANIES'!$B$56)</x:f>
      </x:c>
      <x:c r="D498" s="34" t="str">
        <x:v>infra_dependency_ratio</x:v>
      </x:c>
      <x:c r="E498" s="42" t="str">
        <x:f>IF(OR(B498="",COUNT('01_INPUT_COMPANIES'!$U$56)=0),"",'01_INPUT_COMPANIES'!$U$56)</x:f>
      </x:c>
      <x:c r="F498" s="42" t="n">
        <x:v>1</x:v>
      </x:c>
      <x:c r="G498" s="42" t="str">
        <x:f>IF(NOT(ISNUMBER(E498)),"",MAX(K498,MIN(L498,E498*F498)))</x:f>
      </x:c>
      <x:c r="H498" s="42" t="n">
        <x:v>64</x:v>
      </x:c>
      <x:c r="I498" s="42" t="str">
        <x:f>IF(COUNT(G498)=0,"",(COUNTIFS('93_REF_ANCHORS'!$A$7:$A$766,D498,'93_REF_ANCHORS'!$C$7:$C$766,"&lt;"&amp;G498)+COUNTIFS('93_REF_ANCHORS'!$A$7:$A$766,D498,'93_REF_ANCHORS'!$C$7:$C$766,"&lt;="&amp;G498)-1)/(2*(H498-1)))</x:f>
      </x:c>
      <x:c r="J498" s="34" t="str">
        <x:f>IF(B498="","",IF(COUNT(E498)=0,"MISSING",IF(NOT(ISNUMBER(E498)),"INVALID",IF(E498*F498&lt;K498,"WINSORIZED LOW",IF(E498*F498&gt;L498,"WINSORIZED HIGH","OK")))))</x:f>
      </x:c>
      <x:c r="K498" s="34" t="n">
        <x:v>-0.10705024705171803</x:v>
      </x:c>
      <x:c r="L498" s="34" t="n">
        <x:v>0.8008753865408955</x:v>
      </x:c>
      <x:c r="M498" s="34" t="n">
        <x:v>0.1111111111111111</x:v>
      </x:c>
      <x:c r="N498" s="34" t="str">
        <x:v>no</x:v>
      </x:c>
    </x:row>
    <x:row r="499">
      <x:c r="A499" s="34" t="n">
        <x:v>50</x:v>
      </x:c>
      <x:c r="B499" s="34" t="str">
        <x:f>IF('01_INPUT_COMPANIES'!$A$56="","",'01_INPUT_COMPANIES'!$A$56)</x:f>
      </x:c>
      <x:c r="C499" s="34" t="str">
        <x:f>IF(B499="","",'01_INPUT_COMPANIES'!$B$56)</x:f>
      </x:c>
      <x:c r="D499" s="34" t="str">
        <x:v>network_cost_ratio</x:v>
      </x:c>
      <x:c r="E499" s="42" t="str">
        <x:f>IF(OR(B499="",COUNT('01_INPUT_COMPANIES'!$V$56)=0),"",'01_INPUT_COMPANIES'!$V$56)</x:f>
      </x:c>
      <x:c r="F499" s="42" t="n">
        <x:v>1</x:v>
      </x:c>
      <x:c r="G499" s="42" t="str">
        <x:f>IF(NOT(ISNUMBER(E499)),"",MAX(K499,MIN(L499,E499*F499)))</x:f>
      </x:c>
      <x:c r="H499" s="42" t="n">
        <x:v>97</x:v>
      </x:c>
      <x:c r="I499" s="42" t="str">
        <x:f>IF(COUNT(G499)=0,"",(COUNTIFS('93_REF_ANCHORS'!$A$7:$A$766,D499,'93_REF_ANCHORS'!$C$7:$C$766,"&lt;"&amp;G499)+COUNTIFS('93_REF_ANCHORS'!$A$7:$A$766,D499,'93_REF_ANCHORS'!$C$7:$C$766,"&lt;="&amp;G499)-1)/(2*(H499-1)))</x:f>
      </x:c>
      <x:c r="J499" s="34" t="str">
        <x:f>IF(B499="","",IF(COUNT(E499)=0,"MISSING",IF(NOT(ISNUMBER(E499)),"INVALID",IF(E499*F499&lt;K499,"WINSORIZED LOW",IF(E499*F499&gt;L499,"WINSORIZED HIGH","OK")))))</x:f>
      </x:c>
      <x:c r="K499" s="34" t="n">
        <x:v>-0.1395374353</x:v>
      </x:c>
      <x:c r="L499" s="34" t="n">
        <x:v>0.9274274845000001</x:v>
      </x:c>
      <x:c r="M499" s="34" t="n">
        <x:v>0.1111111111111111</x:v>
      </x:c>
      <x:c r="N499" s="34" t="str">
        <x:v>no</x:v>
      </x:c>
    </x:row>
    <x:row r="500">
      <x:c r="A500" s="34" t="n">
        <x:v>50</x:v>
      </x:c>
      <x:c r="B500" s="34" t="str">
        <x:f>IF('01_INPUT_COMPANIES'!$A$56="","",'01_INPUT_COMPANIES'!$A$56)</x:f>
      </x:c>
      <x:c r="C500" s="34" t="str">
        <x:f>IF(B500="","",'01_INPUT_COMPANIES'!$B$56)</x:f>
      </x:c>
      <x:c r="D500" s="34" t="str">
        <x:v>cashflow_recovery_ratio</x:v>
      </x:c>
      <x:c r="E500" s="42" t="str">
        <x:f>IF(OR(B500="",COUNT('01_INPUT_COMPANIES'!$W$56)=0),"",'01_INPUT_COMPANIES'!$W$56)</x:f>
      </x:c>
      <x:c r="F500" s="42" t="n">
        <x:v>-1</x:v>
      </x:c>
      <x:c r="G500" s="42" t="str">
        <x:f>IF(NOT(ISNUMBER(E500)),"",MAX(K500,MIN(L500,E500*F500)))</x:f>
      </x:c>
      <x:c r="H500" s="42" t="n">
        <x:v>95</x:v>
      </x:c>
      <x:c r="I500" s="42" t="str">
        <x:f>IF(COUNT(G500)=0,"",(COUNTIFS('93_REF_ANCHORS'!$A$7:$A$766,D500,'93_REF_ANCHORS'!$C$7:$C$766,"&lt;"&amp;G500)+COUNTIFS('93_REF_ANCHORS'!$A$7:$A$766,D500,'93_REF_ANCHORS'!$C$7:$C$766,"&lt;="&amp;G500)-1)/(2*(H500-1)))</x:f>
      </x:c>
      <x:c r="J500" s="34" t="str">
        <x:f>IF(B500="","",IF(COUNT(E500)=0,"MISSING",IF(NOT(ISNUMBER(E500)),"INVALID",IF(E500*F500&lt;K500,"WINSORIZED LOW",IF(E500*F500&gt;L500,"WINSORIZED HIGH","OK")))))</x:f>
      </x:c>
      <x:c r="K500" s="34" t="n">
        <x:v>-300.75</x:v>
      </x:c>
      <x:c r="L500" s="34" t="n">
        <x:v>42.6920305469</x:v>
      </x:c>
      <x:c r="M500" s="34" t="n">
        <x:v>0.08333333333333333</x:v>
      </x:c>
      <x:c r="N500" s="34" t="str">
        <x:v>no</x:v>
      </x:c>
    </x:row>
    <x:row r="501">
      <x:c r="A501" s="34" t="n">
        <x:v>50</x:v>
      </x:c>
      <x:c r="B501" s="34" t="str">
        <x:f>IF('01_INPUT_COMPANIES'!$A$56="","",'01_INPUT_COMPANIES'!$A$56)</x:f>
      </x:c>
      <x:c r="C501" s="34" t="str">
        <x:f>IF(B501="","",'01_INPUT_COMPANIES'!$B$56)</x:f>
      </x:c>
      <x:c r="D501" s="34" t="str">
        <x:v>funding_cost_spread</x:v>
      </x:c>
      <x:c r="E501" s="42" t="str">
        <x:f>IF(OR(B501="",COUNT('01_INPUT_COMPANIES'!$X$56)=0),"",'01_INPUT_COMPANIES'!$X$56)</x:f>
      </x:c>
      <x:c r="F501" s="42" t="n">
        <x:v>1</x:v>
      </x:c>
      <x:c r="G501" s="42" t="str">
        <x:f>IF(NOT(ISNUMBER(E501)),"",MAX(K501,MIN(L501,E501*F501)))</x:f>
      </x:c>
      <x:c r="H501" s="42" t="n">
        <x:v>58</x:v>
      </x:c>
      <x:c r="I501" s="42" t="str">
        <x:f>IF(COUNT(G501)=0,"",(COUNTIFS('93_REF_ANCHORS'!$A$7:$A$766,D501,'93_REF_ANCHORS'!$C$7:$C$766,"&lt;"&amp;G501)+COUNTIFS('93_REF_ANCHORS'!$A$7:$A$766,D501,'93_REF_ANCHORS'!$C$7:$C$766,"&lt;="&amp;G501)-1)/(2*(H501-1)))</x:f>
      </x:c>
      <x:c r="J501" s="34" t="str">
        <x:f>IF(B501="","",IF(COUNT(E501)=0,"MISSING",IF(NOT(ISNUMBER(E501)),"INVALID",IF(E501*F501&lt;K501,"WINSORIZED LOW",IF(E501*F501&gt;L501,"WINSORIZED HIGH","OK")))))</x:f>
      </x:c>
      <x:c r="K501" s="34" t="n">
        <x:v>-0.4430292903</x:v>
      </x:c>
      <x:c r="L501" s="34" t="n">
        <x:v>0.5068913103</x:v>
      </x:c>
      <x:c r="M501" s="34" t="n">
        <x:v>0.08333333333333333</x:v>
      </x:c>
      <x:c r="N501" s="34" t="str">
        <x:v>no</x:v>
      </x:c>
    </x:row>
    <x:row r="502">
      <x:c r="A502" s="34" t="n">
        <x:v>50</x:v>
      </x:c>
      <x:c r="B502" s="34" t="str">
        <x:f>IF('01_INPUT_COMPANIES'!$A$56="","",'01_INPUT_COMPANIES'!$A$56)</x:f>
      </x:c>
      <x:c r="C502" s="34" t="str">
        <x:f>IF(B502="","",'01_INPUT_COMPANIES'!$B$56)</x:f>
      </x:c>
      <x:c r="D502" s="34" t="str">
        <x:v>investment_recovery_ratio</x:v>
      </x:c>
      <x:c r="E502" s="42" t="str">
        <x:f>IF(OR(B502="",COUNT('01_INPUT_COMPANIES'!$Y$56)=0),"",'01_INPUT_COMPANIES'!$Y$56)</x:f>
      </x:c>
      <x:c r="F502" s="42" t="n">
        <x:v>-1</x:v>
      </x:c>
      <x:c r="G502" s="42" t="str">
        <x:f>IF(NOT(ISNUMBER(E502)),"",MAX(K502,MIN(L502,E502*F502)))</x:f>
      </x:c>
      <x:c r="H502" s="42" t="n">
        <x:v>95</x:v>
      </x:c>
      <x:c r="I502" s="42" t="str">
        <x:f>IF(COUNT(G502)=0,"",(COUNTIFS('93_REF_ANCHORS'!$A$7:$A$766,D502,'93_REF_ANCHORS'!$C$7:$C$766,"&lt;"&amp;G502)+COUNTIFS('93_REF_ANCHORS'!$A$7:$A$766,D502,'93_REF_ANCHORS'!$C$7:$C$766,"&lt;="&amp;G502)-1)/(2*(H502-1)))</x:f>
      </x:c>
      <x:c r="J502" s="34" t="str">
        <x:f>IF(B502="","",IF(COUNT(E502)=0,"MISSING",IF(NOT(ISNUMBER(E502)),"INVALID",IF(E502*F502&lt;K502,"WINSORIZED LOW",IF(E502*F502&gt;L502,"WINSORIZED HIGH","OK")))))</x:f>
      </x:c>
      <x:c r="K502" s="34" t="n">
        <x:v>-3163.7500000000014</x:v>
      </x:c>
      <x:c r="L502" s="34" t="n">
        <x:v>189.68191301719997</x:v>
      </x:c>
      <x:c r="M502" s="34" t="n">
        <x:v>0.08333333333333333</x:v>
      </x:c>
      <x:c r="N502" s="34" t="str">
        <x:v>no</x:v>
      </x:c>
    </x:row>
    <x:row r="503">
      <x:c r="A503" s="34" t="n">
        <x:v>50</x:v>
      </x:c>
      <x:c r="B503" s="34" t="str">
        <x:f>IF('01_INPUT_COMPANIES'!$A$56="","",'01_INPUT_COMPANIES'!$A$56)</x:f>
      </x:c>
      <x:c r="C503" s="34" t="str">
        <x:f>IF(B503="","",'01_INPUT_COMPANIES'!$B$56)</x:f>
      </x:c>
      <x:c r="D503" s="34" t="str">
        <x:v>ip_assetization_gap</x:v>
      </x:c>
      <x:c r="E503" s="42" t="str">
        <x:f>IF(OR(B503="",COUNT('01_INPUT_COMPANIES'!$Z$56)=0),"",'01_INPUT_COMPANIES'!$Z$56)</x:f>
      </x:c>
      <x:c r="F503" s="42" t="n">
        <x:v>1</x:v>
      </x:c>
      <x:c r="G503" s="42" t="str">
        <x:f>IF(NOT(ISNUMBER(E503)),"",MAX(K503,MIN(L503,E503*F503)))</x:f>
      </x:c>
      <x:c r="H503" s="42" t="n">
        <x:v>92</x:v>
      </x:c>
      <x:c r="I503" s="42" t="str">
        <x:f>IF(COUNT(G503)=0,"",(COUNTIFS('93_REF_ANCHORS'!$A$7:$A$766,D503,'93_REF_ANCHORS'!$C$7:$C$766,"&lt;"&amp;G503)+COUNTIFS('93_REF_ANCHORS'!$A$7:$A$766,D503,'93_REF_ANCHORS'!$C$7:$C$766,"&lt;="&amp;G503)-1)/(2*(H503-1)))</x:f>
      </x:c>
      <x:c r="J503" s="34" t="str">
        <x:f>IF(B503="","",IF(COUNT(E503)=0,"MISSING",IF(NOT(ISNUMBER(E503)),"INVALID",IF(E503*F503&lt;K503,"WINSORIZED LOW",IF(E503*F503&gt;L503,"WINSORIZED HIGH","OK")))))</x:f>
      </x:c>
      <x:c r="K503" s="34" t="n">
        <x:v>-1.6707152386</x:v>
      </x:c>
      <x:c r="L503" s="34" t="n">
        <x:v>0.7716332556000001</x:v>
      </x:c>
      <x:c r="M503" s="34" t="n">
        <x:v>0.08333333333333333</x:v>
      </x:c>
      <x:c r="N503" s="34" t="str">
        <x:v>no</x:v>
      </x:c>
    </x:row>
    <x:row r="504">
      <x:c r="A504" s="34" t="n">
        <x:v>50</x:v>
      </x:c>
      <x:c r="B504" s="34" t="str">
        <x:f>IF('01_INPUT_COMPANIES'!$A$56="","",'01_INPUT_COMPANIES'!$A$56)</x:f>
      </x:c>
      <x:c r="C504" s="34" t="str">
        <x:f>IF(B504="","",'01_INPUT_COMPANIES'!$B$56)</x:f>
      </x:c>
      <x:c r="D504" s="34" t="str">
        <x:v>cross_market_transfer_index</x:v>
      </x:c>
      <x:c r="E504" s="42" t="str">
        <x:f>IF(OR(B504="",COUNT('01_INPUT_COMPANIES'!$AA$56)=0),"",'01_INPUT_COMPANIES'!$AA$56)</x:f>
      </x:c>
      <x:c r="F504" s="42" t="n">
        <x:v>1</x:v>
      </x:c>
      <x:c r="G504" s="42" t="str">
        <x:f>IF(NOT(ISNUMBER(E504)),"",MAX(K504,MIN(L504,E504*F504)))</x:f>
      </x:c>
      <x:c r="H504" s="42" t="n">
        <x:v>4</x:v>
      </x:c>
      <x:c r="I504" s="42" t="str">
        <x:f>IF(COUNT(G504)=0,"",(COUNTIFS('93_REF_ANCHORS'!$A$7:$A$766,D504,'93_REF_ANCHORS'!$C$7:$C$766,"&lt;"&amp;G504)+COUNTIFS('93_REF_ANCHORS'!$A$7:$A$766,D504,'93_REF_ANCHORS'!$C$7:$C$766,"&lt;="&amp;G504)-1)/(2*(H504-1)))</x:f>
      </x:c>
      <x:c r="J504" s="34" t="str">
        <x:f>IF(B504="","",IF(COUNT(E504)=0,"MISSING",IF(NOT(ISNUMBER(E504)),"INVALID",IF(E504*F504&lt;K504,"WINSORIZED LOW",IF(E504*F504&gt;L504,"WINSORIZED HIGH","OK")))))</x:f>
      </x:c>
      <x:c r="K504" s="34" t="n">
        <x:v>0</x:v>
      </x:c>
      <x:c r="L504" s="34" t="n">
        <x:v>0.7587051325360435</x:v>
      </x:c>
      <x:c r="M504" s="34" t="n">
        <x:v>0.1111111111111111</x:v>
      </x:c>
      <x:c r="N504" s="34" t="str">
        <x:v>yes</x:v>
      </x:c>
    </x:row>
    <x:row r="505">
      <x:c r="A505" s="34" t="n">
        <x:v>50</x:v>
      </x:c>
      <x:c r="B505" s="34" t="str">
        <x:f>IF('01_INPUT_COMPANIES'!$A$56="","",'01_INPUT_COMPANIES'!$A$56)</x:f>
      </x:c>
      <x:c r="C505" s="34" t="str">
        <x:f>IF(B505="","",'01_INPUT_COMPANIES'!$B$56)</x:f>
      </x:c>
      <x:c r="D505" s="34" t="str">
        <x:v>foreign_dependency_ratio</x:v>
      </x:c>
      <x:c r="E505" s="42" t="str">
        <x:f>IF(OR(B505="",COUNT('01_INPUT_COMPANIES'!$AB$56)=0),"",'01_INPUT_COMPANIES'!$AB$56)</x:f>
      </x:c>
      <x:c r="F505" s="42" t="n">
        <x:v>1</x:v>
      </x:c>
      <x:c r="G505" s="42" t="str">
        <x:f>IF(NOT(ISNUMBER(E505)),"",MAX(K505,MIN(L505,E505*F505)))</x:f>
      </x:c>
      <x:c r="H505" s="42" t="n">
        <x:v>84</x:v>
      </x:c>
      <x:c r="I505" s="42" t="str">
        <x:f>IF(COUNT(G505)=0,"",(COUNTIFS('93_REF_ANCHORS'!$A$7:$A$766,D505,'93_REF_ANCHORS'!$C$7:$C$766,"&lt;"&amp;G505)+COUNTIFS('93_REF_ANCHORS'!$A$7:$A$766,D505,'93_REF_ANCHORS'!$C$7:$C$766,"&lt;="&amp;G505)-1)/(2*(H505-1)))</x:f>
      </x:c>
      <x:c r="J505" s="34" t="str">
        <x:f>IF(B505="","",IF(COUNT(E505)=0,"MISSING",IF(NOT(ISNUMBER(E505)),"INVALID",IF(E505*F505&lt;K505,"WINSORIZED LOW",IF(E505*F505&gt;L505,"WINSORIZED HIGH","OK")))))</x:f>
      </x:c>
      <x:c r="K505" s="34" t="n">
        <x:v>0.728196</x:v>
      </x:c>
      <x:c r="L505" s="34" t="n">
        <x:v>0.94</x:v>
      </x:c>
      <x:c r="M505" s="34" t="n">
        <x:v>0.1111111111111111</x:v>
      </x:c>
      <x:c r="N505" s="34" t="str">
        <x:v>yes</x:v>
      </x:c>
    </x:row>
    <x:row r="506">
      <x:c r="A506" s="34" t="n">
        <x:v>50</x:v>
      </x:c>
      <x:c r="B506" s="34" t="str">
        <x:f>IF('01_INPUT_COMPANIES'!$A$56="","",'01_INPUT_COMPANIES'!$A$56)</x:f>
      </x:c>
      <x:c r="C506" s="34" t="str">
        <x:f>IF(B506="","",'01_INPUT_COMPANIES'!$B$56)</x:f>
      </x:c>
      <x:c r="D506" s="34" t="str">
        <x:v>outflow_to_capex_ratio</x:v>
      </x:c>
      <x:c r="E506" s="42" t="str">
        <x:f>IF(OR(B506="",COUNT('01_INPUT_COMPANIES'!$AC$56)=0),"",'01_INPUT_COMPANIES'!$AC$56)</x:f>
      </x:c>
      <x:c r="F506" s="42" t="n">
        <x:v>1</x:v>
      </x:c>
      <x:c r="G506" s="42" t="str">
        <x:f>IF(NOT(ISNUMBER(E506)),"",MAX(K506,MIN(L506,E506*F506)))</x:f>
      </x:c>
      <x:c r="H506" s="42" t="n">
        <x:v>97</x:v>
      </x:c>
      <x:c r="I506" s="42" t="str">
        <x:f>IF(COUNT(G506)=0,"",(COUNTIFS('93_REF_ANCHORS'!$A$7:$A$766,D506,'93_REF_ANCHORS'!$C$7:$C$766,"&lt;"&amp;G506)+COUNTIFS('93_REF_ANCHORS'!$A$7:$A$766,D506,'93_REF_ANCHORS'!$C$7:$C$766,"&lt;="&amp;G506)-1)/(2*(H506-1)))</x:f>
      </x:c>
      <x:c r="J506" s="34" t="str">
        <x:f>IF(B506="","",IF(COUNT(E506)=0,"MISSING",IF(NOT(ISNUMBER(E506)),"INVALID",IF(E506*F506&lt;K506,"WINSORIZED LOW",IF(E506*F506&gt;L506,"WINSORIZED HIGH","OK")))))</x:f>
      </x:c>
      <x:c r="K506" s="34" t="n">
        <x:v>-123.5385890408</x:v>
      </x:c>
      <x:c r="L506" s="34" t="n">
        <x:v>974.1666666666999</x:v>
      </x:c>
      <x:c r="M506" s="34" t="n">
        <x:v>0.1111111111111111</x:v>
      </x:c>
      <x:c r="N506" s="34" t="str">
        <x:v>no</x:v>
      </x:c>
    </x:row>
    <x:row r="507">
      <x:c r="A507" s="34" t="n">
        <x:v>51</x:v>
      </x:c>
      <x:c r="B507" s="34" t="str">
        <x:f>IF('01_INPUT_COMPANIES'!$A$57="","",'01_INPUT_COMPANIES'!$A$57)</x:f>
      </x:c>
      <x:c r="C507" s="34" t="str">
        <x:f>IF(B507="","",'01_INPUT_COMPANIES'!$B$57)</x:f>
      </x:c>
      <x:c r="D507" s="34" t="str">
        <x:v>effective_tax_rate_gap</x:v>
      </x:c>
      <x:c r="E507" s="42" t="str">
        <x:f>IF(OR(B507="",COUNT('01_INPUT_COMPANIES'!$T$57)=0),"",'01_INPUT_COMPANIES'!$T$57)</x:f>
      </x:c>
      <x:c r="F507" s="42" t="n">
        <x:v>1</x:v>
      </x:c>
      <x:c r="G507" s="42" t="str">
        <x:f>IF(NOT(ISNUMBER(E507)),"",MAX(K507,MIN(L507,E507*F507)))</x:f>
      </x:c>
      <x:c r="H507" s="42" t="n">
        <x:v>74</x:v>
      </x:c>
      <x:c r="I507" s="42" t="str">
        <x:f>IF(COUNT(G507)=0,"",(COUNTIFS('93_REF_ANCHORS'!$A$7:$A$766,D507,'93_REF_ANCHORS'!$C$7:$C$766,"&lt;"&amp;G507)+COUNTIFS('93_REF_ANCHORS'!$A$7:$A$766,D507,'93_REF_ANCHORS'!$C$7:$C$766,"&lt;="&amp;G507)-1)/(2*(H507-1)))</x:f>
      </x:c>
      <x:c r="J507" s="34" t="str">
        <x:f>IF(B507="","",IF(COUNT(E507)=0,"MISSING",IF(NOT(ISNUMBER(E507)),"INVALID",IF(E507*F507&lt;K507,"WINSORIZED LOW",IF(E507*F507&gt;L507,"WINSORIZED HIGH","OK")))))</x:f>
      </x:c>
      <x:c r="K507" s="34" t="n">
        <x:v>-0.1416111014</x:v>
      </x:c>
      <x:c r="L507" s="34" t="n">
        <x:v>0.2683650488</x:v>
      </x:c>
      <x:c r="M507" s="34" t="n">
        <x:v>0.1111111111111111</x:v>
      </x:c>
      <x:c r="N507" s="34" t="str">
        <x:v>no</x:v>
      </x:c>
    </x:row>
    <x:row r="508">
      <x:c r="A508" s="34" t="n">
        <x:v>51</x:v>
      </x:c>
      <x:c r="B508" s="34" t="str">
        <x:f>IF('01_INPUT_COMPANIES'!$A$57="","",'01_INPUT_COMPANIES'!$A$57)</x:f>
      </x:c>
      <x:c r="C508" s="34" t="str">
        <x:f>IF(B508="","",'01_INPUT_COMPANIES'!$B$57)</x:f>
      </x:c>
      <x:c r="D508" s="34" t="str">
        <x:v>infra_dependency_ratio</x:v>
      </x:c>
      <x:c r="E508" s="42" t="str">
        <x:f>IF(OR(B508="",COUNT('01_INPUT_COMPANIES'!$U$57)=0),"",'01_INPUT_COMPANIES'!$U$57)</x:f>
      </x:c>
      <x:c r="F508" s="42" t="n">
        <x:v>1</x:v>
      </x:c>
      <x:c r="G508" s="42" t="str">
        <x:f>IF(NOT(ISNUMBER(E508)),"",MAX(K508,MIN(L508,E508*F508)))</x:f>
      </x:c>
      <x:c r="H508" s="42" t="n">
        <x:v>64</x:v>
      </x:c>
      <x:c r="I508" s="42" t="str">
        <x:f>IF(COUNT(G508)=0,"",(COUNTIFS('93_REF_ANCHORS'!$A$7:$A$766,D508,'93_REF_ANCHORS'!$C$7:$C$766,"&lt;"&amp;G508)+COUNTIFS('93_REF_ANCHORS'!$A$7:$A$766,D508,'93_REF_ANCHORS'!$C$7:$C$766,"&lt;="&amp;G508)-1)/(2*(H508-1)))</x:f>
      </x:c>
      <x:c r="J508" s="34" t="str">
        <x:f>IF(B508="","",IF(COUNT(E508)=0,"MISSING",IF(NOT(ISNUMBER(E508)),"INVALID",IF(E508*F508&lt;K508,"WINSORIZED LOW",IF(E508*F508&gt;L508,"WINSORIZED HIGH","OK")))))</x:f>
      </x:c>
      <x:c r="K508" s="34" t="n">
        <x:v>-0.10705024705171803</x:v>
      </x:c>
      <x:c r="L508" s="34" t="n">
        <x:v>0.8008753865408955</x:v>
      </x:c>
      <x:c r="M508" s="34" t="n">
        <x:v>0.1111111111111111</x:v>
      </x:c>
      <x:c r="N508" s="34" t="str">
        <x:v>no</x:v>
      </x:c>
    </x:row>
    <x:row r="509">
      <x:c r="A509" s="34" t="n">
        <x:v>51</x:v>
      </x:c>
      <x:c r="B509" s="34" t="str">
        <x:f>IF('01_INPUT_COMPANIES'!$A$57="","",'01_INPUT_COMPANIES'!$A$57)</x:f>
      </x:c>
      <x:c r="C509" s="34" t="str">
        <x:f>IF(B509="","",'01_INPUT_COMPANIES'!$B$57)</x:f>
      </x:c>
      <x:c r="D509" s="34" t="str">
        <x:v>network_cost_ratio</x:v>
      </x:c>
      <x:c r="E509" s="42" t="str">
        <x:f>IF(OR(B509="",COUNT('01_INPUT_COMPANIES'!$V$57)=0),"",'01_INPUT_COMPANIES'!$V$57)</x:f>
      </x:c>
      <x:c r="F509" s="42" t="n">
        <x:v>1</x:v>
      </x:c>
      <x:c r="G509" s="42" t="str">
        <x:f>IF(NOT(ISNUMBER(E509)),"",MAX(K509,MIN(L509,E509*F509)))</x:f>
      </x:c>
      <x:c r="H509" s="42" t="n">
        <x:v>97</x:v>
      </x:c>
      <x:c r="I509" s="42" t="str">
        <x:f>IF(COUNT(G509)=0,"",(COUNTIFS('93_REF_ANCHORS'!$A$7:$A$766,D509,'93_REF_ANCHORS'!$C$7:$C$766,"&lt;"&amp;G509)+COUNTIFS('93_REF_ANCHORS'!$A$7:$A$766,D509,'93_REF_ANCHORS'!$C$7:$C$766,"&lt;="&amp;G509)-1)/(2*(H509-1)))</x:f>
      </x:c>
      <x:c r="J509" s="34" t="str">
        <x:f>IF(B509="","",IF(COUNT(E509)=0,"MISSING",IF(NOT(ISNUMBER(E509)),"INVALID",IF(E509*F509&lt;K509,"WINSORIZED LOW",IF(E509*F509&gt;L509,"WINSORIZED HIGH","OK")))))</x:f>
      </x:c>
      <x:c r="K509" s="34" t="n">
        <x:v>-0.1395374353</x:v>
      </x:c>
      <x:c r="L509" s="34" t="n">
        <x:v>0.9274274845000001</x:v>
      </x:c>
      <x:c r="M509" s="34" t="n">
        <x:v>0.1111111111111111</x:v>
      </x:c>
      <x:c r="N509" s="34" t="str">
        <x:v>no</x:v>
      </x:c>
    </x:row>
    <x:row r="510">
      <x:c r="A510" s="34" t="n">
        <x:v>51</x:v>
      </x:c>
      <x:c r="B510" s="34" t="str">
        <x:f>IF('01_INPUT_COMPANIES'!$A$57="","",'01_INPUT_COMPANIES'!$A$57)</x:f>
      </x:c>
      <x:c r="C510" s="34" t="str">
        <x:f>IF(B510="","",'01_INPUT_COMPANIES'!$B$57)</x:f>
      </x:c>
      <x:c r="D510" s="34" t="str">
        <x:v>cashflow_recovery_ratio</x:v>
      </x:c>
      <x:c r="E510" s="42" t="str">
        <x:f>IF(OR(B510="",COUNT('01_INPUT_COMPANIES'!$W$57)=0),"",'01_INPUT_COMPANIES'!$W$57)</x:f>
      </x:c>
      <x:c r="F510" s="42" t="n">
        <x:v>-1</x:v>
      </x:c>
      <x:c r="G510" s="42" t="str">
        <x:f>IF(NOT(ISNUMBER(E510)),"",MAX(K510,MIN(L510,E510*F510)))</x:f>
      </x:c>
      <x:c r="H510" s="42" t="n">
        <x:v>95</x:v>
      </x:c>
      <x:c r="I510" s="42" t="str">
        <x:f>IF(COUNT(G510)=0,"",(COUNTIFS('93_REF_ANCHORS'!$A$7:$A$766,D510,'93_REF_ANCHORS'!$C$7:$C$766,"&lt;"&amp;G510)+COUNTIFS('93_REF_ANCHORS'!$A$7:$A$766,D510,'93_REF_ANCHORS'!$C$7:$C$766,"&lt;="&amp;G510)-1)/(2*(H510-1)))</x:f>
      </x:c>
      <x:c r="J510" s="34" t="str">
        <x:f>IF(B510="","",IF(COUNT(E510)=0,"MISSING",IF(NOT(ISNUMBER(E510)),"INVALID",IF(E510*F510&lt;K510,"WINSORIZED LOW",IF(E510*F510&gt;L510,"WINSORIZED HIGH","OK")))))</x:f>
      </x:c>
      <x:c r="K510" s="34" t="n">
        <x:v>-300.75</x:v>
      </x:c>
      <x:c r="L510" s="34" t="n">
        <x:v>42.6920305469</x:v>
      </x:c>
      <x:c r="M510" s="34" t="n">
        <x:v>0.08333333333333333</x:v>
      </x:c>
      <x:c r="N510" s="34" t="str">
        <x:v>no</x:v>
      </x:c>
    </x:row>
    <x:row r="511">
      <x:c r="A511" s="34" t="n">
        <x:v>51</x:v>
      </x:c>
      <x:c r="B511" s="34" t="str">
        <x:f>IF('01_INPUT_COMPANIES'!$A$57="","",'01_INPUT_COMPANIES'!$A$57)</x:f>
      </x:c>
      <x:c r="C511" s="34" t="str">
        <x:f>IF(B511="","",'01_INPUT_COMPANIES'!$B$57)</x:f>
      </x:c>
      <x:c r="D511" s="34" t="str">
        <x:v>funding_cost_spread</x:v>
      </x:c>
      <x:c r="E511" s="42" t="str">
        <x:f>IF(OR(B511="",COUNT('01_INPUT_COMPANIES'!$X$57)=0),"",'01_INPUT_COMPANIES'!$X$57)</x:f>
      </x:c>
      <x:c r="F511" s="42" t="n">
        <x:v>1</x:v>
      </x:c>
      <x:c r="G511" s="42" t="str">
        <x:f>IF(NOT(ISNUMBER(E511)),"",MAX(K511,MIN(L511,E511*F511)))</x:f>
      </x:c>
      <x:c r="H511" s="42" t="n">
        <x:v>58</x:v>
      </x:c>
      <x:c r="I511" s="42" t="str">
        <x:f>IF(COUNT(G511)=0,"",(COUNTIFS('93_REF_ANCHORS'!$A$7:$A$766,D511,'93_REF_ANCHORS'!$C$7:$C$766,"&lt;"&amp;G511)+COUNTIFS('93_REF_ANCHORS'!$A$7:$A$766,D511,'93_REF_ANCHORS'!$C$7:$C$766,"&lt;="&amp;G511)-1)/(2*(H511-1)))</x:f>
      </x:c>
      <x:c r="J511" s="34" t="str">
        <x:f>IF(B511="","",IF(COUNT(E511)=0,"MISSING",IF(NOT(ISNUMBER(E511)),"INVALID",IF(E511*F511&lt;K511,"WINSORIZED LOW",IF(E511*F511&gt;L511,"WINSORIZED HIGH","OK")))))</x:f>
      </x:c>
      <x:c r="K511" s="34" t="n">
        <x:v>-0.4430292903</x:v>
      </x:c>
      <x:c r="L511" s="34" t="n">
        <x:v>0.5068913103</x:v>
      </x:c>
      <x:c r="M511" s="34" t="n">
        <x:v>0.08333333333333333</x:v>
      </x:c>
      <x:c r="N511" s="34" t="str">
        <x:v>no</x:v>
      </x:c>
    </x:row>
    <x:row r="512">
      <x:c r="A512" s="34" t="n">
        <x:v>51</x:v>
      </x:c>
      <x:c r="B512" s="34" t="str">
        <x:f>IF('01_INPUT_COMPANIES'!$A$57="","",'01_INPUT_COMPANIES'!$A$57)</x:f>
      </x:c>
      <x:c r="C512" s="34" t="str">
        <x:f>IF(B512="","",'01_INPUT_COMPANIES'!$B$57)</x:f>
      </x:c>
      <x:c r="D512" s="34" t="str">
        <x:v>investment_recovery_ratio</x:v>
      </x:c>
      <x:c r="E512" s="42" t="str">
        <x:f>IF(OR(B512="",COUNT('01_INPUT_COMPANIES'!$Y$57)=0),"",'01_INPUT_COMPANIES'!$Y$57)</x:f>
      </x:c>
      <x:c r="F512" s="42" t="n">
        <x:v>-1</x:v>
      </x:c>
      <x:c r="G512" s="42" t="str">
        <x:f>IF(NOT(ISNUMBER(E512)),"",MAX(K512,MIN(L512,E512*F512)))</x:f>
      </x:c>
      <x:c r="H512" s="42" t="n">
        <x:v>95</x:v>
      </x:c>
      <x:c r="I512" s="42" t="str">
        <x:f>IF(COUNT(G512)=0,"",(COUNTIFS('93_REF_ANCHORS'!$A$7:$A$766,D512,'93_REF_ANCHORS'!$C$7:$C$766,"&lt;"&amp;G512)+COUNTIFS('93_REF_ANCHORS'!$A$7:$A$766,D512,'93_REF_ANCHORS'!$C$7:$C$766,"&lt;="&amp;G512)-1)/(2*(H512-1)))</x:f>
      </x:c>
      <x:c r="J512" s="34" t="str">
        <x:f>IF(B512="","",IF(COUNT(E512)=0,"MISSING",IF(NOT(ISNUMBER(E512)),"INVALID",IF(E512*F512&lt;K512,"WINSORIZED LOW",IF(E512*F512&gt;L512,"WINSORIZED HIGH","OK")))))</x:f>
      </x:c>
      <x:c r="K512" s="34" t="n">
        <x:v>-3163.7500000000014</x:v>
      </x:c>
      <x:c r="L512" s="34" t="n">
        <x:v>189.68191301719997</x:v>
      </x:c>
      <x:c r="M512" s="34" t="n">
        <x:v>0.08333333333333333</x:v>
      </x:c>
      <x:c r="N512" s="34" t="str">
        <x:v>no</x:v>
      </x:c>
    </x:row>
    <x:row r="513">
      <x:c r="A513" s="34" t="n">
        <x:v>51</x:v>
      </x:c>
      <x:c r="B513" s="34" t="str">
        <x:f>IF('01_INPUT_COMPANIES'!$A$57="","",'01_INPUT_COMPANIES'!$A$57)</x:f>
      </x:c>
      <x:c r="C513" s="34" t="str">
        <x:f>IF(B513="","",'01_INPUT_COMPANIES'!$B$57)</x:f>
      </x:c>
      <x:c r="D513" s="34" t="str">
        <x:v>ip_assetization_gap</x:v>
      </x:c>
      <x:c r="E513" s="42" t="str">
        <x:f>IF(OR(B513="",COUNT('01_INPUT_COMPANIES'!$Z$57)=0),"",'01_INPUT_COMPANIES'!$Z$57)</x:f>
      </x:c>
      <x:c r="F513" s="42" t="n">
        <x:v>1</x:v>
      </x:c>
      <x:c r="G513" s="42" t="str">
        <x:f>IF(NOT(ISNUMBER(E513)),"",MAX(K513,MIN(L513,E513*F513)))</x:f>
      </x:c>
      <x:c r="H513" s="42" t="n">
        <x:v>92</x:v>
      </x:c>
      <x:c r="I513" s="42" t="str">
        <x:f>IF(COUNT(G513)=0,"",(COUNTIFS('93_REF_ANCHORS'!$A$7:$A$766,D513,'93_REF_ANCHORS'!$C$7:$C$766,"&lt;"&amp;G513)+COUNTIFS('93_REF_ANCHORS'!$A$7:$A$766,D513,'93_REF_ANCHORS'!$C$7:$C$766,"&lt;="&amp;G513)-1)/(2*(H513-1)))</x:f>
      </x:c>
      <x:c r="J513" s="34" t="str">
        <x:f>IF(B513="","",IF(COUNT(E513)=0,"MISSING",IF(NOT(ISNUMBER(E513)),"INVALID",IF(E513*F513&lt;K513,"WINSORIZED LOW",IF(E513*F513&gt;L513,"WINSORIZED HIGH","OK")))))</x:f>
      </x:c>
      <x:c r="K513" s="34" t="n">
        <x:v>-1.6707152386</x:v>
      </x:c>
      <x:c r="L513" s="34" t="n">
        <x:v>0.7716332556000001</x:v>
      </x:c>
      <x:c r="M513" s="34" t="n">
        <x:v>0.08333333333333333</x:v>
      </x:c>
      <x:c r="N513" s="34" t="str">
        <x:v>no</x:v>
      </x:c>
    </x:row>
    <x:row r="514">
      <x:c r="A514" s="34" t="n">
        <x:v>51</x:v>
      </x:c>
      <x:c r="B514" s="34" t="str">
        <x:f>IF('01_INPUT_COMPANIES'!$A$57="","",'01_INPUT_COMPANIES'!$A$57)</x:f>
      </x:c>
      <x:c r="C514" s="34" t="str">
        <x:f>IF(B514="","",'01_INPUT_COMPANIES'!$B$57)</x:f>
      </x:c>
      <x:c r="D514" s="34" t="str">
        <x:v>cross_market_transfer_index</x:v>
      </x:c>
      <x:c r="E514" s="42" t="str">
        <x:f>IF(OR(B514="",COUNT('01_INPUT_COMPANIES'!$AA$57)=0),"",'01_INPUT_COMPANIES'!$AA$57)</x:f>
      </x:c>
      <x:c r="F514" s="42" t="n">
        <x:v>1</x:v>
      </x:c>
      <x:c r="G514" s="42" t="str">
        <x:f>IF(NOT(ISNUMBER(E514)),"",MAX(K514,MIN(L514,E514*F514)))</x:f>
      </x:c>
      <x:c r="H514" s="42" t="n">
        <x:v>4</x:v>
      </x:c>
      <x:c r="I514" s="42" t="str">
        <x:f>IF(COUNT(G514)=0,"",(COUNTIFS('93_REF_ANCHORS'!$A$7:$A$766,D514,'93_REF_ANCHORS'!$C$7:$C$766,"&lt;"&amp;G514)+COUNTIFS('93_REF_ANCHORS'!$A$7:$A$766,D514,'93_REF_ANCHORS'!$C$7:$C$766,"&lt;="&amp;G514)-1)/(2*(H514-1)))</x:f>
      </x:c>
      <x:c r="J514" s="34" t="str">
        <x:f>IF(B514="","",IF(COUNT(E514)=0,"MISSING",IF(NOT(ISNUMBER(E514)),"INVALID",IF(E514*F514&lt;K514,"WINSORIZED LOW",IF(E514*F514&gt;L514,"WINSORIZED HIGH","OK")))))</x:f>
      </x:c>
      <x:c r="K514" s="34" t="n">
        <x:v>0</x:v>
      </x:c>
      <x:c r="L514" s="34" t="n">
        <x:v>0.7587051325360435</x:v>
      </x:c>
      <x:c r="M514" s="34" t="n">
        <x:v>0.1111111111111111</x:v>
      </x:c>
      <x:c r="N514" s="34" t="str">
        <x:v>yes</x:v>
      </x:c>
    </x:row>
    <x:row r="515">
      <x:c r="A515" s="34" t="n">
        <x:v>51</x:v>
      </x:c>
      <x:c r="B515" s="34" t="str">
        <x:f>IF('01_INPUT_COMPANIES'!$A$57="","",'01_INPUT_COMPANIES'!$A$57)</x:f>
      </x:c>
      <x:c r="C515" s="34" t="str">
        <x:f>IF(B515="","",'01_INPUT_COMPANIES'!$B$57)</x:f>
      </x:c>
      <x:c r="D515" s="34" t="str">
        <x:v>foreign_dependency_ratio</x:v>
      </x:c>
      <x:c r="E515" s="42" t="str">
        <x:f>IF(OR(B515="",COUNT('01_INPUT_COMPANIES'!$AB$57)=0),"",'01_INPUT_COMPANIES'!$AB$57)</x:f>
      </x:c>
      <x:c r="F515" s="42" t="n">
        <x:v>1</x:v>
      </x:c>
      <x:c r="G515" s="42" t="str">
        <x:f>IF(NOT(ISNUMBER(E515)),"",MAX(K515,MIN(L515,E515*F515)))</x:f>
      </x:c>
      <x:c r="H515" s="42" t="n">
        <x:v>84</x:v>
      </x:c>
      <x:c r="I515" s="42" t="str">
        <x:f>IF(COUNT(G515)=0,"",(COUNTIFS('93_REF_ANCHORS'!$A$7:$A$766,D515,'93_REF_ANCHORS'!$C$7:$C$766,"&lt;"&amp;G515)+COUNTIFS('93_REF_ANCHORS'!$A$7:$A$766,D515,'93_REF_ANCHORS'!$C$7:$C$766,"&lt;="&amp;G515)-1)/(2*(H515-1)))</x:f>
      </x:c>
      <x:c r="J515" s="34" t="str">
        <x:f>IF(B515="","",IF(COUNT(E515)=0,"MISSING",IF(NOT(ISNUMBER(E515)),"INVALID",IF(E515*F515&lt;K515,"WINSORIZED LOW",IF(E515*F515&gt;L515,"WINSORIZED HIGH","OK")))))</x:f>
      </x:c>
      <x:c r="K515" s="34" t="n">
        <x:v>0.728196</x:v>
      </x:c>
      <x:c r="L515" s="34" t="n">
        <x:v>0.94</x:v>
      </x:c>
      <x:c r="M515" s="34" t="n">
        <x:v>0.1111111111111111</x:v>
      </x:c>
      <x:c r="N515" s="34" t="str">
        <x:v>yes</x:v>
      </x:c>
    </x:row>
    <x:row r="516">
      <x:c r="A516" s="34" t="n">
        <x:v>51</x:v>
      </x:c>
      <x:c r="B516" s="34" t="str">
        <x:f>IF('01_INPUT_COMPANIES'!$A$57="","",'01_INPUT_COMPANIES'!$A$57)</x:f>
      </x:c>
      <x:c r="C516" s="34" t="str">
        <x:f>IF(B516="","",'01_INPUT_COMPANIES'!$B$57)</x:f>
      </x:c>
      <x:c r="D516" s="34" t="str">
        <x:v>outflow_to_capex_ratio</x:v>
      </x:c>
      <x:c r="E516" s="42" t="str">
        <x:f>IF(OR(B516="",COUNT('01_INPUT_COMPANIES'!$AC$57)=0),"",'01_INPUT_COMPANIES'!$AC$57)</x:f>
      </x:c>
      <x:c r="F516" s="42" t="n">
        <x:v>1</x:v>
      </x:c>
      <x:c r="G516" s="42" t="str">
        <x:f>IF(NOT(ISNUMBER(E516)),"",MAX(K516,MIN(L516,E516*F516)))</x:f>
      </x:c>
      <x:c r="H516" s="42" t="n">
        <x:v>97</x:v>
      </x:c>
      <x:c r="I516" s="42" t="str">
        <x:f>IF(COUNT(G516)=0,"",(COUNTIFS('93_REF_ANCHORS'!$A$7:$A$766,D516,'93_REF_ANCHORS'!$C$7:$C$766,"&lt;"&amp;G516)+COUNTIFS('93_REF_ANCHORS'!$A$7:$A$766,D516,'93_REF_ANCHORS'!$C$7:$C$766,"&lt;="&amp;G516)-1)/(2*(H516-1)))</x:f>
      </x:c>
      <x:c r="J516" s="34" t="str">
        <x:f>IF(B516="","",IF(COUNT(E516)=0,"MISSING",IF(NOT(ISNUMBER(E516)),"INVALID",IF(E516*F516&lt;K516,"WINSORIZED LOW",IF(E516*F516&gt;L516,"WINSORIZED HIGH","OK")))))</x:f>
      </x:c>
      <x:c r="K516" s="34" t="n">
        <x:v>-123.5385890408</x:v>
      </x:c>
      <x:c r="L516" s="34" t="n">
        <x:v>974.1666666666999</x:v>
      </x:c>
      <x:c r="M516" s="34" t="n">
        <x:v>0.1111111111111111</x:v>
      </x:c>
      <x:c r="N516" s="34" t="str">
        <x:v>no</x:v>
      </x:c>
    </x:row>
    <x:row r="517">
      <x:c r="A517" s="34" t="n">
        <x:v>52</x:v>
      </x:c>
      <x:c r="B517" s="34" t="str">
        <x:f>IF('01_INPUT_COMPANIES'!$A$58="","",'01_INPUT_COMPANIES'!$A$58)</x:f>
      </x:c>
      <x:c r="C517" s="34" t="str">
        <x:f>IF(B517="","",'01_INPUT_COMPANIES'!$B$58)</x:f>
      </x:c>
      <x:c r="D517" s="34" t="str">
        <x:v>effective_tax_rate_gap</x:v>
      </x:c>
      <x:c r="E517" s="42" t="str">
        <x:f>IF(OR(B517="",COUNT('01_INPUT_COMPANIES'!$T$58)=0),"",'01_INPUT_COMPANIES'!$T$58)</x:f>
      </x:c>
      <x:c r="F517" s="42" t="n">
        <x:v>1</x:v>
      </x:c>
      <x:c r="G517" s="42" t="str">
        <x:f>IF(NOT(ISNUMBER(E517)),"",MAX(K517,MIN(L517,E517*F517)))</x:f>
      </x:c>
      <x:c r="H517" s="42" t="n">
        <x:v>74</x:v>
      </x:c>
      <x:c r="I517" s="42" t="str">
        <x:f>IF(COUNT(G517)=0,"",(COUNTIFS('93_REF_ANCHORS'!$A$7:$A$766,D517,'93_REF_ANCHORS'!$C$7:$C$766,"&lt;"&amp;G517)+COUNTIFS('93_REF_ANCHORS'!$A$7:$A$766,D517,'93_REF_ANCHORS'!$C$7:$C$766,"&lt;="&amp;G517)-1)/(2*(H517-1)))</x:f>
      </x:c>
      <x:c r="J517" s="34" t="str">
        <x:f>IF(B517="","",IF(COUNT(E517)=0,"MISSING",IF(NOT(ISNUMBER(E517)),"INVALID",IF(E517*F517&lt;K517,"WINSORIZED LOW",IF(E517*F517&gt;L517,"WINSORIZED HIGH","OK")))))</x:f>
      </x:c>
      <x:c r="K517" s="34" t="n">
        <x:v>-0.1416111014</x:v>
      </x:c>
      <x:c r="L517" s="34" t="n">
        <x:v>0.2683650488</x:v>
      </x:c>
      <x:c r="M517" s="34" t="n">
        <x:v>0.1111111111111111</x:v>
      </x:c>
      <x:c r="N517" s="34" t="str">
        <x:v>no</x:v>
      </x:c>
    </x:row>
    <x:row r="518">
      <x:c r="A518" s="34" t="n">
        <x:v>52</x:v>
      </x:c>
      <x:c r="B518" s="34" t="str">
        <x:f>IF('01_INPUT_COMPANIES'!$A$58="","",'01_INPUT_COMPANIES'!$A$58)</x:f>
      </x:c>
      <x:c r="C518" s="34" t="str">
        <x:f>IF(B518="","",'01_INPUT_COMPANIES'!$B$58)</x:f>
      </x:c>
      <x:c r="D518" s="34" t="str">
        <x:v>infra_dependency_ratio</x:v>
      </x:c>
      <x:c r="E518" s="42" t="str">
        <x:f>IF(OR(B518="",COUNT('01_INPUT_COMPANIES'!$U$58)=0),"",'01_INPUT_COMPANIES'!$U$58)</x:f>
      </x:c>
      <x:c r="F518" s="42" t="n">
        <x:v>1</x:v>
      </x:c>
      <x:c r="G518" s="42" t="str">
        <x:f>IF(NOT(ISNUMBER(E518)),"",MAX(K518,MIN(L518,E518*F518)))</x:f>
      </x:c>
      <x:c r="H518" s="42" t="n">
        <x:v>64</x:v>
      </x:c>
      <x:c r="I518" s="42" t="str">
        <x:f>IF(COUNT(G518)=0,"",(COUNTIFS('93_REF_ANCHORS'!$A$7:$A$766,D518,'93_REF_ANCHORS'!$C$7:$C$766,"&lt;"&amp;G518)+COUNTIFS('93_REF_ANCHORS'!$A$7:$A$766,D518,'93_REF_ANCHORS'!$C$7:$C$766,"&lt;="&amp;G518)-1)/(2*(H518-1)))</x:f>
      </x:c>
      <x:c r="J518" s="34" t="str">
        <x:f>IF(B518="","",IF(COUNT(E518)=0,"MISSING",IF(NOT(ISNUMBER(E518)),"INVALID",IF(E518*F518&lt;K518,"WINSORIZED LOW",IF(E518*F518&gt;L518,"WINSORIZED HIGH","OK")))))</x:f>
      </x:c>
      <x:c r="K518" s="34" t="n">
        <x:v>-0.10705024705171803</x:v>
      </x:c>
      <x:c r="L518" s="34" t="n">
        <x:v>0.8008753865408955</x:v>
      </x:c>
      <x:c r="M518" s="34" t="n">
        <x:v>0.1111111111111111</x:v>
      </x:c>
      <x:c r="N518" s="34" t="str">
        <x:v>no</x:v>
      </x:c>
    </x:row>
    <x:row r="519">
      <x:c r="A519" s="34" t="n">
        <x:v>52</x:v>
      </x:c>
      <x:c r="B519" s="34" t="str">
        <x:f>IF('01_INPUT_COMPANIES'!$A$58="","",'01_INPUT_COMPANIES'!$A$58)</x:f>
      </x:c>
      <x:c r="C519" s="34" t="str">
        <x:f>IF(B519="","",'01_INPUT_COMPANIES'!$B$58)</x:f>
      </x:c>
      <x:c r="D519" s="34" t="str">
        <x:v>network_cost_ratio</x:v>
      </x:c>
      <x:c r="E519" s="42" t="str">
        <x:f>IF(OR(B519="",COUNT('01_INPUT_COMPANIES'!$V$58)=0),"",'01_INPUT_COMPANIES'!$V$58)</x:f>
      </x:c>
      <x:c r="F519" s="42" t="n">
        <x:v>1</x:v>
      </x:c>
      <x:c r="G519" s="42" t="str">
        <x:f>IF(NOT(ISNUMBER(E519)),"",MAX(K519,MIN(L519,E519*F519)))</x:f>
      </x:c>
      <x:c r="H519" s="42" t="n">
        <x:v>97</x:v>
      </x:c>
      <x:c r="I519" s="42" t="str">
        <x:f>IF(COUNT(G519)=0,"",(COUNTIFS('93_REF_ANCHORS'!$A$7:$A$766,D519,'93_REF_ANCHORS'!$C$7:$C$766,"&lt;"&amp;G519)+COUNTIFS('93_REF_ANCHORS'!$A$7:$A$766,D519,'93_REF_ANCHORS'!$C$7:$C$766,"&lt;="&amp;G519)-1)/(2*(H519-1)))</x:f>
      </x:c>
      <x:c r="J519" s="34" t="str">
        <x:f>IF(B519="","",IF(COUNT(E519)=0,"MISSING",IF(NOT(ISNUMBER(E519)),"INVALID",IF(E519*F519&lt;K519,"WINSORIZED LOW",IF(E519*F519&gt;L519,"WINSORIZED HIGH","OK")))))</x:f>
      </x:c>
      <x:c r="K519" s="34" t="n">
        <x:v>-0.1395374353</x:v>
      </x:c>
      <x:c r="L519" s="34" t="n">
        <x:v>0.9274274845000001</x:v>
      </x:c>
      <x:c r="M519" s="34" t="n">
        <x:v>0.1111111111111111</x:v>
      </x:c>
      <x:c r="N519" s="34" t="str">
        <x:v>no</x:v>
      </x:c>
    </x:row>
    <x:row r="520">
      <x:c r="A520" s="34" t="n">
        <x:v>52</x:v>
      </x:c>
      <x:c r="B520" s="34" t="str">
        <x:f>IF('01_INPUT_COMPANIES'!$A$58="","",'01_INPUT_COMPANIES'!$A$58)</x:f>
      </x:c>
      <x:c r="C520" s="34" t="str">
        <x:f>IF(B520="","",'01_INPUT_COMPANIES'!$B$58)</x:f>
      </x:c>
      <x:c r="D520" s="34" t="str">
        <x:v>cashflow_recovery_ratio</x:v>
      </x:c>
      <x:c r="E520" s="42" t="str">
        <x:f>IF(OR(B520="",COUNT('01_INPUT_COMPANIES'!$W$58)=0),"",'01_INPUT_COMPANIES'!$W$58)</x:f>
      </x:c>
      <x:c r="F520" s="42" t="n">
        <x:v>-1</x:v>
      </x:c>
      <x:c r="G520" s="42" t="str">
        <x:f>IF(NOT(ISNUMBER(E520)),"",MAX(K520,MIN(L520,E520*F520)))</x:f>
      </x:c>
      <x:c r="H520" s="42" t="n">
        <x:v>95</x:v>
      </x:c>
      <x:c r="I520" s="42" t="str">
        <x:f>IF(COUNT(G520)=0,"",(COUNTIFS('93_REF_ANCHORS'!$A$7:$A$766,D520,'93_REF_ANCHORS'!$C$7:$C$766,"&lt;"&amp;G520)+COUNTIFS('93_REF_ANCHORS'!$A$7:$A$766,D520,'93_REF_ANCHORS'!$C$7:$C$766,"&lt;="&amp;G520)-1)/(2*(H520-1)))</x:f>
      </x:c>
      <x:c r="J520" s="34" t="str">
        <x:f>IF(B520="","",IF(COUNT(E520)=0,"MISSING",IF(NOT(ISNUMBER(E520)),"INVALID",IF(E520*F520&lt;K520,"WINSORIZED LOW",IF(E520*F520&gt;L520,"WINSORIZED HIGH","OK")))))</x:f>
      </x:c>
      <x:c r="K520" s="34" t="n">
        <x:v>-300.75</x:v>
      </x:c>
      <x:c r="L520" s="34" t="n">
        <x:v>42.6920305469</x:v>
      </x:c>
      <x:c r="M520" s="34" t="n">
        <x:v>0.08333333333333333</x:v>
      </x:c>
      <x:c r="N520" s="34" t="str">
        <x:v>no</x:v>
      </x:c>
    </x:row>
    <x:row r="521">
      <x:c r="A521" s="34" t="n">
        <x:v>52</x:v>
      </x:c>
      <x:c r="B521" s="34" t="str">
        <x:f>IF('01_INPUT_COMPANIES'!$A$58="","",'01_INPUT_COMPANIES'!$A$58)</x:f>
      </x:c>
      <x:c r="C521" s="34" t="str">
        <x:f>IF(B521="","",'01_INPUT_COMPANIES'!$B$58)</x:f>
      </x:c>
      <x:c r="D521" s="34" t="str">
        <x:v>funding_cost_spread</x:v>
      </x:c>
      <x:c r="E521" s="42" t="str">
        <x:f>IF(OR(B521="",COUNT('01_INPUT_COMPANIES'!$X$58)=0),"",'01_INPUT_COMPANIES'!$X$58)</x:f>
      </x:c>
      <x:c r="F521" s="42" t="n">
        <x:v>1</x:v>
      </x:c>
      <x:c r="G521" s="42" t="str">
        <x:f>IF(NOT(ISNUMBER(E521)),"",MAX(K521,MIN(L521,E521*F521)))</x:f>
      </x:c>
      <x:c r="H521" s="42" t="n">
        <x:v>58</x:v>
      </x:c>
      <x:c r="I521" s="42" t="str">
        <x:f>IF(COUNT(G521)=0,"",(COUNTIFS('93_REF_ANCHORS'!$A$7:$A$766,D521,'93_REF_ANCHORS'!$C$7:$C$766,"&lt;"&amp;G521)+COUNTIFS('93_REF_ANCHORS'!$A$7:$A$766,D521,'93_REF_ANCHORS'!$C$7:$C$766,"&lt;="&amp;G521)-1)/(2*(H521-1)))</x:f>
      </x:c>
      <x:c r="J521" s="34" t="str">
        <x:f>IF(B521="","",IF(COUNT(E521)=0,"MISSING",IF(NOT(ISNUMBER(E521)),"INVALID",IF(E521*F521&lt;K521,"WINSORIZED LOW",IF(E521*F521&gt;L521,"WINSORIZED HIGH","OK")))))</x:f>
      </x:c>
      <x:c r="K521" s="34" t="n">
        <x:v>-0.4430292903</x:v>
      </x:c>
      <x:c r="L521" s="34" t="n">
        <x:v>0.5068913103</x:v>
      </x:c>
      <x:c r="M521" s="34" t="n">
        <x:v>0.08333333333333333</x:v>
      </x:c>
      <x:c r="N521" s="34" t="str">
        <x:v>no</x:v>
      </x:c>
    </x:row>
    <x:row r="522">
      <x:c r="A522" s="34" t="n">
        <x:v>52</x:v>
      </x:c>
      <x:c r="B522" s="34" t="str">
        <x:f>IF('01_INPUT_COMPANIES'!$A$58="","",'01_INPUT_COMPANIES'!$A$58)</x:f>
      </x:c>
      <x:c r="C522" s="34" t="str">
        <x:f>IF(B522="","",'01_INPUT_COMPANIES'!$B$58)</x:f>
      </x:c>
      <x:c r="D522" s="34" t="str">
        <x:v>investment_recovery_ratio</x:v>
      </x:c>
      <x:c r="E522" s="42" t="str">
        <x:f>IF(OR(B522="",COUNT('01_INPUT_COMPANIES'!$Y$58)=0),"",'01_INPUT_COMPANIES'!$Y$58)</x:f>
      </x:c>
      <x:c r="F522" s="42" t="n">
        <x:v>-1</x:v>
      </x:c>
      <x:c r="G522" s="42" t="str">
        <x:f>IF(NOT(ISNUMBER(E522)),"",MAX(K522,MIN(L522,E522*F522)))</x:f>
      </x:c>
      <x:c r="H522" s="42" t="n">
        <x:v>95</x:v>
      </x:c>
      <x:c r="I522" s="42" t="str">
        <x:f>IF(COUNT(G522)=0,"",(COUNTIFS('93_REF_ANCHORS'!$A$7:$A$766,D522,'93_REF_ANCHORS'!$C$7:$C$766,"&lt;"&amp;G522)+COUNTIFS('93_REF_ANCHORS'!$A$7:$A$766,D522,'93_REF_ANCHORS'!$C$7:$C$766,"&lt;="&amp;G522)-1)/(2*(H522-1)))</x:f>
      </x:c>
      <x:c r="J522" s="34" t="str">
        <x:f>IF(B522="","",IF(COUNT(E522)=0,"MISSING",IF(NOT(ISNUMBER(E522)),"INVALID",IF(E522*F522&lt;K522,"WINSORIZED LOW",IF(E522*F522&gt;L522,"WINSORIZED HIGH","OK")))))</x:f>
      </x:c>
      <x:c r="K522" s="34" t="n">
        <x:v>-3163.7500000000014</x:v>
      </x:c>
      <x:c r="L522" s="34" t="n">
        <x:v>189.68191301719997</x:v>
      </x:c>
      <x:c r="M522" s="34" t="n">
        <x:v>0.08333333333333333</x:v>
      </x:c>
      <x:c r="N522" s="34" t="str">
        <x:v>no</x:v>
      </x:c>
    </x:row>
    <x:row r="523">
      <x:c r="A523" s="34" t="n">
        <x:v>52</x:v>
      </x:c>
      <x:c r="B523" s="34" t="str">
        <x:f>IF('01_INPUT_COMPANIES'!$A$58="","",'01_INPUT_COMPANIES'!$A$58)</x:f>
      </x:c>
      <x:c r="C523" s="34" t="str">
        <x:f>IF(B523="","",'01_INPUT_COMPANIES'!$B$58)</x:f>
      </x:c>
      <x:c r="D523" s="34" t="str">
        <x:v>ip_assetization_gap</x:v>
      </x:c>
      <x:c r="E523" s="42" t="str">
        <x:f>IF(OR(B523="",COUNT('01_INPUT_COMPANIES'!$Z$58)=0),"",'01_INPUT_COMPANIES'!$Z$58)</x:f>
      </x:c>
      <x:c r="F523" s="42" t="n">
        <x:v>1</x:v>
      </x:c>
      <x:c r="G523" s="42" t="str">
        <x:f>IF(NOT(ISNUMBER(E523)),"",MAX(K523,MIN(L523,E523*F523)))</x:f>
      </x:c>
      <x:c r="H523" s="42" t="n">
        <x:v>92</x:v>
      </x:c>
      <x:c r="I523" s="42" t="str">
        <x:f>IF(COUNT(G523)=0,"",(COUNTIFS('93_REF_ANCHORS'!$A$7:$A$766,D523,'93_REF_ANCHORS'!$C$7:$C$766,"&lt;"&amp;G523)+COUNTIFS('93_REF_ANCHORS'!$A$7:$A$766,D523,'93_REF_ANCHORS'!$C$7:$C$766,"&lt;="&amp;G523)-1)/(2*(H523-1)))</x:f>
      </x:c>
      <x:c r="J523" s="34" t="str">
        <x:f>IF(B523="","",IF(COUNT(E523)=0,"MISSING",IF(NOT(ISNUMBER(E523)),"INVALID",IF(E523*F523&lt;K523,"WINSORIZED LOW",IF(E523*F523&gt;L523,"WINSORIZED HIGH","OK")))))</x:f>
      </x:c>
      <x:c r="K523" s="34" t="n">
        <x:v>-1.6707152386</x:v>
      </x:c>
      <x:c r="L523" s="34" t="n">
        <x:v>0.7716332556000001</x:v>
      </x:c>
      <x:c r="M523" s="34" t="n">
        <x:v>0.08333333333333333</x:v>
      </x:c>
      <x:c r="N523" s="34" t="str">
        <x:v>no</x:v>
      </x:c>
    </x:row>
    <x:row r="524">
      <x:c r="A524" s="34" t="n">
        <x:v>52</x:v>
      </x:c>
      <x:c r="B524" s="34" t="str">
        <x:f>IF('01_INPUT_COMPANIES'!$A$58="","",'01_INPUT_COMPANIES'!$A$58)</x:f>
      </x:c>
      <x:c r="C524" s="34" t="str">
        <x:f>IF(B524="","",'01_INPUT_COMPANIES'!$B$58)</x:f>
      </x:c>
      <x:c r="D524" s="34" t="str">
        <x:v>cross_market_transfer_index</x:v>
      </x:c>
      <x:c r="E524" s="42" t="str">
        <x:f>IF(OR(B524="",COUNT('01_INPUT_COMPANIES'!$AA$58)=0),"",'01_INPUT_COMPANIES'!$AA$58)</x:f>
      </x:c>
      <x:c r="F524" s="42" t="n">
        <x:v>1</x:v>
      </x:c>
      <x:c r="G524" s="42" t="str">
        <x:f>IF(NOT(ISNUMBER(E524)),"",MAX(K524,MIN(L524,E524*F524)))</x:f>
      </x:c>
      <x:c r="H524" s="42" t="n">
        <x:v>4</x:v>
      </x:c>
      <x:c r="I524" s="42" t="str">
        <x:f>IF(COUNT(G524)=0,"",(COUNTIFS('93_REF_ANCHORS'!$A$7:$A$766,D524,'93_REF_ANCHORS'!$C$7:$C$766,"&lt;"&amp;G524)+COUNTIFS('93_REF_ANCHORS'!$A$7:$A$766,D524,'93_REF_ANCHORS'!$C$7:$C$766,"&lt;="&amp;G524)-1)/(2*(H524-1)))</x:f>
      </x:c>
      <x:c r="J524" s="34" t="str">
        <x:f>IF(B524="","",IF(COUNT(E524)=0,"MISSING",IF(NOT(ISNUMBER(E524)),"INVALID",IF(E524*F524&lt;K524,"WINSORIZED LOW",IF(E524*F524&gt;L524,"WINSORIZED HIGH","OK")))))</x:f>
      </x:c>
      <x:c r="K524" s="34" t="n">
        <x:v>0</x:v>
      </x:c>
      <x:c r="L524" s="34" t="n">
        <x:v>0.7587051325360435</x:v>
      </x:c>
      <x:c r="M524" s="34" t="n">
        <x:v>0.1111111111111111</x:v>
      </x:c>
      <x:c r="N524" s="34" t="str">
        <x:v>yes</x:v>
      </x:c>
    </x:row>
    <x:row r="525">
      <x:c r="A525" s="34" t="n">
        <x:v>52</x:v>
      </x:c>
      <x:c r="B525" s="34" t="str">
        <x:f>IF('01_INPUT_COMPANIES'!$A$58="","",'01_INPUT_COMPANIES'!$A$58)</x:f>
      </x:c>
      <x:c r="C525" s="34" t="str">
        <x:f>IF(B525="","",'01_INPUT_COMPANIES'!$B$58)</x:f>
      </x:c>
      <x:c r="D525" s="34" t="str">
        <x:v>foreign_dependency_ratio</x:v>
      </x:c>
      <x:c r="E525" s="42" t="str">
        <x:f>IF(OR(B525="",COUNT('01_INPUT_COMPANIES'!$AB$58)=0),"",'01_INPUT_COMPANIES'!$AB$58)</x:f>
      </x:c>
      <x:c r="F525" s="42" t="n">
        <x:v>1</x:v>
      </x:c>
      <x:c r="G525" s="42" t="str">
        <x:f>IF(NOT(ISNUMBER(E525)),"",MAX(K525,MIN(L525,E525*F525)))</x:f>
      </x:c>
      <x:c r="H525" s="42" t="n">
        <x:v>84</x:v>
      </x:c>
      <x:c r="I525" s="42" t="str">
        <x:f>IF(COUNT(G525)=0,"",(COUNTIFS('93_REF_ANCHORS'!$A$7:$A$766,D525,'93_REF_ANCHORS'!$C$7:$C$766,"&lt;"&amp;G525)+COUNTIFS('93_REF_ANCHORS'!$A$7:$A$766,D525,'93_REF_ANCHORS'!$C$7:$C$766,"&lt;="&amp;G525)-1)/(2*(H525-1)))</x:f>
      </x:c>
      <x:c r="J525" s="34" t="str">
        <x:f>IF(B525="","",IF(COUNT(E525)=0,"MISSING",IF(NOT(ISNUMBER(E525)),"INVALID",IF(E525*F525&lt;K525,"WINSORIZED LOW",IF(E525*F525&gt;L525,"WINSORIZED HIGH","OK")))))</x:f>
      </x:c>
      <x:c r="K525" s="34" t="n">
        <x:v>0.728196</x:v>
      </x:c>
      <x:c r="L525" s="34" t="n">
        <x:v>0.94</x:v>
      </x:c>
      <x:c r="M525" s="34" t="n">
        <x:v>0.1111111111111111</x:v>
      </x:c>
      <x:c r="N525" s="34" t="str">
        <x:v>yes</x:v>
      </x:c>
    </x:row>
    <x:row r="526">
      <x:c r="A526" s="34" t="n">
        <x:v>52</x:v>
      </x:c>
      <x:c r="B526" s="34" t="str">
        <x:f>IF('01_INPUT_COMPANIES'!$A$58="","",'01_INPUT_COMPANIES'!$A$58)</x:f>
      </x:c>
      <x:c r="C526" s="34" t="str">
        <x:f>IF(B526="","",'01_INPUT_COMPANIES'!$B$58)</x:f>
      </x:c>
      <x:c r="D526" s="34" t="str">
        <x:v>outflow_to_capex_ratio</x:v>
      </x:c>
      <x:c r="E526" s="42" t="str">
        <x:f>IF(OR(B526="",COUNT('01_INPUT_COMPANIES'!$AC$58)=0),"",'01_INPUT_COMPANIES'!$AC$58)</x:f>
      </x:c>
      <x:c r="F526" s="42" t="n">
        <x:v>1</x:v>
      </x:c>
      <x:c r="G526" s="42" t="str">
        <x:f>IF(NOT(ISNUMBER(E526)),"",MAX(K526,MIN(L526,E526*F526)))</x:f>
      </x:c>
      <x:c r="H526" s="42" t="n">
        <x:v>97</x:v>
      </x:c>
      <x:c r="I526" s="42" t="str">
        <x:f>IF(COUNT(G526)=0,"",(COUNTIFS('93_REF_ANCHORS'!$A$7:$A$766,D526,'93_REF_ANCHORS'!$C$7:$C$766,"&lt;"&amp;G526)+COUNTIFS('93_REF_ANCHORS'!$A$7:$A$766,D526,'93_REF_ANCHORS'!$C$7:$C$766,"&lt;="&amp;G526)-1)/(2*(H526-1)))</x:f>
      </x:c>
      <x:c r="J526" s="34" t="str">
        <x:f>IF(B526="","",IF(COUNT(E526)=0,"MISSING",IF(NOT(ISNUMBER(E526)),"INVALID",IF(E526*F526&lt;K526,"WINSORIZED LOW",IF(E526*F526&gt;L526,"WINSORIZED HIGH","OK")))))</x:f>
      </x:c>
      <x:c r="K526" s="34" t="n">
        <x:v>-123.5385890408</x:v>
      </x:c>
      <x:c r="L526" s="34" t="n">
        <x:v>974.1666666666999</x:v>
      </x:c>
      <x:c r="M526" s="34" t="n">
        <x:v>0.1111111111111111</x:v>
      </x:c>
      <x:c r="N526" s="34" t="str">
        <x:v>no</x:v>
      </x:c>
    </x:row>
    <x:row r="527">
      <x:c r="A527" s="34" t="n">
        <x:v>53</x:v>
      </x:c>
      <x:c r="B527" s="34" t="str">
        <x:f>IF('01_INPUT_COMPANIES'!$A$59="","",'01_INPUT_COMPANIES'!$A$59)</x:f>
      </x:c>
      <x:c r="C527" s="34" t="str">
        <x:f>IF(B527="","",'01_INPUT_COMPANIES'!$B$59)</x:f>
      </x:c>
      <x:c r="D527" s="34" t="str">
        <x:v>effective_tax_rate_gap</x:v>
      </x:c>
      <x:c r="E527" s="42" t="str">
        <x:f>IF(OR(B527="",COUNT('01_INPUT_COMPANIES'!$T$59)=0),"",'01_INPUT_COMPANIES'!$T$59)</x:f>
      </x:c>
      <x:c r="F527" s="42" t="n">
        <x:v>1</x:v>
      </x:c>
      <x:c r="G527" s="42" t="str">
        <x:f>IF(NOT(ISNUMBER(E527)),"",MAX(K527,MIN(L527,E527*F527)))</x:f>
      </x:c>
      <x:c r="H527" s="42" t="n">
        <x:v>74</x:v>
      </x:c>
      <x:c r="I527" s="42" t="str">
        <x:f>IF(COUNT(G527)=0,"",(COUNTIFS('93_REF_ANCHORS'!$A$7:$A$766,D527,'93_REF_ANCHORS'!$C$7:$C$766,"&lt;"&amp;G527)+COUNTIFS('93_REF_ANCHORS'!$A$7:$A$766,D527,'93_REF_ANCHORS'!$C$7:$C$766,"&lt;="&amp;G527)-1)/(2*(H527-1)))</x:f>
      </x:c>
      <x:c r="J527" s="34" t="str">
        <x:f>IF(B527="","",IF(COUNT(E527)=0,"MISSING",IF(NOT(ISNUMBER(E527)),"INVALID",IF(E527*F527&lt;K527,"WINSORIZED LOW",IF(E527*F527&gt;L527,"WINSORIZED HIGH","OK")))))</x:f>
      </x:c>
      <x:c r="K527" s="34" t="n">
        <x:v>-0.1416111014</x:v>
      </x:c>
      <x:c r="L527" s="34" t="n">
        <x:v>0.2683650488</x:v>
      </x:c>
      <x:c r="M527" s="34" t="n">
        <x:v>0.1111111111111111</x:v>
      </x:c>
      <x:c r="N527" s="34" t="str">
        <x:v>no</x:v>
      </x:c>
    </x:row>
    <x:row r="528">
      <x:c r="A528" s="34" t="n">
        <x:v>53</x:v>
      </x:c>
      <x:c r="B528" s="34" t="str">
        <x:f>IF('01_INPUT_COMPANIES'!$A$59="","",'01_INPUT_COMPANIES'!$A$59)</x:f>
      </x:c>
      <x:c r="C528" s="34" t="str">
        <x:f>IF(B528="","",'01_INPUT_COMPANIES'!$B$59)</x:f>
      </x:c>
      <x:c r="D528" s="34" t="str">
        <x:v>infra_dependency_ratio</x:v>
      </x:c>
      <x:c r="E528" s="42" t="str">
        <x:f>IF(OR(B528="",COUNT('01_INPUT_COMPANIES'!$U$59)=0),"",'01_INPUT_COMPANIES'!$U$59)</x:f>
      </x:c>
      <x:c r="F528" s="42" t="n">
        <x:v>1</x:v>
      </x:c>
      <x:c r="G528" s="42" t="str">
        <x:f>IF(NOT(ISNUMBER(E528)),"",MAX(K528,MIN(L528,E528*F528)))</x:f>
      </x:c>
      <x:c r="H528" s="42" t="n">
        <x:v>64</x:v>
      </x:c>
      <x:c r="I528" s="42" t="str">
        <x:f>IF(COUNT(G528)=0,"",(COUNTIFS('93_REF_ANCHORS'!$A$7:$A$766,D528,'93_REF_ANCHORS'!$C$7:$C$766,"&lt;"&amp;G528)+COUNTIFS('93_REF_ANCHORS'!$A$7:$A$766,D528,'93_REF_ANCHORS'!$C$7:$C$766,"&lt;="&amp;G528)-1)/(2*(H528-1)))</x:f>
      </x:c>
      <x:c r="J528" s="34" t="str">
        <x:f>IF(B528="","",IF(COUNT(E528)=0,"MISSING",IF(NOT(ISNUMBER(E528)),"INVALID",IF(E528*F528&lt;K528,"WINSORIZED LOW",IF(E528*F528&gt;L528,"WINSORIZED HIGH","OK")))))</x:f>
      </x:c>
      <x:c r="K528" s="34" t="n">
        <x:v>-0.10705024705171803</x:v>
      </x:c>
      <x:c r="L528" s="34" t="n">
        <x:v>0.8008753865408955</x:v>
      </x:c>
      <x:c r="M528" s="34" t="n">
        <x:v>0.1111111111111111</x:v>
      </x:c>
      <x:c r="N528" s="34" t="str">
        <x:v>no</x:v>
      </x:c>
    </x:row>
    <x:row r="529">
      <x:c r="A529" s="34" t="n">
        <x:v>53</x:v>
      </x:c>
      <x:c r="B529" s="34" t="str">
        <x:f>IF('01_INPUT_COMPANIES'!$A$59="","",'01_INPUT_COMPANIES'!$A$59)</x:f>
      </x:c>
      <x:c r="C529" s="34" t="str">
        <x:f>IF(B529="","",'01_INPUT_COMPANIES'!$B$59)</x:f>
      </x:c>
      <x:c r="D529" s="34" t="str">
        <x:v>network_cost_ratio</x:v>
      </x:c>
      <x:c r="E529" s="42" t="str">
        <x:f>IF(OR(B529="",COUNT('01_INPUT_COMPANIES'!$V$59)=0),"",'01_INPUT_COMPANIES'!$V$59)</x:f>
      </x:c>
      <x:c r="F529" s="42" t="n">
        <x:v>1</x:v>
      </x:c>
      <x:c r="G529" s="42" t="str">
        <x:f>IF(NOT(ISNUMBER(E529)),"",MAX(K529,MIN(L529,E529*F529)))</x:f>
      </x:c>
      <x:c r="H529" s="42" t="n">
        <x:v>97</x:v>
      </x:c>
      <x:c r="I529" s="42" t="str">
        <x:f>IF(COUNT(G529)=0,"",(COUNTIFS('93_REF_ANCHORS'!$A$7:$A$766,D529,'93_REF_ANCHORS'!$C$7:$C$766,"&lt;"&amp;G529)+COUNTIFS('93_REF_ANCHORS'!$A$7:$A$766,D529,'93_REF_ANCHORS'!$C$7:$C$766,"&lt;="&amp;G529)-1)/(2*(H529-1)))</x:f>
      </x:c>
      <x:c r="J529" s="34" t="str">
        <x:f>IF(B529="","",IF(COUNT(E529)=0,"MISSING",IF(NOT(ISNUMBER(E529)),"INVALID",IF(E529*F529&lt;K529,"WINSORIZED LOW",IF(E529*F529&gt;L529,"WINSORIZED HIGH","OK")))))</x:f>
      </x:c>
      <x:c r="K529" s="34" t="n">
        <x:v>-0.1395374353</x:v>
      </x:c>
      <x:c r="L529" s="34" t="n">
        <x:v>0.9274274845000001</x:v>
      </x:c>
      <x:c r="M529" s="34" t="n">
        <x:v>0.1111111111111111</x:v>
      </x:c>
      <x:c r="N529" s="34" t="str">
        <x:v>no</x:v>
      </x:c>
    </x:row>
    <x:row r="530">
      <x:c r="A530" s="34" t="n">
        <x:v>53</x:v>
      </x:c>
      <x:c r="B530" s="34" t="str">
        <x:f>IF('01_INPUT_COMPANIES'!$A$59="","",'01_INPUT_COMPANIES'!$A$59)</x:f>
      </x:c>
      <x:c r="C530" s="34" t="str">
        <x:f>IF(B530="","",'01_INPUT_COMPANIES'!$B$59)</x:f>
      </x:c>
      <x:c r="D530" s="34" t="str">
        <x:v>cashflow_recovery_ratio</x:v>
      </x:c>
      <x:c r="E530" s="42" t="str">
        <x:f>IF(OR(B530="",COUNT('01_INPUT_COMPANIES'!$W$59)=0),"",'01_INPUT_COMPANIES'!$W$59)</x:f>
      </x:c>
      <x:c r="F530" s="42" t="n">
        <x:v>-1</x:v>
      </x:c>
      <x:c r="G530" s="42" t="str">
        <x:f>IF(NOT(ISNUMBER(E530)),"",MAX(K530,MIN(L530,E530*F530)))</x:f>
      </x:c>
      <x:c r="H530" s="42" t="n">
        <x:v>95</x:v>
      </x:c>
      <x:c r="I530" s="42" t="str">
        <x:f>IF(COUNT(G530)=0,"",(COUNTIFS('93_REF_ANCHORS'!$A$7:$A$766,D530,'93_REF_ANCHORS'!$C$7:$C$766,"&lt;"&amp;G530)+COUNTIFS('93_REF_ANCHORS'!$A$7:$A$766,D530,'93_REF_ANCHORS'!$C$7:$C$766,"&lt;="&amp;G530)-1)/(2*(H530-1)))</x:f>
      </x:c>
      <x:c r="J530" s="34" t="str">
        <x:f>IF(B530="","",IF(COUNT(E530)=0,"MISSING",IF(NOT(ISNUMBER(E530)),"INVALID",IF(E530*F530&lt;K530,"WINSORIZED LOW",IF(E530*F530&gt;L530,"WINSORIZED HIGH","OK")))))</x:f>
      </x:c>
      <x:c r="K530" s="34" t="n">
        <x:v>-300.75</x:v>
      </x:c>
      <x:c r="L530" s="34" t="n">
        <x:v>42.6920305469</x:v>
      </x:c>
      <x:c r="M530" s="34" t="n">
        <x:v>0.08333333333333333</x:v>
      </x:c>
      <x:c r="N530" s="34" t="str">
        <x:v>no</x:v>
      </x:c>
    </x:row>
    <x:row r="531">
      <x:c r="A531" s="34" t="n">
        <x:v>53</x:v>
      </x:c>
      <x:c r="B531" s="34" t="str">
        <x:f>IF('01_INPUT_COMPANIES'!$A$59="","",'01_INPUT_COMPANIES'!$A$59)</x:f>
      </x:c>
      <x:c r="C531" s="34" t="str">
        <x:f>IF(B531="","",'01_INPUT_COMPANIES'!$B$59)</x:f>
      </x:c>
      <x:c r="D531" s="34" t="str">
        <x:v>funding_cost_spread</x:v>
      </x:c>
      <x:c r="E531" s="42" t="str">
        <x:f>IF(OR(B531="",COUNT('01_INPUT_COMPANIES'!$X$59)=0),"",'01_INPUT_COMPANIES'!$X$59)</x:f>
      </x:c>
      <x:c r="F531" s="42" t="n">
        <x:v>1</x:v>
      </x:c>
      <x:c r="G531" s="42" t="str">
        <x:f>IF(NOT(ISNUMBER(E531)),"",MAX(K531,MIN(L531,E531*F531)))</x:f>
      </x:c>
      <x:c r="H531" s="42" t="n">
        <x:v>58</x:v>
      </x:c>
      <x:c r="I531" s="42" t="str">
        <x:f>IF(COUNT(G531)=0,"",(COUNTIFS('93_REF_ANCHORS'!$A$7:$A$766,D531,'93_REF_ANCHORS'!$C$7:$C$766,"&lt;"&amp;G531)+COUNTIFS('93_REF_ANCHORS'!$A$7:$A$766,D531,'93_REF_ANCHORS'!$C$7:$C$766,"&lt;="&amp;G531)-1)/(2*(H531-1)))</x:f>
      </x:c>
      <x:c r="J531" s="34" t="str">
        <x:f>IF(B531="","",IF(COUNT(E531)=0,"MISSING",IF(NOT(ISNUMBER(E531)),"INVALID",IF(E531*F531&lt;K531,"WINSORIZED LOW",IF(E531*F531&gt;L531,"WINSORIZED HIGH","OK")))))</x:f>
      </x:c>
      <x:c r="K531" s="34" t="n">
        <x:v>-0.4430292903</x:v>
      </x:c>
      <x:c r="L531" s="34" t="n">
        <x:v>0.5068913103</x:v>
      </x:c>
      <x:c r="M531" s="34" t="n">
        <x:v>0.08333333333333333</x:v>
      </x:c>
      <x:c r="N531" s="34" t="str">
        <x:v>no</x:v>
      </x:c>
    </x:row>
    <x:row r="532">
      <x:c r="A532" s="34" t="n">
        <x:v>53</x:v>
      </x:c>
      <x:c r="B532" s="34" t="str">
        <x:f>IF('01_INPUT_COMPANIES'!$A$59="","",'01_INPUT_COMPANIES'!$A$59)</x:f>
      </x:c>
      <x:c r="C532" s="34" t="str">
        <x:f>IF(B532="","",'01_INPUT_COMPANIES'!$B$59)</x:f>
      </x:c>
      <x:c r="D532" s="34" t="str">
        <x:v>investment_recovery_ratio</x:v>
      </x:c>
      <x:c r="E532" s="42" t="str">
        <x:f>IF(OR(B532="",COUNT('01_INPUT_COMPANIES'!$Y$59)=0),"",'01_INPUT_COMPANIES'!$Y$59)</x:f>
      </x:c>
      <x:c r="F532" s="42" t="n">
        <x:v>-1</x:v>
      </x:c>
      <x:c r="G532" s="42" t="str">
        <x:f>IF(NOT(ISNUMBER(E532)),"",MAX(K532,MIN(L532,E532*F532)))</x:f>
      </x:c>
      <x:c r="H532" s="42" t="n">
        <x:v>95</x:v>
      </x:c>
      <x:c r="I532" s="42" t="str">
        <x:f>IF(COUNT(G532)=0,"",(COUNTIFS('93_REF_ANCHORS'!$A$7:$A$766,D532,'93_REF_ANCHORS'!$C$7:$C$766,"&lt;"&amp;G532)+COUNTIFS('93_REF_ANCHORS'!$A$7:$A$766,D532,'93_REF_ANCHORS'!$C$7:$C$766,"&lt;="&amp;G532)-1)/(2*(H532-1)))</x:f>
      </x:c>
      <x:c r="J532" s="34" t="str">
        <x:f>IF(B532="","",IF(COUNT(E532)=0,"MISSING",IF(NOT(ISNUMBER(E532)),"INVALID",IF(E532*F532&lt;K532,"WINSORIZED LOW",IF(E532*F532&gt;L532,"WINSORIZED HIGH","OK")))))</x:f>
      </x:c>
      <x:c r="K532" s="34" t="n">
        <x:v>-3163.7500000000014</x:v>
      </x:c>
      <x:c r="L532" s="34" t="n">
        <x:v>189.68191301719997</x:v>
      </x:c>
      <x:c r="M532" s="34" t="n">
        <x:v>0.08333333333333333</x:v>
      </x:c>
      <x:c r="N532" s="34" t="str">
        <x:v>no</x:v>
      </x:c>
    </x:row>
    <x:row r="533">
      <x:c r="A533" s="34" t="n">
        <x:v>53</x:v>
      </x:c>
      <x:c r="B533" s="34" t="str">
        <x:f>IF('01_INPUT_COMPANIES'!$A$59="","",'01_INPUT_COMPANIES'!$A$59)</x:f>
      </x:c>
      <x:c r="C533" s="34" t="str">
        <x:f>IF(B533="","",'01_INPUT_COMPANIES'!$B$59)</x:f>
      </x:c>
      <x:c r="D533" s="34" t="str">
        <x:v>ip_assetization_gap</x:v>
      </x:c>
      <x:c r="E533" s="42" t="str">
        <x:f>IF(OR(B533="",COUNT('01_INPUT_COMPANIES'!$Z$59)=0),"",'01_INPUT_COMPANIES'!$Z$59)</x:f>
      </x:c>
      <x:c r="F533" s="42" t="n">
        <x:v>1</x:v>
      </x:c>
      <x:c r="G533" s="42" t="str">
        <x:f>IF(NOT(ISNUMBER(E533)),"",MAX(K533,MIN(L533,E533*F533)))</x:f>
      </x:c>
      <x:c r="H533" s="42" t="n">
        <x:v>92</x:v>
      </x:c>
      <x:c r="I533" s="42" t="str">
        <x:f>IF(COUNT(G533)=0,"",(COUNTIFS('93_REF_ANCHORS'!$A$7:$A$766,D533,'93_REF_ANCHORS'!$C$7:$C$766,"&lt;"&amp;G533)+COUNTIFS('93_REF_ANCHORS'!$A$7:$A$766,D533,'93_REF_ANCHORS'!$C$7:$C$766,"&lt;="&amp;G533)-1)/(2*(H533-1)))</x:f>
      </x:c>
      <x:c r="J533" s="34" t="str">
        <x:f>IF(B533="","",IF(COUNT(E533)=0,"MISSING",IF(NOT(ISNUMBER(E533)),"INVALID",IF(E533*F533&lt;K533,"WINSORIZED LOW",IF(E533*F533&gt;L533,"WINSORIZED HIGH","OK")))))</x:f>
      </x:c>
      <x:c r="K533" s="34" t="n">
        <x:v>-1.6707152386</x:v>
      </x:c>
      <x:c r="L533" s="34" t="n">
        <x:v>0.7716332556000001</x:v>
      </x:c>
      <x:c r="M533" s="34" t="n">
        <x:v>0.08333333333333333</x:v>
      </x:c>
      <x:c r="N533" s="34" t="str">
        <x:v>no</x:v>
      </x:c>
    </x:row>
    <x:row r="534">
      <x:c r="A534" s="34" t="n">
        <x:v>53</x:v>
      </x:c>
      <x:c r="B534" s="34" t="str">
        <x:f>IF('01_INPUT_COMPANIES'!$A$59="","",'01_INPUT_COMPANIES'!$A$59)</x:f>
      </x:c>
      <x:c r="C534" s="34" t="str">
        <x:f>IF(B534="","",'01_INPUT_COMPANIES'!$B$59)</x:f>
      </x:c>
      <x:c r="D534" s="34" t="str">
        <x:v>cross_market_transfer_index</x:v>
      </x:c>
      <x:c r="E534" s="42" t="str">
        <x:f>IF(OR(B534="",COUNT('01_INPUT_COMPANIES'!$AA$59)=0),"",'01_INPUT_COMPANIES'!$AA$59)</x:f>
      </x:c>
      <x:c r="F534" s="42" t="n">
        <x:v>1</x:v>
      </x:c>
      <x:c r="G534" s="42" t="str">
        <x:f>IF(NOT(ISNUMBER(E534)),"",MAX(K534,MIN(L534,E534*F534)))</x:f>
      </x:c>
      <x:c r="H534" s="42" t="n">
        <x:v>4</x:v>
      </x:c>
      <x:c r="I534" s="42" t="str">
        <x:f>IF(COUNT(G534)=0,"",(COUNTIFS('93_REF_ANCHORS'!$A$7:$A$766,D534,'93_REF_ANCHORS'!$C$7:$C$766,"&lt;"&amp;G534)+COUNTIFS('93_REF_ANCHORS'!$A$7:$A$766,D534,'93_REF_ANCHORS'!$C$7:$C$766,"&lt;="&amp;G534)-1)/(2*(H534-1)))</x:f>
      </x:c>
      <x:c r="J534" s="34" t="str">
        <x:f>IF(B534="","",IF(COUNT(E534)=0,"MISSING",IF(NOT(ISNUMBER(E534)),"INVALID",IF(E534*F534&lt;K534,"WINSORIZED LOW",IF(E534*F534&gt;L534,"WINSORIZED HIGH","OK")))))</x:f>
      </x:c>
      <x:c r="K534" s="34" t="n">
        <x:v>0</x:v>
      </x:c>
      <x:c r="L534" s="34" t="n">
        <x:v>0.7587051325360435</x:v>
      </x:c>
      <x:c r="M534" s="34" t="n">
        <x:v>0.1111111111111111</x:v>
      </x:c>
      <x:c r="N534" s="34" t="str">
        <x:v>yes</x:v>
      </x:c>
    </x:row>
    <x:row r="535">
      <x:c r="A535" s="34" t="n">
        <x:v>53</x:v>
      </x:c>
      <x:c r="B535" s="34" t="str">
        <x:f>IF('01_INPUT_COMPANIES'!$A$59="","",'01_INPUT_COMPANIES'!$A$59)</x:f>
      </x:c>
      <x:c r="C535" s="34" t="str">
        <x:f>IF(B535="","",'01_INPUT_COMPANIES'!$B$59)</x:f>
      </x:c>
      <x:c r="D535" s="34" t="str">
        <x:v>foreign_dependency_ratio</x:v>
      </x:c>
      <x:c r="E535" s="42" t="str">
        <x:f>IF(OR(B535="",COUNT('01_INPUT_COMPANIES'!$AB$59)=0),"",'01_INPUT_COMPANIES'!$AB$59)</x:f>
      </x:c>
      <x:c r="F535" s="42" t="n">
        <x:v>1</x:v>
      </x:c>
      <x:c r="G535" s="42" t="str">
        <x:f>IF(NOT(ISNUMBER(E535)),"",MAX(K535,MIN(L535,E535*F535)))</x:f>
      </x:c>
      <x:c r="H535" s="42" t="n">
        <x:v>84</x:v>
      </x:c>
      <x:c r="I535" s="42" t="str">
        <x:f>IF(COUNT(G535)=0,"",(COUNTIFS('93_REF_ANCHORS'!$A$7:$A$766,D535,'93_REF_ANCHORS'!$C$7:$C$766,"&lt;"&amp;G535)+COUNTIFS('93_REF_ANCHORS'!$A$7:$A$766,D535,'93_REF_ANCHORS'!$C$7:$C$766,"&lt;="&amp;G535)-1)/(2*(H535-1)))</x:f>
      </x:c>
      <x:c r="J535" s="34" t="str">
        <x:f>IF(B535="","",IF(COUNT(E535)=0,"MISSING",IF(NOT(ISNUMBER(E535)),"INVALID",IF(E535*F535&lt;K535,"WINSORIZED LOW",IF(E535*F535&gt;L535,"WINSORIZED HIGH","OK")))))</x:f>
      </x:c>
      <x:c r="K535" s="34" t="n">
        <x:v>0.728196</x:v>
      </x:c>
      <x:c r="L535" s="34" t="n">
        <x:v>0.94</x:v>
      </x:c>
      <x:c r="M535" s="34" t="n">
        <x:v>0.1111111111111111</x:v>
      </x:c>
      <x:c r="N535" s="34" t="str">
        <x:v>yes</x:v>
      </x:c>
    </x:row>
    <x:row r="536">
      <x:c r="A536" s="34" t="n">
        <x:v>53</x:v>
      </x:c>
      <x:c r="B536" s="34" t="str">
        <x:f>IF('01_INPUT_COMPANIES'!$A$59="","",'01_INPUT_COMPANIES'!$A$59)</x:f>
      </x:c>
      <x:c r="C536" s="34" t="str">
        <x:f>IF(B536="","",'01_INPUT_COMPANIES'!$B$59)</x:f>
      </x:c>
      <x:c r="D536" s="34" t="str">
        <x:v>outflow_to_capex_ratio</x:v>
      </x:c>
      <x:c r="E536" s="42" t="str">
        <x:f>IF(OR(B536="",COUNT('01_INPUT_COMPANIES'!$AC$59)=0),"",'01_INPUT_COMPANIES'!$AC$59)</x:f>
      </x:c>
      <x:c r="F536" s="42" t="n">
        <x:v>1</x:v>
      </x:c>
      <x:c r="G536" s="42" t="str">
        <x:f>IF(NOT(ISNUMBER(E536)),"",MAX(K536,MIN(L536,E536*F536)))</x:f>
      </x:c>
      <x:c r="H536" s="42" t="n">
        <x:v>97</x:v>
      </x:c>
      <x:c r="I536" s="42" t="str">
        <x:f>IF(COUNT(G536)=0,"",(COUNTIFS('93_REF_ANCHORS'!$A$7:$A$766,D536,'93_REF_ANCHORS'!$C$7:$C$766,"&lt;"&amp;G536)+COUNTIFS('93_REF_ANCHORS'!$A$7:$A$766,D536,'93_REF_ANCHORS'!$C$7:$C$766,"&lt;="&amp;G536)-1)/(2*(H536-1)))</x:f>
      </x:c>
      <x:c r="J536" s="34" t="str">
        <x:f>IF(B536="","",IF(COUNT(E536)=0,"MISSING",IF(NOT(ISNUMBER(E536)),"INVALID",IF(E536*F536&lt;K536,"WINSORIZED LOW",IF(E536*F536&gt;L536,"WINSORIZED HIGH","OK")))))</x:f>
      </x:c>
      <x:c r="K536" s="34" t="n">
        <x:v>-123.5385890408</x:v>
      </x:c>
      <x:c r="L536" s="34" t="n">
        <x:v>974.1666666666999</x:v>
      </x:c>
      <x:c r="M536" s="34" t="n">
        <x:v>0.1111111111111111</x:v>
      </x:c>
      <x:c r="N536" s="34" t="str">
        <x:v>no</x:v>
      </x:c>
    </x:row>
    <x:row r="537">
      <x:c r="A537" s="34" t="n">
        <x:v>54</x:v>
      </x:c>
      <x:c r="B537" s="34" t="str">
        <x:f>IF('01_INPUT_COMPANIES'!$A$60="","",'01_INPUT_COMPANIES'!$A$60)</x:f>
      </x:c>
      <x:c r="C537" s="34" t="str">
        <x:f>IF(B537="","",'01_INPUT_COMPANIES'!$B$60)</x:f>
      </x:c>
      <x:c r="D537" s="34" t="str">
        <x:v>effective_tax_rate_gap</x:v>
      </x:c>
      <x:c r="E537" s="42" t="str">
        <x:f>IF(OR(B537="",COUNT('01_INPUT_COMPANIES'!$T$60)=0),"",'01_INPUT_COMPANIES'!$T$60)</x:f>
      </x:c>
      <x:c r="F537" s="42" t="n">
        <x:v>1</x:v>
      </x:c>
      <x:c r="G537" s="42" t="str">
        <x:f>IF(NOT(ISNUMBER(E537)),"",MAX(K537,MIN(L537,E537*F537)))</x:f>
      </x:c>
      <x:c r="H537" s="42" t="n">
        <x:v>74</x:v>
      </x:c>
      <x:c r="I537" s="42" t="str">
        <x:f>IF(COUNT(G537)=0,"",(COUNTIFS('93_REF_ANCHORS'!$A$7:$A$766,D537,'93_REF_ANCHORS'!$C$7:$C$766,"&lt;"&amp;G537)+COUNTIFS('93_REF_ANCHORS'!$A$7:$A$766,D537,'93_REF_ANCHORS'!$C$7:$C$766,"&lt;="&amp;G537)-1)/(2*(H537-1)))</x:f>
      </x:c>
      <x:c r="J537" s="34" t="str">
        <x:f>IF(B537="","",IF(COUNT(E537)=0,"MISSING",IF(NOT(ISNUMBER(E537)),"INVALID",IF(E537*F537&lt;K537,"WINSORIZED LOW",IF(E537*F537&gt;L537,"WINSORIZED HIGH","OK")))))</x:f>
      </x:c>
      <x:c r="K537" s="34" t="n">
        <x:v>-0.1416111014</x:v>
      </x:c>
      <x:c r="L537" s="34" t="n">
        <x:v>0.2683650488</x:v>
      </x:c>
      <x:c r="M537" s="34" t="n">
        <x:v>0.1111111111111111</x:v>
      </x:c>
      <x:c r="N537" s="34" t="str">
        <x:v>no</x:v>
      </x:c>
    </x:row>
    <x:row r="538">
      <x:c r="A538" s="34" t="n">
        <x:v>54</x:v>
      </x:c>
      <x:c r="B538" s="34" t="str">
        <x:f>IF('01_INPUT_COMPANIES'!$A$60="","",'01_INPUT_COMPANIES'!$A$60)</x:f>
      </x:c>
      <x:c r="C538" s="34" t="str">
        <x:f>IF(B538="","",'01_INPUT_COMPANIES'!$B$60)</x:f>
      </x:c>
      <x:c r="D538" s="34" t="str">
        <x:v>infra_dependency_ratio</x:v>
      </x:c>
      <x:c r="E538" s="42" t="str">
        <x:f>IF(OR(B538="",COUNT('01_INPUT_COMPANIES'!$U$60)=0),"",'01_INPUT_COMPANIES'!$U$60)</x:f>
      </x:c>
      <x:c r="F538" s="42" t="n">
        <x:v>1</x:v>
      </x:c>
      <x:c r="G538" s="42" t="str">
        <x:f>IF(NOT(ISNUMBER(E538)),"",MAX(K538,MIN(L538,E538*F538)))</x:f>
      </x:c>
      <x:c r="H538" s="42" t="n">
        <x:v>64</x:v>
      </x:c>
      <x:c r="I538" s="42" t="str">
        <x:f>IF(COUNT(G538)=0,"",(COUNTIFS('93_REF_ANCHORS'!$A$7:$A$766,D538,'93_REF_ANCHORS'!$C$7:$C$766,"&lt;"&amp;G538)+COUNTIFS('93_REF_ANCHORS'!$A$7:$A$766,D538,'93_REF_ANCHORS'!$C$7:$C$766,"&lt;="&amp;G538)-1)/(2*(H538-1)))</x:f>
      </x:c>
      <x:c r="J538" s="34" t="str">
        <x:f>IF(B538="","",IF(COUNT(E538)=0,"MISSING",IF(NOT(ISNUMBER(E538)),"INVALID",IF(E538*F538&lt;K538,"WINSORIZED LOW",IF(E538*F538&gt;L538,"WINSORIZED HIGH","OK")))))</x:f>
      </x:c>
      <x:c r="K538" s="34" t="n">
        <x:v>-0.10705024705171803</x:v>
      </x:c>
      <x:c r="L538" s="34" t="n">
        <x:v>0.8008753865408955</x:v>
      </x:c>
      <x:c r="M538" s="34" t="n">
        <x:v>0.1111111111111111</x:v>
      </x:c>
      <x:c r="N538" s="34" t="str">
        <x:v>no</x:v>
      </x:c>
    </x:row>
    <x:row r="539">
      <x:c r="A539" s="34" t="n">
        <x:v>54</x:v>
      </x:c>
      <x:c r="B539" s="34" t="str">
        <x:f>IF('01_INPUT_COMPANIES'!$A$60="","",'01_INPUT_COMPANIES'!$A$60)</x:f>
      </x:c>
      <x:c r="C539" s="34" t="str">
        <x:f>IF(B539="","",'01_INPUT_COMPANIES'!$B$60)</x:f>
      </x:c>
      <x:c r="D539" s="34" t="str">
        <x:v>network_cost_ratio</x:v>
      </x:c>
      <x:c r="E539" s="42" t="str">
        <x:f>IF(OR(B539="",COUNT('01_INPUT_COMPANIES'!$V$60)=0),"",'01_INPUT_COMPANIES'!$V$60)</x:f>
      </x:c>
      <x:c r="F539" s="42" t="n">
        <x:v>1</x:v>
      </x:c>
      <x:c r="G539" s="42" t="str">
        <x:f>IF(NOT(ISNUMBER(E539)),"",MAX(K539,MIN(L539,E539*F539)))</x:f>
      </x:c>
      <x:c r="H539" s="42" t="n">
        <x:v>97</x:v>
      </x:c>
      <x:c r="I539" s="42" t="str">
        <x:f>IF(COUNT(G539)=0,"",(COUNTIFS('93_REF_ANCHORS'!$A$7:$A$766,D539,'93_REF_ANCHORS'!$C$7:$C$766,"&lt;"&amp;G539)+COUNTIFS('93_REF_ANCHORS'!$A$7:$A$766,D539,'93_REF_ANCHORS'!$C$7:$C$766,"&lt;="&amp;G539)-1)/(2*(H539-1)))</x:f>
      </x:c>
      <x:c r="J539" s="34" t="str">
        <x:f>IF(B539="","",IF(COUNT(E539)=0,"MISSING",IF(NOT(ISNUMBER(E539)),"INVALID",IF(E539*F539&lt;K539,"WINSORIZED LOW",IF(E539*F539&gt;L539,"WINSORIZED HIGH","OK")))))</x:f>
      </x:c>
      <x:c r="K539" s="34" t="n">
        <x:v>-0.1395374353</x:v>
      </x:c>
      <x:c r="L539" s="34" t="n">
        <x:v>0.9274274845000001</x:v>
      </x:c>
      <x:c r="M539" s="34" t="n">
        <x:v>0.1111111111111111</x:v>
      </x:c>
      <x:c r="N539" s="34" t="str">
        <x:v>no</x:v>
      </x:c>
    </x:row>
    <x:row r="540">
      <x:c r="A540" s="34" t="n">
        <x:v>54</x:v>
      </x:c>
      <x:c r="B540" s="34" t="str">
        <x:f>IF('01_INPUT_COMPANIES'!$A$60="","",'01_INPUT_COMPANIES'!$A$60)</x:f>
      </x:c>
      <x:c r="C540" s="34" t="str">
        <x:f>IF(B540="","",'01_INPUT_COMPANIES'!$B$60)</x:f>
      </x:c>
      <x:c r="D540" s="34" t="str">
        <x:v>cashflow_recovery_ratio</x:v>
      </x:c>
      <x:c r="E540" s="42" t="str">
        <x:f>IF(OR(B540="",COUNT('01_INPUT_COMPANIES'!$W$60)=0),"",'01_INPUT_COMPANIES'!$W$60)</x:f>
      </x:c>
      <x:c r="F540" s="42" t="n">
        <x:v>-1</x:v>
      </x:c>
      <x:c r="G540" s="42" t="str">
        <x:f>IF(NOT(ISNUMBER(E540)),"",MAX(K540,MIN(L540,E540*F540)))</x:f>
      </x:c>
      <x:c r="H540" s="42" t="n">
        <x:v>95</x:v>
      </x:c>
      <x:c r="I540" s="42" t="str">
        <x:f>IF(COUNT(G540)=0,"",(COUNTIFS('93_REF_ANCHORS'!$A$7:$A$766,D540,'93_REF_ANCHORS'!$C$7:$C$766,"&lt;"&amp;G540)+COUNTIFS('93_REF_ANCHORS'!$A$7:$A$766,D540,'93_REF_ANCHORS'!$C$7:$C$766,"&lt;="&amp;G540)-1)/(2*(H540-1)))</x:f>
      </x:c>
      <x:c r="J540" s="34" t="str">
        <x:f>IF(B540="","",IF(COUNT(E540)=0,"MISSING",IF(NOT(ISNUMBER(E540)),"INVALID",IF(E540*F540&lt;K540,"WINSORIZED LOW",IF(E540*F540&gt;L540,"WINSORIZED HIGH","OK")))))</x:f>
      </x:c>
      <x:c r="K540" s="34" t="n">
        <x:v>-300.75</x:v>
      </x:c>
      <x:c r="L540" s="34" t="n">
        <x:v>42.6920305469</x:v>
      </x:c>
      <x:c r="M540" s="34" t="n">
        <x:v>0.08333333333333333</x:v>
      </x:c>
      <x:c r="N540" s="34" t="str">
        <x:v>no</x:v>
      </x:c>
    </x:row>
    <x:row r="541">
      <x:c r="A541" s="34" t="n">
        <x:v>54</x:v>
      </x:c>
      <x:c r="B541" s="34" t="str">
        <x:f>IF('01_INPUT_COMPANIES'!$A$60="","",'01_INPUT_COMPANIES'!$A$60)</x:f>
      </x:c>
      <x:c r="C541" s="34" t="str">
        <x:f>IF(B541="","",'01_INPUT_COMPANIES'!$B$60)</x:f>
      </x:c>
      <x:c r="D541" s="34" t="str">
        <x:v>funding_cost_spread</x:v>
      </x:c>
      <x:c r="E541" s="42" t="str">
        <x:f>IF(OR(B541="",COUNT('01_INPUT_COMPANIES'!$X$60)=0),"",'01_INPUT_COMPANIES'!$X$60)</x:f>
      </x:c>
      <x:c r="F541" s="42" t="n">
        <x:v>1</x:v>
      </x:c>
      <x:c r="G541" s="42" t="str">
        <x:f>IF(NOT(ISNUMBER(E541)),"",MAX(K541,MIN(L541,E541*F541)))</x:f>
      </x:c>
      <x:c r="H541" s="42" t="n">
        <x:v>58</x:v>
      </x:c>
      <x:c r="I541" s="42" t="str">
        <x:f>IF(COUNT(G541)=0,"",(COUNTIFS('93_REF_ANCHORS'!$A$7:$A$766,D541,'93_REF_ANCHORS'!$C$7:$C$766,"&lt;"&amp;G541)+COUNTIFS('93_REF_ANCHORS'!$A$7:$A$766,D541,'93_REF_ANCHORS'!$C$7:$C$766,"&lt;="&amp;G541)-1)/(2*(H541-1)))</x:f>
      </x:c>
      <x:c r="J541" s="34" t="str">
        <x:f>IF(B541="","",IF(COUNT(E541)=0,"MISSING",IF(NOT(ISNUMBER(E541)),"INVALID",IF(E541*F541&lt;K541,"WINSORIZED LOW",IF(E541*F541&gt;L541,"WINSORIZED HIGH","OK")))))</x:f>
      </x:c>
      <x:c r="K541" s="34" t="n">
        <x:v>-0.4430292903</x:v>
      </x:c>
      <x:c r="L541" s="34" t="n">
        <x:v>0.5068913103</x:v>
      </x:c>
      <x:c r="M541" s="34" t="n">
        <x:v>0.08333333333333333</x:v>
      </x:c>
      <x:c r="N541" s="34" t="str">
        <x:v>no</x:v>
      </x:c>
    </x:row>
    <x:row r="542">
      <x:c r="A542" s="34" t="n">
        <x:v>54</x:v>
      </x:c>
      <x:c r="B542" s="34" t="str">
        <x:f>IF('01_INPUT_COMPANIES'!$A$60="","",'01_INPUT_COMPANIES'!$A$60)</x:f>
      </x:c>
      <x:c r="C542" s="34" t="str">
        <x:f>IF(B542="","",'01_INPUT_COMPANIES'!$B$60)</x:f>
      </x:c>
      <x:c r="D542" s="34" t="str">
        <x:v>investment_recovery_ratio</x:v>
      </x:c>
      <x:c r="E542" s="42" t="str">
        <x:f>IF(OR(B542="",COUNT('01_INPUT_COMPANIES'!$Y$60)=0),"",'01_INPUT_COMPANIES'!$Y$60)</x:f>
      </x:c>
      <x:c r="F542" s="42" t="n">
        <x:v>-1</x:v>
      </x:c>
      <x:c r="G542" s="42" t="str">
        <x:f>IF(NOT(ISNUMBER(E542)),"",MAX(K542,MIN(L542,E542*F542)))</x:f>
      </x:c>
      <x:c r="H542" s="42" t="n">
        <x:v>95</x:v>
      </x:c>
      <x:c r="I542" s="42" t="str">
        <x:f>IF(COUNT(G542)=0,"",(COUNTIFS('93_REF_ANCHORS'!$A$7:$A$766,D542,'93_REF_ANCHORS'!$C$7:$C$766,"&lt;"&amp;G542)+COUNTIFS('93_REF_ANCHORS'!$A$7:$A$766,D542,'93_REF_ANCHORS'!$C$7:$C$766,"&lt;="&amp;G542)-1)/(2*(H542-1)))</x:f>
      </x:c>
      <x:c r="J542" s="34" t="str">
        <x:f>IF(B542="","",IF(COUNT(E542)=0,"MISSING",IF(NOT(ISNUMBER(E542)),"INVALID",IF(E542*F542&lt;K542,"WINSORIZED LOW",IF(E542*F542&gt;L542,"WINSORIZED HIGH","OK")))))</x:f>
      </x:c>
      <x:c r="K542" s="34" t="n">
        <x:v>-3163.7500000000014</x:v>
      </x:c>
      <x:c r="L542" s="34" t="n">
        <x:v>189.68191301719997</x:v>
      </x:c>
      <x:c r="M542" s="34" t="n">
        <x:v>0.08333333333333333</x:v>
      </x:c>
      <x:c r="N542" s="34" t="str">
        <x:v>no</x:v>
      </x:c>
    </x:row>
    <x:row r="543">
      <x:c r="A543" s="34" t="n">
        <x:v>54</x:v>
      </x:c>
      <x:c r="B543" s="34" t="str">
        <x:f>IF('01_INPUT_COMPANIES'!$A$60="","",'01_INPUT_COMPANIES'!$A$60)</x:f>
      </x:c>
      <x:c r="C543" s="34" t="str">
        <x:f>IF(B543="","",'01_INPUT_COMPANIES'!$B$60)</x:f>
      </x:c>
      <x:c r="D543" s="34" t="str">
        <x:v>ip_assetization_gap</x:v>
      </x:c>
      <x:c r="E543" s="42" t="str">
        <x:f>IF(OR(B543="",COUNT('01_INPUT_COMPANIES'!$Z$60)=0),"",'01_INPUT_COMPANIES'!$Z$60)</x:f>
      </x:c>
      <x:c r="F543" s="42" t="n">
        <x:v>1</x:v>
      </x:c>
      <x:c r="G543" s="42" t="str">
        <x:f>IF(NOT(ISNUMBER(E543)),"",MAX(K543,MIN(L543,E543*F543)))</x:f>
      </x:c>
      <x:c r="H543" s="42" t="n">
        <x:v>92</x:v>
      </x:c>
      <x:c r="I543" s="42" t="str">
        <x:f>IF(COUNT(G543)=0,"",(COUNTIFS('93_REF_ANCHORS'!$A$7:$A$766,D543,'93_REF_ANCHORS'!$C$7:$C$766,"&lt;"&amp;G543)+COUNTIFS('93_REF_ANCHORS'!$A$7:$A$766,D543,'93_REF_ANCHORS'!$C$7:$C$766,"&lt;="&amp;G543)-1)/(2*(H543-1)))</x:f>
      </x:c>
      <x:c r="J543" s="34" t="str">
        <x:f>IF(B543="","",IF(COUNT(E543)=0,"MISSING",IF(NOT(ISNUMBER(E543)),"INVALID",IF(E543*F543&lt;K543,"WINSORIZED LOW",IF(E543*F543&gt;L543,"WINSORIZED HIGH","OK")))))</x:f>
      </x:c>
      <x:c r="K543" s="34" t="n">
        <x:v>-1.6707152386</x:v>
      </x:c>
      <x:c r="L543" s="34" t="n">
        <x:v>0.7716332556000001</x:v>
      </x:c>
      <x:c r="M543" s="34" t="n">
        <x:v>0.08333333333333333</x:v>
      </x:c>
      <x:c r="N543" s="34" t="str">
        <x:v>no</x:v>
      </x:c>
    </x:row>
    <x:row r="544">
      <x:c r="A544" s="34" t="n">
        <x:v>54</x:v>
      </x:c>
      <x:c r="B544" s="34" t="str">
        <x:f>IF('01_INPUT_COMPANIES'!$A$60="","",'01_INPUT_COMPANIES'!$A$60)</x:f>
      </x:c>
      <x:c r="C544" s="34" t="str">
        <x:f>IF(B544="","",'01_INPUT_COMPANIES'!$B$60)</x:f>
      </x:c>
      <x:c r="D544" s="34" t="str">
        <x:v>cross_market_transfer_index</x:v>
      </x:c>
      <x:c r="E544" s="42" t="str">
        <x:f>IF(OR(B544="",COUNT('01_INPUT_COMPANIES'!$AA$60)=0),"",'01_INPUT_COMPANIES'!$AA$60)</x:f>
      </x:c>
      <x:c r="F544" s="42" t="n">
        <x:v>1</x:v>
      </x:c>
      <x:c r="G544" s="42" t="str">
        <x:f>IF(NOT(ISNUMBER(E544)),"",MAX(K544,MIN(L544,E544*F544)))</x:f>
      </x:c>
      <x:c r="H544" s="42" t="n">
        <x:v>4</x:v>
      </x:c>
      <x:c r="I544" s="42" t="str">
        <x:f>IF(COUNT(G544)=0,"",(COUNTIFS('93_REF_ANCHORS'!$A$7:$A$766,D544,'93_REF_ANCHORS'!$C$7:$C$766,"&lt;"&amp;G544)+COUNTIFS('93_REF_ANCHORS'!$A$7:$A$766,D544,'93_REF_ANCHORS'!$C$7:$C$766,"&lt;="&amp;G544)-1)/(2*(H544-1)))</x:f>
      </x:c>
      <x:c r="J544" s="34" t="str">
        <x:f>IF(B544="","",IF(COUNT(E544)=0,"MISSING",IF(NOT(ISNUMBER(E544)),"INVALID",IF(E544*F544&lt;K544,"WINSORIZED LOW",IF(E544*F544&gt;L544,"WINSORIZED HIGH","OK")))))</x:f>
      </x:c>
      <x:c r="K544" s="34" t="n">
        <x:v>0</x:v>
      </x:c>
      <x:c r="L544" s="34" t="n">
        <x:v>0.7587051325360435</x:v>
      </x:c>
      <x:c r="M544" s="34" t="n">
        <x:v>0.1111111111111111</x:v>
      </x:c>
      <x:c r="N544" s="34" t="str">
        <x:v>yes</x:v>
      </x:c>
    </x:row>
    <x:row r="545">
      <x:c r="A545" s="34" t="n">
        <x:v>54</x:v>
      </x:c>
      <x:c r="B545" s="34" t="str">
        <x:f>IF('01_INPUT_COMPANIES'!$A$60="","",'01_INPUT_COMPANIES'!$A$60)</x:f>
      </x:c>
      <x:c r="C545" s="34" t="str">
        <x:f>IF(B545="","",'01_INPUT_COMPANIES'!$B$60)</x:f>
      </x:c>
      <x:c r="D545" s="34" t="str">
        <x:v>foreign_dependency_ratio</x:v>
      </x:c>
      <x:c r="E545" s="42" t="str">
        <x:f>IF(OR(B545="",COUNT('01_INPUT_COMPANIES'!$AB$60)=0),"",'01_INPUT_COMPANIES'!$AB$60)</x:f>
      </x:c>
      <x:c r="F545" s="42" t="n">
        <x:v>1</x:v>
      </x:c>
      <x:c r="G545" s="42" t="str">
        <x:f>IF(NOT(ISNUMBER(E545)),"",MAX(K545,MIN(L545,E545*F545)))</x:f>
      </x:c>
      <x:c r="H545" s="42" t="n">
        <x:v>84</x:v>
      </x:c>
      <x:c r="I545" s="42" t="str">
        <x:f>IF(COUNT(G545)=0,"",(COUNTIFS('93_REF_ANCHORS'!$A$7:$A$766,D545,'93_REF_ANCHORS'!$C$7:$C$766,"&lt;"&amp;G545)+COUNTIFS('93_REF_ANCHORS'!$A$7:$A$766,D545,'93_REF_ANCHORS'!$C$7:$C$766,"&lt;="&amp;G545)-1)/(2*(H545-1)))</x:f>
      </x:c>
      <x:c r="J545" s="34" t="str">
        <x:f>IF(B545="","",IF(COUNT(E545)=0,"MISSING",IF(NOT(ISNUMBER(E545)),"INVALID",IF(E545*F545&lt;K545,"WINSORIZED LOW",IF(E545*F545&gt;L545,"WINSORIZED HIGH","OK")))))</x:f>
      </x:c>
      <x:c r="K545" s="34" t="n">
        <x:v>0.728196</x:v>
      </x:c>
      <x:c r="L545" s="34" t="n">
        <x:v>0.94</x:v>
      </x:c>
      <x:c r="M545" s="34" t="n">
        <x:v>0.1111111111111111</x:v>
      </x:c>
      <x:c r="N545" s="34" t="str">
        <x:v>yes</x:v>
      </x:c>
    </x:row>
    <x:row r="546">
      <x:c r="A546" s="34" t="n">
        <x:v>54</x:v>
      </x:c>
      <x:c r="B546" s="34" t="str">
        <x:f>IF('01_INPUT_COMPANIES'!$A$60="","",'01_INPUT_COMPANIES'!$A$60)</x:f>
      </x:c>
      <x:c r="C546" s="34" t="str">
        <x:f>IF(B546="","",'01_INPUT_COMPANIES'!$B$60)</x:f>
      </x:c>
      <x:c r="D546" s="34" t="str">
        <x:v>outflow_to_capex_ratio</x:v>
      </x:c>
      <x:c r="E546" s="42" t="str">
        <x:f>IF(OR(B546="",COUNT('01_INPUT_COMPANIES'!$AC$60)=0),"",'01_INPUT_COMPANIES'!$AC$60)</x:f>
      </x:c>
      <x:c r="F546" s="42" t="n">
        <x:v>1</x:v>
      </x:c>
      <x:c r="G546" s="42" t="str">
        <x:f>IF(NOT(ISNUMBER(E546)),"",MAX(K546,MIN(L546,E546*F546)))</x:f>
      </x:c>
      <x:c r="H546" s="42" t="n">
        <x:v>97</x:v>
      </x:c>
      <x:c r="I546" s="42" t="str">
        <x:f>IF(COUNT(G546)=0,"",(COUNTIFS('93_REF_ANCHORS'!$A$7:$A$766,D546,'93_REF_ANCHORS'!$C$7:$C$766,"&lt;"&amp;G546)+COUNTIFS('93_REF_ANCHORS'!$A$7:$A$766,D546,'93_REF_ANCHORS'!$C$7:$C$766,"&lt;="&amp;G546)-1)/(2*(H546-1)))</x:f>
      </x:c>
      <x:c r="J546" s="34" t="str">
        <x:f>IF(B546="","",IF(COUNT(E546)=0,"MISSING",IF(NOT(ISNUMBER(E546)),"INVALID",IF(E546*F546&lt;K546,"WINSORIZED LOW",IF(E546*F546&gt;L546,"WINSORIZED HIGH","OK")))))</x:f>
      </x:c>
      <x:c r="K546" s="34" t="n">
        <x:v>-123.5385890408</x:v>
      </x:c>
      <x:c r="L546" s="34" t="n">
        <x:v>974.1666666666999</x:v>
      </x:c>
      <x:c r="M546" s="34" t="n">
        <x:v>0.1111111111111111</x:v>
      </x:c>
      <x:c r="N546" s="34" t="str">
        <x:v>no</x:v>
      </x:c>
    </x:row>
    <x:row r="547">
      <x:c r="A547" s="34" t="n">
        <x:v>55</x:v>
      </x:c>
      <x:c r="B547" s="34" t="str">
        <x:f>IF('01_INPUT_COMPANIES'!$A$61="","",'01_INPUT_COMPANIES'!$A$61)</x:f>
      </x:c>
      <x:c r="C547" s="34" t="str">
        <x:f>IF(B547="","",'01_INPUT_COMPANIES'!$B$61)</x:f>
      </x:c>
      <x:c r="D547" s="34" t="str">
        <x:v>effective_tax_rate_gap</x:v>
      </x:c>
      <x:c r="E547" s="42" t="str">
        <x:f>IF(OR(B547="",COUNT('01_INPUT_COMPANIES'!$T$61)=0),"",'01_INPUT_COMPANIES'!$T$61)</x:f>
      </x:c>
      <x:c r="F547" s="42" t="n">
        <x:v>1</x:v>
      </x:c>
      <x:c r="G547" s="42" t="str">
        <x:f>IF(NOT(ISNUMBER(E547)),"",MAX(K547,MIN(L547,E547*F547)))</x:f>
      </x:c>
      <x:c r="H547" s="42" t="n">
        <x:v>74</x:v>
      </x:c>
      <x:c r="I547" s="42" t="str">
        <x:f>IF(COUNT(G547)=0,"",(COUNTIFS('93_REF_ANCHORS'!$A$7:$A$766,D547,'93_REF_ANCHORS'!$C$7:$C$766,"&lt;"&amp;G547)+COUNTIFS('93_REF_ANCHORS'!$A$7:$A$766,D547,'93_REF_ANCHORS'!$C$7:$C$766,"&lt;="&amp;G547)-1)/(2*(H547-1)))</x:f>
      </x:c>
      <x:c r="J547" s="34" t="str">
        <x:f>IF(B547="","",IF(COUNT(E547)=0,"MISSING",IF(NOT(ISNUMBER(E547)),"INVALID",IF(E547*F547&lt;K547,"WINSORIZED LOW",IF(E547*F547&gt;L547,"WINSORIZED HIGH","OK")))))</x:f>
      </x:c>
      <x:c r="K547" s="34" t="n">
        <x:v>-0.1416111014</x:v>
      </x:c>
      <x:c r="L547" s="34" t="n">
        <x:v>0.2683650488</x:v>
      </x:c>
      <x:c r="M547" s="34" t="n">
        <x:v>0.1111111111111111</x:v>
      </x:c>
      <x:c r="N547" s="34" t="str">
        <x:v>no</x:v>
      </x:c>
    </x:row>
    <x:row r="548">
      <x:c r="A548" s="34" t="n">
        <x:v>55</x:v>
      </x:c>
      <x:c r="B548" s="34" t="str">
        <x:f>IF('01_INPUT_COMPANIES'!$A$61="","",'01_INPUT_COMPANIES'!$A$61)</x:f>
      </x:c>
      <x:c r="C548" s="34" t="str">
        <x:f>IF(B548="","",'01_INPUT_COMPANIES'!$B$61)</x:f>
      </x:c>
      <x:c r="D548" s="34" t="str">
        <x:v>infra_dependency_ratio</x:v>
      </x:c>
      <x:c r="E548" s="42" t="str">
        <x:f>IF(OR(B548="",COUNT('01_INPUT_COMPANIES'!$U$61)=0),"",'01_INPUT_COMPANIES'!$U$61)</x:f>
      </x:c>
      <x:c r="F548" s="42" t="n">
        <x:v>1</x:v>
      </x:c>
      <x:c r="G548" s="42" t="str">
        <x:f>IF(NOT(ISNUMBER(E548)),"",MAX(K548,MIN(L548,E548*F548)))</x:f>
      </x:c>
      <x:c r="H548" s="42" t="n">
        <x:v>64</x:v>
      </x:c>
      <x:c r="I548" s="42" t="str">
        <x:f>IF(COUNT(G548)=0,"",(COUNTIFS('93_REF_ANCHORS'!$A$7:$A$766,D548,'93_REF_ANCHORS'!$C$7:$C$766,"&lt;"&amp;G548)+COUNTIFS('93_REF_ANCHORS'!$A$7:$A$766,D548,'93_REF_ANCHORS'!$C$7:$C$766,"&lt;="&amp;G548)-1)/(2*(H548-1)))</x:f>
      </x:c>
      <x:c r="J548" s="34" t="str">
        <x:f>IF(B548="","",IF(COUNT(E548)=0,"MISSING",IF(NOT(ISNUMBER(E548)),"INVALID",IF(E548*F548&lt;K548,"WINSORIZED LOW",IF(E548*F548&gt;L548,"WINSORIZED HIGH","OK")))))</x:f>
      </x:c>
      <x:c r="K548" s="34" t="n">
        <x:v>-0.10705024705171803</x:v>
      </x:c>
      <x:c r="L548" s="34" t="n">
        <x:v>0.8008753865408955</x:v>
      </x:c>
      <x:c r="M548" s="34" t="n">
        <x:v>0.1111111111111111</x:v>
      </x:c>
      <x:c r="N548" s="34" t="str">
        <x:v>no</x:v>
      </x:c>
    </x:row>
    <x:row r="549">
      <x:c r="A549" s="34" t="n">
        <x:v>55</x:v>
      </x:c>
      <x:c r="B549" s="34" t="str">
        <x:f>IF('01_INPUT_COMPANIES'!$A$61="","",'01_INPUT_COMPANIES'!$A$61)</x:f>
      </x:c>
      <x:c r="C549" s="34" t="str">
        <x:f>IF(B549="","",'01_INPUT_COMPANIES'!$B$61)</x:f>
      </x:c>
      <x:c r="D549" s="34" t="str">
        <x:v>network_cost_ratio</x:v>
      </x:c>
      <x:c r="E549" s="42" t="str">
        <x:f>IF(OR(B549="",COUNT('01_INPUT_COMPANIES'!$V$61)=0),"",'01_INPUT_COMPANIES'!$V$61)</x:f>
      </x:c>
      <x:c r="F549" s="42" t="n">
        <x:v>1</x:v>
      </x:c>
      <x:c r="G549" s="42" t="str">
        <x:f>IF(NOT(ISNUMBER(E549)),"",MAX(K549,MIN(L549,E549*F549)))</x:f>
      </x:c>
      <x:c r="H549" s="42" t="n">
        <x:v>97</x:v>
      </x:c>
      <x:c r="I549" s="42" t="str">
        <x:f>IF(COUNT(G549)=0,"",(COUNTIFS('93_REF_ANCHORS'!$A$7:$A$766,D549,'93_REF_ANCHORS'!$C$7:$C$766,"&lt;"&amp;G549)+COUNTIFS('93_REF_ANCHORS'!$A$7:$A$766,D549,'93_REF_ANCHORS'!$C$7:$C$766,"&lt;="&amp;G549)-1)/(2*(H549-1)))</x:f>
      </x:c>
      <x:c r="J549" s="34" t="str">
        <x:f>IF(B549="","",IF(COUNT(E549)=0,"MISSING",IF(NOT(ISNUMBER(E549)),"INVALID",IF(E549*F549&lt;K549,"WINSORIZED LOW",IF(E549*F549&gt;L549,"WINSORIZED HIGH","OK")))))</x:f>
      </x:c>
      <x:c r="K549" s="34" t="n">
        <x:v>-0.1395374353</x:v>
      </x:c>
      <x:c r="L549" s="34" t="n">
        <x:v>0.9274274845000001</x:v>
      </x:c>
      <x:c r="M549" s="34" t="n">
        <x:v>0.1111111111111111</x:v>
      </x:c>
      <x:c r="N549" s="34" t="str">
        <x:v>no</x:v>
      </x:c>
    </x:row>
    <x:row r="550">
      <x:c r="A550" s="34" t="n">
        <x:v>55</x:v>
      </x:c>
      <x:c r="B550" s="34" t="str">
        <x:f>IF('01_INPUT_COMPANIES'!$A$61="","",'01_INPUT_COMPANIES'!$A$61)</x:f>
      </x:c>
      <x:c r="C550" s="34" t="str">
        <x:f>IF(B550="","",'01_INPUT_COMPANIES'!$B$61)</x:f>
      </x:c>
      <x:c r="D550" s="34" t="str">
        <x:v>cashflow_recovery_ratio</x:v>
      </x:c>
      <x:c r="E550" s="42" t="str">
        <x:f>IF(OR(B550="",COUNT('01_INPUT_COMPANIES'!$W$61)=0),"",'01_INPUT_COMPANIES'!$W$61)</x:f>
      </x:c>
      <x:c r="F550" s="42" t="n">
        <x:v>-1</x:v>
      </x:c>
      <x:c r="G550" s="42" t="str">
        <x:f>IF(NOT(ISNUMBER(E550)),"",MAX(K550,MIN(L550,E550*F550)))</x:f>
      </x:c>
      <x:c r="H550" s="42" t="n">
        <x:v>95</x:v>
      </x:c>
      <x:c r="I550" s="42" t="str">
        <x:f>IF(COUNT(G550)=0,"",(COUNTIFS('93_REF_ANCHORS'!$A$7:$A$766,D550,'93_REF_ANCHORS'!$C$7:$C$766,"&lt;"&amp;G550)+COUNTIFS('93_REF_ANCHORS'!$A$7:$A$766,D550,'93_REF_ANCHORS'!$C$7:$C$766,"&lt;="&amp;G550)-1)/(2*(H550-1)))</x:f>
      </x:c>
      <x:c r="J550" s="34" t="str">
        <x:f>IF(B550="","",IF(COUNT(E550)=0,"MISSING",IF(NOT(ISNUMBER(E550)),"INVALID",IF(E550*F550&lt;K550,"WINSORIZED LOW",IF(E550*F550&gt;L550,"WINSORIZED HIGH","OK")))))</x:f>
      </x:c>
      <x:c r="K550" s="34" t="n">
        <x:v>-300.75</x:v>
      </x:c>
      <x:c r="L550" s="34" t="n">
        <x:v>42.6920305469</x:v>
      </x:c>
      <x:c r="M550" s="34" t="n">
        <x:v>0.08333333333333333</x:v>
      </x:c>
      <x:c r="N550" s="34" t="str">
        <x:v>no</x:v>
      </x:c>
    </x:row>
    <x:row r="551">
      <x:c r="A551" s="34" t="n">
        <x:v>55</x:v>
      </x:c>
      <x:c r="B551" s="34" t="str">
        <x:f>IF('01_INPUT_COMPANIES'!$A$61="","",'01_INPUT_COMPANIES'!$A$61)</x:f>
      </x:c>
      <x:c r="C551" s="34" t="str">
        <x:f>IF(B551="","",'01_INPUT_COMPANIES'!$B$61)</x:f>
      </x:c>
      <x:c r="D551" s="34" t="str">
        <x:v>funding_cost_spread</x:v>
      </x:c>
      <x:c r="E551" s="42" t="str">
        <x:f>IF(OR(B551="",COUNT('01_INPUT_COMPANIES'!$X$61)=0),"",'01_INPUT_COMPANIES'!$X$61)</x:f>
      </x:c>
      <x:c r="F551" s="42" t="n">
        <x:v>1</x:v>
      </x:c>
      <x:c r="G551" s="42" t="str">
        <x:f>IF(NOT(ISNUMBER(E551)),"",MAX(K551,MIN(L551,E551*F551)))</x:f>
      </x:c>
      <x:c r="H551" s="42" t="n">
        <x:v>58</x:v>
      </x:c>
      <x:c r="I551" s="42" t="str">
        <x:f>IF(COUNT(G551)=0,"",(COUNTIFS('93_REF_ANCHORS'!$A$7:$A$766,D551,'93_REF_ANCHORS'!$C$7:$C$766,"&lt;"&amp;G551)+COUNTIFS('93_REF_ANCHORS'!$A$7:$A$766,D551,'93_REF_ANCHORS'!$C$7:$C$766,"&lt;="&amp;G551)-1)/(2*(H551-1)))</x:f>
      </x:c>
      <x:c r="J551" s="34" t="str">
        <x:f>IF(B551="","",IF(COUNT(E551)=0,"MISSING",IF(NOT(ISNUMBER(E551)),"INVALID",IF(E551*F551&lt;K551,"WINSORIZED LOW",IF(E551*F551&gt;L551,"WINSORIZED HIGH","OK")))))</x:f>
      </x:c>
      <x:c r="K551" s="34" t="n">
        <x:v>-0.4430292903</x:v>
      </x:c>
      <x:c r="L551" s="34" t="n">
        <x:v>0.5068913103</x:v>
      </x:c>
      <x:c r="M551" s="34" t="n">
        <x:v>0.08333333333333333</x:v>
      </x:c>
      <x:c r="N551" s="34" t="str">
        <x:v>no</x:v>
      </x:c>
    </x:row>
    <x:row r="552">
      <x:c r="A552" s="34" t="n">
        <x:v>55</x:v>
      </x:c>
      <x:c r="B552" s="34" t="str">
        <x:f>IF('01_INPUT_COMPANIES'!$A$61="","",'01_INPUT_COMPANIES'!$A$61)</x:f>
      </x:c>
      <x:c r="C552" s="34" t="str">
        <x:f>IF(B552="","",'01_INPUT_COMPANIES'!$B$61)</x:f>
      </x:c>
      <x:c r="D552" s="34" t="str">
        <x:v>investment_recovery_ratio</x:v>
      </x:c>
      <x:c r="E552" s="42" t="str">
        <x:f>IF(OR(B552="",COUNT('01_INPUT_COMPANIES'!$Y$61)=0),"",'01_INPUT_COMPANIES'!$Y$61)</x:f>
      </x:c>
      <x:c r="F552" s="42" t="n">
        <x:v>-1</x:v>
      </x:c>
      <x:c r="G552" s="42" t="str">
        <x:f>IF(NOT(ISNUMBER(E552)),"",MAX(K552,MIN(L552,E552*F552)))</x:f>
      </x:c>
      <x:c r="H552" s="42" t="n">
        <x:v>95</x:v>
      </x:c>
      <x:c r="I552" s="42" t="str">
        <x:f>IF(COUNT(G552)=0,"",(COUNTIFS('93_REF_ANCHORS'!$A$7:$A$766,D552,'93_REF_ANCHORS'!$C$7:$C$766,"&lt;"&amp;G552)+COUNTIFS('93_REF_ANCHORS'!$A$7:$A$766,D552,'93_REF_ANCHORS'!$C$7:$C$766,"&lt;="&amp;G552)-1)/(2*(H552-1)))</x:f>
      </x:c>
      <x:c r="J552" s="34" t="str">
        <x:f>IF(B552="","",IF(COUNT(E552)=0,"MISSING",IF(NOT(ISNUMBER(E552)),"INVALID",IF(E552*F552&lt;K552,"WINSORIZED LOW",IF(E552*F552&gt;L552,"WINSORIZED HIGH","OK")))))</x:f>
      </x:c>
      <x:c r="K552" s="34" t="n">
        <x:v>-3163.7500000000014</x:v>
      </x:c>
      <x:c r="L552" s="34" t="n">
        <x:v>189.68191301719997</x:v>
      </x:c>
      <x:c r="M552" s="34" t="n">
        <x:v>0.08333333333333333</x:v>
      </x:c>
      <x:c r="N552" s="34" t="str">
        <x:v>no</x:v>
      </x:c>
    </x:row>
    <x:row r="553">
      <x:c r="A553" s="34" t="n">
        <x:v>55</x:v>
      </x:c>
      <x:c r="B553" s="34" t="str">
        <x:f>IF('01_INPUT_COMPANIES'!$A$61="","",'01_INPUT_COMPANIES'!$A$61)</x:f>
      </x:c>
      <x:c r="C553" s="34" t="str">
        <x:f>IF(B553="","",'01_INPUT_COMPANIES'!$B$61)</x:f>
      </x:c>
      <x:c r="D553" s="34" t="str">
        <x:v>ip_assetization_gap</x:v>
      </x:c>
      <x:c r="E553" s="42" t="str">
        <x:f>IF(OR(B553="",COUNT('01_INPUT_COMPANIES'!$Z$61)=0),"",'01_INPUT_COMPANIES'!$Z$61)</x:f>
      </x:c>
      <x:c r="F553" s="42" t="n">
        <x:v>1</x:v>
      </x:c>
      <x:c r="G553" s="42" t="str">
        <x:f>IF(NOT(ISNUMBER(E553)),"",MAX(K553,MIN(L553,E553*F553)))</x:f>
      </x:c>
      <x:c r="H553" s="42" t="n">
        <x:v>92</x:v>
      </x:c>
      <x:c r="I553" s="42" t="str">
        <x:f>IF(COUNT(G553)=0,"",(COUNTIFS('93_REF_ANCHORS'!$A$7:$A$766,D553,'93_REF_ANCHORS'!$C$7:$C$766,"&lt;"&amp;G553)+COUNTIFS('93_REF_ANCHORS'!$A$7:$A$766,D553,'93_REF_ANCHORS'!$C$7:$C$766,"&lt;="&amp;G553)-1)/(2*(H553-1)))</x:f>
      </x:c>
      <x:c r="J553" s="34" t="str">
        <x:f>IF(B553="","",IF(COUNT(E553)=0,"MISSING",IF(NOT(ISNUMBER(E553)),"INVALID",IF(E553*F553&lt;K553,"WINSORIZED LOW",IF(E553*F553&gt;L553,"WINSORIZED HIGH","OK")))))</x:f>
      </x:c>
      <x:c r="K553" s="34" t="n">
        <x:v>-1.6707152386</x:v>
      </x:c>
      <x:c r="L553" s="34" t="n">
        <x:v>0.7716332556000001</x:v>
      </x:c>
      <x:c r="M553" s="34" t="n">
        <x:v>0.08333333333333333</x:v>
      </x:c>
      <x:c r="N553" s="34" t="str">
        <x:v>no</x:v>
      </x:c>
    </x:row>
    <x:row r="554">
      <x:c r="A554" s="34" t="n">
        <x:v>55</x:v>
      </x:c>
      <x:c r="B554" s="34" t="str">
        <x:f>IF('01_INPUT_COMPANIES'!$A$61="","",'01_INPUT_COMPANIES'!$A$61)</x:f>
      </x:c>
      <x:c r="C554" s="34" t="str">
        <x:f>IF(B554="","",'01_INPUT_COMPANIES'!$B$61)</x:f>
      </x:c>
      <x:c r="D554" s="34" t="str">
        <x:v>cross_market_transfer_index</x:v>
      </x:c>
      <x:c r="E554" s="42" t="str">
        <x:f>IF(OR(B554="",COUNT('01_INPUT_COMPANIES'!$AA$61)=0),"",'01_INPUT_COMPANIES'!$AA$61)</x:f>
      </x:c>
      <x:c r="F554" s="42" t="n">
        <x:v>1</x:v>
      </x:c>
      <x:c r="G554" s="42" t="str">
        <x:f>IF(NOT(ISNUMBER(E554)),"",MAX(K554,MIN(L554,E554*F554)))</x:f>
      </x:c>
      <x:c r="H554" s="42" t="n">
        <x:v>4</x:v>
      </x:c>
      <x:c r="I554" s="42" t="str">
        <x:f>IF(COUNT(G554)=0,"",(COUNTIFS('93_REF_ANCHORS'!$A$7:$A$766,D554,'93_REF_ANCHORS'!$C$7:$C$766,"&lt;"&amp;G554)+COUNTIFS('93_REF_ANCHORS'!$A$7:$A$766,D554,'93_REF_ANCHORS'!$C$7:$C$766,"&lt;="&amp;G554)-1)/(2*(H554-1)))</x:f>
      </x:c>
      <x:c r="J554" s="34" t="str">
        <x:f>IF(B554="","",IF(COUNT(E554)=0,"MISSING",IF(NOT(ISNUMBER(E554)),"INVALID",IF(E554*F554&lt;K554,"WINSORIZED LOW",IF(E554*F554&gt;L554,"WINSORIZED HIGH","OK")))))</x:f>
      </x:c>
      <x:c r="K554" s="34" t="n">
        <x:v>0</x:v>
      </x:c>
      <x:c r="L554" s="34" t="n">
        <x:v>0.7587051325360435</x:v>
      </x:c>
      <x:c r="M554" s="34" t="n">
        <x:v>0.1111111111111111</x:v>
      </x:c>
      <x:c r="N554" s="34" t="str">
        <x:v>yes</x:v>
      </x:c>
    </x:row>
    <x:row r="555">
      <x:c r="A555" s="34" t="n">
        <x:v>55</x:v>
      </x:c>
      <x:c r="B555" s="34" t="str">
        <x:f>IF('01_INPUT_COMPANIES'!$A$61="","",'01_INPUT_COMPANIES'!$A$61)</x:f>
      </x:c>
      <x:c r="C555" s="34" t="str">
        <x:f>IF(B555="","",'01_INPUT_COMPANIES'!$B$61)</x:f>
      </x:c>
      <x:c r="D555" s="34" t="str">
        <x:v>foreign_dependency_ratio</x:v>
      </x:c>
      <x:c r="E555" s="42" t="str">
        <x:f>IF(OR(B555="",COUNT('01_INPUT_COMPANIES'!$AB$61)=0),"",'01_INPUT_COMPANIES'!$AB$61)</x:f>
      </x:c>
      <x:c r="F555" s="42" t="n">
        <x:v>1</x:v>
      </x:c>
      <x:c r="G555" s="42" t="str">
        <x:f>IF(NOT(ISNUMBER(E555)),"",MAX(K555,MIN(L555,E555*F555)))</x:f>
      </x:c>
      <x:c r="H555" s="42" t="n">
        <x:v>84</x:v>
      </x:c>
      <x:c r="I555" s="42" t="str">
        <x:f>IF(COUNT(G555)=0,"",(COUNTIFS('93_REF_ANCHORS'!$A$7:$A$766,D555,'93_REF_ANCHORS'!$C$7:$C$766,"&lt;"&amp;G555)+COUNTIFS('93_REF_ANCHORS'!$A$7:$A$766,D555,'93_REF_ANCHORS'!$C$7:$C$766,"&lt;="&amp;G555)-1)/(2*(H555-1)))</x:f>
      </x:c>
      <x:c r="J555" s="34" t="str">
        <x:f>IF(B555="","",IF(COUNT(E555)=0,"MISSING",IF(NOT(ISNUMBER(E555)),"INVALID",IF(E555*F555&lt;K555,"WINSORIZED LOW",IF(E555*F555&gt;L555,"WINSORIZED HIGH","OK")))))</x:f>
      </x:c>
      <x:c r="K555" s="34" t="n">
        <x:v>0.728196</x:v>
      </x:c>
      <x:c r="L555" s="34" t="n">
        <x:v>0.94</x:v>
      </x:c>
      <x:c r="M555" s="34" t="n">
        <x:v>0.1111111111111111</x:v>
      </x:c>
      <x:c r="N555" s="34" t="str">
        <x:v>yes</x:v>
      </x:c>
    </x:row>
    <x:row r="556">
      <x:c r="A556" s="34" t="n">
        <x:v>55</x:v>
      </x:c>
      <x:c r="B556" s="34" t="str">
        <x:f>IF('01_INPUT_COMPANIES'!$A$61="","",'01_INPUT_COMPANIES'!$A$61)</x:f>
      </x:c>
      <x:c r="C556" s="34" t="str">
        <x:f>IF(B556="","",'01_INPUT_COMPANIES'!$B$61)</x:f>
      </x:c>
      <x:c r="D556" s="34" t="str">
        <x:v>outflow_to_capex_ratio</x:v>
      </x:c>
      <x:c r="E556" s="42" t="str">
        <x:f>IF(OR(B556="",COUNT('01_INPUT_COMPANIES'!$AC$61)=0),"",'01_INPUT_COMPANIES'!$AC$61)</x:f>
      </x:c>
      <x:c r="F556" s="42" t="n">
        <x:v>1</x:v>
      </x:c>
      <x:c r="G556" s="42" t="str">
        <x:f>IF(NOT(ISNUMBER(E556)),"",MAX(K556,MIN(L556,E556*F556)))</x:f>
      </x:c>
      <x:c r="H556" s="42" t="n">
        <x:v>97</x:v>
      </x:c>
      <x:c r="I556" s="42" t="str">
        <x:f>IF(COUNT(G556)=0,"",(COUNTIFS('93_REF_ANCHORS'!$A$7:$A$766,D556,'93_REF_ANCHORS'!$C$7:$C$766,"&lt;"&amp;G556)+COUNTIFS('93_REF_ANCHORS'!$A$7:$A$766,D556,'93_REF_ANCHORS'!$C$7:$C$766,"&lt;="&amp;G556)-1)/(2*(H556-1)))</x:f>
      </x:c>
      <x:c r="J556" s="34" t="str">
        <x:f>IF(B556="","",IF(COUNT(E556)=0,"MISSING",IF(NOT(ISNUMBER(E556)),"INVALID",IF(E556*F556&lt;K556,"WINSORIZED LOW",IF(E556*F556&gt;L556,"WINSORIZED HIGH","OK")))))</x:f>
      </x:c>
      <x:c r="K556" s="34" t="n">
        <x:v>-123.5385890408</x:v>
      </x:c>
      <x:c r="L556" s="34" t="n">
        <x:v>974.1666666666999</x:v>
      </x:c>
      <x:c r="M556" s="34" t="n">
        <x:v>0.1111111111111111</x:v>
      </x:c>
      <x:c r="N556" s="34" t="str">
        <x:v>no</x:v>
      </x:c>
    </x:row>
    <x:row r="557">
      <x:c r="A557" s="34" t="n">
        <x:v>56</x:v>
      </x:c>
      <x:c r="B557" s="34" t="str">
        <x:f>IF('01_INPUT_COMPANIES'!$A$62="","",'01_INPUT_COMPANIES'!$A$62)</x:f>
      </x:c>
      <x:c r="C557" s="34" t="str">
        <x:f>IF(B557="","",'01_INPUT_COMPANIES'!$B$62)</x:f>
      </x:c>
      <x:c r="D557" s="34" t="str">
        <x:v>effective_tax_rate_gap</x:v>
      </x:c>
      <x:c r="E557" s="42" t="str">
        <x:f>IF(OR(B557="",COUNT('01_INPUT_COMPANIES'!$T$62)=0),"",'01_INPUT_COMPANIES'!$T$62)</x:f>
      </x:c>
      <x:c r="F557" s="42" t="n">
        <x:v>1</x:v>
      </x:c>
      <x:c r="G557" s="42" t="str">
        <x:f>IF(NOT(ISNUMBER(E557)),"",MAX(K557,MIN(L557,E557*F557)))</x:f>
      </x:c>
      <x:c r="H557" s="42" t="n">
        <x:v>74</x:v>
      </x:c>
      <x:c r="I557" s="42" t="str">
        <x:f>IF(COUNT(G557)=0,"",(COUNTIFS('93_REF_ANCHORS'!$A$7:$A$766,D557,'93_REF_ANCHORS'!$C$7:$C$766,"&lt;"&amp;G557)+COUNTIFS('93_REF_ANCHORS'!$A$7:$A$766,D557,'93_REF_ANCHORS'!$C$7:$C$766,"&lt;="&amp;G557)-1)/(2*(H557-1)))</x:f>
      </x:c>
      <x:c r="J557" s="34" t="str">
        <x:f>IF(B557="","",IF(COUNT(E557)=0,"MISSING",IF(NOT(ISNUMBER(E557)),"INVALID",IF(E557*F557&lt;K557,"WINSORIZED LOW",IF(E557*F557&gt;L557,"WINSORIZED HIGH","OK")))))</x:f>
      </x:c>
      <x:c r="K557" s="34" t="n">
        <x:v>-0.1416111014</x:v>
      </x:c>
      <x:c r="L557" s="34" t="n">
        <x:v>0.2683650488</x:v>
      </x:c>
      <x:c r="M557" s="34" t="n">
        <x:v>0.1111111111111111</x:v>
      </x:c>
      <x:c r="N557" s="34" t="str">
        <x:v>no</x:v>
      </x:c>
    </x:row>
    <x:row r="558">
      <x:c r="A558" s="34" t="n">
        <x:v>56</x:v>
      </x:c>
      <x:c r="B558" s="34" t="str">
        <x:f>IF('01_INPUT_COMPANIES'!$A$62="","",'01_INPUT_COMPANIES'!$A$62)</x:f>
      </x:c>
      <x:c r="C558" s="34" t="str">
        <x:f>IF(B558="","",'01_INPUT_COMPANIES'!$B$62)</x:f>
      </x:c>
      <x:c r="D558" s="34" t="str">
        <x:v>infra_dependency_ratio</x:v>
      </x:c>
      <x:c r="E558" s="42" t="str">
        <x:f>IF(OR(B558="",COUNT('01_INPUT_COMPANIES'!$U$62)=0),"",'01_INPUT_COMPANIES'!$U$62)</x:f>
      </x:c>
      <x:c r="F558" s="42" t="n">
        <x:v>1</x:v>
      </x:c>
      <x:c r="G558" s="42" t="str">
        <x:f>IF(NOT(ISNUMBER(E558)),"",MAX(K558,MIN(L558,E558*F558)))</x:f>
      </x:c>
      <x:c r="H558" s="42" t="n">
        <x:v>64</x:v>
      </x:c>
      <x:c r="I558" s="42" t="str">
        <x:f>IF(COUNT(G558)=0,"",(COUNTIFS('93_REF_ANCHORS'!$A$7:$A$766,D558,'93_REF_ANCHORS'!$C$7:$C$766,"&lt;"&amp;G558)+COUNTIFS('93_REF_ANCHORS'!$A$7:$A$766,D558,'93_REF_ANCHORS'!$C$7:$C$766,"&lt;="&amp;G558)-1)/(2*(H558-1)))</x:f>
      </x:c>
      <x:c r="J558" s="34" t="str">
        <x:f>IF(B558="","",IF(COUNT(E558)=0,"MISSING",IF(NOT(ISNUMBER(E558)),"INVALID",IF(E558*F558&lt;K558,"WINSORIZED LOW",IF(E558*F558&gt;L558,"WINSORIZED HIGH","OK")))))</x:f>
      </x:c>
      <x:c r="K558" s="34" t="n">
        <x:v>-0.10705024705171803</x:v>
      </x:c>
      <x:c r="L558" s="34" t="n">
        <x:v>0.8008753865408955</x:v>
      </x:c>
      <x:c r="M558" s="34" t="n">
        <x:v>0.1111111111111111</x:v>
      </x:c>
      <x:c r="N558" s="34" t="str">
        <x:v>no</x:v>
      </x:c>
    </x:row>
    <x:row r="559">
      <x:c r="A559" s="34" t="n">
        <x:v>56</x:v>
      </x:c>
      <x:c r="B559" s="34" t="str">
        <x:f>IF('01_INPUT_COMPANIES'!$A$62="","",'01_INPUT_COMPANIES'!$A$62)</x:f>
      </x:c>
      <x:c r="C559" s="34" t="str">
        <x:f>IF(B559="","",'01_INPUT_COMPANIES'!$B$62)</x:f>
      </x:c>
      <x:c r="D559" s="34" t="str">
        <x:v>network_cost_ratio</x:v>
      </x:c>
      <x:c r="E559" s="42" t="str">
        <x:f>IF(OR(B559="",COUNT('01_INPUT_COMPANIES'!$V$62)=0),"",'01_INPUT_COMPANIES'!$V$62)</x:f>
      </x:c>
      <x:c r="F559" s="42" t="n">
        <x:v>1</x:v>
      </x:c>
      <x:c r="G559" s="42" t="str">
        <x:f>IF(NOT(ISNUMBER(E559)),"",MAX(K559,MIN(L559,E559*F559)))</x:f>
      </x:c>
      <x:c r="H559" s="42" t="n">
        <x:v>97</x:v>
      </x:c>
      <x:c r="I559" s="42" t="str">
        <x:f>IF(COUNT(G559)=0,"",(COUNTIFS('93_REF_ANCHORS'!$A$7:$A$766,D559,'93_REF_ANCHORS'!$C$7:$C$766,"&lt;"&amp;G559)+COUNTIFS('93_REF_ANCHORS'!$A$7:$A$766,D559,'93_REF_ANCHORS'!$C$7:$C$766,"&lt;="&amp;G559)-1)/(2*(H559-1)))</x:f>
      </x:c>
      <x:c r="J559" s="34" t="str">
        <x:f>IF(B559="","",IF(COUNT(E559)=0,"MISSING",IF(NOT(ISNUMBER(E559)),"INVALID",IF(E559*F559&lt;K559,"WINSORIZED LOW",IF(E559*F559&gt;L559,"WINSORIZED HIGH","OK")))))</x:f>
      </x:c>
      <x:c r="K559" s="34" t="n">
        <x:v>-0.1395374353</x:v>
      </x:c>
      <x:c r="L559" s="34" t="n">
        <x:v>0.9274274845000001</x:v>
      </x:c>
      <x:c r="M559" s="34" t="n">
        <x:v>0.1111111111111111</x:v>
      </x:c>
      <x:c r="N559" s="34" t="str">
        <x:v>no</x:v>
      </x:c>
    </x:row>
    <x:row r="560">
      <x:c r="A560" s="34" t="n">
        <x:v>56</x:v>
      </x:c>
      <x:c r="B560" s="34" t="str">
        <x:f>IF('01_INPUT_COMPANIES'!$A$62="","",'01_INPUT_COMPANIES'!$A$62)</x:f>
      </x:c>
      <x:c r="C560" s="34" t="str">
        <x:f>IF(B560="","",'01_INPUT_COMPANIES'!$B$62)</x:f>
      </x:c>
      <x:c r="D560" s="34" t="str">
        <x:v>cashflow_recovery_ratio</x:v>
      </x:c>
      <x:c r="E560" s="42" t="str">
        <x:f>IF(OR(B560="",COUNT('01_INPUT_COMPANIES'!$W$62)=0),"",'01_INPUT_COMPANIES'!$W$62)</x:f>
      </x:c>
      <x:c r="F560" s="42" t="n">
        <x:v>-1</x:v>
      </x:c>
      <x:c r="G560" s="42" t="str">
        <x:f>IF(NOT(ISNUMBER(E560)),"",MAX(K560,MIN(L560,E560*F560)))</x:f>
      </x:c>
      <x:c r="H560" s="42" t="n">
        <x:v>95</x:v>
      </x:c>
      <x:c r="I560" s="42" t="str">
        <x:f>IF(COUNT(G560)=0,"",(COUNTIFS('93_REF_ANCHORS'!$A$7:$A$766,D560,'93_REF_ANCHORS'!$C$7:$C$766,"&lt;"&amp;G560)+COUNTIFS('93_REF_ANCHORS'!$A$7:$A$766,D560,'93_REF_ANCHORS'!$C$7:$C$766,"&lt;="&amp;G560)-1)/(2*(H560-1)))</x:f>
      </x:c>
      <x:c r="J560" s="34" t="str">
        <x:f>IF(B560="","",IF(COUNT(E560)=0,"MISSING",IF(NOT(ISNUMBER(E560)),"INVALID",IF(E560*F560&lt;K560,"WINSORIZED LOW",IF(E560*F560&gt;L560,"WINSORIZED HIGH","OK")))))</x:f>
      </x:c>
      <x:c r="K560" s="34" t="n">
        <x:v>-300.75</x:v>
      </x:c>
      <x:c r="L560" s="34" t="n">
        <x:v>42.6920305469</x:v>
      </x:c>
      <x:c r="M560" s="34" t="n">
        <x:v>0.08333333333333333</x:v>
      </x:c>
      <x:c r="N560" s="34" t="str">
        <x:v>no</x:v>
      </x:c>
    </x:row>
    <x:row r="561">
      <x:c r="A561" s="34" t="n">
        <x:v>56</x:v>
      </x:c>
      <x:c r="B561" s="34" t="str">
        <x:f>IF('01_INPUT_COMPANIES'!$A$62="","",'01_INPUT_COMPANIES'!$A$62)</x:f>
      </x:c>
      <x:c r="C561" s="34" t="str">
        <x:f>IF(B561="","",'01_INPUT_COMPANIES'!$B$62)</x:f>
      </x:c>
      <x:c r="D561" s="34" t="str">
        <x:v>funding_cost_spread</x:v>
      </x:c>
      <x:c r="E561" s="42" t="str">
        <x:f>IF(OR(B561="",COUNT('01_INPUT_COMPANIES'!$X$62)=0),"",'01_INPUT_COMPANIES'!$X$62)</x:f>
      </x:c>
      <x:c r="F561" s="42" t="n">
        <x:v>1</x:v>
      </x:c>
      <x:c r="G561" s="42" t="str">
        <x:f>IF(NOT(ISNUMBER(E561)),"",MAX(K561,MIN(L561,E561*F561)))</x:f>
      </x:c>
      <x:c r="H561" s="42" t="n">
        <x:v>58</x:v>
      </x:c>
      <x:c r="I561" s="42" t="str">
        <x:f>IF(COUNT(G561)=0,"",(COUNTIFS('93_REF_ANCHORS'!$A$7:$A$766,D561,'93_REF_ANCHORS'!$C$7:$C$766,"&lt;"&amp;G561)+COUNTIFS('93_REF_ANCHORS'!$A$7:$A$766,D561,'93_REF_ANCHORS'!$C$7:$C$766,"&lt;="&amp;G561)-1)/(2*(H561-1)))</x:f>
      </x:c>
      <x:c r="J561" s="34" t="str">
        <x:f>IF(B561="","",IF(COUNT(E561)=0,"MISSING",IF(NOT(ISNUMBER(E561)),"INVALID",IF(E561*F561&lt;K561,"WINSORIZED LOW",IF(E561*F561&gt;L561,"WINSORIZED HIGH","OK")))))</x:f>
      </x:c>
      <x:c r="K561" s="34" t="n">
        <x:v>-0.4430292903</x:v>
      </x:c>
      <x:c r="L561" s="34" t="n">
        <x:v>0.5068913103</x:v>
      </x:c>
      <x:c r="M561" s="34" t="n">
        <x:v>0.08333333333333333</x:v>
      </x:c>
      <x:c r="N561" s="34" t="str">
        <x:v>no</x:v>
      </x:c>
    </x:row>
    <x:row r="562">
      <x:c r="A562" s="34" t="n">
        <x:v>56</x:v>
      </x:c>
      <x:c r="B562" s="34" t="str">
        <x:f>IF('01_INPUT_COMPANIES'!$A$62="","",'01_INPUT_COMPANIES'!$A$62)</x:f>
      </x:c>
      <x:c r="C562" s="34" t="str">
        <x:f>IF(B562="","",'01_INPUT_COMPANIES'!$B$62)</x:f>
      </x:c>
      <x:c r="D562" s="34" t="str">
        <x:v>investment_recovery_ratio</x:v>
      </x:c>
      <x:c r="E562" s="42" t="str">
        <x:f>IF(OR(B562="",COUNT('01_INPUT_COMPANIES'!$Y$62)=0),"",'01_INPUT_COMPANIES'!$Y$62)</x:f>
      </x:c>
      <x:c r="F562" s="42" t="n">
        <x:v>-1</x:v>
      </x:c>
      <x:c r="G562" s="42" t="str">
        <x:f>IF(NOT(ISNUMBER(E562)),"",MAX(K562,MIN(L562,E562*F562)))</x:f>
      </x:c>
      <x:c r="H562" s="42" t="n">
        <x:v>95</x:v>
      </x:c>
      <x:c r="I562" s="42" t="str">
        <x:f>IF(COUNT(G562)=0,"",(COUNTIFS('93_REF_ANCHORS'!$A$7:$A$766,D562,'93_REF_ANCHORS'!$C$7:$C$766,"&lt;"&amp;G562)+COUNTIFS('93_REF_ANCHORS'!$A$7:$A$766,D562,'93_REF_ANCHORS'!$C$7:$C$766,"&lt;="&amp;G562)-1)/(2*(H562-1)))</x:f>
      </x:c>
      <x:c r="J562" s="34" t="str">
        <x:f>IF(B562="","",IF(COUNT(E562)=0,"MISSING",IF(NOT(ISNUMBER(E562)),"INVALID",IF(E562*F562&lt;K562,"WINSORIZED LOW",IF(E562*F562&gt;L562,"WINSORIZED HIGH","OK")))))</x:f>
      </x:c>
      <x:c r="K562" s="34" t="n">
        <x:v>-3163.7500000000014</x:v>
      </x:c>
      <x:c r="L562" s="34" t="n">
        <x:v>189.68191301719997</x:v>
      </x:c>
      <x:c r="M562" s="34" t="n">
        <x:v>0.08333333333333333</x:v>
      </x:c>
      <x:c r="N562" s="34" t="str">
        <x:v>no</x:v>
      </x:c>
    </x:row>
    <x:row r="563">
      <x:c r="A563" s="34" t="n">
        <x:v>56</x:v>
      </x:c>
      <x:c r="B563" s="34" t="str">
        <x:f>IF('01_INPUT_COMPANIES'!$A$62="","",'01_INPUT_COMPANIES'!$A$62)</x:f>
      </x:c>
      <x:c r="C563" s="34" t="str">
        <x:f>IF(B563="","",'01_INPUT_COMPANIES'!$B$62)</x:f>
      </x:c>
      <x:c r="D563" s="34" t="str">
        <x:v>ip_assetization_gap</x:v>
      </x:c>
      <x:c r="E563" s="42" t="str">
        <x:f>IF(OR(B563="",COUNT('01_INPUT_COMPANIES'!$Z$62)=0),"",'01_INPUT_COMPANIES'!$Z$62)</x:f>
      </x:c>
      <x:c r="F563" s="42" t="n">
        <x:v>1</x:v>
      </x:c>
      <x:c r="G563" s="42" t="str">
        <x:f>IF(NOT(ISNUMBER(E563)),"",MAX(K563,MIN(L563,E563*F563)))</x:f>
      </x:c>
      <x:c r="H563" s="42" t="n">
        <x:v>92</x:v>
      </x:c>
      <x:c r="I563" s="42" t="str">
        <x:f>IF(COUNT(G563)=0,"",(COUNTIFS('93_REF_ANCHORS'!$A$7:$A$766,D563,'93_REF_ANCHORS'!$C$7:$C$766,"&lt;"&amp;G563)+COUNTIFS('93_REF_ANCHORS'!$A$7:$A$766,D563,'93_REF_ANCHORS'!$C$7:$C$766,"&lt;="&amp;G563)-1)/(2*(H563-1)))</x:f>
      </x:c>
      <x:c r="J563" s="34" t="str">
        <x:f>IF(B563="","",IF(COUNT(E563)=0,"MISSING",IF(NOT(ISNUMBER(E563)),"INVALID",IF(E563*F563&lt;K563,"WINSORIZED LOW",IF(E563*F563&gt;L563,"WINSORIZED HIGH","OK")))))</x:f>
      </x:c>
      <x:c r="K563" s="34" t="n">
        <x:v>-1.6707152386</x:v>
      </x:c>
      <x:c r="L563" s="34" t="n">
        <x:v>0.7716332556000001</x:v>
      </x:c>
      <x:c r="M563" s="34" t="n">
        <x:v>0.08333333333333333</x:v>
      </x:c>
      <x:c r="N563" s="34" t="str">
        <x:v>no</x:v>
      </x:c>
    </x:row>
    <x:row r="564">
      <x:c r="A564" s="34" t="n">
        <x:v>56</x:v>
      </x:c>
      <x:c r="B564" s="34" t="str">
        <x:f>IF('01_INPUT_COMPANIES'!$A$62="","",'01_INPUT_COMPANIES'!$A$62)</x:f>
      </x:c>
      <x:c r="C564" s="34" t="str">
        <x:f>IF(B564="","",'01_INPUT_COMPANIES'!$B$62)</x:f>
      </x:c>
      <x:c r="D564" s="34" t="str">
        <x:v>cross_market_transfer_index</x:v>
      </x:c>
      <x:c r="E564" s="42" t="str">
        <x:f>IF(OR(B564="",COUNT('01_INPUT_COMPANIES'!$AA$62)=0),"",'01_INPUT_COMPANIES'!$AA$62)</x:f>
      </x:c>
      <x:c r="F564" s="42" t="n">
        <x:v>1</x:v>
      </x:c>
      <x:c r="G564" s="42" t="str">
        <x:f>IF(NOT(ISNUMBER(E564)),"",MAX(K564,MIN(L564,E564*F564)))</x:f>
      </x:c>
      <x:c r="H564" s="42" t="n">
        <x:v>4</x:v>
      </x:c>
      <x:c r="I564" s="42" t="str">
        <x:f>IF(COUNT(G564)=0,"",(COUNTIFS('93_REF_ANCHORS'!$A$7:$A$766,D564,'93_REF_ANCHORS'!$C$7:$C$766,"&lt;"&amp;G564)+COUNTIFS('93_REF_ANCHORS'!$A$7:$A$766,D564,'93_REF_ANCHORS'!$C$7:$C$766,"&lt;="&amp;G564)-1)/(2*(H564-1)))</x:f>
      </x:c>
      <x:c r="J564" s="34" t="str">
        <x:f>IF(B564="","",IF(COUNT(E564)=0,"MISSING",IF(NOT(ISNUMBER(E564)),"INVALID",IF(E564*F564&lt;K564,"WINSORIZED LOW",IF(E564*F564&gt;L564,"WINSORIZED HIGH","OK")))))</x:f>
      </x:c>
      <x:c r="K564" s="34" t="n">
        <x:v>0</x:v>
      </x:c>
      <x:c r="L564" s="34" t="n">
        <x:v>0.7587051325360435</x:v>
      </x:c>
      <x:c r="M564" s="34" t="n">
        <x:v>0.1111111111111111</x:v>
      </x:c>
      <x:c r="N564" s="34" t="str">
        <x:v>yes</x:v>
      </x:c>
    </x:row>
    <x:row r="565">
      <x:c r="A565" s="34" t="n">
        <x:v>56</x:v>
      </x:c>
      <x:c r="B565" s="34" t="str">
        <x:f>IF('01_INPUT_COMPANIES'!$A$62="","",'01_INPUT_COMPANIES'!$A$62)</x:f>
      </x:c>
      <x:c r="C565" s="34" t="str">
        <x:f>IF(B565="","",'01_INPUT_COMPANIES'!$B$62)</x:f>
      </x:c>
      <x:c r="D565" s="34" t="str">
        <x:v>foreign_dependency_ratio</x:v>
      </x:c>
      <x:c r="E565" s="42" t="str">
        <x:f>IF(OR(B565="",COUNT('01_INPUT_COMPANIES'!$AB$62)=0),"",'01_INPUT_COMPANIES'!$AB$62)</x:f>
      </x:c>
      <x:c r="F565" s="42" t="n">
        <x:v>1</x:v>
      </x:c>
      <x:c r="G565" s="42" t="str">
        <x:f>IF(NOT(ISNUMBER(E565)),"",MAX(K565,MIN(L565,E565*F565)))</x:f>
      </x:c>
      <x:c r="H565" s="42" t="n">
        <x:v>84</x:v>
      </x:c>
      <x:c r="I565" s="42" t="str">
        <x:f>IF(COUNT(G565)=0,"",(COUNTIFS('93_REF_ANCHORS'!$A$7:$A$766,D565,'93_REF_ANCHORS'!$C$7:$C$766,"&lt;"&amp;G565)+COUNTIFS('93_REF_ANCHORS'!$A$7:$A$766,D565,'93_REF_ANCHORS'!$C$7:$C$766,"&lt;="&amp;G565)-1)/(2*(H565-1)))</x:f>
      </x:c>
      <x:c r="J565" s="34" t="str">
        <x:f>IF(B565="","",IF(COUNT(E565)=0,"MISSING",IF(NOT(ISNUMBER(E565)),"INVALID",IF(E565*F565&lt;K565,"WINSORIZED LOW",IF(E565*F565&gt;L565,"WINSORIZED HIGH","OK")))))</x:f>
      </x:c>
      <x:c r="K565" s="34" t="n">
        <x:v>0.728196</x:v>
      </x:c>
      <x:c r="L565" s="34" t="n">
        <x:v>0.94</x:v>
      </x:c>
      <x:c r="M565" s="34" t="n">
        <x:v>0.1111111111111111</x:v>
      </x:c>
      <x:c r="N565" s="34" t="str">
        <x:v>yes</x:v>
      </x:c>
    </x:row>
    <x:row r="566">
      <x:c r="A566" s="34" t="n">
        <x:v>56</x:v>
      </x:c>
      <x:c r="B566" s="34" t="str">
        <x:f>IF('01_INPUT_COMPANIES'!$A$62="","",'01_INPUT_COMPANIES'!$A$62)</x:f>
      </x:c>
      <x:c r="C566" s="34" t="str">
        <x:f>IF(B566="","",'01_INPUT_COMPANIES'!$B$62)</x:f>
      </x:c>
      <x:c r="D566" s="34" t="str">
        <x:v>outflow_to_capex_ratio</x:v>
      </x:c>
      <x:c r="E566" s="42" t="str">
        <x:f>IF(OR(B566="",COUNT('01_INPUT_COMPANIES'!$AC$62)=0),"",'01_INPUT_COMPANIES'!$AC$62)</x:f>
      </x:c>
      <x:c r="F566" s="42" t="n">
        <x:v>1</x:v>
      </x:c>
      <x:c r="G566" s="42" t="str">
        <x:f>IF(NOT(ISNUMBER(E566)),"",MAX(K566,MIN(L566,E566*F566)))</x:f>
      </x:c>
      <x:c r="H566" s="42" t="n">
        <x:v>97</x:v>
      </x:c>
      <x:c r="I566" s="42" t="str">
        <x:f>IF(COUNT(G566)=0,"",(COUNTIFS('93_REF_ANCHORS'!$A$7:$A$766,D566,'93_REF_ANCHORS'!$C$7:$C$766,"&lt;"&amp;G566)+COUNTIFS('93_REF_ANCHORS'!$A$7:$A$766,D566,'93_REF_ANCHORS'!$C$7:$C$766,"&lt;="&amp;G566)-1)/(2*(H566-1)))</x:f>
      </x:c>
      <x:c r="J566" s="34" t="str">
        <x:f>IF(B566="","",IF(COUNT(E566)=0,"MISSING",IF(NOT(ISNUMBER(E566)),"INVALID",IF(E566*F566&lt;K566,"WINSORIZED LOW",IF(E566*F566&gt;L566,"WINSORIZED HIGH","OK")))))</x:f>
      </x:c>
      <x:c r="K566" s="34" t="n">
        <x:v>-123.5385890408</x:v>
      </x:c>
      <x:c r="L566" s="34" t="n">
        <x:v>974.1666666666999</x:v>
      </x:c>
      <x:c r="M566" s="34" t="n">
        <x:v>0.1111111111111111</x:v>
      </x:c>
      <x:c r="N566" s="34" t="str">
        <x:v>no</x:v>
      </x:c>
    </x:row>
    <x:row r="567">
      <x:c r="A567" s="34" t="n">
        <x:v>57</x:v>
      </x:c>
      <x:c r="B567" s="34" t="str">
        <x:f>IF('01_INPUT_COMPANIES'!$A$63="","",'01_INPUT_COMPANIES'!$A$63)</x:f>
      </x:c>
      <x:c r="C567" s="34" t="str">
        <x:f>IF(B567="","",'01_INPUT_COMPANIES'!$B$63)</x:f>
      </x:c>
      <x:c r="D567" s="34" t="str">
        <x:v>effective_tax_rate_gap</x:v>
      </x:c>
      <x:c r="E567" s="42" t="str">
        <x:f>IF(OR(B567="",COUNT('01_INPUT_COMPANIES'!$T$63)=0),"",'01_INPUT_COMPANIES'!$T$63)</x:f>
      </x:c>
      <x:c r="F567" s="42" t="n">
        <x:v>1</x:v>
      </x:c>
      <x:c r="G567" s="42" t="str">
        <x:f>IF(NOT(ISNUMBER(E567)),"",MAX(K567,MIN(L567,E567*F567)))</x:f>
      </x:c>
      <x:c r="H567" s="42" t="n">
        <x:v>74</x:v>
      </x:c>
      <x:c r="I567" s="42" t="str">
        <x:f>IF(COUNT(G567)=0,"",(COUNTIFS('93_REF_ANCHORS'!$A$7:$A$766,D567,'93_REF_ANCHORS'!$C$7:$C$766,"&lt;"&amp;G567)+COUNTIFS('93_REF_ANCHORS'!$A$7:$A$766,D567,'93_REF_ANCHORS'!$C$7:$C$766,"&lt;="&amp;G567)-1)/(2*(H567-1)))</x:f>
      </x:c>
      <x:c r="J567" s="34" t="str">
        <x:f>IF(B567="","",IF(COUNT(E567)=0,"MISSING",IF(NOT(ISNUMBER(E567)),"INVALID",IF(E567*F567&lt;K567,"WINSORIZED LOW",IF(E567*F567&gt;L567,"WINSORIZED HIGH","OK")))))</x:f>
      </x:c>
      <x:c r="K567" s="34" t="n">
        <x:v>-0.1416111014</x:v>
      </x:c>
      <x:c r="L567" s="34" t="n">
        <x:v>0.2683650488</x:v>
      </x:c>
      <x:c r="M567" s="34" t="n">
        <x:v>0.1111111111111111</x:v>
      </x:c>
      <x:c r="N567" s="34" t="str">
        <x:v>no</x:v>
      </x:c>
    </x:row>
    <x:row r="568">
      <x:c r="A568" s="34" t="n">
        <x:v>57</x:v>
      </x:c>
      <x:c r="B568" s="34" t="str">
        <x:f>IF('01_INPUT_COMPANIES'!$A$63="","",'01_INPUT_COMPANIES'!$A$63)</x:f>
      </x:c>
      <x:c r="C568" s="34" t="str">
        <x:f>IF(B568="","",'01_INPUT_COMPANIES'!$B$63)</x:f>
      </x:c>
      <x:c r="D568" s="34" t="str">
        <x:v>infra_dependency_ratio</x:v>
      </x:c>
      <x:c r="E568" s="42" t="str">
        <x:f>IF(OR(B568="",COUNT('01_INPUT_COMPANIES'!$U$63)=0),"",'01_INPUT_COMPANIES'!$U$63)</x:f>
      </x:c>
      <x:c r="F568" s="42" t="n">
        <x:v>1</x:v>
      </x:c>
      <x:c r="G568" s="42" t="str">
        <x:f>IF(NOT(ISNUMBER(E568)),"",MAX(K568,MIN(L568,E568*F568)))</x:f>
      </x:c>
      <x:c r="H568" s="42" t="n">
        <x:v>64</x:v>
      </x:c>
      <x:c r="I568" s="42" t="str">
        <x:f>IF(COUNT(G568)=0,"",(COUNTIFS('93_REF_ANCHORS'!$A$7:$A$766,D568,'93_REF_ANCHORS'!$C$7:$C$766,"&lt;"&amp;G568)+COUNTIFS('93_REF_ANCHORS'!$A$7:$A$766,D568,'93_REF_ANCHORS'!$C$7:$C$766,"&lt;="&amp;G568)-1)/(2*(H568-1)))</x:f>
      </x:c>
      <x:c r="J568" s="34" t="str">
        <x:f>IF(B568="","",IF(COUNT(E568)=0,"MISSING",IF(NOT(ISNUMBER(E568)),"INVALID",IF(E568*F568&lt;K568,"WINSORIZED LOW",IF(E568*F568&gt;L568,"WINSORIZED HIGH","OK")))))</x:f>
      </x:c>
      <x:c r="K568" s="34" t="n">
        <x:v>-0.10705024705171803</x:v>
      </x:c>
      <x:c r="L568" s="34" t="n">
        <x:v>0.8008753865408955</x:v>
      </x:c>
      <x:c r="M568" s="34" t="n">
        <x:v>0.1111111111111111</x:v>
      </x:c>
      <x:c r="N568" s="34" t="str">
        <x:v>no</x:v>
      </x:c>
    </x:row>
    <x:row r="569">
      <x:c r="A569" s="34" t="n">
        <x:v>57</x:v>
      </x:c>
      <x:c r="B569" s="34" t="str">
        <x:f>IF('01_INPUT_COMPANIES'!$A$63="","",'01_INPUT_COMPANIES'!$A$63)</x:f>
      </x:c>
      <x:c r="C569" s="34" t="str">
        <x:f>IF(B569="","",'01_INPUT_COMPANIES'!$B$63)</x:f>
      </x:c>
      <x:c r="D569" s="34" t="str">
        <x:v>network_cost_ratio</x:v>
      </x:c>
      <x:c r="E569" s="42" t="str">
        <x:f>IF(OR(B569="",COUNT('01_INPUT_COMPANIES'!$V$63)=0),"",'01_INPUT_COMPANIES'!$V$63)</x:f>
      </x:c>
      <x:c r="F569" s="42" t="n">
        <x:v>1</x:v>
      </x:c>
      <x:c r="G569" s="42" t="str">
        <x:f>IF(NOT(ISNUMBER(E569)),"",MAX(K569,MIN(L569,E569*F569)))</x:f>
      </x:c>
      <x:c r="H569" s="42" t="n">
        <x:v>97</x:v>
      </x:c>
      <x:c r="I569" s="42" t="str">
        <x:f>IF(COUNT(G569)=0,"",(COUNTIFS('93_REF_ANCHORS'!$A$7:$A$766,D569,'93_REF_ANCHORS'!$C$7:$C$766,"&lt;"&amp;G569)+COUNTIFS('93_REF_ANCHORS'!$A$7:$A$766,D569,'93_REF_ANCHORS'!$C$7:$C$766,"&lt;="&amp;G569)-1)/(2*(H569-1)))</x:f>
      </x:c>
      <x:c r="J569" s="34" t="str">
        <x:f>IF(B569="","",IF(COUNT(E569)=0,"MISSING",IF(NOT(ISNUMBER(E569)),"INVALID",IF(E569*F569&lt;K569,"WINSORIZED LOW",IF(E569*F569&gt;L569,"WINSORIZED HIGH","OK")))))</x:f>
      </x:c>
      <x:c r="K569" s="34" t="n">
        <x:v>-0.1395374353</x:v>
      </x:c>
      <x:c r="L569" s="34" t="n">
        <x:v>0.9274274845000001</x:v>
      </x:c>
      <x:c r="M569" s="34" t="n">
        <x:v>0.1111111111111111</x:v>
      </x:c>
      <x:c r="N569" s="34" t="str">
        <x:v>no</x:v>
      </x:c>
    </x:row>
    <x:row r="570">
      <x:c r="A570" s="34" t="n">
        <x:v>57</x:v>
      </x:c>
      <x:c r="B570" s="34" t="str">
        <x:f>IF('01_INPUT_COMPANIES'!$A$63="","",'01_INPUT_COMPANIES'!$A$63)</x:f>
      </x:c>
      <x:c r="C570" s="34" t="str">
        <x:f>IF(B570="","",'01_INPUT_COMPANIES'!$B$63)</x:f>
      </x:c>
      <x:c r="D570" s="34" t="str">
        <x:v>cashflow_recovery_ratio</x:v>
      </x:c>
      <x:c r="E570" s="42" t="str">
        <x:f>IF(OR(B570="",COUNT('01_INPUT_COMPANIES'!$W$63)=0),"",'01_INPUT_COMPANIES'!$W$63)</x:f>
      </x:c>
      <x:c r="F570" s="42" t="n">
        <x:v>-1</x:v>
      </x:c>
      <x:c r="G570" s="42" t="str">
        <x:f>IF(NOT(ISNUMBER(E570)),"",MAX(K570,MIN(L570,E570*F570)))</x:f>
      </x:c>
      <x:c r="H570" s="42" t="n">
        <x:v>95</x:v>
      </x:c>
      <x:c r="I570" s="42" t="str">
        <x:f>IF(COUNT(G570)=0,"",(COUNTIFS('93_REF_ANCHORS'!$A$7:$A$766,D570,'93_REF_ANCHORS'!$C$7:$C$766,"&lt;"&amp;G570)+COUNTIFS('93_REF_ANCHORS'!$A$7:$A$766,D570,'93_REF_ANCHORS'!$C$7:$C$766,"&lt;="&amp;G570)-1)/(2*(H570-1)))</x:f>
      </x:c>
      <x:c r="J570" s="34" t="str">
        <x:f>IF(B570="","",IF(COUNT(E570)=0,"MISSING",IF(NOT(ISNUMBER(E570)),"INVALID",IF(E570*F570&lt;K570,"WINSORIZED LOW",IF(E570*F570&gt;L570,"WINSORIZED HIGH","OK")))))</x:f>
      </x:c>
      <x:c r="K570" s="34" t="n">
        <x:v>-300.75</x:v>
      </x:c>
      <x:c r="L570" s="34" t="n">
        <x:v>42.6920305469</x:v>
      </x:c>
      <x:c r="M570" s="34" t="n">
        <x:v>0.08333333333333333</x:v>
      </x:c>
      <x:c r="N570" s="34" t="str">
        <x:v>no</x:v>
      </x:c>
    </x:row>
    <x:row r="571">
      <x:c r="A571" s="34" t="n">
        <x:v>57</x:v>
      </x:c>
      <x:c r="B571" s="34" t="str">
        <x:f>IF('01_INPUT_COMPANIES'!$A$63="","",'01_INPUT_COMPANIES'!$A$63)</x:f>
      </x:c>
      <x:c r="C571" s="34" t="str">
        <x:f>IF(B571="","",'01_INPUT_COMPANIES'!$B$63)</x:f>
      </x:c>
      <x:c r="D571" s="34" t="str">
        <x:v>funding_cost_spread</x:v>
      </x:c>
      <x:c r="E571" s="42" t="str">
        <x:f>IF(OR(B571="",COUNT('01_INPUT_COMPANIES'!$X$63)=0),"",'01_INPUT_COMPANIES'!$X$63)</x:f>
      </x:c>
      <x:c r="F571" s="42" t="n">
        <x:v>1</x:v>
      </x:c>
      <x:c r="G571" s="42" t="str">
        <x:f>IF(NOT(ISNUMBER(E571)),"",MAX(K571,MIN(L571,E571*F571)))</x:f>
      </x:c>
      <x:c r="H571" s="42" t="n">
        <x:v>58</x:v>
      </x:c>
      <x:c r="I571" s="42" t="str">
        <x:f>IF(COUNT(G571)=0,"",(COUNTIFS('93_REF_ANCHORS'!$A$7:$A$766,D571,'93_REF_ANCHORS'!$C$7:$C$766,"&lt;"&amp;G571)+COUNTIFS('93_REF_ANCHORS'!$A$7:$A$766,D571,'93_REF_ANCHORS'!$C$7:$C$766,"&lt;="&amp;G571)-1)/(2*(H571-1)))</x:f>
      </x:c>
      <x:c r="J571" s="34" t="str">
        <x:f>IF(B571="","",IF(COUNT(E571)=0,"MISSING",IF(NOT(ISNUMBER(E571)),"INVALID",IF(E571*F571&lt;K571,"WINSORIZED LOW",IF(E571*F571&gt;L571,"WINSORIZED HIGH","OK")))))</x:f>
      </x:c>
      <x:c r="K571" s="34" t="n">
        <x:v>-0.4430292903</x:v>
      </x:c>
      <x:c r="L571" s="34" t="n">
        <x:v>0.5068913103</x:v>
      </x:c>
      <x:c r="M571" s="34" t="n">
        <x:v>0.08333333333333333</x:v>
      </x:c>
      <x:c r="N571" s="34" t="str">
        <x:v>no</x:v>
      </x:c>
    </x:row>
    <x:row r="572">
      <x:c r="A572" s="34" t="n">
        <x:v>57</x:v>
      </x:c>
      <x:c r="B572" s="34" t="str">
        <x:f>IF('01_INPUT_COMPANIES'!$A$63="","",'01_INPUT_COMPANIES'!$A$63)</x:f>
      </x:c>
      <x:c r="C572" s="34" t="str">
        <x:f>IF(B572="","",'01_INPUT_COMPANIES'!$B$63)</x:f>
      </x:c>
      <x:c r="D572" s="34" t="str">
        <x:v>investment_recovery_ratio</x:v>
      </x:c>
      <x:c r="E572" s="42" t="str">
        <x:f>IF(OR(B572="",COUNT('01_INPUT_COMPANIES'!$Y$63)=0),"",'01_INPUT_COMPANIES'!$Y$63)</x:f>
      </x:c>
      <x:c r="F572" s="42" t="n">
        <x:v>-1</x:v>
      </x:c>
      <x:c r="G572" s="42" t="str">
        <x:f>IF(NOT(ISNUMBER(E572)),"",MAX(K572,MIN(L572,E572*F572)))</x:f>
      </x:c>
      <x:c r="H572" s="42" t="n">
        <x:v>95</x:v>
      </x:c>
      <x:c r="I572" s="42" t="str">
        <x:f>IF(COUNT(G572)=0,"",(COUNTIFS('93_REF_ANCHORS'!$A$7:$A$766,D572,'93_REF_ANCHORS'!$C$7:$C$766,"&lt;"&amp;G572)+COUNTIFS('93_REF_ANCHORS'!$A$7:$A$766,D572,'93_REF_ANCHORS'!$C$7:$C$766,"&lt;="&amp;G572)-1)/(2*(H572-1)))</x:f>
      </x:c>
      <x:c r="J572" s="34" t="str">
        <x:f>IF(B572="","",IF(COUNT(E572)=0,"MISSING",IF(NOT(ISNUMBER(E572)),"INVALID",IF(E572*F572&lt;K572,"WINSORIZED LOW",IF(E572*F572&gt;L572,"WINSORIZED HIGH","OK")))))</x:f>
      </x:c>
      <x:c r="K572" s="34" t="n">
        <x:v>-3163.7500000000014</x:v>
      </x:c>
      <x:c r="L572" s="34" t="n">
        <x:v>189.68191301719997</x:v>
      </x:c>
      <x:c r="M572" s="34" t="n">
        <x:v>0.08333333333333333</x:v>
      </x:c>
      <x:c r="N572" s="34" t="str">
        <x:v>no</x:v>
      </x:c>
    </x:row>
    <x:row r="573">
      <x:c r="A573" s="34" t="n">
        <x:v>57</x:v>
      </x:c>
      <x:c r="B573" s="34" t="str">
        <x:f>IF('01_INPUT_COMPANIES'!$A$63="","",'01_INPUT_COMPANIES'!$A$63)</x:f>
      </x:c>
      <x:c r="C573" s="34" t="str">
        <x:f>IF(B573="","",'01_INPUT_COMPANIES'!$B$63)</x:f>
      </x:c>
      <x:c r="D573" s="34" t="str">
        <x:v>ip_assetization_gap</x:v>
      </x:c>
      <x:c r="E573" s="42" t="str">
        <x:f>IF(OR(B573="",COUNT('01_INPUT_COMPANIES'!$Z$63)=0),"",'01_INPUT_COMPANIES'!$Z$63)</x:f>
      </x:c>
      <x:c r="F573" s="42" t="n">
        <x:v>1</x:v>
      </x:c>
      <x:c r="G573" s="42" t="str">
        <x:f>IF(NOT(ISNUMBER(E573)),"",MAX(K573,MIN(L573,E573*F573)))</x:f>
      </x:c>
      <x:c r="H573" s="42" t="n">
        <x:v>92</x:v>
      </x:c>
      <x:c r="I573" s="42" t="str">
        <x:f>IF(COUNT(G573)=0,"",(COUNTIFS('93_REF_ANCHORS'!$A$7:$A$766,D573,'93_REF_ANCHORS'!$C$7:$C$766,"&lt;"&amp;G573)+COUNTIFS('93_REF_ANCHORS'!$A$7:$A$766,D573,'93_REF_ANCHORS'!$C$7:$C$766,"&lt;="&amp;G573)-1)/(2*(H573-1)))</x:f>
      </x:c>
      <x:c r="J573" s="34" t="str">
        <x:f>IF(B573="","",IF(COUNT(E573)=0,"MISSING",IF(NOT(ISNUMBER(E573)),"INVALID",IF(E573*F573&lt;K573,"WINSORIZED LOW",IF(E573*F573&gt;L573,"WINSORIZED HIGH","OK")))))</x:f>
      </x:c>
      <x:c r="K573" s="34" t="n">
        <x:v>-1.6707152386</x:v>
      </x:c>
      <x:c r="L573" s="34" t="n">
        <x:v>0.7716332556000001</x:v>
      </x:c>
      <x:c r="M573" s="34" t="n">
        <x:v>0.08333333333333333</x:v>
      </x:c>
      <x:c r="N573" s="34" t="str">
        <x:v>no</x:v>
      </x:c>
    </x:row>
    <x:row r="574">
      <x:c r="A574" s="34" t="n">
        <x:v>57</x:v>
      </x:c>
      <x:c r="B574" s="34" t="str">
        <x:f>IF('01_INPUT_COMPANIES'!$A$63="","",'01_INPUT_COMPANIES'!$A$63)</x:f>
      </x:c>
      <x:c r="C574" s="34" t="str">
        <x:f>IF(B574="","",'01_INPUT_COMPANIES'!$B$63)</x:f>
      </x:c>
      <x:c r="D574" s="34" t="str">
        <x:v>cross_market_transfer_index</x:v>
      </x:c>
      <x:c r="E574" s="42" t="str">
        <x:f>IF(OR(B574="",COUNT('01_INPUT_COMPANIES'!$AA$63)=0),"",'01_INPUT_COMPANIES'!$AA$63)</x:f>
      </x:c>
      <x:c r="F574" s="42" t="n">
        <x:v>1</x:v>
      </x:c>
      <x:c r="G574" s="42" t="str">
        <x:f>IF(NOT(ISNUMBER(E574)),"",MAX(K574,MIN(L574,E574*F574)))</x:f>
      </x:c>
      <x:c r="H574" s="42" t="n">
        <x:v>4</x:v>
      </x:c>
      <x:c r="I574" s="42" t="str">
        <x:f>IF(COUNT(G574)=0,"",(COUNTIFS('93_REF_ANCHORS'!$A$7:$A$766,D574,'93_REF_ANCHORS'!$C$7:$C$766,"&lt;"&amp;G574)+COUNTIFS('93_REF_ANCHORS'!$A$7:$A$766,D574,'93_REF_ANCHORS'!$C$7:$C$766,"&lt;="&amp;G574)-1)/(2*(H574-1)))</x:f>
      </x:c>
      <x:c r="J574" s="34" t="str">
        <x:f>IF(B574="","",IF(COUNT(E574)=0,"MISSING",IF(NOT(ISNUMBER(E574)),"INVALID",IF(E574*F574&lt;K574,"WINSORIZED LOW",IF(E574*F574&gt;L574,"WINSORIZED HIGH","OK")))))</x:f>
      </x:c>
      <x:c r="K574" s="34" t="n">
        <x:v>0</x:v>
      </x:c>
      <x:c r="L574" s="34" t="n">
        <x:v>0.7587051325360435</x:v>
      </x:c>
      <x:c r="M574" s="34" t="n">
        <x:v>0.1111111111111111</x:v>
      </x:c>
      <x:c r="N574" s="34" t="str">
        <x:v>yes</x:v>
      </x:c>
    </x:row>
    <x:row r="575">
      <x:c r="A575" s="34" t="n">
        <x:v>57</x:v>
      </x:c>
      <x:c r="B575" s="34" t="str">
        <x:f>IF('01_INPUT_COMPANIES'!$A$63="","",'01_INPUT_COMPANIES'!$A$63)</x:f>
      </x:c>
      <x:c r="C575" s="34" t="str">
        <x:f>IF(B575="","",'01_INPUT_COMPANIES'!$B$63)</x:f>
      </x:c>
      <x:c r="D575" s="34" t="str">
        <x:v>foreign_dependency_ratio</x:v>
      </x:c>
      <x:c r="E575" s="42" t="str">
        <x:f>IF(OR(B575="",COUNT('01_INPUT_COMPANIES'!$AB$63)=0),"",'01_INPUT_COMPANIES'!$AB$63)</x:f>
      </x:c>
      <x:c r="F575" s="42" t="n">
        <x:v>1</x:v>
      </x:c>
      <x:c r="G575" s="42" t="str">
        <x:f>IF(NOT(ISNUMBER(E575)),"",MAX(K575,MIN(L575,E575*F575)))</x:f>
      </x:c>
      <x:c r="H575" s="42" t="n">
        <x:v>84</x:v>
      </x:c>
      <x:c r="I575" s="42" t="str">
        <x:f>IF(COUNT(G575)=0,"",(COUNTIFS('93_REF_ANCHORS'!$A$7:$A$766,D575,'93_REF_ANCHORS'!$C$7:$C$766,"&lt;"&amp;G575)+COUNTIFS('93_REF_ANCHORS'!$A$7:$A$766,D575,'93_REF_ANCHORS'!$C$7:$C$766,"&lt;="&amp;G575)-1)/(2*(H575-1)))</x:f>
      </x:c>
      <x:c r="J575" s="34" t="str">
        <x:f>IF(B575="","",IF(COUNT(E575)=0,"MISSING",IF(NOT(ISNUMBER(E575)),"INVALID",IF(E575*F575&lt;K575,"WINSORIZED LOW",IF(E575*F575&gt;L575,"WINSORIZED HIGH","OK")))))</x:f>
      </x:c>
      <x:c r="K575" s="34" t="n">
        <x:v>0.728196</x:v>
      </x:c>
      <x:c r="L575" s="34" t="n">
        <x:v>0.94</x:v>
      </x:c>
      <x:c r="M575" s="34" t="n">
        <x:v>0.1111111111111111</x:v>
      </x:c>
      <x:c r="N575" s="34" t="str">
        <x:v>yes</x:v>
      </x:c>
    </x:row>
    <x:row r="576">
      <x:c r="A576" s="34" t="n">
        <x:v>57</x:v>
      </x:c>
      <x:c r="B576" s="34" t="str">
        <x:f>IF('01_INPUT_COMPANIES'!$A$63="","",'01_INPUT_COMPANIES'!$A$63)</x:f>
      </x:c>
      <x:c r="C576" s="34" t="str">
        <x:f>IF(B576="","",'01_INPUT_COMPANIES'!$B$63)</x:f>
      </x:c>
      <x:c r="D576" s="34" t="str">
        <x:v>outflow_to_capex_ratio</x:v>
      </x:c>
      <x:c r="E576" s="42" t="str">
        <x:f>IF(OR(B576="",COUNT('01_INPUT_COMPANIES'!$AC$63)=0),"",'01_INPUT_COMPANIES'!$AC$63)</x:f>
      </x:c>
      <x:c r="F576" s="42" t="n">
        <x:v>1</x:v>
      </x:c>
      <x:c r="G576" s="42" t="str">
        <x:f>IF(NOT(ISNUMBER(E576)),"",MAX(K576,MIN(L576,E576*F576)))</x:f>
      </x:c>
      <x:c r="H576" s="42" t="n">
        <x:v>97</x:v>
      </x:c>
      <x:c r="I576" s="42" t="str">
        <x:f>IF(COUNT(G576)=0,"",(COUNTIFS('93_REF_ANCHORS'!$A$7:$A$766,D576,'93_REF_ANCHORS'!$C$7:$C$766,"&lt;"&amp;G576)+COUNTIFS('93_REF_ANCHORS'!$A$7:$A$766,D576,'93_REF_ANCHORS'!$C$7:$C$766,"&lt;="&amp;G576)-1)/(2*(H576-1)))</x:f>
      </x:c>
      <x:c r="J576" s="34" t="str">
        <x:f>IF(B576="","",IF(COUNT(E576)=0,"MISSING",IF(NOT(ISNUMBER(E576)),"INVALID",IF(E576*F576&lt;K576,"WINSORIZED LOW",IF(E576*F576&gt;L576,"WINSORIZED HIGH","OK")))))</x:f>
      </x:c>
      <x:c r="K576" s="34" t="n">
        <x:v>-123.5385890408</x:v>
      </x:c>
      <x:c r="L576" s="34" t="n">
        <x:v>974.1666666666999</x:v>
      </x:c>
      <x:c r="M576" s="34" t="n">
        <x:v>0.1111111111111111</x:v>
      </x:c>
      <x:c r="N576" s="34" t="str">
        <x:v>no</x:v>
      </x:c>
    </x:row>
    <x:row r="577">
      <x:c r="A577" s="34" t="n">
        <x:v>58</x:v>
      </x:c>
      <x:c r="B577" s="34" t="str">
        <x:f>IF('01_INPUT_COMPANIES'!$A$64="","",'01_INPUT_COMPANIES'!$A$64)</x:f>
      </x:c>
      <x:c r="C577" s="34" t="str">
        <x:f>IF(B577="","",'01_INPUT_COMPANIES'!$B$64)</x:f>
      </x:c>
      <x:c r="D577" s="34" t="str">
        <x:v>effective_tax_rate_gap</x:v>
      </x:c>
      <x:c r="E577" s="42" t="str">
        <x:f>IF(OR(B577="",COUNT('01_INPUT_COMPANIES'!$T$64)=0),"",'01_INPUT_COMPANIES'!$T$64)</x:f>
      </x:c>
      <x:c r="F577" s="42" t="n">
        <x:v>1</x:v>
      </x:c>
      <x:c r="G577" s="42" t="str">
        <x:f>IF(NOT(ISNUMBER(E577)),"",MAX(K577,MIN(L577,E577*F577)))</x:f>
      </x:c>
      <x:c r="H577" s="42" t="n">
        <x:v>74</x:v>
      </x:c>
      <x:c r="I577" s="42" t="str">
        <x:f>IF(COUNT(G577)=0,"",(COUNTIFS('93_REF_ANCHORS'!$A$7:$A$766,D577,'93_REF_ANCHORS'!$C$7:$C$766,"&lt;"&amp;G577)+COUNTIFS('93_REF_ANCHORS'!$A$7:$A$766,D577,'93_REF_ANCHORS'!$C$7:$C$766,"&lt;="&amp;G577)-1)/(2*(H577-1)))</x:f>
      </x:c>
      <x:c r="J577" s="34" t="str">
        <x:f>IF(B577="","",IF(COUNT(E577)=0,"MISSING",IF(NOT(ISNUMBER(E577)),"INVALID",IF(E577*F577&lt;K577,"WINSORIZED LOW",IF(E577*F577&gt;L577,"WINSORIZED HIGH","OK")))))</x:f>
      </x:c>
      <x:c r="K577" s="34" t="n">
        <x:v>-0.1416111014</x:v>
      </x:c>
      <x:c r="L577" s="34" t="n">
        <x:v>0.2683650488</x:v>
      </x:c>
      <x:c r="M577" s="34" t="n">
        <x:v>0.1111111111111111</x:v>
      </x:c>
      <x:c r="N577" s="34" t="str">
        <x:v>no</x:v>
      </x:c>
    </x:row>
    <x:row r="578">
      <x:c r="A578" s="34" t="n">
        <x:v>58</x:v>
      </x:c>
      <x:c r="B578" s="34" t="str">
        <x:f>IF('01_INPUT_COMPANIES'!$A$64="","",'01_INPUT_COMPANIES'!$A$64)</x:f>
      </x:c>
      <x:c r="C578" s="34" t="str">
        <x:f>IF(B578="","",'01_INPUT_COMPANIES'!$B$64)</x:f>
      </x:c>
      <x:c r="D578" s="34" t="str">
        <x:v>infra_dependency_ratio</x:v>
      </x:c>
      <x:c r="E578" s="42" t="str">
        <x:f>IF(OR(B578="",COUNT('01_INPUT_COMPANIES'!$U$64)=0),"",'01_INPUT_COMPANIES'!$U$64)</x:f>
      </x:c>
      <x:c r="F578" s="42" t="n">
        <x:v>1</x:v>
      </x:c>
      <x:c r="G578" s="42" t="str">
        <x:f>IF(NOT(ISNUMBER(E578)),"",MAX(K578,MIN(L578,E578*F578)))</x:f>
      </x:c>
      <x:c r="H578" s="42" t="n">
        <x:v>64</x:v>
      </x:c>
      <x:c r="I578" s="42" t="str">
        <x:f>IF(COUNT(G578)=0,"",(COUNTIFS('93_REF_ANCHORS'!$A$7:$A$766,D578,'93_REF_ANCHORS'!$C$7:$C$766,"&lt;"&amp;G578)+COUNTIFS('93_REF_ANCHORS'!$A$7:$A$766,D578,'93_REF_ANCHORS'!$C$7:$C$766,"&lt;="&amp;G578)-1)/(2*(H578-1)))</x:f>
      </x:c>
      <x:c r="J578" s="34" t="str">
        <x:f>IF(B578="","",IF(COUNT(E578)=0,"MISSING",IF(NOT(ISNUMBER(E578)),"INVALID",IF(E578*F578&lt;K578,"WINSORIZED LOW",IF(E578*F578&gt;L578,"WINSORIZED HIGH","OK")))))</x:f>
      </x:c>
      <x:c r="K578" s="34" t="n">
        <x:v>-0.10705024705171803</x:v>
      </x:c>
      <x:c r="L578" s="34" t="n">
        <x:v>0.8008753865408955</x:v>
      </x:c>
      <x:c r="M578" s="34" t="n">
        <x:v>0.1111111111111111</x:v>
      </x:c>
      <x:c r="N578" s="34" t="str">
        <x:v>no</x:v>
      </x:c>
    </x:row>
    <x:row r="579">
      <x:c r="A579" s="34" t="n">
        <x:v>58</x:v>
      </x:c>
      <x:c r="B579" s="34" t="str">
        <x:f>IF('01_INPUT_COMPANIES'!$A$64="","",'01_INPUT_COMPANIES'!$A$64)</x:f>
      </x:c>
      <x:c r="C579" s="34" t="str">
        <x:f>IF(B579="","",'01_INPUT_COMPANIES'!$B$64)</x:f>
      </x:c>
      <x:c r="D579" s="34" t="str">
        <x:v>network_cost_ratio</x:v>
      </x:c>
      <x:c r="E579" s="42" t="str">
        <x:f>IF(OR(B579="",COUNT('01_INPUT_COMPANIES'!$V$64)=0),"",'01_INPUT_COMPANIES'!$V$64)</x:f>
      </x:c>
      <x:c r="F579" s="42" t="n">
        <x:v>1</x:v>
      </x:c>
      <x:c r="G579" s="42" t="str">
        <x:f>IF(NOT(ISNUMBER(E579)),"",MAX(K579,MIN(L579,E579*F579)))</x:f>
      </x:c>
      <x:c r="H579" s="42" t="n">
        <x:v>97</x:v>
      </x:c>
      <x:c r="I579" s="42" t="str">
        <x:f>IF(COUNT(G579)=0,"",(COUNTIFS('93_REF_ANCHORS'!$A$7:$A$766,D579,'93_REF_ANCHORS'!$C$7:$C$766,"&lt;"&amp;G579)+COUNTIFS('93_REF_ANCHORS'!$A$7:$A$766,D579,'93_REF_ANCHORS'!$C$7:$C$766,"&lt;="&amp;G579)-1)/(2*(H579-1)))</x:f>
      </x:c>
      <x:c r="J579" s="34" t="str">
        <x:f>IF(B579="","",IF(COUNT(E579)=0,"MISSING",IF(NOT(ISNUMBER(E579)),"INVALID",IF(E579*F579&lt;K579,"WINSORIZED LOW",IF(E579*F579&gt;L579,"WINSORIZED HIGH","OK")))))</x:f>
      </x:c>
      <x:c r="K579" s="34" t="n">
        <x:v>-0.1395374353</x:v>
      </x:c>
      <x:c r="L579" s="34" t="n">
        <x:v>0.9274274845000001</x:v>
      </x:c>
      <x:c r="M579" s="34" t="n">
        <x:v>0.1111111111111111</x:v>
      </x:c>
      <x:c r="N579" s="34" t="str">
        <x:v>no</x:v>
      </x:c>
    </x:row>
    <x:row r="580">
      <x:c r="A580" s="34" t="n">
        <x:v>58</x:v>
      </x:c>
      <x:c r="B580" s="34" t="str">
        <x:f>IF('01_INPUT_COMPANIES'!$A$64="","",'01_INPUT_COMPANIES'!$A$64)</x:f>
      </x:c>
      <x:c r="C580" s="34" t="str">
        <x:f>IF(B580="","",'01_INPUT_COMPANIES'!$B$64)</x:f>
      </x:c>
      <x:c r="D580" s="34" t="str">
        <x:v>cashflow_recovery_ratio</x:v>
      </x:c>
      <x:c r="E580" s="42" t="str">
        <x:f>IF(OR(B580="",COUNT('01_INPUT_COMPANIES'!$W$64)=0),"",'01_INPUT_COMPANIES'!$W$64)</x:f>
      </x:c>
      <x:c r="F580" s="42" t="n">
        <x:v>-1</x:v>
      </x:c>
      <x:c r="G580" s="42" t="str">
        <x:f>IF(NOT(ISNUMBER(E580)),"",MAX(K580,MIN(L580,E580*F580)))</x:f>
      </x:c>
      <x:c r="H580" s="42" t="n">
        <x:v>95</x:v>
      </x:c>
      <x:c r="I580" s="42" t="str">
        <x:f>IF(COUNT(G580)=0,"",(COUNTIFS('93_REF_ANCHORS'!$A$7:$A$766,D580,'93_REF_ANCHORS'!$C$7:$C$766,"&lt;"&amp;G580)+COUNTIFS('93_REF_ANCHORS'!$A$7:$A$766,D580,'93_REF_ANCHORS'!$C$7:$C$766,"&lt;="&amp;G580)-1)/(2*(H580-1)))</x:f>
      </x:c>
      <x:c r="J580" s="34" t="str">
        <x:f>IF(B580="","",IF(COUNT(E580)=0,"MISSING",IF(NOT(ISNUMBER(E580)),"INVALID",IF(E580*F580&lt;K580,"WINSORIZED LOW",IF(E580*F580&gt;L580,"WINSORIZED HIGH","OK")))))</x:f>
      </x:c>
      <x:c r="K580" s="34" t="n">
        <x:v>-300.75</x:v>
      </x:c>
      <x:c r="L580" s="34" t="n">
        <x:v>42.6920305469</x:v>
      </x:c>
      <x:c r="M580" s="34" t="n">
        <x:v>0.08333333333333333</x:v>
      </x:c>
      <x:c r="N580" s="34" t="str">
        <x:v>no</x:v>
      </x:c>
    </x:row>
    <x:row r="581">
      <x:c r="A581" s="34" t="n">
        <x:v>58</x:v>
      </x:c>
      <x:c r="B581" s="34" t="str">
        <x:f>IF('01_INPUT_COMPANIES'!$A$64="","",'01_INPUT_COMPANIES'!$A$64)</x:f>
      </x:c>
      <x:c r="C581" s="34" t="str">
        <x:f>IF(B581="","",'01_INPUT_COMPANIES'!$B$64)</x:f>
      </x:c>
      <x:c r="D581" s="34" t="str">
        <x:v>funding_cost_spread</x:v>
      </x:c>
      <x:c r="E581" s="42" t="str">
        <x:f>IF(OR(B581="",COUNT('01_INPUT_COMPANIES'!$X$64)=0),"",'01_INPUT_COMPANIES'!$X$64)</x:f>
      </x:c>
      <x:c r="F581" s="42" t="n">
        <x:v>1</x:v>
      </x:c>
      <x:c r="G581" s="42" t="str">
        <x:f>IF(NOT(ISNUMBER(E581)),"",MAX(K581,MIN(L581,E581*F581)))</x:f>
      </x:c>
      <x:c r="H581" s="42" t="n">
        <x:v>58</x:v>
      </x:c>
      <x:c r="I581" s="42" t="str">
        <x:f>IF(COUNT(G581)=0,"",(COUNTIFS('93_REF_ANCHORS'!$A$7:$A$766,D581,'93_REF_ANCHORS'!$C$7:$C$766,"&lt;"&amp;G581)+COUNTIFS('93_REF_ANCHORS'!$A$7:$A$766,D581,'93_REF_ANCHORS'!$C$7:$C$766,"&lt;="&amp;G581)-1)/(2*(H581-1)))</x:f>
      </x:c>
      <x:c r="J581" s="34" t="str">
        <x:f>IF(B581="","",IF(COUNT(E581)=0,"MISSING",IF(NOT(ISNUMBER(E581)),"INVALID",IF(E581*F581&lt;K581,"WINSORIZED LOW",IF(E581*F581&gt;L581,"WINSORIZED HIGH","OK")))))</x:f>
      </x:c>
      <x:c r="K581" s="34" t="n">
        <x:v>-0.4430292903</x:v>
      </x:c>
      <x:c r="L581" s="34" t="n">
        <x:v>0.5068913103</x:v>
      </x:c>
      <x:c r="M581" s="34" t="n">
        <x:v>0.08333333333333333</x:v>
      </x:c>
      <x:c r="N581" s="34" t="str">
        <x:v>no</x:v>
      </x:c>
    </x:row>
    <x:row r="582">
      <x:c r="A582" s="34" t="n">
        <x:v>58</x:v>
      </x:c>
      <x:c r="B582" s="34" t="str">
        <x:f>IF('01_INPUT_COMPANIES'!$A$64="","",'01_INPUT_COMPANIES'!$A$64)</x:f>
      </x:c>
      <x:c r="C582" s="34" t="str">
        <x:f>IF(B582="","",'01_INPUT_COMPANIES'!$B$64)</x:f>
      </x:c>
      <x:c r="D582" s="34" t="str">
        <x:v>investment_recovery_ratio</x:v>
      </x:c>
      <x:c r="E582" s="42" t="str">
        <x:f>IF(OR(B582="",COUNT('01_INPUT_COMPANIES'!$Y$64)=0),"",'01_INPUT_COMPANIES'!$Y$64)</x:f>
      </x:c>
      <x:c r="F582" s="42" t="n">
        <x:v>-1</x:v>
      </x:c>
      <x:c r="G582" s="42" t="str">
        <x:f>IF(NOT(ISNUMBER(E582)),"",MAX(K582,MIN(L582,E582*F582)))</x:f>
      </x:c>
      <x:c r="H582" s="42" t="n">
        <x:v>95</x:v>
      </x:c>
      <x:c r="I582" s="42" t="str">
        <x:f>IF(COUNT(G582)=0,"",(COUNTIFS('93_REF_ANCHORS'!$A$7:$A$766,D582,'93_REF_ANCHORS'!$C$7:$C$766,"&lt;"&amp;G582)+COUNTIFS('93_REF_ANCHORS'!$A$7:$A$766,D582,'93_REF_ANCHORS'!$C$7:$C$766,"&lt;="&amp;G582)-1)/(2*(H582-1)))</x:f>
      </x:c>
      <x:c r="J582" s="34" t="str">
        <x:f>IF(B582="","",IF(COUNT(E582)=0,"MISSING",IF(NOT(ISNUMBER(E582)),"INVALID",IF(E582*F582&lt;K582,"WINSORIZED LOW",IF(E582*F582&gt;L582,"WINSORIZED HIGH","OK")))))</x:f>
      </x:c>
      <x:c r="K582" s="34" t="n">
        <x:v>-3163.7500000000014</x:v>
      </x:c>
      <x:c r="L582" s="34" t="n">
        <x:v>189.68191301719997</x:v>
      </x:c>
      <x:c r="M582" s="34" t="n">
        <x:v>0.08333333333333333</x:v>
      </x:c>
      <x:c r="N582" s="34" t="str">
        <x:v>no</x:v>
      </x:c>
    </x:row>
    <x:row r="583">
      <x:c r="A583" s="34" t="n">
        <x:v>58</x:v>
      </x:c>
      <x:c r="B583" s="34" t="str">
        <x:f>IF('01_INPUT_COMPANIES'!$A$64="","",'01_INPUT_COMPANIES'!$A$64)</x:f>
      </x:c>
      <x:c r="C583" s="34" t="str">
        <x:f>IF(B583="","",'01_INPUT_COMPANIES'!$B$64)</x:f>
      </x:c>
      <x:c r="D583" s="34" t="str">
        <x:v>ip_assetization_gap</x:v>
      </x:c>
      <x:c r="E583" s="42" t="str">
        <x:f>IF(OR(B583="",COUNT('01_INPUT_COMPANIES'!$Z$64)=0),"",'01_INPUT_COMPANIES'!$Z$64)</x:f>
      </x:c>
      <x:c r="F583" s="42" t="n">
        <x:v>1</x:v>
      </x:c>
      <x:c r="G583" s="42" t="str">
        <x:f>IF(NOT(ISNUMBER(E583)),"",MAX(K583,MIN(L583,E583*F583)))</x:f>
      </x:c>
      <x:c r="H583" s="42" t="n">
        <x:v>92</x:v>
      </x:c>
      <x:c r="I583" s="42" t="str">
        <x:f>IF(COUNT(G583)=0,"",(COUNTIFS('93_REF_ANCHORS'!$A$7:$A$766,D583,'93_REF_ANCHORS'!$C$7:$C$766,"&lt;"&amp;G583)+COUNTIFS('93_REF_ANCHORS'!$A$7:$A$766,D583,'93_REF_ANCHORS'!$C$7:$C$766,"&lt;="&amp;G583)-1)/(2*(H583-1)))</x:f>
      </x:c>
      <x:c r="J583" s="34" t="str">
        <x:f>IF(B583="","",IF(COUNT(E583)=0,"MISSING",IF(NOT(ISNUMBER(E583)),"INVALID",IF(E583*F583&lt;K583,"WINSORIZED LOW",IF(E583*F583&gt;L583,"WINSORIZED HIGH","OK")))))</x:f>
      </x:c>
      <x:c r="K583" s="34" t="n">
        <x:v>-1.6707152386</x:v>
      </x:c>
      <x:c r="L583" s="34" t="n">
        <x:v>0.7716332556000001</x:v>
      </x:c>
      <x:c r="M583" s="34" t="n">
        <x:v>0.08333333333333333</x:v>
      </x:c>
      <x:c r="N583" s="34" t="str">
        <x:v>no</x:v>
      </x:c>
    </x:row>
    <x:row r="584">
      <x:c r="A584" s="34" t="n">
        <x:v>58</x:v>
      </x:c>
      <x:c r="B584" s="34" t="str">
        <x:f>IF('01_INPUT_COMPANIES'!$A$64="","",'01_INPUT_COMPANIES'!$A$64)</x:f>
      </x:c>
      <x:c r="C584" s="34" t="str">
        <x:f>IF(B584="","",'01_INPUT_COMPANIES'!$B$64)</x:f>
      </x:c>
      <x:c r="D584" s="34" t="str">
        <x:v>cross_market_transfer_index</x:v>
      </x:c>
      <x:c r="E584" s="42" t="str">
        <x:f>IF(OR(B584="",COUNT('01_INPUT_COMPANIES'!$AA$64)=0),"",'01_INPUT_COMPANIES'!$AA$64)</x:f>
      </x:c>
      <x:c r="F584" s="42" t="n">
        <x:v>1</x:v>
      </x:c>
      <x:c r="G584" s="42" t="str">
        <x:f>IF(NOT(ISNUMBER(E584)),"",MAX(K584,MIN(L584,E584*F584)))</x:f>
      </x:c>
      <x:c r="H584" s="42" t="n">
        <x:v>4</x:v>
      </x:c>
      <x:c r="I584" s="42" t="str">
        <x:f>IF(COUNT(G584)=0,"",(COUNTIFS('93_REF_ANCHORS'!$A$7:$A$766,D584,'93_REF_ANCHORS'!$C$7:$C$766,"&lt;"&amp;G584)+COUNTIFS('93_REF_ANCHORS'!$A$7:$A$766,D584,'93_REF_ANCHORS'!$C$7:$C$766,"&lt;="&amp;G584)-1)/(2*(H584-1)))</x:f>
      </x:c>
      <x:c r="J584" s="34" t="str">
        <x:f>IF(B584="","",IF(COUNT(E584)=0,"MISSING",IF(NOT(ISNUMBER(E584)),"INVALID",IF(E584*F584&lt;K584,"WINSORIZED LOW",IF(E584*F584&gt;L584,"WINSORIZED HIGH","OK")))))</x:f>
      </x:c>
      <x:c r="K584" s="34" t="n">
        <x:v>0</x:v>
      </x:c>
      <x:c r="L584" s="34" t="n">
        <x:v>0.7587051325360435</x:v>
      </x:c>
      <x:c r="M584" s="34" t="n">
        <x:v>0.1111111111111111</x:v>
      </x:c>
      <x:c r="N584" s="34" t="str">
        <x:v>yes</x:v>
      </x:c>
    </x:row>
    <x:row r="585">
      <x:c r="A585" s="34" t="n">
        <x:v>58</x:v>
      </x:c>
      <x:c r="B585" s="34" t="str">
        <x:f>IF('01_INPUT_COMPANIES'!$A$64="","",'01_INPUT_COMPANIES'!$A$64)</x:f>
      </x:c>
      <x:c r="C585" s="34" t="str">
        <x:f>IF(B585="","",'01_INPUT_COMPANIES'!$B$64)</x:f>
      </x:c>
      <x:c r="D585" s="34" t="str">
        <x:v>foreign_dependency_ratio</x:v>
      </x:c>
      <x:c r="E585" s="42" t="str">
        <x:f>IF(OR(B585="",COUNT('01_INPUT_COMPANIES'!$AB$64)=0),"",'01_INPUT_COMPANIES'!$AB$64)</x:f>
      </x:c>
      <x:c r="F585" s="42" t="n">
        <x:v>1</x:v>
      </x:c>
      <x:c r="G585" s="42" t="str">
        <x:f>IF(NOT(ISNUMBER(E585)),"",MAX(K585,MIN(L585,E585*F585)))</x:f>
      </x:c>
      <x:c r="H585" s="42" t="n">
        <x:v>84</x:v>
      </x:c>
      <x:c r="I585" s="42" t="str">
        <x:f>IF(COUNT(G585)=0,"",(COUNTIFS('93_REF_ANCHORS'!$A$7:$A$766,D585,'93_REF_ANCHORS'!$C$7:$C$766,"&lt;"&amp;G585)+COUNTIFS('93_REF_ANCHORS'!$A$7:$A$766,D585,'93_REF_ANCHORS'!$C$7:$C$766,"&lt;="&amp;G585)-1)/(2*(H585-1)))</x:f>
      </x:c>
      <x:c r="J585" s="34" t="str">
        <x:f>IF(B585="","",IF(COUNT(E585)=0,"MISSING",IF(NOT(ISNUMBER(E585)),"INVALID",IF(E585*F585&lt;K585,"WINSORIZED LOW",IF(E585*F585&gt;L585,"WINSORIZED HIGH","OK")))))</x:f>
      </x:c>
      <x:c r="K585" s="34" t="n">
        <x:v>0.728196</x:v>
      </x:c>
      <x:c r="L585" s="34" t="n">
        <x:v>0.94</x:v>
      </x:c>
      <x:c r="M585" s="34" t="n">
        <x:v>0.1111111111111111</x:v>
      </x:c>
      <x:c r="N585" s="34" t="str">
        <x:v>yes</x:v>
      </x:c>
    </x:row>
    <x:row r="586">
      <x:c r="A586" s="34" t="n">
        <x:v>58</x:v>
      </x:c>
      <x:c r="B586" s="34" t="str">
        <x:f>IF('01_INPUT_COMPANIES'!$A$64="","",'01_INPUT_COMPANIES'!$A$64)</x:f>
      </x:c>
      <x:c r="C586" s="34" t="str">
        <x:f>IF(B586="","",'01_INPUT_COMPANIES'!$B$64)</x:f>
      </x:c>
      <x:c r="D586" s="34" t="str">
        <x:v>outflow_to_capex_ratio</x:v>
      </x:c>
      <x:c r="E586" s="42" t="str">
        <x:f>IF(OR(B586="",COUNT('01_INPUT_COMPANIES'!$AC$64)=0),"",'01_INPUT_COMPANIES'!$AC$64)</x:f>
      </x:c>
      <x:c r="F586" s="42" t="n">
        <x:v>1</x:v>
      </x:c>
      <x:c r="G586" s="42" t="str">
        <x:f>IF(NOT(ISNUMBER(E586)),"",MAX(K586,MIN(L586,E586*F586)))</x:f>
      </x:c>
      <x:c r="H586" s="42" t="n">
        <x:v>97</x:v>
      </x:c>
      <x:c r="I586" s="42" t="str">
        <x:f>IF(COUNT(G586)=0,"",(COUNTIFS('93_REF_ANCHORS'!$A$7:$A$766,D586,'93_REF_ANCHORS'!$C$7:$C$766,"&lt;"&amp;G586)+COUNTIFS('93_REF_ANCHORS'!$A$7:$A$766,D586,'93_REF_ANCHORS'!$C$7:$C$766,"&lt;="&amp;G586)-1)/(2*(H586-1)))</x:f>
      </x:c>
      <x:c r="J586" s="34" t="str">
        <x:f>IF(B586="","",IF(COUNT(E586)=0,"MISSING",IF(NOT(ISNUMBER(E586)),"INVALID",IF(E586*F586&lt;K586,"WINSORIZED LOW",IF(E586*F586&gt;L586,"WINSORIZED HIGH","OK")))))</x:f>
      </x:c>
      <x:c r="K586" s="34" t="n">
        <x:v>-123.5385890408</x:v>
      </x:c>
      <x:c r="L586" s="34" t="n">
        <x:v>974.1666666666999</x:v>
      </x:c>
      <x:c r="M586" s="34" t="n">
        <x:v>0.1111111111111111</x:v>
      </x:c>
      <x:c r="N586" s="34" t="str">
        <x:v>no</x:v>
      </x:c>
    </x:row>
    <x:row r="587">
      <x:c r="A587" s="34" t="n">
        <x:v>59</x:v>
      </x:c>
      <x:c r="B587" s="34" t="str">
        <x:f>IF('01_INPUT_COMPANIES'!$A$65="","",'01_INPUT_COMPANIES'!$A$65)</x:f>
      </x:c>
      <x:c r="C587" s="34" t="str">
        <x:f>IF(B587="","",'01_INPUT_COMPANIES'!$B$65)</x:f>
      </x:c>
      <x:c r="D587" s="34" t="str">
        <x:v>effective_tax_rate_gap</x:v>
      </x:c>
      <x:c r="E587" s="42" t="str">
        <x:f>IF(OR(B587="",COUNT('01_INPUT_COMPANIES'!$T$65)=0),"",'01_INPUT_COMPANIES'!$T$65)</x:f>
      </x:c>
      <x:c r="F587" s="42" t="n">
        <x:v>1</x:v>
      </x:c>
      <x:c r="G587" s="42" t="str">
        <x:f>IF(NOT(ISNUMBER(E587)),"",MAX(K587,MIN(L587,E587*F587)))</x:f>
      </x:c>
      <x:c r="H587" s="42" t="n">
        <x:v>74</x:v>
      </x:c>
      <x:c r="I587" s="42" t="str">
        <x:f>IF(COUNT(G587)=0,"",(COUNTIFS('93_REF_ANCHORS'!$A$7:$A$766,D587,'93_REF_ANCHORS'!$C$7:$C$766,"&lt;"&amp;G587)+COUNTIFS('93_REF_ANCHORS'!$A$7:$A$766,D587,'93_REF_ANCHORS'!$C$7:$C$766,"&lt;="&amp;G587)-1)/(2*(H587-1)))</x:f>
      </x:c>
      <x:c r="J587" s="34" t="str">
        <x:f>IF(B587="","",IF(COUNT(E587)=0,"MISSING",IF(NOT(ISNUMBER(E587)),"INVALID",IF(E587*F587&lt;K587,"WINSORIZED LOW",IF(E587*F587&gt;L587,"WINSORIZED HIGH","OK")))))</x:f>
      </x:c>
      <x:c r="K587" s="34" t="n">
        <x:v>-0.1416111014</x:v>
      </x:c>
      <x:c r="L587" s="34" t="n">
        <x:v>0.2683650488</x:v>
      </x:c>
      <x:c r="M587" s="34" t="n">
        <x:v>0.1111111111111111</x:v>
      </x:c>
      <x:c r="N587" s="34" t="str">
        <x:v>no</x:v>
      </x:c>
    </x:row>
    <x:row r="588">
      <x:c r="A588" s="34" t="n">
        <x:v>59</x:v>
      </x:c>
      <x:c r="B588" s="34" t="str">
        <x:f>IF('01_INPUT_COMPANIES'!$A$65="","",'01_INPUT_COMPANIES'!$A$65)</x:f>
      </x:c>
      <x:c r="C588" s="34" t="str">
        <x:f>IF(B588="","",'01_INPUT_COMPANIES'!$B$65)</x:f>
      </x:c>
      <x:c r="D588" s="34" t="str">
        <x:v>infra_dependency_ratio</x:v>
      </x:c>
      <x:c r="E588" s="42" t="str">
        <x:f>IF(OR(B588="",COUNT('01_INPUT_COMPANIES'!$U$65)=0),"",'01_INPUT_COMPANIES'!$U$65)</x:f>
      </x:c>
      <x:c r="F588" s="42" t="n">
        <x:v>1</x:v>
      </x:c>
      <x:c r="G588" s="42" t="str">
        <x:f>IF(NOT(ISNUMBER(E588)),"",MAX(K588,MIN(L588,E588*F588)))</x:f>
      </x:c>
      <x:c r="H588" s="42" t="n">
        <x:v>64</x:v>
      </x:c>
      <x:c r="I588" s="42" t="str">
        <x:f>IF(COUNT(G588)=0,"",(COUNTIFS('93_REF_ANCHORS'!$A$7:$A$766,D588,'93_REF_ANCHORS'!$C$7:$C$766,"&lt;"&amp;G588)+COUNTIFS('93_REF_ANCHORS'!$A$7:$A$766,D588,'93_REF_ANCHORS'!$C$7:$C$766,"&lt;="&amp;G588)-1)/(2*(H588-1)))</x:f>
      </x:c>
      <x:c r="J588" s="34" t="str">
        <x:f>IF(B588="","",IF(COUNT(E588)=0,"MISSING",IF(NOT(ISNUMBER(E588)),"INVALID",IF(E588*F588&lt;K588,"WINSORIZED LOW",IF(E588*F588&gt;L588,"WINSORIZED HIGH","OK")))))</x:f>
      </x:c>
      <x:c r="K588" s="34" t="n">
        <x:v>-0.10705024705171803</x:v>
      </x:c>
      <x:c r="L588" s="34" t="n">
        <x:v>0.8008753865408955</x:v>
      </x:c>
      <x:c r="M588" s="34" t="n">
        <x:v>0.1111111111111111</x:v>
      </x:c>
      <x:c r="N588" s="34" t="str">
        <x:v>no</x:v>
      </x:c>
    </x:row>
    <x:row r="589">
      <x:c r="A589" s="34" t="n">
        <x:v>59</x:v>
      </x:c>
      <x:c r="B589" s="34" t="str">
        <x:f>IF('01_INPUT_COMPANIES'!$A$65="","",'01_INPUT_COMPANIES'!$A$65)</x:f>
      </x:c>
      <x:c r="C589" s="34" t="str">
        <x:f>IF(B589="","",'01_INPUT_COMPANIES'!$B$65)</x:f>
      </x:c>
      <x:c r="D589" s="34" t="str">
        <x:v>network_cost_ratio</x:v>
      </x:c>
      <x:c r="E589" s="42" t="str">
        <x:f>IF(OR(B589="",COUNT('01_INPUT_COMPANIES'!$V$65)=0),"",'01_INPUT_COMPANIES'!$V$65)</x:f>
      </x:c>
      <x:c r="F589" s="42" t="n">
        <x:v>1</x:v>
      </x:c>
      <x:c r="G589" s="42" t="str">
        <x:f>IF(NOT(ISNUMBER(E589)),"",MAX(K589,MIN(L589,E589*F589)))</x:f>
      </x:c>
      <x:c r="H589" s="42" t="n">
        <x:v>97</x:v>
      </x:c>
      <x:c r="I589" s="42" t="str">
        <x:f>IF(COUNT(G589)=0,"",(COUNTIFS('93_REF_ANCHORS'!$A$7:$A$766,D589,'93_REF_ANCHORS'!$C$7:$C$766,"&lt;"&amp;G589)+COUNTIFS('93_REF_ANCHORS'!$A$7:$A$766,D589,'93_REF_ANCHORS'!$C$7:$C$766,"&lt;="&amp;G589)-1)/(2*(H589-1)))</x:f>
      </x:c>
      <x:c r="J589" s="34" t="str">
        <x:f>IF(B589="","",IF(COUNT(E589)=0,"MISSING",IF(NOT(ISNUMBER(E589)),"INVALID",IF(E589*F589&lt;K589,"WINSORIZED LOW",IF(E589*F589&gt;L589,"WINSORIZED HIGH","OK")))))</x:f>
      </x:c>
      <x:c r="K589" s="34" t="n">
        <x:v>-0.1395374353</x:v>
      </x:c>
      <x:c r="L589" s="34" t="n">
        <x:v>0.9274274845000001</x:v>
      </x:c>
      <x:c r="M589" s="34" t="n">
        <x:v>0.1111111111111111</x:v>
      </x:c>
      <x:c r="N589" s="34" t="str">
        <x:v>no</x:v>
      </x:c>
    </x:row>
    <x:row r="590">
      <x:c r="A590" s="34" t="n">
        <x:v>59</x:v>
      </x:c>
      <x:c r="B590" s="34" t="str">
        <x:f>IF('01_INPUT_COMPANIES'!$A$65="","",'01_INPUT_COMPANIES'!$A$65)</x:f>
      </x:c>
      <x:c r="C590" s="34" t="str">
        <x:f>IF(B590="","",'01_INPUT_COMPANIES'!$B$65)</x:f>
      </x:c>
      <x:c r="D590" s="34" t="str">
        <x:v>cashflow_recovery_ratio</x:v>
      </x:c>
      <x:c r="E590" s="42" t="str">
        <x:f>IF(OR(B590="",COUNT('01_INPUT_COMPANIES'!$W$65)=0),"",'01_INPUT_COMPANIES'!$W$65)</x:f>
      </x:c>
      <x:c r="F590" s="42" t="n">
        <x:v>-1</x:v>
      </x:c>
      <x:c r="G590" s="42" t="str">
        <x:f>IF(NOT(ISNUMBER(E590)),"",MAX(K590,MIN(L590,E590*F590)))</x:f>
      </x:c>
      <x:c r="H590" s="42" t="n">
        <x:v>95</x:v>
      </x:c>
      <x:c r="I590" s="42" t="str">
        <x:f>IF(COUNT(G590)=0,"",(COUNTIFS('93_REF_ANCHORS'!$A$7:$A$766,D590,'93_REF_ANCHORS'!$C$7:$C$766,"&lt;"&amp;G590)+COUNTIFS('93_REF_ANCHORS'!$A$7:$A$766,D590,'93_REF_ANCHORS'!$C$7:$C$766,"&lt;="&amp;G590)-1)/(2*(H590-1)))</x:f>
      </x:c>
      <x:c r="J590" s="34" t="str">
        <x:f>IF(B590="","",IF(COUNT(E590)=0,"MISSING",IF(NOT(ISNUMBER(E590)),"INVALID",IF(E590*F590&lt;K590,"WINSORIZED LOW",IF(E590*F590&gt;L590,"WINSORIZED HIGH","OK")))))</x:f>
      </x:c>
      <x:c r="K590" s="34" t="n">
        <x:v>-300.75</x:v>
      </x:c>
      <x:c r="L590" s="34" t="n">
        <x:v>42.6920305469</x:v>
      </x:c>
      <x:c r="M590" s="34" t="n">
        <x:v>0.08333333333333333</x:v>
      </x:c>
      <x:c r="N590" s="34" t="str">
        <x:v>no</x:v>
      </x:c>
    </x:row>
    <x:row r="591">
      <x:c r="A591" s="34" t="n">
        <x:v>59</x:v>
      </x:c>
      <x:c r="B591" s="34" t="str">
        <x:f>IF('01_INPUT_COMPANIES'!$A$65="","",'01_INPUT_COMPANIES'!$A$65)</x:f>
      </x:c>
      <x:c r="C591" s="34" t="str">
        <x:f>IF(B591="","",'01_INPUT_COMPANIES'!$B$65)</x:f>
      </x:c>
      <x:c r="D591" s="34" t="str">
        <x:v>funding_cost_spread</x:v>
      </x:c>
      <x:c r="E591" s="42" t="str">
        <x:f>IF(OR(B591="",COUNT('01_INPUT_COMPANIES'!$X$65)=0),"",'01_INPUT_COMPANIES'!$X$65)</x:f>
      </x:c>
      <x:c r="F591" s="42" t="n">
        <x:v>1</x:v>
      </x:c>
      <x:c r="G591" s="42" t="str">
        <x:f>IF(NOT(ISNUMBER(E591)),"",MAX(K591,MIN(L591,E591*F591)))</x:f>
      </x:c>
      <x:c r="H591" s="42" t="n">
        <x:v>58</x:v>
      </x:c>
      <x:c r="I591" s="42" t="str">
        <x:f>IF(COUNT(G591)=0,"",(COUNTIFS('93_REF_ANCHORS'!$A$7:$A$766,D591,'93_REF_ANCHORS'!$C$7:$C$766,"&lt;"&amp;G591)+COUNTIFS('93_REF_ANCHORS'!$A$7:$A$766,D591,'93_REF_ANCHORS'!$C$7:$C$766,"&lt;="&amp;G591)-1)/(2*(H591-1)))</x:f>
      </x:c>
      <x:c r="J591" s="34" t="str">
        <x:f>IF(B591="","",IF(COUNT(E591)=0,"MISSING",IF(NOT(ISNUMBER(E591)),"INVALID",IF(E591*F591&lt;K591,"WINSORIZED LOW",IF(E591*F591&gt;L591,"WINSORIZED HIGH","OK")))))</x:f>
      </x:c>
      <x:c r="K591" s="34" t="n">
        <x:v>-0.4430292903</x:v>
      </x:c>
      <x:c r="L591" s="34" t="n">
        <x:v>0.5068913103</x:v>
      </x:c>
      <x:c r="M591" s="34" t="n">
        <x:v>0.08333333333333333</x:v>
      </x:c>
      <x:c r="N591" s="34" t="str">
        <x:v>no</x:v>
      </x:c>
    </x:row>
    <x:row r="592">
      <x:c r="A592" s="34" t="n">
        <x:v>59</x:v>
      </x:c>
      <x:c r="B592" s="34" t="str">
        <x:f>IF('01_INPUT_COMPANIES'!$A$65="","",'01_INPUT_COMPANIES'!$A$65)</x:f>
      </x:c>
      <x:c r="C592" s="34" t="str">
        <x:f>IF(B592="","",'01_INPUT_COMPANIES'!$B$65)</x:f>
      </x:c>
      <x:c r="D592" s="34" t="str">
        <x:v>investment_recovery_ratio</x:v>
      </x:c>
      <x:c r="E592" s="42" t="str">
        <x:f>IF(OR(B592="",COUNT('01_INPUT_COMPANIES'!$Y$65)=0),"",'01_INPUT_COMPANIES'!$Y$65)</x:f>
      </x:c>
      <x:c r="F592" s="42" t="n">
        <x:v>-1</x:v>
      </x:c>
      <x:c r="G592" s="42" t="str">
        <x:f>IF(NOT(ISNUMBER(E592)),"",MAX(K592,MIN(L592,E592*F592)))</x:f>
      </x:c>
      <x:c r="H592" s="42" t="n">
        <x:v>95</x:v>
      </x:c>
      <x:c r="I592" s="42" t="str">
        <x:f>IF(COUNT(G592)=0,"",(COUNTIFS('93_REF_ANCHORS'!$A$7:$A$766,D592,'93_REF_ANCHORS'!$C$7:$C$766,"&lt;"&amp;G592)+COUNTIFS('93_REF_ANCHORS'!$A$7:$A$766,D592,'93_REF_ANCHORS'!$C$7:$C$766,"&lt;="&amp;G592)-1)/(2*(H592-1)))</x:f>
      </x:c>
      <x:c r="J592" s="34" t="str">
        <x:f>IF(B592="","",IF(COUNT(E592)=0,"MISSING",IF(NOT(ISNUMBER(E592)),"INVALID",IF(E592*F592&lt;K592,"WINSORIZED LOW",IF(E592*F592&gt;L592,"WINSORIZED HIGH","OK")))))</x:f>
      </x:c>
      <x:c r="K592" s="34" t="n">
        <x:v>-3163.7500000000014</x:v>
      </x:c>
      <x:c r="L592" s="34" t="n">
        <x:v>189.68191301719997</x:v>
      </x:c>
      <x:c r="M592" s="34" t="n">
        <x:v>0.08333333333333333</x:v>
      </x:c>
      <x:c r="N592" s="34" t="str">
        <x:v>no</x:v>
      </x:c>
    </x:row>
    <x:row r="593">
      <x:c r="A593" s="34" t="n">
        <x:v>59</x:v>
      </x:c>
      <x:c r="B593" s="34" t="str">
        <x:f>IF('01_INPUT_COMPANIES'!$A$65="","",'01_INPUT_COMPANIES'!$A$65)</x:f>
      </x:c>
      <x:c r="C593" s="34" t="str">
        <x:f>IF(B593="","",'01_INPUT_COMPANIES'!$B$65)</x:f>
      </x:c>
      <x:c r="D593" s="34" t="str">
        <x:v>ip_assetization_gap</x:v>
      </x:c>
      <x:c r="E593" s="42" t="str">
        <x:f>IF(OR(B593="",COUNT('01_INPUT_COMPANIES'!$Z$65)=0),"",'01_INPUT_COMPANIES'!$Z$65)</x:f>
      </x:c>
      <x:c r="F593" s="42" t="n">
        <x:v>1</x:v>
      </x:c>
      <x:c r="G593" s="42" t="str">
        <x:f>IF(NOT(ISNUMBER(E593)),"",MAX(K593,MIN(L593,E593*F593)))</x:f>
      </x:c>
      <x:c r="H593" s="42" t="n">
        <x:v>92</x:v>
      </x:c>
      <x:c r="I593" s="42" t="str">
        <x:f>IF(COUNT(G593)=0,"",(COUNTIFS('93_REF_ANCHORS'!$A$7:$A$766,D593,'93_REF_ANCHORS'!$C$7:$C$766,"&lt;"&amp;G593)+COUNTIFS('93_REF_ANCHORS'!$A$7:$A$766,D593,'93_REF_ANCHORS'!$C$7:$C$766,"&lt;="&amp;G593)-1)/(2*(H593-1)))</x:f>
      </x:c>
      <x:c r="J593" s="34" t="str">
        <x:f>IF(B593="","",IF(COUNT(E593)=0,"MISSING",IF(NOT(ISNUMBER(E593)),"INVALID",IF(E593*F593&lt;K593,"WINSORIZED LOW",IF(E593*F593&gt;L593,"WINSORIZED HIGH","OK")))))</x:f>
      </x:c>
      <x:c r="K593" s="34" t="n">
        <x:v>-1.6707152386</x:v>
      </x:c>
      <x:c r="L593" s="34" t="n">
        <x:v>0.7716332556000001</x:v>
      </x:c>
      <x:c r="M593" s="34" t="n">
        <x:v>0.08333333333333333</x:v>
      </x:c>
      <x:c r="N593" s="34" t="str">
        <x:v>no</x:v>
      </x:c>
    </x:row>
    <x:row r="594">
      <x:c r="A594" s="34" t="n">
        <x:v>59</x:v>
      </x:c>
      <x:c r="B594" s="34" t="str">
        <x:f>IF('01_INPUT_COMPANIES'!$A$65="","",'01_INPUT_COMPANIES'!$A$65)</x:f>
      </x:c>
      <x:c r="C594" s="34" t="str">
        <x:f>IF(B594="","",'01_INPUT_COMPANIES'!$B$65)</x:f>
      </x:c>
      <x:c r="D594" s="34" t="str">
        <x:v>cross_market_transfer_index</x:v>
      </x:c>
      <x:c r="E594" s="42" t="str">
        <x:f>IF(OR(B594="",COUNT('01_INPUT_COMPANIES'!$AA$65)=0),"",'01_INPUT_COMPANIES'!$AA$65)</x:f>
      </x:c>
      <x:c r="F594" s="42" t="n">
        <x:v>1</x:v>
      </x:c>
      <x:c r="G594" s="42" t="str">
        <x:f>IF(NOT(ISNUMBER(E594)),"",MAX(K594,MIN(L594,E594*F594)))</x:f>
      </x:c>
      <x:c r="H594" s="42" t="n">
        <x:v>4</x:v>
      </x:c>
      <x:c r="I594" s="42" t="str">
        <x:f>IF(COUNT(G594)=0,"",(COUNTIFS('93_REF_ANCHORS'!$A$7:$A$766,D594,'93_REF_ANCHORS'!$C$7:$C$766,"&lt;"&amp;G594)+COUNTIFS('93_REF_ANCHORS'!$A$7:$A$766,D594,'93_REF_ANCHORS'!$C$7:$C$766,"&lt;="&amp;G594)-1)/(2*(H594-1)))</x:f>
      </x:c>
      <x:c r="J594" s="34" t="str">
        <x:f>IF(B594="","",IF(COUNT(E594)=0,"MISSING",IF(NOT(ISNUMBER(E594)),"INVALID",IF(E594*F594&lt;K594,"WINSORIZED LOW",IF(E594*F594&gt;L594,"WINSORIZED HIGH","OK")))))</x:f>
      </x:c>
      <x:c r="K594" s="34" t="n">
        <x:v>0</x:v>
      </x:c>
      <x:c r="L594" s="34" t="n">
        <x:v>0.7587051325360435</x:v>
      </x:c>
      <x:c r="M594" s="34" t="n">
        <x:v>0.1111111111111111</x:v>
      </x:c>
      <x:c r="N594" s="34" t="str">
        <x:v>yes</x:v>
      </x:c>
    </x:row>
    <x:row r="595">
      <x:c r="A595" s="34" t="n">
        <x:v>59</x:v>
      </x:c>
      <x:c r="B595" s="34" t="str">
        <x:f>IF('01_INPUT_COMPANIES'!$A$65="","",'01_INPUT_COMPANIES'!$A$65)</x:f>
      </x:c>
      <x:c r="C595" s="34" t="str">
        <x:f>IF(B595="","",'01_INPUT_COMPANIES'!$B$65)</x:f>
      </x:c>
      <x:c r="D595" s="34" t="str">
        <x:v>foreign_dependency_ratio</x:v>
      </x:c>
      <x:c r="E595" s="42" t="str">
        <x:f>IF(OR(B595="",COUNT('01_INPUT_COMPANIES'!$AB$65)=0),"",'01_INPUT_COMPANIES'!$AB$65)</x:f>
      </x:c>
      <x:c r="F595" s="42" t="n">
        <x:v>1</x:v>
      </x:c>
      <x:c r="G595" s="42" t="str">
        <x:f>IF(NOT(ISNUMBER(E595)),"",MAX(K595,MIN(L595,E595*F595)))</x:f>
      </x:c>
      <x:c r="H595" s="42" t="n">
        <x:v>84</x:v>
      </x:c>
      <x:c r="I595" s="42" t="str">
        <x:f>IF(COUNT(G595)=0,"",(COUNTIFS('93_REF_ANCHORS'!$A$7:$A$766,D595,'93_REF_ANCHORS'!$C$7:$C$766,"&lt;"&amp;G595)+COUNTIFS('93_REF_ANCHORS'!$A$7:$A$766,D595,'93_REF_ANCHORS'!$C$7:$C$766,"&lt;="&amp;G595)-1)/(2*(H595-1)))</x:f>
      </x:c>
      <x:c r="J595" s="34" t="str">
        <x:f>IF(B595="","",IF(COUNT(E595)=0,"MISSING",IF(NOT(ISNUMBER(E595)),"INVALID",IF(E595*F595&lt;K595,"WINSORIZED LOW",IF(E595*F595&gt;L595,"WINSORIZED HIGH","OK")))))</x:f>
      </x:c>
      <x:c r="K595" s="34" t="n">
        <x:v>0.728196</x:v>
      </x:c>
      <x:c r="L595" s="34" t="n">
        <x:v>0.94</x:v>
      </x:c>
      <x:c r="M595" s="34" t="n">
        <x:v>0.1111111111111111</x:v>
      </x:c>
      <x:c r="N595" s="34" t="str">
        <x:v>yes</x:v>
      </x:c>
    </x:row>
    <x:row r="596">
      <x:c r="A596" s="34" t="n">
        <x:v>59</x:v>
      </x:c>
      <x:c r="B596" s="34" t="str">
        <x:f>IF('01_INPUT_COMPANIES'!$A$65="","",'01_INPUT_COMPANIES'!$A$65)</x:f>
      </x:c>
      <x:c r="C596" s="34" t="str">
        <x:f>IF(B596="","",'01_INPUT_COMPANIES'!$B$65)</x:f>
      </x:c>
      <x:c r="D596" s="34" t="str">
        <x:v>outflow_to_capex_ratio</x:v>
      </x:c>
      <x:c r="E596" s="42" t="str">
        <x:f>IF(OR(B596="",COUNT('01_INPUT_COMPANIES'!$AC$65)=0),"",'01_INPUT_COMPANIES'!$AC$65)</x:f>
      </x:c>
      <x:c r="F596" s="42" t="n">
        <x:v>1</x:v>
      </x:c>
      <x:c r="G596" s="42" t="str">
        <x:f>IF(NOT(ISNUMBER(E596)),"",MAX(K596,MIN(L596,E596*F596)))</x:f>
      </x:c>
      <x:c r="H596" s="42" t="n">
        <x:v>97</x:v>
      </x:c>
      <x:c r="I596" s="42" t="str">
        <x:f>IF(COUNT(G596)=0,"",(COUNTIFS('93_REF_ANCHORS'!$A$7:$A$766,D596,'93_REF_ANCHORS'!$C$7:$C$766,"&lt;"&amp;G596)+COUNTIFS('93_REF_ANCHORS'!$A$7:$A$766,D596,'93_REF_ANCHORS'!$C$7:$C$766,"&lt;="&amp;G596)-1)/(2*(H596-1)))</x:f>
      </x:c>
      <x:c r="J596" s="34" t="str">
        <x:f>IF(B596="","",IF(COUNT(E596)=0,"MISSING",IF(NOT(ISNUMBER(E596)),"INVALID",IF(E596*F596&lt;K596,"WINSORIZED LOW",IF(E596*F596&gt;L596,"WINSORIZED HIGH","OK")))))</x:f>
      </x:c>
      <x:c r="K596" s="34" t="n">
        <x:v>-123.5385890408</x:v>
      </x:c>
      <x:c r="L596" s="34" t="n">
        <x:v>974.1666666666999</x:v>
      </x:c>
      <x:c r="M596" s="34" t="n">
        <x:v>0.1111111111111111</x:v>
      </x:c>
      <x:c r="N596" s="34" t="str">
        <x:v>no</x:v>
      </x:c>
    </x:row>
    <x:row r="597">
      <x:c r="A597" s="34" t="n">
        <x:v>60</x:v>
      </x:c>
      <x:c r="B597" s="34" t="str">
        <x:f>IF('01_INPUT_COMPANIES'!$A$66="","",'01_INPUT_COMPANIES'!$A$66)</x:f>
      </x:c>
      <x:c r="C597" s="34" t="str">
        <x:f>IF(B597="","",'01_INPUT_COMPANIES'!$B$66)</x:f>
      </x:c>
      <x:c r="D597" s="34" t="str">
        <x:v>effective_tax_rate_gap</x:v>
      </x:c>
      <x:c r="E597" s="42" t="str">
        <x:f>IF(OR(B597="",COUNT('01_INPUT_COMPANIES'!$T$66)=0),"",'01_INPUT_COMPANIES'!$T$66)</x:f>
      </x:c>
      <x:c r="F597" s="42" t="n">
        <x:v>1</x:v>
      </x:c>
      <x:c r="G597" s="42" t="str">
        <x:f>IF(NOT(ISNUMBER(E597)),"",MAX(K597,MIN(L597,E597*F597)))</x:f>
      </x:c>
      <x:c r="H597" s="42" t="n">
        <x:v>74</x:v>
      </x:c>
      <x:c r="I597" s="42" t="str">
        <x:f>IF(COUNT(G597)=0,"",(COUNTIFS('93_REF_ANCHORS'!$A$7:$A$766,D597,'93_REF_ANCHORS'!$C$7:$C$766,"&lt;"&amp;G597)+COUNTIFS('93_REF_ANCHORS'!$A$7:$A$766,D597,'93_REF_ANCHORS'!$C$7:$C$766,"&lt;="&amp;G597)-1)/(2*(H597-1)))</x:f>
      </x:c>
      <x:c r="J597" s="34" t="str">
        <x:f>IF(B597="","",IF(COUNT(E597)=0,"MISSING",IF(NOT(ISNUMBER(E597)),"INVALID",IF(E597*F597&lt;K597,"WINSORIZED LOW",IF(E597*F597&gt;L597,"WINSORIZED HIGH","OK")))))</x:f>
      </x:c>
      <x:c r="K597" s="34" t="n">
        <x:v>-0.1416111014</x:v>
      </x:c>
      <x:c r="L597" s="34" t="n">
        <x:v>0.2683650488</x:v>
      </x:c>
      <x:c r="M597" s="34" t="n">
        <x:v>0.1111111111111111</x:v>
      </x:c>
      <x:c r="N597" s="34" t="str">
        <x:v>no</x:v>
      </x:c>
    </x:row>
    <x:row r="598">
      <x:c r="A598" s="34" t="n">
        <x:v>60</x:v>
      </x:c>
      <x:c r="B598" s="34" t="str">
        <x:f>IF('01_INPUT_COMPANIES'!$A$66="","",'01_INPUT_COMPANIES'!$A$66)</x:f>
      </x:c>
      <x:c r="C598" s="34" t="str">
        <x:f>IF(B598="","",'01_INPUT_COMPANIES'!$B$66)</x:f>
      </x:c>
      <x:c r="D598" s="34" t="str">
        <x:v>infra_dependency_ratio</x:v>
      </x:c>
      <x:c r="E598" s="42" t="str">
        <x:f>IF(OR(B598="",COUNT('01_INPUT_COMPANIES'!$U$66)=0),"",'01_INPUT_COMPANIES'!$U$66)</x:f>
      </x:c>
      <x:c r="F598" s="42" t="n">
        <x:v>1</x:v>
      </x:c>
      <x:c r="G598" s="42" t="str">
        <x:f>IF(NOT(ISNUMBER(E598)),"",MAX(K598,MIN(L598,E598*F598)))</x:f>
      </x:c>
      <x:c r="H598" s="42" t="n">
        <x:v>64</x:v>
      </x:c>
      <x:c r="I598" s="42" t="str">
        <x:f>IF(COUNT(G598)=0,"",(COUNTIFS('93_REF_ANCHORS'!$A$7:$A$766,D598,'93_REF_ANCHORS'!$C$7:$C$766,"&lt;"&amp;G598)+COUNTIFS('93_REF_ANCHORS'!$A$7:$A$766,D598,'93_REF_ANCHORS'!$C$7:$C$766,"&lt;="&amp;G598)-1)/(2*(H598-1)))</x:f>
      </x:c>
      <x:c r="J598" s="34" t="str">
        <x:f>IF(B598="","",IF(COUNT(E598)=0,"MISSING",IF(NOT(ISNUMBER(E598)),"INVALID",IF(E598*F598&lt;K598,"WINSORIZED LOW",IF(E598*F598&gt;L598,"WINSORIZED HIGH","OK")))))</x:f>
      </x:c>
      <x:c r="K598" s="34" t="n">
        <x:v>-0.10705024705171803</x:v>
      </x:c>
      <x:c r="L598" s="34" t="n">
        <x:v>0.8008753865408955</x:v>
      </x:c>
      <x:c r="M598" s="34" t="n">
        <x:v>0.1111111111111111</x:v>
      </x:c>
      <x:c r="N598" s="34" t="str">
        <x:v>no</x:v>
      </x:c>
    </x:row>
    <x:row r="599">
      <x:c r="A599" s="34" t="n">
        <x:v>60</x:v>
      </x:c>
      <x:c r="B599" s="34" t="str">
        <x:f>IF('01_INPUT_COMPANIES'!$A$66="","",'01_INPUT_COMPANIES'!$A$66)</x:f>
      </x:c>
      <x:c r="C599" s="34" t="str">
        <x:f>IF(B599="","",'01_INPUT_COMPANIES'!$B$66)</x:f>
      </x:c>
      <x:c r="D599" s="34" t="str">
        <x:v>network_cost_ratio</x:v>
      </x:c>
      <x:c r="E599" s="42" t="str">
        <x:f>IF(OR(B599="",COUNT('01_INPUT_COMPANIES'!$V$66)=0),"",'01_INPUT_COMPANIES'!$V$66)</x:f>
      </x:c>
      <x:c r="F599" s="42" t="n">
        <x:v>1</x:v>
      </x:c>
      <x:c r="G599" s="42" t="str">
        <x:f>IF(NOT(ISNUMBER(E599)),"",MAX(K599,MIN(L599,E599*F599)))</x:f>
      </x:c>
      <x:c r="H599" s="42" t="n">
        <x:v>97</x:v>
      </x:c>
      <x:c r="I599" s="42" t="str">
        <x:f>IF(COUNT(G599)=0,"",(COUNTIFS('93_REF_ANCHORS'!$A$7:$A$766,D599,'93_REF_ANCHORS'!$C$7:$C$766,"&lt;"&amp;G599)+COUNTIFS('93_REF_ANCHORS'!$A$7:$A$766,D599,'93_REF_ANCHORS'!$C$7:$C$766,"&lt;="&amp;G599)-1)/(2*(H599-1)))</x:f>
      </x:c>
      <x:c r="J599" s="34" t="str">
        <x:f>IF(B599="","",IF(COUNT(E599)=0,"MISSING",IF(NOT(ISNUMBER(E599)),"INVALID",IF(E599*F599&lt;K599,"WINSORIZED LOW",IF(E599*F599&gt;L599,"WINSORIZED HIGH","OK")))))</x:f>
      </x:c>
      <x:c r="K599" s="34" t="n">
        <x:v>-0.1395374353</x:v>
      </x:c>
      <x:c r="L599" s="34" t="n">
        <x:v>0.9274274845000001</x:v>
      </x:c>
      <x:c r="M599" s="34" t="n">
        <x:v>0.1111111111111111</x:v>
      </x:c>
      <x:c r="N599" s="34" t="str">
        <x:v>no</x:v>
      </x:c>
    </x:row>
    <x:row r="600">
      <x:c r="A600" s="34" t="n">
        <x:v>60</x:v>
      </x:c>
      <x:c r="B600" s="34" t="str">
        <x:f>IF('01_INPUT_COMPANIES'!$A$66="","",'01_INPUT_COMPANIES'!$A$66)</x:f>
      </x:c>
      <x:c r="C600" s="34" t="str">
        <x:f>IF(B600="","",'01_INPUT_COMPANIES'!$B$66)</x:f>
      </x:c>
      <x:c r="D600" s="34" t="str">
        <x:v>cashflow_recovery_ratio</x:v>
      </x:c>
      <x:c r="E600" s="42" t="str">
        <x:f>IF(OR(B600="",COUNT('01_INPUT_COMPANIES'!$W$66)=0),"",'01_INPUT_COMPANIES'!$W$66)</x:f>
      </x:c>
      <x:c r="F600" s="42" t="n">
        <x:v>-1</x:v>
      </x:c>
      <x:c r="G600" s="42" t="str">
        <x:f>IF(NOT(ISNUMBER(E600)),"",MAX(K600,MIN(L600,E600*F600)))</x:f>
      </x:c>
      <x:c r="H600" s="42" t="n">
        <x:v>95</x:v>
      </x:c>
      <x:c r="I600" s="42" t="str">
        <x:f>IF(COUNT(G600)=0,"",(COUNTIFS('93_REF_ANCHORS'!$A$7:$A$766,D600,'93_REF_ANCHORS'!$C$7:$C$766,"&lt;"&amp;G600)+COUNTIFS('93_REF_ANCHORS'!$A$7:$A$766,D600,'93_REF_ANCHORS'!$C$7:$C$766,"&lt;="&amp;G600)-1)/(2*(H600-1)))</x:f>
      </x:c>
      <x:c r="J600" s="34" t="str">
        <x:f>IF(B600="","",IF(COUNT(E600)=0,"MISSING",IF(NOT(ISNUMBER(E600)),"INVALID",IF(E600*F600&lt;K600,"WINSORIZED LOW",IF(E600*F600&gt;L600,"WINSORIZED HIGH","OK")))))</x:f>
      </x:c>
      <x:c r="K600" s="34" t="n">
        <x:v>-300.75</x:v>
      </x:c>
      <x:c r="L600" s="34" t="n">
        <x:v>42.6920305469</x:v>
      </x:c>
      <x:c r="M600" s="34" t="n">
        <x:v>0.08333333333333333</x:v>
      </x:c>
      <x:c r="N600" s="34" t="str">
        <x:v>no</x:v>
      </x:c>
    </x:row>
    <x:row r="601">
      <x:c r="A601" s="34" t="n">
        <x:v>60</x:v>
      </x:c>
      <x:c r="B601" s="34" t="str">
        <x:f>IF('01_INPUT_COMPANIES'!$A$66="","",'01_INPUT_COMPANIES'!$A$66)</x:f>
      </x:c>
      <x:c r="C601" s="34" t="str">
        <x:f>IF(B601="","",'01_INPUT_COMPANIES'!$B$66)</x:f>
      </x:c>
      <x:c r="D601" s="34" t="str">
        <x:v>funding_cost_spread</x:v>
      </x:c>
      <x:c r="E601" s="42" t="str">
        <x:f>IF(OR(B601="",COUNT('01_INPUT_COMPANIES'!$X$66)=0),"",'01_INPUT_COMPANIES'!$X$66)</x:f>
      </x:c>
      <x:c r="F601" s="42" t="n">
        <x:v>1</x:v>
      </x:c>
      <x:c r="G601" s="42" t="str">
        <x:f>IF(NOT(ISNUMBER(E601)),"",MAX(K601,MIN(L601,E601*F601)))</x:f>
      </x:c>
      <x:c r="H601" s="42" t="n">
        <x:v>58</x:v>
      </x:c>
      <x:c r="I601" s="42" t="str">
        <x:f>IF(COUNT(G601)=0,"",(COUNTIFS('93_REF_ANCHORS'!$A$7:$A$766,D601,'93_REF_ANCHORS'!$C$7:$C$766,"&lt;"&amp;G601)+COUNTIFS('93_REF_ANCHORS'!$A$7:$A$766,D601,'93_REF_ANCHORS'!$C$7:$C$766,"&lt;="&amp;G601)-1)/(2*(H601-1)))</x:f>
      </x:c>
      <x:c r="J601" s="34" t="str">
        <x:f>IF(B601="","",IF(COUNT(E601)=0,"MISSING",IF(NOT(ISNUMBER(E601)),"INVALID",IF(E601*F601&lt;K601,"WINSORIZED LOW",IF(E601*F601&gt;L601,"WINSORIZED HIGH","OK")))))</x:f>
      </x:c>
      <x:c r="K601" s="34" t="n">
        <x:v>-0.4430292903</x:v>
      </x:c>
      <x:c r="L601" s="34" t="n">
        <x:v>0.5068913103</x:v>
      </x:c>
      <x:c r="M601" s="34" t="n">
        <x:v>0.08333333333333333</x:v>
      </x:c>
      <x:c r="N601" s="34" t="str">
        <x:v>no</x:v>
      </x:c>
    </x:row>
    <x:row r="602">
      <x:c r="A602" s="34" t="n">
        <x:v>60</x:v>
      </x:c>
      <x:c r="B602" s="34" t="str">
        <x:f>IF('01_INPUT_COMPANIES'!$A$66="","",'01_INPUT_COMPANIES'!$A$66)</x:f>
      </x:c>
      <x:c r="C602" s="34" t="str">
        <x:f>IF(B602="","",'01_INPUT_COMPANIES'!$B$66)</x:f>
      </x:c>
      <x:c r="D602" s="34" t="str">
        <x:v>investment_recovery_ratio</x:v>
      </x:c>
      <x:c r="E602" s="42" t="str">
        <x:f>IF(OR(B602="",COUNT('01_INPUT_COMPANIES'!$Y$66)=0),"",'01_INPUT_COMPANIES'!$Y$66)</x:f>
      </x:c>
      <x:c r="F602" s="42" t="n">
        <x:v>-1</x:v>
      </x:c>
      <x:c r="G602" s="42" t="str">
        <x:f>IF(NOT(ISNUMBER(E602)),"",MAX(K602,MIN(L602,E602*F602)))</x:f>
      </x:c>
      <x:c r="H602" s="42" t="n">
        <x:v>95</x:v>
      </x:c>
      <x:c r="I602" s="42" t="str">
        <x:f>IF(COUNT(G602)=0,"",(COUNTIFS('93_REF_ANCHORS'!$A$7:$A$766,D602,'93_REF_ANCHORS'!$C$7:$C$766,"&lt;"&amp;G602)+COUNTIFS('93_REF_ANCHORS'!$A$7:$A$766,D602,'93_REF_ANCHORS'!$C$7:$C$766,"&lt;="&amp;G602)-1)/(2*(H602-1)))</x:f>
      </x:c>
      <x:c r="J602" s="34" t="str">
        <x:f>IF(B602="","",IF(COUNT(E602)=0,"MISSING",IF(NOT(ISNUMBER(E602)),"INVALID",IF(E602*F602&lt;K602,"WINSORIZED LOW",IF(E602*F602&gt;L602,"WINSORIZED HIGH","OK")))))</x:f>
      </x:c>
      <x:c r="K602" s="34" t="n">
        <x:v>-3163.7500000000014</x:v>
      </x:c>
      <x:c r="L602" s="34" t="n">
        <x:v>189.68191301719997</x:v>
      </x:c>
      <x:c r="M602" s="34" t="n">
        <x:v>0.08333333333333333</x:v>
      </x:c>
      <x:c r="N602" s="34" t="str">
        <x:v>no</x:v>
      </x:c>
    </x:row>
    <x:row r="603">
      <x:c r="A603" s="34" t="n">
        <x:v>60</x:v>
      </x:c>
      <x:c r="B603" s="34" t="str">
        <x:f>IF('01_INPUT_COMPANIES'!$A$66="","",'01_INPUT_COMPANIES'!$A$66)</x:f>
      </x:c>
      <x:c r="C603" s="34" t="str">
        <x:f>IF(B603="","",'01_INPUT_COMPANIES'!$B$66)</x:f>
      </x:c>
      <x:c r="D603" s="34" t="str">
        <x:v>ip_assetization_gap</x:v>
      </x:c>
      <x:c r="E603" s="42" t="str">
        <x:f>IF(OR(B603="",COUNT('01_INPUT_COMPANIES'!$Z$66)=0),"",'01_INPUT_COMPANIES'!$Z$66)</x:f>
      </x:c>
      <x:c r="F603" s="42" t="n">
        <x:v>1</x:v>
      </x:c>
      <x:c r="G603" s="42" t="str">
        <x:f>IF(NOT(ISNUMBER(E603)),"",MAX(K603,MIN(L603,E603*F603)))</x:f>
      </x:c>
      <x:c r="H603" s="42" t="n">
        <x:v>92</x:v>
      </x:c>
      <x:c r="I603" s="42" t="str">
        <x:f>IF(COUNT(G603)=0,"",(COUNTIFS('93_REF_ANCHORS'!$A$7:$A$766,D603,'93_REF_ANCHORS'!$C$7:$C$766,"&lt;"&amp;G603)+COUNTIFS('93_REF_ANCHORS'!$A$7:$A$766,D603,'93_REF_ANCHORS'!$C$7:$C$766,"&lt;="&amp;G603)-1)/(2*(H603-1)))</x:f>
      </x:c>
      <x:c r="J603" s="34" t="str">
        <x:f>IF(B603="","",IF(COUNT(E603)=0,"MISSING",IF(NOT(ISNUMBER(E603)),"INVALID",IF(E603*F603&lt;K603,"WINSORIZED LOW",IF(E603*F603&gt;L603,"WINSORIZED HIGH","OK")))))</x:f>
      </x:c>
      <x:c r="K603" s="34" t="n">
        <x:v>-1.6707152386</x:v>
      </x:c>
      <x:c r="L603" s="34" t="n">
        <x:v>0.7716332556000001</x:v>
      </x:c>
      <x:c r="M603" s="34" t="n">
        <x:v>0.08333333333333333</x:v>
      </x:c>
      <x:c r="N603" s="34" t="str">
        <x:v>no</x:v>
      </x:c>
    </x:row>
    <x:row r="604">
      <x:c r="A604" s="34" t="n">
        <x:v>60</x:v>
      </x:c>
      <x:c r="B604" s="34" t="str">
        <x:f>IF('01_INPUT_COMPANIES'!$A$66="","",'01_INPUT_COMPANIES'!$A$66)</x:f>
      </x:c>
      <x:c r="C604" s="34" t="str">
        <x:f>IF(B604="","",'01_INPUT_COMPANIES'!$B$66)</x:f>
      </x:c>
      <x:c r="D604" s="34" t="str">
        <x:v>cross_market_transfer_index</x:v>
      </x:c>
      <x:c r="E604" s="42" t="str">
        <x:f>IF(OR(B604="",COUNT('01_INPUT_COMPANIES'!$AA$66)=0),"",'01_INPUT_COMPANIES'!$AA$66)</x:f>
      </x:c>
      <x:c r="F604" s="42" t="n">
        <x:v>1</x:v>
      </x:c>
      <x:c r="G604" s="42" t="str">
        <x:f>IF(NOT(ISNUMBER(E604)),"",MAX(K604,MIN(L604,E604*F604)))</x:f>
      </x:c>
      <x:c r="H604" s="42" t="n">
        <x:v>4</x:v>
      </x:c>
      <x:c r="I604" s="42" t="str">
        <x:f>IF(COUNT(G604)=0,"",(COUNTIFS('93_REF_ANCHORS'!$A$7:$A$766,D604,'93_REF_ANCHORS'!$C$7:$C$766,"&lt;"&amp;G604)+COUNTIFS('93_REF_ANCHORS'!$A$7:$A$766,D604,'93_REF_ANCHORS'!$C$7:$C$766,"&lt;="&amp;G604)-1)/(2*(H604-1)))</x:f>
      </x:c>
      <x:c r="J604" s="34" t="str">
        <x:f>IF(B604="","",IF(COUNT(E604)=0,"MISSING",IF(NOT(ISNUMBER(E604)),"INVALID",IF(E604*F604&lt;K604,"WINSORIZED LOW",IF(E604*F604&gt;L604,"WINSORIZED HIGH","OK")))))</x:f>
      </x:c>
      <x:c r="K604" s="34" t="n">
        <x:v>0</x:v>
      </x:c>
      <x:c r="L604" s="34" t="n">
        <x:v>0.7587051325360435</x:v>
      </x:c>
      <x:c r="M604" s="34" t="n">
        <x:v>0.1111111111111111</x:v>
      </x:c>
      <x:c r="N604" s="34" t="str">
        <x:v>yes</x:v>
      </x:c>
    </x:row>
    <x:row r="605">
      <x:c r="A605" s="34" t="n">
        <x:v>60</x:v>
      </x:c>
      <x:c r="B605" s="34" t="str">
        <x:f>IF('01_INPUT_COMPANIES'!$A$66="","",'01_INPUT_COMPANIES'!$A$66)</x:f>
      </x:c>
      <x:c r="C605" s="34" t="str">
        <x:f>IF(B605="","",'01_INPUT_COMPANIES'!$B$66)</x:f>
      </x:c>
      <x:c r="D605" s="34" t="str">
        <x:v>foreign_dependency_ratio</x:v>
      </x:c>
      <x:c r="E605" s="42" t="str">
        <x:f>IF(OR(B605="",COUNT('01_INPUT_COMPANIES'!$AB$66)=0),"",'01_INPUT_COMPANIES'!$AB$66)</x:f>
      </x:c>
      <x:c r="F605" s="42" t="n">
        <x:v>1</x:v>
      </x:c>
      <x:c r="G605" s="42" t="str">
        <x:f>IF(NOT(ISNUMBER(E605)),"",MAX(K605,MIN(L605,E605*F605)))</x:f>
      </x:c>
      <x:c r="H605" s="42" t="n">
        <x:v>84</x:v>
      </x:c>
      <x:c r="I605" s="42" t="str">
        <x:f>IF(COUNT(G605)=0,"",(COUNTIFS('93_REF_ANCHORS'!$A$7:$A$766,D605,'93_REF_ANCHORS'!$C$7:$C$766,"&lt;"&amp;G605)+COUNTIFS('93_REF_ANCHORS'!$A$7:$A$766,D605,'93_REF_ANCHORS'!$C$7:$C$766,"&lt;="&amp;G605)-1)/(2*(H605-1)))</x:f>
      </x:c>
      <x:c r="J605" s="34" t="str">
        <x:f>IF(B605="","",IF(COUNT(E605)=0,"MISSING",IF(NOT(ISNUMBER(E605)),"INVALID",IF(E605*F605&lt;K605,"WINSORIZED LOW",IF(E605*F605&gt;L605,"WINSORIZED HIGH","OK")))))</x:f>
      </x:c>
      <x:c r="K605" s="34" t="n">
        <x:v>0.728196</x:v>
      </x:c>
      <x:c r="L605" s="34" t="n">
        <x:v>0.94</x:v>
      </x:c>
      <x:c r="M605" s="34" t="n">
        <x:v>0.1111111111111111</x:v>
      </x:c>
      <x:c r="N605" s="34" t="str">
        <x:v>yes</x:v>
      </x:c>
    </x:row>
    <x:row r="606">
      <x:c r="A606" s="34" t="n">
        <x:v>60</x:v>
      </x:c>
      <x:c r="B606" s="34" t="str">
        <x:f>IF('01_INPUT_COMPANIES'!$A$66="","",'01_INPUT_COMPANIES'!$A$66)</x:f>
      </x:c>
      <x:c r="C606" s="34" t="str">
        <x:f>IF(B606="","",'01_INPUT_COMPANIES'!$B$66)</x:f>
      </x:c>
      <x:c r="D606" s="34" t="str">
        <x:v>outflow_to_capex_ratio</x:v>
      </x:c>
      <x:c r="E606" s="42" t="str">
        <x:f>IF(OR(B606="",COUNT('01_INPUT_COMPANIES'!$AC$66)=0),"",'01_INPUT_COMPANIES'!$AC$66)</x:f>
      </x:c>
      <x:c r="F606" s="42" t="n">
        <x:v>1</x:v>
      </x:c>
      <x:c r="G606" s="42" t="str">
        <x:f>IF(NOT(ISNUMBER(E606)),"",MAX(K606,MIN(L606,E606*F606)))</x:f>
      </x:c>
      <x:c r="H606" s="42" t="n">
        <x:v>97</x:v>
      </x:c>
      <x:c r="I606" s="42" t="str">
        <x:f>IF(COUNT(G606)=0,"",(COUNTIFS('93_REF_ANCHORS'!$A$7:$A$766,D606,'93_REF_ANCHORS'!$C$7:$C$766,"&lt;"&amp;G606)+COUNTIFS('93_REF_ANCHORS'!$A$7:$A$766,D606,'93_REF_ANCHORS'!$C$7:$C$766,"&lt;="&amp;G606)-1)/(2*(H606-1)))</x:f>
      </x:c>
      <x:c r="J606" s="34" t="str">
        <x:f>IF(B606="","",IF(COUNT(E606)=0,"MISSING",IF(NOT(ISNUMBER(E606)),"INVALID",IF(E606*F606&lt;K606,"WINSORIZED LOW",IF(E606*F606&gt;L606,"WINSORIZED HIGH","OK")))))</x:f>
      </x:c>
      <x:c r="K606" s="34" t="n">
        <x:v>-123.5385890408</x:v>
      </x:c>
      <x:c r="L606" s="34" t="n">
        <x:v>974.1666666666999</x:v>
      </x:c>
      <x:c r="M606" s="34" t="n">
        <x:v>0.1111111111111111</x:v>
      </x:c>
      <x:c r="N606" s="34" t="str">
        <x:v>no</x:v>
      </x:c>
    </x:row>
    <x:row r="607">
      <x:c r="A607" s="34" t="n">
        <x:v>61</x:v>
      </x:c>
      <x:c r="B607" s="34" t="str">
        <x:f>IF('01_INPUT_COMPANIES'!$A$67="","",'01_INPUT_COMPANIES'!$A$67)</x:f>
      </x:c>
      <x:c r="C607" s="34" t="str">
        <x:f>IF(B607="","",'01_INPUT_COMPANIES'!$B$67)</x:f>
      </x:c>
      <x:c r="D607" s="34" t="str">
        <x:v>effective_tax_rate_gap</x:v>
      </x:c>
      <x:c r="E607" s="42" t="str">
        <x:f>IF(OR(B607="",COUNT('01_INPUT_COMPANIES'!$T$67)=0),"",'01_INPUT_COMPANIES'!$T$67)</x:f>
      </x:c>
      <x:c r="F607" s="42" t="n">
        <x:v>1</x:v>
      </x:c>
      <x:c r="G607" s="42" t="str">
        <x:f>IF(NOT(ISNUMBER(E607)),"",MAX(K607,MIN(L607,E607*F607)))</x:f>
      </x:c>
      <x:c r="H607" s="42" t="n">
        <x:v>74</x:v>
      </x:c>
      <x:c r="I607" s="42" t="str">
        <x:f>IF(COUNT(G607)=0,"",(COUNTIFS('93_REF_ANCHORS'!$A$7:$A$766,D607,'93_REF_ANCHORS'!$C$7:$C$766,"&lt;"&amp;G607)+COUNTIFS('93_REF_ANCHORS'!$A$7:$A$766,D607,'93_REF_ANCHORS'!$C$7:$C$766,"&lt;="&amp;G607)-1)/(2*(H607-1)))</x:f>
      </x:c>
      <x:c r="J607" s="34" t="str">
        <x:f>IF(B607="","",IF(COUNT(E607)=0,"MISSING",IF(NOT(ISNUMBER(E607)),"INVALID",IF(E607*F607&lt;K607,"WINSORIZED LOW",IF(E607*F607&gt;L607,"WINSORIZED HIGH","OK")))))</x:f>
      </x:c>
      <x:c r="K607" s="34" t="n">
        <x:v>-0.1416111014</x:v>
      </x:c>
      <x:c r="L607" s="34" t="n">
        <x:v>0.2683650488</x:v>
      </x:c>
      <x:c r="M607" s="34" t="n">
        <x:v>0.1111111111111111</x:v>
      </x:c>
      <x:c r="N607" s="34" t="str">
        <x:v>no</x:v>
      </x:c>
    </x:row>
    <x:row r="608">
      <x:c r="A608" s="34" t="n">
        <x:v>61</x:v>
      </x:c>
      <x:c r="B608" s="34" t="str">
        <x:f>IF('01_INPUT_COMPANIES'!$A$67="","",'01_INPUT_COMPANIES'!$A$67)</x:f>
      </x:c>
      <x:c r="C608" s="34" t="str">
        <x:f>IF(B608="","",'01_INPUT_COMPANIES'!$B$67)</x:f>
      </x:c>
      <x:c r="D608" s="34" t="str">
        <x:v>infra_dependency_ratio</x:v>
      </x:c>
      <x:c r="E608" s="42" t="str">
        <x:f>IF(OR(B608="",COUNT('01_INPUT_COMPANIES'!$U$67)=0),"",'01_INPUT_COMPANIES'!$U$67)</x:f>
      </x:c>
      <x:c r="F608" s="42" t="n">
        <x:v>1</x:v>
      </x:c>
      <x:c r="G608" s="42" t="str">
        <x:f>IF(NOT(ISNUMBER(E608)),"",MAX(K608,MIN(L608,E608*F608)))</x:f>
      </x:c>
      <x:c r="H608" s="42" t="n">
        <x:v>64</x:v>
      </x:c>
      <x:c r="I608" s="42" t="str">
        <x:f>IF(COUNT(G608)=0,"",(COUNTIFS('93_REF_ANCHORS'!$A$7:$A$766,D608,'93_REF_ANCHORS'!$C$7:$C$766,"&lt;"&amp;G608)+COUNTIFS('93_REF_ANCHORS'!$A$7:$A$766,D608,'93_REF_ANCHORS'!$C$7:$C$766,"&lt;="&amp;G608)-1)/(2*(H608-1)))</x:f>
      </x:c>
      <x:c r="J608" s="34" t="str">
        <x:f>IF(B608="","",IF(COUNT(E608)=0,"MISSING",IF(NOT(ISNUMBER(E608)),"INVALID",IF(E608*F608&lt;K608,"WINSORIZED LOW",IF(E608*F608&gt;L608,"WINSORIZED HIGH","OK")))))</x:f>
      </x:c>
      <x:c r="K608" s="34" t="n">
        <x:v>-0.10705024705171803</x:v>
      </x:c>
      <x:c r="L608" s="34" t="n">
        <x:v>0.8008753865408955</x:v>
      </x:c>
      <x:c r="M608" s="34" t="n">
        <x:v>0.1111111111111111</x:v>
      </x:c>
      <x:c r="N608" s="34" t="str">
        <x:v>no</x:v>
      </x:c>
    </x:row>
    <x:row r="609">
      <x:c r="A609" s="34" t="n">
        <x:v>61</x:v>
      </x:c>
      <x:c r="B609" s="34" t="str">
        <x:f>IF('01_INPUT_COMPANIES'!$A$67="","",'01_INPUT_COMPANIES'!$A$67)</x:f>
      </x:c>
      <x:c r="C609" s="34" t="str">
        <x:f>IF(B609="","",'01_INPUT_COMPANIES'!$B$67)</x:f>
      </x:c>
      <x:c r="D609" s="34" t="str">
        <x:v>network_cost_ratio</x:v>
      </x:c>
      <x:c r="E609" s="42" t="str">
        <x:f>IF(OR(B609="",COUNT('01_INPUT_COMPANIES'!$V$67)=0),"",'01_INPUT_COMPANIES'!$V$67)</x:f>
      </x:c>
      <x:c r="F609" s="42" t="n">
        <x:v>1</x:v>
      </x:c>
      <x:c r="G609" s="42" t="str">
        <x:f>IF(NOT(ISNUMBER(E609)),"",MAX(K609,MIN(L609,E609*F609)))</x:f>
      </x:c>
      <x:c r="H609" s="42" t="n">
        <x:v>97</x:v>
      </x:c>
      <x:c r="I609" s="42" t="str">
        <x:f>IF(COUNT(G609)=0,"",(COUNTIFS('93_REF_ANCHORS'!$A$7:$A$766,D609,'93_REF_ANCHORS'!$C$7:$C$766,"&lt;"&amp;G609)+COUNTIFS('93_REF_ANCHORS'!$A$7:$A$766,D609,'93_REF_ANCHORS'!$C$7:$C$766,"&lt;="&amp;G609)-1)/(2*(H609-1)))</x:f>
      </x:c>
      <x:c r="J609" s="34" t="str">
        <x:f>IF(B609="","",IF(COUNT(E609)=0,"MISSING",IF(NOT(ISNUMBER(E609)),"INVALID",IF(E609*F609&lt;K609,"WINSORIZED LOW",IF(E609*F609&gt;L609,"WINSORIZED HIGH","OK")))))</x:f>
      </x:c>
      <x:c r="K609" s="34" t="n">
        <x:v>-0.1395374353</x:v>
      </x:c>
      <x:c r="L609" s="34" t="n">
        <x:v>0.9274274845000001</x:v>
      </x:c>
      <x:c r="M609" s="34" t="n">
        <x:v>0.1111111111111111</x:v>
      </x:c>
      <x:c r="N609" s="34" t="str">
        <x:v>no</x:v>
      </x:c>
    </x:row>
    <x:row r="610">
      <x:c r="A610" s="34" t="n">
        <x:v>61</x:v>
      </x:c>
      <x:c r="B610" s="34" t="str">
        <x:f>IF('01_INPUT_COMPANIES'!$A$67="","",'01_INPUT_COMPANIES'!$A$67)</x:f>
      </x:c>
      <x:c r="C610" s="34" t="str">
        <x:f>IF(B610="","",'01_INPUT_COMPANIES'!$B$67)</x:f>
      </x:c>
      <x:c r="D610" s="34" t="str">
        <x:v>cashflow_recovery_ratio</x:v>
      </x:c>
      <x:c r="E610" s="42" t="str">
        <x:f>IF(OR(B610="",COUNT('01_INPUT_COMPANIES'!$W$67)=0),"",'01_INPUT_COMPANIES'!$W$67)</x:f>
      </x:c>
      <x:c r="F610" s="42" t="n">
        <x:v>-1</x:v>
      </x:c>
      <x:c r="G610" s="42" t="str">
        <x:f>IF(NOT(ISNUMBER(E610)),"",MAX(K610,MIN(L610,E610*F610)))</x:f>
      </x:c>
      <x:c r="H610" s="42" t="n">
        <x:v>95</x:v>
      </x:c>
      <x:c r="I610" s="42" t="str">
        <x:f>IF(COUNT(G610)=0,"",(COUNTIFS('93_REF_ANCHORS'!$A$7:$A$766,D610,'93_REF_ANCHORS'!$C$7:$C$766,"&lt;"&amp;G610)+COUNTIFS('93_REF_ANCHORS'!$A$7:$A$766,D610,'93_REF_ANCHORS'!$C$7:$C$766,"&lt;="&amp;G610)-1)/(2*(H610-1)))</x:f>
      </x:c>
      <x:c r="J610" s="34" t="str">
        <x:f>IF(B610="","",IF(COUNT(E610)=0,"MISSING",IF(NOT(ISNUMBER(E610)),"INVALID",IF(E610*F610&lt;K610,"WINSORIZED LOW",IF(E610*F610&gt;L610,"WINSORIZED HIGH","OK")))))</x:f>
      </x:c>
      <x:c r="K610" s="34" t="n">
        <x:v>-300.75</x:v>
      </x:c>
      <x:c r="L610" s="34" t="n">
        <x:v>42.6920305469</x:v>
      </x:c>
      <x:c r="M610" s="34" t="n">
        <x:v>0.08333333333333333</x:v>
      </x:c>
      <x:c r="N610" s="34" t="str">
        <x:v>no</x:v>
      </x:c>
    </x:row>
    <x:row r="611">
      <x:c r="A611" s="34" t="n">
        <x:v>61</x:v>
      </x:c>
      <x:c r="B611" s="34" t="str">
        <x:f>IF('01_INPUT_COMPANIES'!$A$67="","",'01_INPUT_COMPANIES'!$A$67)</x:f>
      </x:c>
      <x:c r="C611" s="34" t="str">
        <x:f>IF(B611="","",'01_INPUT_COMPANIES'!$B$67)</x:f>
      </x:c>
      <x:c r="D611" s="34" t="str">
        <x:v>funding_cost_spread</x:v>
      </x:c>
      <x:c r="E611" s="42" t="str">
        <x:f>IF(OR(B611="",COUNT('01_INPUT_COMPANIES'!$X$67)=0),"",'01_INPUT_COMPANIES'!$X$67)</x:f>
      </x:c>
      <x:c r="F611" s="42" t="n">
        <x:v>1</x:v>
      </x:c>
      <x:c r="G611" s="42" t="str">
        <x:f>IF(NOT(ISNUMBER(E611)),"",MAX(K611,MIN(L611,E611*F611)))</x:f>
      </x:c>
      <x:c r="H611" s="42" t="n">
        <x:v>58</x:v>
      </x:c>
      <x:c r="I611" s="42" t="str">
        <x:f>IF(COUNT(G611)=0,"",(COUNTIFS('93_REF_ANCHORS'!$A$7:$A$766,D611,'93_REF_ANCHORS'!$C$7:$C$766,"&lt;"&amp;G611)+COUNTIFS('93_REF_ANCHORS'!$A$7:$A$766,D611,'93_REF_ANCHORS'!$C$7:$C$766,"&lt;="&amp;G611)-1)/(2*(H611-1)))</x:f>
      </x:c>
      <x:c r="J611" s="34" t="str">
        <x:f>IF(B611="","",IF(COUNT(E611)=0,"MISSING",IF(NOT(ISNUMBER(E611)),"INVALID",IF(E611*F611&lt;K611,"WINSORIZED LOW",IF(E611*F611&gt;L611,"WINSORIZED HIGH","OK")))))</x:f>
      </x:c>
      <x:c r="K611" s="34" t="n">
        <x:v>-0.4430292903</x:v>
      </x:c>
      <x:c r="L611" s="34" t="n">
        <x:v>0.5068913103</x:v>
      </x:c>
      <x:c r="M611" s="34" t="n">
        <x:v>0.08333333333333333</x:v>
      </x:c>
      <x:c r="N611" s="34" t="str">
        <x:v>no</x:v>
      </x:c>
    </x:row>
    <x:row r="612">
      <x:c r="A612" s="34" t="n">
        <x:v>61</x:v>
      </x:c>
      <x:c r="B612" s="34" t="str">
        <x:f>IF('01_INPUT_COMPANIES'!$A$67="","",'01_INPUT_COMPANIES'!$A$67)</x:f>
      </x:c>
      <x:c r="C612" s="34" t="str">
        <x:f>IF(B612="","",'01_INPUT_COMPANIES'!$B$67)</x:f>
      </x:c>
      <x:c r="D612" s="34" t="str">
        <x:v>investment_recovery_ratio</x:v>
      </x:c>
      <x:c r="E612" s="42" t="str">
        <x:f>IF(OR(B612="",COUNT('01_INPUT_COMPANIES'!$Y$67)=0),"",'01_INPUT_COMPANIES'!$Y$67)</x:f>
      </x:c>
      <x:c r="F612" s="42" t="n">
        <x:v>-1</x:v>
      </x:c>
      <x:c r="G612" s="42" t="str">
        <x:f>IF(NOT(ISNUMBER(E612)),"",MAX(K612,MIN(L612,E612*F612)))</x:f>
      </x:c>
      <x:c r="H612" s="42" t="n">
        <x:v>95</x:v>
      </x:c>
      <x:c r="I612" s="42" t="str">
        <x:f>IF(COUNT(G612)=0,"",(COUNTIFS('93_REF_ANCHORS'!$A$7:$A$766,D612,'93_REF_ANCHORS'!$C$7:$C$766,"&lt;"&amp;G612)+COUNTIFS('93_REF_ANCHORS'!$A$7:$A$766,D612,'93_REF_ANCHORS'!$C$7:$C$766,"&lt;="&amp;G612)-1)/(2*(H612-1)))</x:f>
      </x:c>
      <x:c r="J612" s="34" t="str">
        <x:f>IF(B612="","",IF(COUNT(E612)=0,"MISSING",IF(NOT(ISNUMBER(E612)),"INVALID",IF(E612*F612&lt;K612,"WINSORIZED LOW",IF(E612*F612&gt;L612,"WINSORIZED HIGH","OK")))))</x:f>
      </x:c>
      <x:c r="K612" s="34" t="n">
        <x:v>-3163.7500000000014</x:v>
      </x:c>
      <x:c r="L612" s="34" t="n">
        <x:v>189.68191301719997</x:v>
      </x:c>
      <x:c r="M612" s="34" t="n">
        <x:v>0.08333333333333333</x:v>
      </x:c>
      <x:c r="N612" s="34" t="str">
        <x:v>no</x:v>
      </x:c>
    </x:row>
    <x:row r="613">
      <x:c r="A613" s="34" t="n">
        <x:v>61</x:v>
      </x:c>
      <x:c r="B613" s="34" t="str">
        <x:f>IF('01_INPUT_COMPANIES'!$A$67="","",'01_INPUT_COMPANIES'!$A$67)</x:f>
      </x:c>
      <x:c r="C613" s="34" t="str">
        <x:f>IF(B613="","",'01_INPUT_COMPANIES'!$B$67)</x:f>
      </x:c>
      <x:c r="D613" s="34" t="str">
        <x:v>ip_assetization_gap</x:v>
      </x:c>
      <x:c r="E613" s="42" t="str">
        <x:f>IF(OR(B613="",COUNT('01_INPUT_COMPANIES'!$Z$67)=0),"",'01_INPUT_COMPANIES'!$Z$67)</x:f>
      </x:c>
      <x:c r="F613" s="42" t="n">
        <x:v>1</x:v>
      </x:c>
      <x:c r="G613" s="42" t="str">
        <x:f>IF(NOT(ISNUMBER(E613)),"",MAX(K613,MIN(L613,E613*F613)))</x:f>
      </x:c>
      <x:c r="H613" s="42" t="n">
        <x:v>92</x:v>
      </x:c>
      <x:c r="I613" s="42" t="str">
        <x:f>IF(COUNT(G613)=0,"",(COUNTIFS('93_REF_ANCHORS'!$A$7:$A$766,D613,'93_REF_ANCHORS'!$C$7:$C$766,"&lt;"&amp;G613)+COUNTIFS('93_REF_ANCHORS'!$A$7:$A$766,D613,'93_REF_ANCHORS'!$C$7:$C$766,"&lt;="&amp;G613)-1)/(2*(H613-1)))</x:f>
      </x:c>
      <x:c r="J613" s="34" t="str">
        <x:f>IF(B613="","",IF(COUNT(E613)=0,"MISSING",IF(NOT(ISNUMBER(E613)),"INVALID",IF(E613*F613&lt;K613,"WINSORIZED LOW",IF(E613*F613&gt;L613,"WINSORIZED HIGH","OK")))))</x:f>
      </x:c>
      <x:c r="K613" s="34" t="n">
        <x:v>-1.6707152386</x:v>
      </x:c>
      <x:c r="L613" s="34" t="n">
        <x:v>0.7716332556000001</x:v>
      </x:c>
      <x:c r="M613" s="34" t="n">
        <x:v>0.08333333333333333</x:v>
      </x:c>
      <x:c r="N613" s="34" t="str">
        <x:v>no</x:v>
      </x:c>
    </x:row>
    <x:row r="614">
      <x:c r="A614" s="34" t="n">
        <x:v>61</x:v>
      </x:c>
      <x:c r="B614" s="34" t="str">
        <x:f>IF('01_INPUT_COMPANIES'!$A$67="","",'01_INPUT_COMPANIES'!$A$67)</x:f>
      </x:c>
      <x:c r="C614" s="34" t="str">
        <x:f>IF(B614="","",'01_INPUT_COMPANIES'!$B$67)</x:f>
      </x:c>
      <x:c r="D614" s="34" t="str">
        <x:v>cross_market_transfer_index</x:v>
      </x:c>
      <x:c r="E614" s="42" t="str">
        <x:f>IF(OR(B614="",COUNT('01_INPUT_COMPANIES'!$AA$67)=0),"",'01_INPUT_COMPANIES'!$AA$67)</x:f>
      </x:c>
      <x:c r="F614" s="42" t="n">
        <x:v>1</x:v>
      </x:c>
      <x:c r="G614" s="42" t="str">
        <x:f>IF(NOT(ISNUMBER(E614)),"",MAX(K614,MIN(L614,E614*F614)))</x:f>
      </x:c>
      <x:c r="H614" s="42" t="n">
        <x:v>4</x:v>
      </x:c>
      <x:c r="I614" s="42" t="str">
        <x:f>IF(COUNT(G614)=0,"",(COUNTIFS('93_REF_ANCHORS'!$A$7:$A$766,D614,'93_REF_ANCHORS'!$C$7:$C$766,"&lt;"&amp;G614)+COUNTIFS('93_REF_ANCHORS'!$A$7:$A$766,D614,'93_REF_ANCHORS'!$C$7:$C$766,"&lt;="&amp;G614)-1)/(2*(H614-1)))</x:f>
      </x:c>
      <x:c r="J614" s="34" t="str">
        <x:f>IF(B614="","",IF(COUNT(E614)=0,"MISSING",IF(NOT(ISNUMBER(E614)),"INVALID",IF(E614*F614&lt;K614,"WINSORIZED LOW",IF(E614*F614&gt;L614,"WINSORIZED HIGH","OK")))))</x:f>
      </x:c>
      <x:c r="K614" s="34" t="n">
        <x:v>0</x:v>
      </x:c>
      <x:c r="L614" s="34" t="n">
        <x:v>0.7587051325360435</x:v>
      </x:c>
      <x:c r="M614" s="34" t="n">
        <x:v>0.1111111111111111</x:v>
      </x:c>
      <x:c r="N614" s="34" t="str">
        <x:v>yes</x:v>
      </x:c>
    </x:row>
    <x:row r="615">
      <x:c r="A615" s="34" t="n">
        <x:v>61</x:v>
      </x:c>
      <x:c r="B615" s="34" t="str">
        <x:f>IF('01_INPUT_COMPANIES'!$A$67="","",'01_INPUT_COMPANIES'!$A$67)</x:f>
      </x:c>
      <x:c r="C615" s="34" t="str">
        <x:f>IF(B615="","",'01_INPUT_COMPANIES'!$B$67)</x:f>
      </x:c>
      <x:c r="D615" s="34" t="str">
        <x:v>foreign_dependency_ratio</x:v>
      </x:c>
      <x:c r="E615" s="42" t="str">
        <x:f>IF(OR(B615="",COUNT('01_INPUT_COMPANIES'!$AB$67)=0),"",'01_INPUT_COMPANIES'!$AB$67)</x:f>
      </x:c>
      <x:c r="F615" s="42" t="n">
        <x:v>1</x:v>
      </x:c>
      <x:c r="G615" s="42" t="str">
        <x:f>IF(NOT(ISNUMBER(E615)),"",MAX(K615,MIN(L615,E615*F615)))</x:f>
      </x:c>
      <x:c r="H615" s="42" t="n">
        <x:v>84</x:v>
      </x:c>
      <x:c r="I615" s="42" t="str">
        <x:f>IF(COUNT(G615)=0,"",(COUNTIFS('93_REF_ANCHORS'!$A$7:$A$766,D615,'93_REF_ANCHORS'!$C$7:$C$766,"&lt;"&amp;G615)+COUNTIFS('93_REF_ANCHORS'!$A$7:$A$766,D615,'93_REF_ANCHORS'!$C$7:$C$766,"&lt;="&amp;G615)-1)/(2*(H615-1)))</x:f>
      </x:c>
      <x:c r="J615" s="34" t="str">
        <x:f>IF(B615="","",IF(COUNT(E615)=0,"MISSING",IF(NOT(ISNUMBER(E615)),"INVALID",IF(E615*F615&lt;K615,"WINSORIZED LOW",IF(E615*F615&gt;L615,"WINSORIZED HIGH","OK")))))</x:f>
      </x:c>
      <x:c r="K615" s="34" t="n">
        <x:v>0.728196</x:v>
      </x:c>
      <x:c r="L615" s="34" t="n">
        <x:v>0.94</x:v>
      </x:c>
      <x:c r="M615" s="34" t="n">
        <x:v>0.1111111111111111</x:v>
      </x:c>
      <x:c r="N615" s="34" t="str">
        <x:v>yes</x:v>
      </x:c>
    </x:row>
    <x:row r="616">
      <x:c r="A616" s="34" t="n">
        <x:v>61</x:v>
      </x:c>
      <x:c r="B616" s="34" t="str">
        <x:f>IF('01_INPUT_COMPANIES'!$A$67="","",'01_INPUT_COMPANIES'!$A$67)</x:f>
      </x:c>
      <x:c r="C616" s="34" t="str">
        <x:f>IF(B616="","",'01_INPUT_COMPANIES'!$B$67)</x:f>
      </x:c>
      <x:c r="D616" s="34" t="str">
        <x:v>outflow_to_capex_ratio</x:v>
      </x:c>
      <x:c r="E616" s="42" t="str">
        <x:f>IF(OR(B616="",COUNT('01_INPUT_COMPANIES'!$AC$67)=0),"",'01_INPUT_COMPANIES'!$AC$67)</x:f>
      </x:c>
      <x:c r="F616" s="42" t="n">
        <x:v>1</x:v>
      </x:c>
      <x:c r="G616" s="42" t="str">
        <x:f>IF(NOT(ISNUMBER(E616)),"",MAX(K616,MIN(L616,E616*F616)))</x:f>
      </x:c>
      <x:c r="H616" s="42" t="n">
        <x:v>97</x:v>
      </x:c>
      <x:c r="I616" s="42" t="str">
        <x:f>IF(COUNT(G616)=0,"",(COUNTIFS('93_REF_ANCHORS'!$A$7:$A$766,D616,'93_REF_ANCHORS'!$C$7:$C$766,"&lt;"&amp;G616)+COUNTIFS('93_REF_ANCHORS'!$A$7:$A$766,D616,'93_REF_ANCHORS'!$C$7:$C$766,"&lt;="&amp;G616)-1)/(2*(H616-1)))</x:f>
      </x:c>
      <x:c r="J616" s="34" t="str">
        <x:f>IF(B616="","",IF(COUNT(E616)=0,"MISSING",IF(NOT(ISNUMBER(E616)),"INVALID",IF(E616*F616&lt;K616,"WINSORIZED LOW",IF(E616*F616&gt;L616,"WINSORIZED HIGH","OK")))))</x:f>
      </x:c>
      <x:c r="K616" s="34" t="n">
        <x:v>-123.5385890408</x:v>
      </x:c>
      <x:c r="L616" s="34" t="n">
        <x:v>974.1666666666999</x:v>
      </x:c>
      <x:c r="M616" s="34" t="n">
        <x:v>0.1111111111111111</x:v>
      </x:c>
      <x:c r="N616" s="34" t="str">
        <x:v>no</x:v>
      </x:c>
    </x:row>
    <x:row r="617">
      <x:c r="A617" s="34" t="n">
        <x:v>62</x:v>
      </x:c>
      <x:c r="B617" s="34" t="str">
        <x:f>IF('01_INPUT_COMPANIES'!$A$68="","",'01_INPUT_COMPANIES'!$A$68)</x:f>
      </x:c>
      <x:c r="C617" s="34" t="str">
        <x:f>IF(B617="","",'01_INPUT_COMPANIES'!$B$68)</x:f>
      </x:c>
      <x:c r="D617" s="34" t="str">
        <x:v>effective_tax_rate_gap</x:v>
      </x:c>
      <x:c r="E617" s="42" t="str">
        <x:f>IF(OR(B617="",COUNT('01_INPUT_COMPANIES'!$T$68)=0),"",'01_INPUT_COMPANIES'!$T$68)</x:f>
      </x:c>
      <x:c r="F617" s="42" t="n">
        <x:v>1</x:v>
      </x:c>
      <x:c r="G617" s="42" t="str">
        <x:f>IF(NOT(ISNUMBER(E617)),"",MAX(K617,MIN(L617,E617*F617)))</x:f>
      </x:c>
      <x:c r="H617" s="42" t="n">
        <x:v>74</x:v>
      </x:c>
      <x:c r="I617" s="42" t="str">
        <x:f>IF(COUNT(G617)=0,"",(COUNTIFS('93_REF_ANCHORS'!$A$7:$A$766,D617,'93_REF_ANCHORS'!$C$7:$C$766,"&lt;"&amp;G617)+COUNTIFS('93_REF_ANCHORS'!$A$7:$A$766,D617,'93_REF_ANCHORS'!$C$7:$C$766,"&lt;="&amp;G617)-1)/(2*(H617-1)))</x:f>
      </x:c>
      <x:c r="J617" s="34" t="str">
        <x:f>IF(B617="","",IF(COUNT(E617)=0,"MISSING",IF(NOT(ISNUMBER(E617)),"INVALID",IF(E617*F617&lt;K617,"WINSORIZED LOW",IF(E617*F617&gt;L617,"WINSORIZED HIGH","OK")))))</x:f>
      </x:c>
      <x:c r="K617" s="34" t="n">
        <x:v>-0.1416111014</x:v>
      </x:c>
      <x:c r="L617" s="34" t="n">
        <x:v>0.2683650488</x:v>
      </x:c>
      <x:c r="M617" s="34" t="n">
        <x:v>0.1111111111111111</x:v>
      </x:c>
      <x:c r="N617" s="34" t="str">
        <x:v>no</x:v>
      </x:c>
    </x:row>
    <x:row r="618">
      <x:c r="A618" s="34" t="n">
        <x:v>62</x:v>
      </x:c>
      <x:c r="B618" s="34" t="str">
        <x:f>IF('01_INPUT_COMPANIES'!$A$68="","",'01_INPUT_COMPANIES'!$A$68)</x:f>
      </x:c>
      <x:c r="C618" s="34" t="str">
        <x:f>IF(B618="","",'01_INPUT_COMPANIES'!$B$68)</x:f>
      </x:c>
      <x:c r="D618" s="34" t="str">
        <x:v>infra_dependency_ratio</x:v>
      </x:c>
      <x:c r="E618" s="42" t="str">
        <x:f>IF(OR(B618="",COUNT('01_INPUT_COMPANIES'!$U$68)=0),"",'01_INPUT_COMPANIES'!$U$68)</x:f>
      </x:c>
      <x:c r="F618" s="42" t="n">
        <x:v>1</x:v>
      </x:c>
      <x:c r="G618" s="42" t="str">
        <x:f>IF(NOT(ISNUMBER(E618)),"",MAX(K618,MIN(L618,E618*F618)))</x:f>
      </x:c>
      <x:c r="H618" s="42" t="n">
        <x:v>64</x:v>
      </x:c>
      <x:c r="I618" s="42" t="str">
        <x:f>IF(COUNT(G618)=0,"",(COUNTIFS('93_REF_ANCHORS'!$A$7:$A$766,D618,'93_REF_ANCHORS'!$C$7:$C$766,"&lt;"&amp;G618)+COUNTIFS('93_REF_ANCHORS'!$A$7:$A$766,D618,'93_REF_ANCHORS'!$C$7:$C$766,"&lt;="&amp;G618)-1)/(2*(H618-1)))</x:f>
      </x:c>
      <x:c r="J618" s="34" t="str">
        <x:f>IF(B618="","",IF(COUNT(E618)=0,"MISSING",IF(NOT(ISNUMBER(E618)),"INVALID",IF(E618*F618&lt;K618,"WINSORIZED LOW",IF(E618*F618&gt;L618,"WINSORIZED HIGH","OK")))))</x:f>
      </x:c>
      <x:c r="K618" s="34" t="n">
        <x:v>-0.10705024705171803</x:v>
      </x:c>
      <x:c r="L618" s="34" t="n">
        <x:v>0.8008753865408955</x:v>
      </x:c>
      <x:c r="M618" s="34" t="n">
        <x:v>0.1111111111111111</x:v>
      </x:c>
      <x:c r="N618" s="34" t="str">
        <x:v>no</x:v>
      </x:c>
    </x:row>
    <x:row r="619">
      <x:c r="A619" s="34" t="n">
        <x:v>62</x:v>
      </x:c>
      <x:c r="B619" s="34" t="str">
        <x:f>IF('01_INPUT_COMPANIES'!$A$68="","",'01_INPUT_COMPANIES'!$A$68)</x:f>
      </x:c>
      <x:c r="C619" s="34" t="str">
        <x:f>IF(B619="","",'01_INPUT_COMPANIES'!$B$68)</x:f>
      </x:c>
      <x:c r="D619" s="34" t="str">
        <x:v>network_cost_ratio</x:v>
      </x:c>
      <x:c r="E619" s="42" t="str">
        <x:f>IF(OR(B619="",COUNT('01_INPUT_COMPANIES'!$V$68)=0),"",'01_INPUT_COMPANIES'!$V$68)</x:f>
      </x:c>
      <x:c r="F619" s="42" t="n">
        <x:v>1</x:v>
      </x:c>
      <x:c r="G619" s="42" t="str">
        <x:f>IF(NOT(ISNUMBER(E619)),"",MAX(K619,MIN(L619,E619*F619)))</x:f>
      </x:c>
      <x:c r="H619" s="42" t="n">
        <x:v>97</x:v>
      </x:c>
      <x:c r="I619" s="42" t="str">
        <x:f>IF(COUNT(G619)=0,"",(COUNTIFS('93_REF_ANCHORS'!$A$7:$A$766,D619,'93_REF_ANCHORS'!$C$7:$C$766,"&lt;"&amp;G619)+COUNTIFS('93_REF_ANCHORS'!$A$7:$A$766,D619,'93_REF_ANCHORS'!$C$7:$C$766,"&lt;="&amp;G619)-1)/(2*(H619-1)))</x:f>
      </x:c>
      <x:c r="J619" s="34" t="str">
        <x:f>IF(B619="","",IF(COUNT(E619)=0,"MISSING",IF(NOT(ISNUMBER(E619)),"INVALID",IF(E619*F619&lt;K619,"WINSORIZED LOW",IF(E619*F619&gt;L619,"WINSORIZED HIGH","OK")))))</x:f>
      </x:c>
      <x:c r="K619" s="34" t="n">
        <x:v>-0.1395374353</x:v>
      </x:c>
      <x:c r="L619" s="34" t="n">
        <x:v>0.9274274845000001</x:v>
      </x:c>
      <x:c r="M619" s="34" t="n">
        <x:v>0.1111111111111111</x:v>
      </x:c>
      <x:c r="N619" s="34" t="str">
        <x:v>no</x:v>
      </x:c>
    </x:row>
    <x:row r="620">
      <x:c r="A620" s="34" t="n">
        <x:v>62</x:v>
      </x:c>
      <x:c r="B620" s="34" t="str">
        <x:f>IF('01_INPUT_COMPANIES'!$A$68="","",'01_INPUT_COMPANIES'!$A$68)</x:f>
      </x:c>
      <x:c r="C620" s="34" t="str">
        <x:f>IF(B620="","",'01_INPUT_COMPANIES'!$B$68)</x:f>
      </x:c>
      <x:c r="D620" s="34" t="str">
        <x:v>cashflow_recovery_ratio</x:v>
      </x:c>
      <x:c r="E620" s="42" t="str">
        <x:f>IF(OR(B620="",COUNT('01_INPUT_COMPANIES'!$W$68)=0),"",'01_INPUT_COMPANIES'!$W$68)</x:f>
      </x:c>
      <x:c r="F620" s="42" t="n">
        <x:v>-1</x:v>
      </x:c>
      <x:c r="G620" s="42" t="str">
        <x:f>IF(NOT(ISNUMBER(E620)),"",MAX(K620,MIN(L620,E620*F620)))</x:f>
      </x:c>
      <x:c r="H620" s="42" t="n">
        <x:v>95</x:v>
      </x:c>
      <x:c r="I620" s="42" t="str">
        <x:f>IF(COUNT(G620)=0,"",(COUNTIFS('93_REF_ANCHORS'!$A$7:$A$766,D620,'93_REF_ANCHORS'!$C$7:$C$766,"&lt;"&amp;G620)+COUNTIFS('93_REF_ANCHORS'!$A$7:$A$766,D620,'93_REF_ANCHORS'!$C$7:$C$766,"&lt;="&amp;G620)-1)/(2*(H620-1)))</x:f>
      </x:c>
      <x:c r="J620" s="34" t="str">
        <x:f>IF(B620="","",IF(COUNT(E620)=0,"MISSING",IF(NOT(ISNUMBER(E620)),"INVALID",IF(E620*F620&lt;K620,"WINSORIZED LOW",IF(E620*F620&gt;L620,"WINSORIZED HIGH","OK")))))</x:f>
      </x:c>
      <x:c r="K620" s="34" t="n">
        <x:v>-300.75</x:v>
      </x:c>
      <x:c r="L620" s="34" t="n">
        <x:v>42.6920305469</x:v>
      </x:c>
      <x:c r="M620" s="34" t="n">
        <x:v>0.08333333333333333</x:v>
      </x:c>
      <x:c r="N620" s="34" t="str">
        <x:v>no</x:v>
      </x:c>
    </x:row>
    <x:row r="621">
      <x:c r="A621" s="34" t="n">
        <x:v>62</x:v>
      </x:c>
      <x:c r="B621" s="34" t="str">
        <x:f>IF('01_INPUT_COMPANIES'!$A$68="","",'01_INPUT_COMPANIES'!$A$68)</x:f>
      </x:c>
      <x:c r="C621" s="34" t="str">
        <x:f>IF(B621="","",'01_INPUT_COMPANIES'!$B$68)</x:f>
      </x:c>
      <x:c r="D621" s="34" t="str">
        <x:v>funding_cost_spread</x:v>
      </x:c>
      <x:c r="E621" s="42" t="str">
        <x:f>IF(OR(B621="",COUNT('01_INPUT_COMPANIES'!$X$68)=0),"",'01_INPUT_COMPANIES'!$X$68)</x:f>
      </x:c>
      <x:c r="F621" s="42" t="n">
        <x:v>1</x:v>
      </x:c>
      <x:c r="G621" s="42" t="str">
        <x:f>IF(NOT(ISNUMBER(E621)),"",MAX(K621,MIN(L621,E621*F621)))</x:f>
      </x:c>
      <x:c r="H621" s="42" t="n">
        <x:v>58</x:v>
      </x:c>
      <x:c r="I621" s="42" t="str">
        <x:f>IF(COUNT(G621)=0,"",(COUNTIFS('93_REF_ANCHORS'!$A$7:$A$766,D621,'93_REF_ANCHORS'!$C$7:$C$766,"&lt;"&amp;G621)+COUNTIFS('93_REF_ANCHORS'!$A$7:$A$766,D621,'93_REF_ANCHORS'!$C$7:$C$766,"&lt;="&amp;G621)-1)/(2*(H621-1)))</x:f>
      </x:c>
      <x:c r="J621" s="34" t="str">
        <x:f>IF(B621="","",IF(COUNT(E621)=0,"MISSING",IF(NOT(ISNUMBER(E621)),"INVALID",IF(E621*F621&lt;K621,"WINSORIZED LOW",IF(E621*F621&gt;L621,"WINSORIZED HIGH","OK")))))</x:f>
      </x:c>
      <x:c r="K621" s="34" t="n">
        <x:v>-0.4430292903</x:v>
      </x:c>
      <x:c r="L621" s="34" t="n">
        <x:v>0.5068913103</x:v>
      </x:c>
      <x:c r="M621" s="34" t="n">
        <x:v>0.08333333333333333</x:v>
      </x:c>
      <x:c r="N621" s="34" t="str">
        <x:v>no</x:v>
      </x:c>
    </x:row>
    <x:row r="622">
      <x:c r="A622" s="34" t="n">
        <x:v>62</x:v>
      </x:c>
      <x:c r="B622" s="34" t="str">
        <x:f>IF('01_INPUT_COMPANIES'!$A$68="","",'01_INPUT_COMPANIES'!$A$68)</x:f>
      </x:c>
      <x:c r="C622" s="34" t="str">
        <x:f>IF(B622="","",'01_INPUT_COMPANIES'!$B$68)</x:f>
      </x:c>
      <x:c r="D622" s="34" t="str">
        <x:v>investment_recovery_ratio</x:v>
      </x:c>
      <x:c r="E622" s="42" t="str">
        <x:f>IF(OR(B622="",COUNT('01_INPUT_COMPANIES'!$Y$68)=0),"",'01_INPUT_COMPANIES'!$Y$68)</x:f>
      </x:c>
      <x:c r="F622" s="42" t="n">
        <x:v>-1</x:v>
      </x:c>
      <x:c r="G622" s="42" t="str">
        <x:f>IF(NOT(ISNUMBER(E622)),"",MAX(K622,MIN(L622,E622*F622)))</x:f>
      </x:c>
      <x:c r="H622" s="42" t="n">
        <x:v>95</x:v>
      </x:c>
      <x:c r="I622" s="42" t="str">
        <x:f>IF(COUNT(G622)=0,"",(COUNTIFS('93_REF_ANCHORS'!$A$7:$A$766,D622,'93_REF_ANCHORS'!$C$7:$C$766,"&lt;"&amp;G622)+COUNTIFS('93_REF_ANCHORS'!$A$7:$A$766,D622,'93_REF_ANCHORS'!$C$7:$C$766,"&lt;="&amp;G622)-1)/(2*(H622-1)))</x:f>
      </x:c>
      <x:c r="J622" s="34" t="str">
        <x:f>IF(B622="","",IF(COUNT(E622)=0,"MISSING",IF(NOT(ISNUMBER(E622)),"INVALID",IF(E622*F622&lt;K622,"WINSORIZED LOW",IF(E622*F622&gt;L622,"WINSORIZED HIGH","OK")))))</x:f>
      </x:c>
      <x:c r="K622" s="34" t="n">
        <x:v>-3163.7500000000014</x:v>
      </x:c>
      <x:c r="L622" s="34" t="n">
        <x:v>189.68191301719997</x:v>
      </x:c>
      <x:c r="M622" s="34" t="n">
        <x:v>0.08333333333333333</x:v>
      </x:c>
      <x:c r="N622" s="34" t="str">
        <x:v>no</x:v>
      </x:c>
    </x:row>
    <x:row r="623">
      <x:c r="A623" s="34" t="n">
        <x:v>62</x:v>
      </x:c>
      <x:c r="B623" s="34" t="str">
        <x:f>IF('01_INPUT_COMPANIES'!$A$68="","",'01_INPUT_COMPANIES'!$A$68)</x:f>
      </x:c>
      <x:c r="C623" s="34" t="str">
        <x:f>IF(B623="","",'01_INPUT_COMPANIES'!$B$68)</x:f>
      </x:c>
      <x:c r="D623" s="34" t="str">
        <x:v>ip_assetization_gap</x:v>
      </x:c>
      <x:c r="E623" s="42" t="str">
        <x:f>IF(OR(B623="",COUNT('01_INPUT_COMPANIES'!$Z$68)=0),"",'01_INPUT_COMPANIES'!$Z$68)</x:f>
      </x:c>
      <x:c r="F623" s="42" t="n">
        <x:v>1</x:v>
      </x:c>
      <x:c r="G623" s="42" t="str">
        <x:f>IF(NOT(ISNUMBER(E623)),"",MAX(K623,MIN(L623,E623*F623)))</x:f>
      </x:c>
      <x:c r="H623" s="42" t="n">
        <x:v>92</x:v>
      </x:c>
      <x:c r="I623" s="42" t="str">
        <x:f>IF(COUNT(G623)=0,"",(COUNTIFS('93_REF_ANCHORS'!$A$7:$A$766,D623,'93_REF_ANCHORS'!$C$7:$C$766,"&lt;"&amp;G623)+COUNTIFS('93_REF_ANCHORS'!$A$7:$A$766,D623,'93_REF_ANCHORS'!$C$7:$C$766,"&lt;="&amp;G623)-1)/(2*(H623-1)))</x:f>
      </x:c>
      <x:c r="J623" s="34" t="str">
        <x:f>IF(B623="","",IF(COUNT(E623)=0,"MISSING",IF(NOT(ISNUMBER(E623)),"INVALID",IF(E623*F623&lt;K623,"WINSORIZED LOW",IF(E623*F623&gt;L623,"WINSORIZED HIGH","OK")))))</x:f>
      </x:c>
      <x:c r="K623" s="34" t="n">
        <x:v>-1.6707152386</x:v>
      </x:c>
      <x:c r="L623" s="34" t="n">
        <x:v>0.7716332556000001</x:v>
      </x:c>
      <x:c r="M623" s="34" t="n">
        <x:v>0.08333333333333333</x:v>
      </x:c>
      <x:c r="N623" s="34" t="str">
        <x:v>no</x:v>
      </x:c>
    </x:row>
    <x:row r="624">
      <x:c r="A624" s="34" t="n">
        <x:v>62</x:v>
      </x:c>
      <x:c r="B624" s="34" t="str">
        <x:f>IF('01_INPUT_COMPANIES'!$A$68="","",'01_INPUT_COMPANIES'!$A$68)</x:f>
      </x:c>
      <x:c r="C624" s="34" t="str">
        <x:f>IF(B624="","",'01_INPUT_COMPANIES'!$B$68)</x:f>
      </x:c>
      <x:c r="D624" s="34" t="str">
        <x:v>cross_market_transfer_index</x:v>
      </x:c>
      <x:c r="E624" s="42" t="str">
        <x:f>IF(OR(B624="",COUNT('01_INPUT_COMPANIES'!$AA$68)=0),"",'01_INPUT_COMPANIES'!$AA$68)</x:f>
      </x:c>
      <x:c r="F624" s="42" t="n">
        <x:v>1</x:v>
      </x:c>
      <x:c r="G624" s="42" t="str">
        <x:f>IF(NOT(ISNUMBER(E624)),"",MAX(K624,MIN(L624,E624*F624)))</x:f>
      </x:c>
      <x:c r="H624" s="42" t="n">
        <x:v>4</x:v>
      </x:c>
      <x:c r="I624" s="42" t="str">
        <x:f>IF(COUNT(G624)=0,"",(COUNTIFS('93_REF_ANCHORS'!$A$7:$A$766,D624,'93_REF_ANCHORS'!$C$7:$C$766,"&lt;"&amp;G624)+COUNTIFS('93_REF_ANCHORS'!$A$7:$A$766,D624,'93_REF_ANCHORS'!$C$7:$C$766,"&lt;="&amp;G624)-1)/(2*(H624-1)))</x:f>
      </x:c>
      <x:c r="J624" s="34" t="str">
        <x:f>IF(B624="","",IF(COUNT(E624)=0,"MISSING",IF(NOT(ISNUMBER(E624)),"INVALID",IF(E624*F624&lt;K624,"WINSORIZED LOW",IF(E624*F624&gt;L624,"WINSORIZED HIGH","OK")))))</x:f>
      </x:c>
      <x:c r="K624" s="34" t="n">
        <x:v>0</x:v>
      </x:c>
      <x:c r="L624" s="34" t="n">
        <x:v>0.7587051325360435</x:v>
      </x:c>
      <x:c r="M624" s="34" t="n">
        <x:v>0.1111111111111111</x:v>
      </x:c>
      <x:c r="N624" s="34" t="str">
        <x:v>yes</x:v>
      </x:c>
    </x:row>
    <x:row r="625">
      <x:c r="A625" s="34" t="n">
        <x:v>62</x:v>
      </x:c>
      <x:c r="B625" s="34" t="str">
        <x:f>IF('01_INPUT_COMPANIES'!$A$68="","",'01_INPUT_COMPANIES'!$A$68)</x:f>
      </x:c>
      <x:c r="C625" s="34" t="str">
        <x:f>IF(B625="","",'01_INPUT_COMPANIES'!$B$68)</x:f>
      </x:c>
      <x:c r="D625" s="34" t="str">
        <x:v>foreign_dependency_ratio</x:v>
      </x:c>
      <x:c r="E625" s="42" t="str">
        <x:f>IF(OR(B625="",COUNT('01_INPUT_COMPANIES'!$AB$68)=0),"",'01_INPUT_COMPANIES'!$AB$68)</x:f>
      </x:c>
      <x:c r="F625" s="42" t="n">
        <x:v>1</x:v>
      </x:c>
      <x:c r="G625" s="42" t="str">
        <x:f>IF(NOT(ISNUMBER(E625)),"",MAX(K625,MIN(L625,E625*F625)))</x:f>
      </x:c>
      <x:c r="H625" s="42" t="n">
        <x:v>84</x:v>
      </x:c>
      <x:c r="I625" s="42" t="str">
        <x:f>IF(COUNT(G625)=0,"",(COUNTIFS('93_REF_ANCHORS'!$A$7:$A$766,D625,'93_REF_ANCHORS'!$C$7:$C$766,"&lt;"&amp;G625)+COUNTIFS('93_REF_ANCHORS'!$A$7:$A$766,D625,'93_REF_ANCHORS'!$C$7:$C$766,"&lt;="&amp;G625)-1)/(2*(H625-1)))</x:f>
      </x:c>
      <x:c r="J625" s="34" t="str">
        <x:f>IF(B625="","",IF(COUNT(E625)=0,"MISSING",IF(NOT(ISNUMBER(E625)),"INVALID",IF(E625*F625&lt;K625,"WINSORIZED LOW",IF(E625*F625&gt;L625,"WINSORIZED HIGH","OK")))))</x:f>
      </x:c>
      <x:c r="K625" s="34" t="n">
        <x:v>0.728196</x:v>
      </x:c>
      <x:c r="L625" s="34" t="n">
        <x:v>0.94</x:v>
      </x:c>
      <x:c r="M625" s="34" t="n">
        <x:v>0.1111111111111111</x:v>
      </x:c>
      <x:c r="N625" s="34" t="str">
        <x:v>yes</x:v>
      </x:c>
    </x:row>
    <x:row r="626">
      <x:c r="A626" s="34" t="n">
        <x:v>62</x:v>
      </x:c>
      <x:c r="B626" s="34" t="str">
        <x:f>IF('01_INPUT_COMPANIES'!$A$68="","",'01_INPUT_COMPANIES'!$A$68)</x:f>
      </x:c>
      <x:c r="C626" s="34" t="str">
        <x:f>IF(B626="","",'01_INPUT_COMPANIES'!$B$68)</x:f>
      </x:c>
      <x:c r="D626" s="34" t="str">
        <x:v>outflow_to_capex_ratio</x:v>
      </x:c>
      <x:c r="E626" s="42" t="str">
        <x:f>IF(OR(B626="",COUNT('01_INPUT_COMPANIES'!$AC$68)=0),"",'01_INPUT_COMPANIES'!$AC$68)</x:f>
      </x:c>
      <x:c r="F626" s="42" t="n">
        <x:v>1</x:v>
      </x:c>
      <x:c r="G626" s="42" t="str">
        <x:f>IF(NOT(ISNUMBER(E626)),"",MAX(K626,MIN(L626,E626*F626)))</x:f>
      </x:c>
      <x:c r="H626" s="42" t="n">
        <x:v>97</x:v>
      </x:c>
      <x:c r="I626" s="42" t="str">
        <x:f>IF(COUNT(G626)=0,"",(COUNTIFS('93_REF_ANCHORS'!$A$7:$A$766,D626,'93_REF_ANCHORS'!$C$7:$C$766,"&lt;"&amp;G626)+COUNTIFS('93_REF_ANCHORS'!$A$7:$A$766,D626,'93_REF_ANCHORS'!$C$7:$C$766,"&lt;="&amp;G626)-1)/(2*(H626-1)))</x:f>
      </x:c>
      <x:c r="J626" s="34" t="str">
        <x:f>IF(B626="","",IF(COUNT(E626)=0,"MISSING",IF(NOT(ISNUMBER(E626)),"INVALID",IF(E626*F626&lt;K626,"WINSORIZED LOW",IF(E626*F626&gt;L626,"WINSORIZED HIGH","OK")))))</x:f>
      </x:c>
      <x:c r="K626" s="34" t="n">
        <x:v>-123.5385890408</x:v>
      </x:c>
      <x:c r="L626" s="34" t="n">
        <x:v>974.1666666666999</x:v>
      </x:c>
      <x:c r="M626" s="34" t="n">
        <x:v>0.1111111111111111</x:v>
      </x:c>
      <x:c r="N626" s="34" t="str">
        <x:v>no</x:v>
      </x:c>
    </x:row>
    <x:row r="627">
      <x:c r="A627" s="34" t="n">
        <x:v>63</x:v>
      </x:c>
      <x:c r="B627" s="34" t="str">
        <x:f>IF('01_INPUT_COMPANIES'!$A$69="","",'01_INPUT_COMPANIES'!$A$69)</x:f>
      </x:c>
      <x:c r="C627" s="34" t="str">
        <x:f>IF(B627="","",'01_INPUT_COMPANIES'!$B$69)</x:f>
      </x:c>
      <x:c r="D627" s="34" t="str">
        <x:v>effective_tax_rate_gap</x:v>
      </x:c>
      <x:c r="E627" s="42" t="str">
        <x:f>IF(OR(B627="",COUNT('01_INPUT_COMPANIES'!$T$69)=0),"",'01_INPUT_COMPANIES'!$T$69)</x:f>
      </x:c>
      <x:c r="F627" s="42" t="n">
        <x:v>1</x:v>
      </x:c>
      <x:c r="G627" s="42" t="str">
        <x:f>IF(NOT(ISNUMBER(E627)),"",MAX(K627,MIN(L627,E627*F627)))</x:f>
      </x:c>
      <x:c r="H627" s="42" t="n">
        <x:v>74</x:v>
      </x:c>
      <x:c r="I627" s="42" t="str">
        <x:f>IF(COUNT(G627)=0,"",(COUNTIFS('93_REF_ANCHORS'!$A$7:$A$766,D627,'93_REF_ANCHORS'!$C$7:$C$766,"&lt;"&amp;G627)+COUNTIFS('93_REF_ANCHORS'!$A$7:$A$766,D627,'93_REF_ANCHORS'!$C$7:$C$766,"&lt;="&amp;G627)-1)/(2*(H627-1)))</x:f>
      </x:c>
      <x:c r="J627" s="34" t="str">
        <x:f>IF(B627="","",IF(COUNT(E627)=0,"MISSING",IF(NOT(ISNUMBER(E627)),"INVALID",IF(E627*F627&lt;K627,"WINSORIZED LOW",IF(E627*F627&gt;L627,"WINSORIZED HIGH","OK")))))</x:f>
      </x:c>
      <x:c r="K627" s="34" t="n">
        <x:v>-0.1416111014</x:v>
      </x:c>
      <x:c r="L627" s="34" t="n">
        <x:v>0.2683650488</x:v>
      </x:c>
      <x:c r="M627" s="34" t="n">
        <x:v>0.1111111111111111</x:v>
      </x:c>
      <x:c r="N627" s="34" t="str">
        <x:v>no</x:v>
      </x:c>
    </x:row>
    <x:row r="628">
      <x:c r="A628" s="34" t="n">
        <x:v>63</x:v>
      </x:c>
      <x:c r="B628" s="34" t="str">
        <x:f>IF('01_INPUT_COMPANIES'!$A$69="","",'01_INPUT_COMPANIES'!$A$69)</x:f>
      </x:c>
      <x:c r="C628" s="34" t="str">
        <x:f>IF(B628="","",'01_INPUT_COMPANIES'!$B$69)</x:f>
      </x:c>
      <x:c r="D628" s="34" t="str">
        <x:v>infra_dependency_ratio</x:v>
      </x:c>
      <x:c r="E628" s="42" t="str">
        <x:f>IF(OR(B628="",COUNT('01_INPUT_COMPANIES'!$U$69)=0),"",'01_INPUT_COMPANIES'!$U$69)</x:f>
      </x:c>
      <x:c r="F628" s="42" t="n">
        <x:v>1</x:v>
      </x:c>
      <x:c r="G628" s="42" t="str">
        <x:f>IF(NOT(ISNUMBER(E628)),"",MAX(K628,MIN(L628,E628*F628)))</x:f>
      </x:c>
      <x:c r="H628" s="42" t="n">
        <x:v>64</x:v>
      </x:c>
      <x:c r="I628" s="42" t="str">
        <x:f>IF(COUNT(G628)=0,"",(COUNTIFS('93_REF_ANCHORS'!$A$7:$A$766,D628,'93_REF_ANCHORS'!$C$7:$C$766,"&lt;"&amp;G628)+COUNTIFS('93_REF_ANCHORS'!$A$7:$A$766,D628,'93_REF_ANCHORS'!$C$7:$C$766,"&lt;="&amp;G628)-1)/(2*(H628-1)))</x:f>
      </x:c>
      <x:c r="J628" s="34" t="str">
        <x:f>IF(B628="","",IF(COUNT(E628)=0,"MISSING",IF(NOT(ISNUMBER(E628)),"INVALID",IF(E628*F628&lt;K628,"WINSORIZED LOW",IF(E628*F628&gt;L628,"WINSORIZED HIGH","OK")))))</x:f>
      </x:c>
      <x:c r="K628" s="34" t="n">
        <x:v>-0.10705024705171803</x:v>
      </x:c>
      <x:c r="L628" s="34" t="n">
        <x:v>0.8008753865408955</x:v>
      </x:c>
      <x:c r="M628" s="34" t="n">
        <x:v>0.1111111111111111</x:v>
      </x:c>
      <x:c r="N628" s="34" t="str">
        <x:v>no</x:v>
      </x:c>
    </x:row>
    <x:row r="629">
      <x:c r="A629" s="34" t="n">
        <x:v>63</x:v>
      </x:c>
      <x:c r="B629" s="34" t="str">
        <x:f>IF('01_INPUT_COMPANIES'!$A$69="","",'01_INPUT_COMPANIES'!$A$69)</x:f>
      </x:c>
      <x:c r="C629" s="34" t="str">
        <x:f>IF(B629="","",'01_INPUT_COMPANIES'!$B$69)</x:f>
      </x:c>
      <x:c r="D629" s="34" t="str">
        <x:v>network_cost_ratio</x:v>
      </x:c>
      <x:c r="E629" s="42" t="str">
        <x:f>IF(OR(B629="",COUNT('01_INPUT_COMPANIES'!$V$69)=0),"",'01_INPUT_COMPANIES'!$V$69)</x:f>
      </x:c>
      <x:c r="F629" s="42" t="n">
        <x:v>1</x:v>
      </x:c>
      <x:c r="G629" s="42" t="str">
        <x:f>IF(NOT(ISNUMBER(E629)),"",MAX(K629,MIN(L629,E629*F629)))</x:f>
      </x:c>
      <x:c r="H629" s="42" t="n">
        <x:v>97</x:v>
      </x:c>
      <x:c r="I629" s="42" t="str">
        <x:f>IF(COUNT(G629)=0,"",(COUNTIFS('93_REF_ANCHORS'!$A$7:$A$766,D629,'93_REF_ANCHORS'!$C$7:$C$766,"&lt;"&amp;G629)+COUNTIFS('93_REF_ANCHORS'!$A$7:$A$766,D629,'93_REF_ANCHORS'!$C$7:$C$766,"&lt;="&amp;G629)-1)/(2*(H629-1)))</x:f>
      </x:c>
      <x:c r="J629" s="34" t="str">
        <x:f>IF(B629="","",IF(COUNT(E629)=0,"MISSING",IF(NOT(ISNUMBER(E629)),"INVALID",IF(E629*F629&lt;K629,"WINSORIZED LOW",IF(E629*F629&gt;L629,"WINSORIZED HIGH","OK")))))</x:f>
      </x:c>
      <x:c r="K629" s="34" t="n">
        <x:v>-0.1395374353</x:v>
      </x:c>
      <x:c r="L629" s="34" t="n">
        <x:v>0.9274274845000001</x:v>
      </x:c>
      <x:c r="M629" s="34" t="n">
        <x:v>0.1111111111111111</x:v>
      </x:c>
      <x:c r="N629" s="34" t="str">
        <x:v>no</x:v>
      </x:c>
    </x:row>
    <x:row r="630">
      <x:c r="A630" s="34" t="n">
        <x:v>63</x:v>
      </x:c>
      <x:c r="B630" s="34" t="str">
        <x:f>IF('01_INPUT_COMPANIES'!$A$69="","",'01_INPUT_COMPANIES'!$A$69)</x:f>
      </x:c>
      <x:c r="C630" s="34" t="str">
        <x:f>IF(B630="","",'01_INPUT_COMPANIES'!$B$69)</x:f>
      </x:c>
      <x:c r="D630" s="34" t="str">
        <x:v>cashflow_recovery_ratio</x:v>
      </x:c>
      <x:c r="E630" s="42" t="str">
        <x:f>IF(OR(B630="",COUNT('01_INPUT_COMPANIES'!$W$69)=0),"",'01_INPUT_COMPANIES'!$W$69)</x:f>
      </x:c>
      <x:c r="F630" s="42" t="n">
        <x:v>-1</x:v>
      </x:c>
      <x:c r="G630" s="42" t="str">
        <x:f>IF(NOT(ISNUMBER(E630)),"",MAX(K630,MIN(L630,E630*F630)))</x:f>
      </x:c>
      <x:c r="H630" s="42" t="n">
        <x:v>95</x:v>
      </x:c>
      <x:c r="I630" s="42" t="str">
        <x:f>IF(COUNT(G630)=0,"",(COUNTIFS('93_REF_ANCHORS'!$A$7:$A$766,D630,'93_REF_ANCHORS'!$C$7:$C$766,"&lt;"&amp;G630)+COUNTIFS('93_REF_ANCHORS'!$A$7:$A$766,D630,'93_REF_ANCHORS'!$C$7:$C$766,"&lt;="&amp;G630)-1)/(2*(H630-1)))</x:f>
      </x:c>
      <x:c r="J630" s="34" t="str">
        <x:f>IF(B630="","",IF(COUNT(E630)=0,"MISSING",IF(NOT(ISNUMBER(E630)),"INVALID",IF(E630*F630&lt;K630,"WINSORIZED LOW",IF(E630*F630&gt;L630,"WINSORIZED HIGH","OK")))))</x:f>
      </x:c>
      <x:c r="K630" s="34" t="n">
        <x:v>-300.75</x:v>
      </x:c>
      <x:c r="L630" s="34" t="n">
        <x:v>42.6920305469</x:v>
      </x:c>
      <x:c r="M630" s="34" t="n">
        <x:v>0.08333333333333333</x:v>
      </x:c>
      <x:c r="N630" s="34" t="str">
        <x:v>no</x:v>
      </x:c>
    </x:row>
    <x:row r="631">
      <x:c r="A631" s="34" t="n">
        <x:v>63</x:v>
      </x:c>
      <x:c r="B631" s="34" t="str">
        <x:f>IF('01_INPUT_COMPANIES'!$A$69="","",'01_INPUT_COMPANIES'!$A$69)</x:f>
      </x:c>
      <x:c r="C631" s="34" t="str">
        <x:f>IF(B631="","",'01_INPUT_COMPANIES'!$B$69)</x:f>
      </x:c>
      <x:c r="D631" s="34" t="str">
        <x:v>funding_cost_spread</x:v>
      </x:c>
      <x:c r="E631" s="42" t="str">
        <x:f>IF(OR(B631="",COUNT('01_INPUT_COMPANIES'!$X$69)=0),"",'01_INPUT_COMPANIES'!$X$69)</x:f>
      </x:c>
      <x:c r="F631" s="42" t="n">
        <x:v>1</x:v>
      </x:c>
      <x:c r="G631" s="42" t="str">
        <x:f>IF(NOT(ISNUMBER(E631)),"",MAX(K631,MIN(L631,E631*F631)))</x:f>
      </x:c>
      <x:c r="H631" s="42" t="n">
        <x:v>58</x:v>
      </x:c>
      <x:c r="I631" s="42" t="str">
        <x:f>IF(COUNT(G631)=0,"",(COUNTIFS('93_REF_ANCHORS'!$A$7:$A$766,D631,'93_REF_ANCHORS'!$C$7:$C$766,"&lt;"&amp;G631)+COUNTIFS('93_REF_ANCHORS'!$A$7:$A$766,D631,'93_REF_ANCHORS'!$C$7:$C$766,"&lt;="&amp;G631)-1)/(2*(H631-1)))</x:f>
      </x:c>
      <x:c r="J631" s="34" t="str">
        <x:f>IF(B631="","",IF(COUNT(E631)=0,"MISSING",IF(NOT(ISNUMBER(E631)),"INVALID",IF(E631*F631&lt;K631,"WINSORIZED LOW",IF(E631*F631&gt;L631,"WINSORIZED HIGH","OK")))))</x:f>
      </x:c>
      <x:c r="K631" s="34" t="n">
        <x:v>-0.4430292903</x:v>
      </x:c>
      <x:c r="L631" s="34" t="n">
        <x:v>0.5068913103</x:v>
      </x:c>
      <x:c r="M631" s="34" t="n">
        <x:v>0.08333333333333333</x:v>
      </x:c>
      <x:c r="N631" s="34" t="str">
        <x:v>no</x:v>
      </x:c>
    </x:row>
    <x:row r="632">
      <x:c r="A632" s="34" t="n">
        <x:v>63</x:v>
      </x:c>
      <x:c r="B632" s="34" t="str">
        <x:f>IF('01_INPUT_COMPANIES'!$A$69="","",'01_INPUT_COMPANIES'!$A$69)</x:f>
      </x:c>
      <x:c r="C632" s="34" t="str">
        <x:f>IF(B632="","",'01_INPUT_COMPANIES'!$B$69)</x:f>
      </x:c>
      <x:c r="D632" s="34" t="str">
        <x:v>investment_recovery_ratio</x:v>
      </x:c>
      <x:c r="E632" s="42" t="str">
        <x:f>IF(OR(B632="",COUNT('01_INPUT_COMPANIES'!$Y$69)=0),"",'01_INPUT_COMPANIES'!$Y$69)</x:f>
      </x:c>
      <x:c r="F632" s="42" t="n">
        <x:v>-1</x:v>
      </x:c>
      <x:c r="G632" s="42" t="str">
        <x:f>IF(NOT(ISNUMBER(E632)),"",MAX(K632,MIN(L632,E632*F632)))</x:f>
      </x:c>
      <x:c r="H632" s="42" t="n">
        <x:v>95</x:v>
      </x:c>
      <x:c r="I632" s="42" t="str">
        <x:f>IF(COUNT(G632)=0,"",(COUNTIFS('93_REF_ANCHORS'!$A$7:$A$766,D632,'93_REF_ANCHORS'!$C$7:$C$766,"&lt;"&amp;G632)+COUNTIFS('93_REF_ANCHORS'!$A$7:$A$766,D632,'93_REF_ANCHORS'!$C$7:$C$766,"&lt;="&amp;G632)-1)/(2*(H632-1)))</x:f>
      </x:c>
      <x:c r="J632" s="34" t="str">
        <x:f>IF(B632="","",IF(COUNT(E632)=0,"MISSING",IF(NOT(ISNUMBER(E632)),"INVALID",IF(E632*F632&lt;K632,"WINSORIZED LOW",IF(E632*F632&gt;L632,"WINSORIZED HIGH","OK")))))</x:f>
      </x:c>
      <x:c r="K632" s="34" t="n">
        <x:v>-3163.7500000000014</x:v>
      </x:c>
      <x:c r="L632" s="34" t="n">
        <x:v>189.68191301719997</x:v>
      </x:c>
      <x:c r="M632" s="34" t="n">
        <x:v>0.08333333333333333</x:v>
      </x:c>
      <x:c r="N632" s="34" t="str">
        <x:v>no</x:v>
      </x:c>
    </x:row>
    <x:row r="633">
      <x:c r="A633" s="34" t="n">
        <x:v>63</x:v>
      </x:c>
      <x:c r="B633" s="34" t="str">
        <x:f>IF('01_INPUT_COMPANIES'!$A$69="","",'01_INPUT_COMPANIES'!$A$69)</x:f>
      </x:c>
      <x:c r="C633" s="34" t="str">
        <x:f>IF(B633="","",'01_INPUT_COMPANIES'!$B$69)</x:f>
      </x:c>
      <x:c r="D633" s="34" t="str">
        <x:v>ip_assetization_gap</x:v>
      </x:c>
      <x:c r="E633" s="42" t="str">
        <x:f>IF(OR(B633="",COUNT('01_INPUT_COMPANIES'!$Z$69)=0),"",'01_INPUT_COMPANIES'!$Z$69)</x:f>
      </x:c>
      <x:c r="F633" s="42" t="n">
        <x:v>1</x:v>
      </x:c>
      <x:c r="G633" s="42" t="str">
        <x:f>IF(NOT(ISNUMBER(E633)),"",MAX(K633,MIN(L633,E633*F633)))</x:f>
      </x:c>
      <x:c r="H633" s="42" t="n">
        <x:v>92</x:v>
      </x:c>
      <x:c r="I633" s="42" t="str">
        <x:f>IF(COUNT(G633)=0,"",(COUNTIFS('93_REF_ANCHORS'!$A$7:$A$766,D633,'93_REF_ANCHORS'!$C$7:$C$766,"&lt;"&amp;G633)+COUNTIFS('93_REF_ANCHORS'!$A$7:$A$766,D633,'93_REF_ANCHORS'!$C$7:$C$766,"&lt;="&amp;G633)-1)/(2*(H633-1)))</x:f>
      </x:c>
      <x:c r="J633" s="34" t="str">
        <x:f>IF(B633="","",IF(COUNT(E633)=0,"MISSING",IF(NOT(ISNUMBER(E633)),"INVALID",IF(E633*F633&lt;K633,"WINSORIZED LOW",IF(E633*F633&gt;L633,"WINSORIZED HIGH","OK")))))</x:f>
      </x:c>
      <x:c r="K633" s="34" t="n">
        <x:v>-1.6707152386</x:v>
      </x:c>
      <x:c r="L633" s="34" t="n">
        <x:v>0.7716332556000001</x:v>
      </x:c>
      <x:c r="M633" s="34" t="n">
        <x:v>0.08333333333333333</x:v>
      </x:c>
      <x:c r="N633" s="34" t="str">
        <x:v>no</x:v>
      </x:c>
    </x:row>
    <x:row r="634">
      <x:c r="A634" s="34" t="n">
        <x:v>63</x:v>
      </x:c>
      <x:c r="B634" s="34" t="str">
        <x:f>IF('01_INPUT_COMPANIES'!$A$69="","",'01_INPUT_COMPANIES'!$A$69)</x:f>
      </x:c>
      <x:c r="C634" s="34" t="str">
        <x:f>IF(B634="","",'01_INPUT_COMPANIES'!$B$69)</x:f>
      </x:c>
      <x:c r="D634" s="34" t="str">
        <x:v>cross_market_transfer_index</x:v>
      </x:c>
      <x:c r="E634" s="42" t="str">
        <x:f>IF(OR(B634="",COUNT('01_INPUT_COMPANIES'!$AA$69)=0),"",'01_INPUT_COMPANIES'!$AA$69)</x:f>
      </x:c>
      <x:c r="F634" s="42" t="n">
        <x:v>1</x:v>
      </x:c>
      <x:c r="G634" s="42" t="str">
        <x:f>IF(NOT(ISNUMBER(E634)),"",MAX(K634,MIN(L634,E634*F634)))</x:f>
      </x:c>
      <x:c r="H634" s="42" t="n">
        <x:v>4</x:v>
      </x:c>
      <x:c r="I634" s="42" t="str">
        <x:f>IF(COUNT(G634)=0,"",(COUNTIFS('93_REF_ANCHORS'!$A$7:$A$766,D634,'93_REF_ANCHORS'!$C$7:$C$766,"&lt;"&amp;G634)+COUNTIFS('93_REF_ANCHORS'!$A$7:$A$766,D634,'93_REF_ANCHORS'!$C$7:$C$766,"&lt;="&amp;G634)-1)/(2*(H634-1)))</x:f>
      </x:c>
      <x:c r="J634" s="34" t="str">
        <x:f>IF(B634="","",IF(COUNT(E634)=0,"MISSING",IF(NOT(ISNUMBER(E634)),"INVALID",IF(E634*F634&lt;K634,"WINSORIZED LOW",IF(E634*F634&gt;L634,"WINSORIZED HIGH","OK")))))</x:f>
      </x:c>
      <x:c r="K634" s="34" t="n">
        <x:v>0</x:v>
      </x:c>
      <x:c r="L634" s="34" t="n">
        <x:v>0.7587051325360435</x:v>
      </x:c>
      <x:c r="M634" s="34" t="n">
        <x:v>0.1111111111111111</x:v>
      </x:c>
      <x:c r="N634" s="34" t="str">
        <x:v>yes</x:v>
      </x:c>
    </x:row>
    <x:row r="635">
      <x:c r="A635" s="34" t="n">
        <x:v>63</x:v>
      </x:c>
      <x:c r="B635" s="34" t="str">
        <x:f>IF('01_INPUT_COMPANIES'!$A$69="","",'01_INPUT_COMPANIES'!$A$69)</x:f>
      </x:c>
      <x:c r="C635" s="34" t="str">
        <x:f>IF(B635="","",'01_INPUT_COMPANIES'!$B$69)</x:f>
      </x:c>
      <x:c r="D635" s="34" t="str">
        <x:v>foreign_dependency_ratio</x:v>
      </x:c>
      <x:c r="E635" s="42" t="str">
        <x:f>IF(OR(B635="",COUNT('01_INPUT_COMPANIES'!$AB$69)=0),"",'01_INPUT_COMPANIES'!$AB$69)</x:f>
      </x:c>
      <x:c r="F635" s="42" t="n">
        <x:v>1</x:v>
      </x:c>
      <x:c r="G635" s="42" t="str">
        <x:f>IF(NOT(ISNUMBER(E635)),"",MAX(K635,MIN(L635,E635*F635)))</x:f>
      </x:c>
      <x:c r="H635" s="42" t="n">
        <x:v>84</x:v>
      </x:c>
      <x:c r="I635" s="42" t="str">
        <x:f>IF(COUNT(G635)=0,"",(COUNTIFS('93_REF_ANCHORS'!$A$7:$A$766,D635,'93_REF_ANCHORS'!$C$7:$C$766,"&lt;"&amp;G635)+COUNTIFS('93_REF_ANCHORS'!$A$7:$A$766,D635,'93_REF_ANCHORS'!$C$7:$C$766,"&lt;="&amp;G635)-1)/(2*(H635-1)))</x:f>
      </x:c>
      <x:c r="J635" s="34" t="str">
        <x:f>IF(B635="","",IF(COUNT(E635)=0,"MISSING",IF(NOT(ISNUMBER(E635)),"INVALID",IF(E635*F635&lt;K635,"WINSORIZED LOW",IF(E635*F635&gt;L635,"WINSORIZED HIGH","OK")))))</x:f>
      </x:c>
      <x:c r="K635" s="34" t="n">
        <x:v>0.728196</x:v>
      </x:c>
      <x:c r="L635" s="34" t="n">
        <x:v>0.94</x:v>
      </x:c>
      <x:c r="M635" s="34" t="n">
        <x:v>0.1111111111111111</x:v>
      </x:c>
      <x:c r="N635" s="34" t="str">
        <x:v>yes</x:v>
      </x:c>
    </x:row>
    <x:row r="636">
      <x:c r="A636" s="34" t="n">
        <x:v>63</x:v>
      </x:c>
      <x:c r="B636" s="34" t="str">
        <x:f>IF('01_INPUT_COMPANIES'!$A$69="","",'01_INPUT_COMPANIES'!$A$69)</x:f>
      </x:c>
      <x:c r="C636" s="34" t="str">
        <x:f>IF(B636="","",'01_INPUT_COMPANIES'!$B$69)</x:f>
      </x:c>
      <x:c r="D636" s="34" t="str">
        <x:v>outflow_to_capex_ratio</x:v>
      </x:c>
      <x:c r="E636" s="42" t="str">
        <x:f>IF(OR(B636="",COUNT('01_INPUT_COMPANIES'!$AC$69)=0),"",'01_INPUT_COMPANIES'!$AC$69)</x:f>
      </x:c>
      <x:c r="F636" s="42" t="n">
        <x:v>1</x:v>
      </x:c>
      <x:c r="G636" s="42" t="str">
        <x:f>IF(NOT(ISNUMBER(E636)),"",MAX(K636,MIN(L636,E636*F636)))</x:f>
      </x:c>
      <x:c r="H636" s="42" t="n">
        <x:v>97</x:v>
      </x:c>
      <x:c r="I636" s="42" t="str">
        <x:f>IF(COUNT(G636)=0,"",(COUNTIFS('93_REF_ANCHORS'!$A$7:$A$766,D636,'93_REF_ANCHORS'!$C$7:$C$766,"&lt;"&amp;G636)+COUNTIFS('93_REF_ANCHORS'!$A$7:$A$766,D636,'93_REF_ANCHORS'!$C$7:$C$766,"&lt;="&amp;G636)-1)/(2*(H636-1)))</x:f>
      </x:c>
      <x:c r="J636" s="34" t="str">
        <x:f>IF(B636="","",IF(COUNT(E636)=0,"MISSING",IF(NOT(ISNUMBER(E636)),"INVALID",IF(E636*F636&lt;K636,"WINSORIZED LOW",IF(E636*F636&gt;L636,"WINSORIZED HIGH","OK")))))</x:f>
      </x:c>
      <x:c r="K636" s="34" t="n">
        <x:v>-123.5385890408</x:v>
      </x:c>
      <x:c r="L636" s="34" t="n">
        <x:v>974.1666666666999</x:v>
      </x:c>
      <x:c r="M636" s="34" t="n">
        <x:v>0.1111111111111111</x:v>
      </x:c>
      <x:c r="N636" s="34" t="str">
        <x:v>no</x:v>
      </x:c>
    </x:row>
    <x:row r="637">
      <x:c r="A637" s="34" t="n">
        <x:v>64</x:v>
      </x:c>
      <x:c r="B637" s="34" t="str">
        <x:f>IF('01_INPUT_COMPANIES'!$A$70="","",'01_INPUT_COMPANIES'!$A$70)</x:f>
      </x:c>
      <x:c r="C637" s="34" t="str">
        <x:f>IF(B637="","",'01_INPUT_COMPANIES'!$B$70)</x:f>
      </x:c>
      <x:c r="D637" s="34" t="str">
        <x:v>effective_tax_rate_gap</x:v>
      </x:c>
      <x:c r="E637" s="42" t="str">
        <x:f>IF(OR(B637="",COUNT('01_INPUT_COMPANIES'!$T$70)=0),"",'01_INPUT_COMPANIES'!$T$70)</x:f>
      </x:c>
      <x:c r="F637" s="42" t="n">
        <x:v>1</x:v>
      </x:c>
      <x:c r="G637" s="42" t="str">
        <x:f>IF(NOT(ISNUMBER(E637)),"",MAX(K637,MIN(L637,E637*F637)))</x:f>
      </x:c>
      <x:c r="H637" s="42" t="n">
        <x:v>74</x:v>
      </x:c>
      <x:c r="I637" s="42" t="str">
        <x:f>IF(COUNT(G637)=0,"",(COUNTIFS('93_REF_ANCHORS'!$A$7:$A$766,D637,'93_REF_ANCHORS'!$C$7:$C$766,"&lt;"&amp;G637)+COUNTIFS('93_REF_ANCHORS'!$A$7:$A$766,D637,'93_REF_ANCHORS'!$C$7:$C$766,"&lt;="&amp;G637)-1)/(2*(H637-1)))</x:f>
      </x:c>
      <x:c r="J637" s="34" t="str">
        <x:f>IF(B637="","",IF(COUNT(E637)=0,"MISSING",IF(NOT(ISNUMBER(E637)),"INVALID",IF(E637*F637&lt;K637,"WINSORIZED LOW",IF(E637*F637&gt;L637,"WINSORIZED HIGH","OK")))))</x:f>
      </x:c>
      <x:c r="K637" s="34" t="n">
        <x:v>-0.1416111014</x:v>
      </x:c>
      <x:c r="L637" s="34" t="n">
        <x:v>0.2683650488</x:v>
      </x:c>
      <x:c r="M637" s="34" t="n">
        <x:v>0.1111111111111111</x:v>
      </x:c>
      <x:c r="N637" s="34" t="str">
        <x:v>no</x:v>
      </x:c>
    </x:row>
    <x:row r="638">
      <x:c r="A638" s="34" t="n">
        <x:v>64</x:v>
      </x:c>
      <x:c r="B638" s="34" t="str">
        <x:f>IF('01_INPUT_COMPANIES'!$A$70="","",'01_INPUT_COMPANIES'!$A$70)</x:f>
      </x:c>
      <x:c r="C638" s="34" t="str">
        <x:f>IF(B638="","",'01_INPUT_COMPANIES'!$B$70)</x:f>
      </x:c>
      <x:c r="D638" s="34" t="str">
        <x:v>infra_dependency_ratio</x:v>
      </x:c>
      <x:c r="E638" s="42" t="str">
        <x:f>IF(OR(B638="",COUNT('01_INPUT_COMPANIES'!$U$70)=0),"",'01_INPUT_COMPANIES'!$U$70)</x:f>
      </x:c>
      <x:c r="F638" s="42" t="n">
        <x:v>1</x:v>
      </x:c>
      <x:c r="G638" s="42" t="str">
        <x:f>IF(NOT(ISNUMBER(E638)),"",MAX(K638,MIN(L638,E638*F638)))</x:f>
      </x:c>
      <x:c r="H638" s="42" t="n">
        <x:v>64</x:v>
      </x:c>
      <x:c r="I638" s="42" t="str">
        <x:f>IF(COUNT(G638)=0,"",(COUNTIFS('93_REF_ANCHORS'!$A$7:$A$766,D638,'93_REF_ANCHORS'!$C$7:$C$766,"&lt;"&amp;G638)+COUNTIFS('93_REF_ANCHORS'!$A$7:$A$766,D638,'93_REF_ANCHORS'!$C$7:$C$766,"&lt;="&amp;G638)-1)/(2*(H638-1)))</x:f>
      </x:c>
      <x:c r="J638" s="34" t="str">
        <x:f>IF(B638="","",IF(COUNT(E638)=0,"MISSING",IF(NOT(ISNUMBER(E638)),"INVALID",IF(E638*F638&lt;K638,"WINSORIZED LOW",IF(E638*F638&gt;L638,"WINSORIZED HIGH","OK")))))</x:f>
      </x:c>
      <x:c r="K638" s="34" t="n">
        <x:v>-0.10705024705171803</x:v>
      </x:c>
      <x:c r="L638" s="34" t="n">
        <x:v>0.8008753865408955</x:v>
      </x:c>
      <x:c r="M638" s="34" t="n">
        <x:v>0.1111111111111111</x:v>
      </x:c>
      <x:c r="N638" s="34" t="str">
        <x:v>no</x:v>
      </x:c>
    </x:row>
    <x:row r="639">
      <x:c r="A639" s="34" t="n">
        <x:v>64</x:v>
      </x:c>
      <x:c r="B639" s="34" t="str">
        <x:f>IF('01_INPUT_COMPANIES'!$A$70="","",'01_INPUT_COMPANIES'!$A$70)</x:f>
      </x:c>
      <x:c r="C639" s="34" t="str">
        <x:f>IF(B639="","",'01_INPUT_COMPANIES'!$B$70)</x:f>
      </x:c>
      <x:c r="D639" s="34" t="str">
        <x:v>network_cost_ratio</x:v>
      </x:c>
      <x:c r="E639" s="42" t="str">
        <x:f>IF(OR(B639="",COUNT('01_INPUT_COMPANIES'!$V$70)=0),"",'01_INPUT_COMPANIES'!$V$70)</x:f>
      </x:c>
      <x:c r="F639" s="42" t="n">
        <x:v>1</x:v>
      </x:c>
      <x:c r="G639" s="42" t="str">
        <x:f>IF(NOT(ISNUMBER(E639)),"",MAX(K639,MIN(L639,E639*F639)))</x:f>
      </x:c>
      <x:c r="H639" s="42" t="n">
        <x:v>97</x:v>
      </x:c>
      <x:c r="I639" s="42" t="str">
        <x:f>IF(COUNT(G639)=0,"",(COUNTIFS('93_REF_ANCHORS'!$A$7:$A$766,D639,'93_REF_ANCHORS'!$C$7:$C$766,"&lt;"&amp;G639)+COUNTIFS('93_REF_ANCHORS'!$A$7:$A$766,D639,'93_REF_ANCHORS'!$C$7:$C$766,"&lt;="&amp;G639)-1)/(2*(H639-1)))</x:f>
      </x:c>
      <x:c r="J639" s="34" t="str">
        <x:f>IF(B639="","",IF(COUNT(E639)=0,"MISSING",IF(NOT(ISNUMBER(E639)),"INVALID",IF(E639*F639&lt;K639,"WINSORIZED LOW",IF(E639*F639&gt;L639,"WINSORIZED HIGH","OK")))))</x:f>
      </x:c>
      <x:c r="K639" s="34" t="n">
        <x:v>-0.1395374353</x:v>
      </x:c>
      <x:c r="L639" s="34" t="n">
        <x:v>0.9274274845000001</x:v>
      </x:c>
      <x:c r="M639" s="34" t="n">
        <x:v>0.1111111111111111</x:v>
      </x:c>
      <x:c r="N639" s="34" t="str">
        <x:v>no</x:v>
      </x:c>
    </x:row>
    <x:row r="640">
      <x:c r="A640" s="34" t="n">
        <x:v>64</x:v>
      </x:c>
      <x:c r="B640" s="34" t="str">
        <x:f>IF('01_INPUT_COMPANIES'!$A$70="","",'01_INPUT_COMPANIES'!$A$70)</x:f>
      </x:c>
      <x:c r="C640" s="34" t="str">
        <x:f>IF(B640="","",'01_INPUT_COMPANIES'!$B$70)</x:f>
      </x:c>
      <x:c r="D640" s="34" t="str">
        <x:v>cashflow_recovery_ratio</x:v>
      </x:c>
      <x:c r="E640" s="42" t="str">
        <x:f>IF(OR(B640="",COUNT('01_INPUT_COMPANIES'!$W$70)=0),"",'01_INPUT_COMPANIES'!$W$70)</x:f>
      </x:c>
      <x:c r="F640" s="42" t="n">
        <x:v>-1</x:v>
      </x:c>
      <x:c r="G640" s="42" t="str">
        <x:f>IF(NOT(ISNUMBER(E640)),"",MAX(K640,MIN(L640,E640*F640)))</x:f>
      </x:c>
      <x:c r="H640" s="42" t="n">
        <x:v>95</x:v>
      </x:c>
      <x:c r="I640" s="42" t="str">
        <x:f>IF(COUNT(G640)=0,"",(COUNTIFS('93_REF_ANCHORS'!$A$7:$A$766,D640,'93_REF_ANCHORS'!$C$7:$C$766,"&lt;"&amp;G640)+COUNTIFS('93_REF_ANCHORS'!$A$7:$A$766,D640,'93_REF_ANCHORS'!$C$7:$C$766,"&lt;="&amp;G640)-1)/(2*(H640-1)))</x:f>
      </x:c>
      <x:c r="J640" s="34" t="str">
        <x:f>IF(B640="","",IF(COUNT(E640)=0,"MISSING",IF(NOT(ISNUMBER(E640)),"INVALID",IF(E640*F640&lt;K640,"WINSORIZED LOW",IF(E640*F640&gt;L640,"WINSORIZED HIGH","OK")))))</x:f>
      </x:c>
      <x:c r="K640" s="34" t="n">
        <x:v>-300.75</x:v>
      </x:c>
      <x:c r="L640" s="34" t="n">
        <x:v>42.6920305469</x:v>
      </x:c>
      <x:c r="M640" s="34" t="n">
        <x:v>0.08333333333333333</x:v>
      </x:c>
      <x:c r="N640" s="34" t="str">
        <x:v>no</x:v>
      </x:c>
    </x:row>
    <x:row r="641">
      <x:c r="A641" s="34" t="n">
        <x:v>64</x:v>
      </x:c>
      <x:c r="B641" s="34" t="str">
        <x:f>IF('01_INPUT_COMPANIES'!$A$70="","",'01_INPUT_COMPANIES'!$A$70)</x:f>
      </x:c>
      <x:c r="C641" s="34" t="str">
        <x:f>IF(B641="","",'01_INPUT_COMPANIES'!$B$70)</x:f>
      </x:c>
      <x:c r="D641" s="34" t="str">
        <x:v>funding_cost_spread</x:v>
      </x:c>
      <x:c r="E641" s="42" t="str">
        <x:f>IF(OR(B641="",COUNT('01_INPUT_COMPANIES'!$X$70)=0),"",'01_INPUT_COMPANIES'!$X$70)</x:f>
      </x:c>
      <x:c r="F641" s="42" t="n">
        <x:v>1</x:v>
      </x:c>
      <x:c r="G641" s="42" t="str">
        <x:f>IF(NOT(ISNUMBER(E641)),"",MAX(K641,MIN(L641,E641*F641)))</x:f>
      </x:c>
      <x:c r="H641" s="42" t="n">
        <x:v>58</x:v>
      </x:c>
      <x:c r="I641" s="42" t="str">
        <x:f>IF(COUNT(G641)=0,"",(COUNTIFS('93_REF_ANCHORS'!$A$7:$A$766,D641,'93_REF_ANCHORS'!$C$7:$C$766,"&lt;"&amp;G641)+COUNTIFS('93_REF_ANCHORS'!$A$7:$A$766,D641,'93_REF_ANCHORS'!$C$7:$C$766,"&lt;="&amp;G641)-1)/(2*(H641-1)))</x:f>
      </x:c>
      <x:c r="J641" s="34" t="str">
        <x:f>IF(B641="","",IF(COUNT(E641)=0,"MISSING",IF(NOT(ISNUMBER(E641)),"INVALID",IF(E641*F641&lt;K641,"WINSORIZED LOW",IF(E641*F641&gt;L641,"WINSORIZED HIGH","OK")))))</x:f>
      </x:c>
      <x:c r="K641" s="34" t="n">
        <x:v>-0.4430292903</x:v>
      </x:c>
      <x:c r="L641" s="34" t="n">
        <x:v>0.5068913103</x:v>
      </x:c>
      <x:c r="M641" s="34" t="n">
        <x:v>0.08333333333333333</x:v>
      </x:c>
      <x:c r="N641" s="34" t="str">
        <x:v>no</x:v>
      </x:c>
    </x:row>
    <x:row r="642">
      <x:c r="A642" s="34" t="n">
        <x:v>64</x:v>
      </x:c>
      <x:c r="B642" s="34" t="str">
        <x:f>IF('01_INPUT_COMPANIES'!$A$70="","",'01_INPUT_COMPANIES'!$A$70)</x:f>
      </x:c>
      <x:c r="C642" s="34" t="str">
        <x:f>IF(B642="","",'01_INPUT_COMPANIES'!$B$70)</x:f>
      </x:c>
      <x:c r="D642" s="34" t="str">
        <x:v>investment_recovery_ratio</x:v>
      </x:c>
      <x:c r="E642" s="42" t="str">
        <x:f>IF(OR(B642="",COUNT('01_INPUT_COMPANIES'!$Y$70)=0),"",'01_INPUT_COMPANIES'!$Y$70)</x:f>
      </x:c>
      <x:c r="F642" s="42" t="n">
        <x:v>-1</x:v>
      </x:c>
      <x:c r="G642" s="42" t="str">
        <x:f>IF(NOT(ISNUMBER(E642)),"",MAX(K642,MIN(L642,E642*F642)))</x:f>
      </x:c>
      <x:c r="H642" s="42" t="n">
        <x:v>95</x:v>
      </x:c>
      <x:c r="I642" s="42" t="str">
        <x:f>IF(COUNT(G642)=0,"",(COUNTIFS('93_REF_ANCHORS'!$A$7:$A$766,D642,'93_REF_ANCHORS'!$C$7:$C$766,"&lt;"&amp;G642)+COUNTIFS('93_REF_ANCHORS'!$A$7:$A$766,D642,'93_REF_ANCHORS'!$C$7:$C$766,"&lt;="&amp;G642)-1)/(2*(H642-1)))</x:f>
      </x:c>
      <x:c r="J642" s="34" t="str">
        <x:f>IF(B642="","",IF(COUNT(E642)=0,"MISSING",IF(NOT(ISNUMBER(E642)),"INVALID",IF(E642*F642&lt;K642,"WINSORIZED LOW",IF(E642*F642&gt;L642,"WINSORIZED HIGH","OK")))))</x:f>
      </x:c>
      <x:c r="K642" s="34" t="n">
        <x:v>-3163.7500000000014</x:v>
      </x:c>
      <x:c r="L642" s="34" t="n">
        <x:v>189.68191301719997</x:v>
      </x:c>
      <x:c r="M642" s="34" t="n">
        <x:v>0.08333333333333333</x:v>
      </x:c>
      <x:c r="N642" s="34" t="str">
        <x:v>no</x:v>
      </x:c>
    </x:row>
    <x:row r="643">
      <x:c r="A643" s="34" t="n">
        <x:v>64</x:v>
      </x:c>
      <x:c r="B643" s="34" t="str">
        <x:f>IF('01_INPUT_COMPANIES'!$A$70="","",'01_INPUT_COMPANIES'!$A$70)</x:f>
      </x:c>
      <x:c r="C643" s="34" t="str">
        <x:f>IF(B643="","",'01_INPUT_COMPANIES'!$B$70)</x:f>
      </x:c>
      <x:c r="D643" s="34" t="str">
        <x:v>ip_assetization_gap</x:v>
      </x:c>
      <x:c r="E643" s="42" t="str">
        <x:f>IF(OR(B643="",COUNT('01_INPUT_COMPANIES'!$Z$70)=0),"",'01_INPUT_COMPANIES'!$Z$70)</x:f>
      </x:c>
      <x:c r="F643" s="42" t="n">
        <x:v>1</x:v>
      </x:c>
      <x:c r="G643" s="42" t="str">
        <x:f>IF(NOT(ISNUMBER(E643)),"",MAX(K643,MIN(L643,E643*F643)))</x:f>
      </x:c>
      <x:c r="H643" s="42" t="n">
        <x:v>92</x:v>
      </x:c>
      <x:c r="I643" s="42" t="str">
        <x:f>IF(COUNT(G643)=0,"",(COUNTIFS('93_REF_ANCHORS'!$A$7:$A$766,D643,'93_REF_ANCHORS'!$C$7:$C$766,"&lt;"&amp;G643)+COUNTIFS('93_REF_ANCHORS'!$A$7:$A$766,D643,'93_REF_ANCHORS'!$C$7:$C$766,"&lt;="&amp;G643)-1)/(2*(H643-1)))</x:f>
      </x:c>
      <x:c r="J643" s="34" t="str">
        <x:f>IF(B643="","",IF(COUNT(E643)=0,"MISSING",IF(NOT(ISNUMBER(E643)),"INVALID",IF(E643*F643&lt;K643,"WINSORIZED LOW",IF(E643*F643&gt;L643,"WINSORIZED HIGH","OK")))))</x:f>
      </x:c>
      <x:c r="K643" s="34" t="n">
        <x:v>-1.6707152386</x:v>
      </x:c>
      <x:c r="L643" s="34" t="n">
        <x:v>0.7716332556000001</x:v>
      </x:c>
      <x:c r="M643" s="34" t="n">
        <x:v>0.08333333333333333</x:v>
      </x:c>
      <x:c r="N643" s="34" t="str">
        <x:v>no</x:v>
      </x:c>
    </x:row>
    <x:row r="644">
      <x:c r="A644" s="34" t="n">
        <x:v>64</x:v>
      </x:c>
      <x:c r="B644" s="34" t="str">
        <x:f>IF('01_INPUT_COMPANIES'!$A$70="","",'01_INPUT_COMPANIES'!$A$70)</x:f>
      </x:c>
      <x:c r="C644" s="34" t="str">
        <x:f>IF(B644="","",'01_INPUT_COMPANIES'!$B$70)</x:f>
      </x:c>
      <x:c r="D644" s="34" t="str">
        <x:v>cross_market_transfer_index</x:v>
      </x:c>
      <x:c r="E644" s="42" t="str">
        <x:f>IF(OR(B644="",COUNT('01_INPUT_COMPANIES'!$AA$70)=0),"",'01_INPUT_COMPANIES'!$AA$70)</x:f>
      </x:c>
      <x:c r="F644" s="42" t="n">
        <x:v>1</x:v>
      </x:c>
      <x:c r="G644" s="42" t="str">
        <x:f>IF(NOT(ISNUMBER(E644)),"",MAX(K644,MIN(L644,E644*F644)))</x:f>
      </x:c>
      <x:c r="H644" s="42" t="n">
        <x:v>4</x:v>
      </x:c>
      <x:c r="I644" s="42" t="str">
        <x:f>IF(COUNT(G644)=0,"",(COUNTIFS('93_REF_ANCHORS'!$A$7:$A$766,D644,'93_REF_ANCHORS'!$C$7:$C$766,"&lt;"&amp;G644)+COUNTIFS('93_REF_ANCHORS'!$A$7:$A$766,D644,'93_REF_ANCHORS'!$C$7:$C$766,"&lt;="&amp;G644)-1)/(2*(H644-1)))</x:f>
      </x:c>
      <x:c r="J644" s="34" t="str">
        <x:f>IF(B644="","",IF(COUNT(E644)=0,"MISSING",IF(NOT(ISNUMBER(E644)),"INVALID",IF(E644*F644&lt;K644,"WINSORIZED LOW",IF(E644*F644&gt;L644,"WINSORIZED HIGH","OK")))))</x:f>
      </x:c>
      <x:c r="K644" s="34" t="n">
        <x:v>0</x:v>
      </x:c>
      <x:c r="L644" s="34" t="n">
        <x:v>0.7587051325360435</x:v>
      </x:c>
      <x:c r="M644" s="34" t="n">
        <x:v>0.1111111111111111</x:v>
      </x:c>
      <x:c r="N644" s="34" t="str">
        <x:v>yes</x:v>
      </x:c>
    </x:row>
    <x:row r="645">
      <x:c r="A645" s="34" t="n">
        <x:v>64</x:v>
      </x:c>
      <x:c r="B645" s="34" t="str">
        <x:f>IF('01_INPUT_COMPANIES'!$A$70="","",'01_INPUT_COMPANIES'!$A$70)</x:f>
      </x:c>
      <x:c r="C645" s="34" t="str">
        <x:f>IF(B645="","",'01_INPUT_COMPANIES'!$B$70)</x:f>
      </x:c>
      <x:c r="D645" s="34" t="str">
        <x:v>foreign_dependency_ratio</x:v>
      </x:c>
      <x:c r="E645" s="42" t="str">
        <x:f>IF(OR(B645="",COUNT('01_INPUT_COMPANIES'!$AB$70)=0),"",'01_INPUT_COMPANIES'!$AB$70)</x:f>
      </x:c>
      <x:c r="F645" s="42" t="n">
        <x:v>1</x:v>
      </x:c>
      <x:c r="G645" s="42" t="str">
        <x:f>IF(NOT(ISNUMBER(E645)),"",MAX(K645,MIN(L645,E645*F645)))</x:f>
      </x:c>
      <x:c r="H645" s="42" t="n">
        <x:v>84</x:v>
      </x:c>
      <x:c r="I645" s="42" t="str">
        <x:f>IF(COUNT(G645)=0,"",(COUNTIFS('93_REF_ANCHORS'!$A$7:$A$766,D645,'93_REF_ANCHORS'!$C$7:$C$766,"&lt;"&amp;G645)+COUNTIFS('93_REF_ANCHORS'!$A$7:$A$766,D645,'93_REF_ANCHORS'!$C$7:$C$766,"&lt;="&amp;G645)-1)/(2*(H645-1)))</x:f>
      </x:c>
      <x:c r="J645" s="34" t="str">
        <x:f>IF(B645="","",IF(COUNT(E645)=0,"MISSING",IF(NOT(ISNUMBER(E645)),"INVALID",IF(E645*F645&lt;K645,"WINSORIZED LOW",IF(E645*F645&gt;L645,"WINSORIZED HIGH","OK")))))</x:f>
      </x:c>
      <x:c r="K645" s="34" t="n">
        <x:v>0.728196</x:v>
      </x:c>
      <x:c r="L645" s="34" t="n">
        <x:v>0.94</x:v>
      </x:c>
      <x:c r="M645" s="34" t="n">
        <x:v>0.1111111111111111</x:v>
      </x:c>
      <x:c r="N645" s="34" t="str">
        <x:v>yes</x:v>
      </x:c>
    </x:row>
    <x:row r="646">
      <x:c r="A646" s="34" t="n">
        <x:v>64</x:v>
      </x:c>
      <x:c r="B646" s="34" t="str">
        <x:f>IF('01_INPUT_COMPANIES'!$A$70="","",'01_INPUT_COMPANIES'!$A$70)</x:f>
      </x:c>
      <x:c r="C646" s="34" t="str">
        <x:f>IF(B646="","",'01_INPUT_COMPANIES'!$B$70)</x:f>
      </x:c>
      <x:c r="D646" s="34" t="str">
        <x:v>outflow_to_capex_ratio</x:v>
      </x:c>
      <x:c r="E646" s="42" t="str">
        <x:f>IF(OR(B646="",COUNT('01_INPUT_COMPANIES'!$AC$70)=0),"",'01_INPUT_COMPANIES'!$AC$70)</x:f>
      </x:c>
      <x:c r="F646" s="42" t="n">
        <x:v>1</x:v>
      </x:c>
      <x:c r="G646" s="42" t="str">
        <x:f>IF(NOT(ISNUMBER(E646)),"",MAX(K646,MIN(L646,E646*F646)))</x:f>
      </x:c>
      <x:c r="H646" s="42" t="n">
        <x:v>97</x:v>
      </x:c>
      <x:c r="I646" s="42" t="str">
        <x:f>IF(COUNT(G646)=0,"",(COUNTIFS('93_REF_ANCHORS'!$A$7:$A$766,D646,'93_REF_ANCHORS'!$C$7:$C$766,"&lt;"&amp;G646)+COUNTIFS('93_REF_ANCHORS'!$A$7:$A$766,D646,'93_REF_ANCHORS'!$C$7:$C$766,"&lt;="&amp;G646)-1)/(2*(H646-1)))</x:f>
      </x:c>
      <x:c r="J646" s="34" t="str">
        <x:f>IF(B646="","",IF(COUNT(E646)=0,"MISSING",IF(NOT(ISNUMBER(E646)),"INVALID",IF(E646*F646&lt;K646,"WINSORIZED LOW",IF(E646*F646&gt;L646,"WINSORIZED HIGH","OK")))))</x:f>
      </x:c>
      <x:c r="K646" s="34" t="n">
        <x:v>-123.5385890408</x:v>
      </x:c>
      <x:c r="L646" s="34" t="n">
        <x:v>974.1666666666999</x:v>
      </x:c>
      <x:c r="M646" s="34" t="n">
        <x:v>0.1111111111111111</x:v>
      </x:c>
      <x:c r="N646" s="34" t="str">
        <x:v>no</x:v>
      </x:c>
    </x:row>
    <x:row r="647">
      <x:c r="A647" s="34" t="n">
        <x:v>65</x:v>
      </x:c>
      <x:c r="B647" s="34" t="str">
        <x:f>IF('01_INPUT_COMPANIES'!$A$71="","",'01_INPUT_COMPANIES'!$A$71)</x:f>
      </x:c>
      <x:c r="C647" s="34" t="str">
        <x:f>IF(B647="","",'01_INPUT_COMPANIES'!$B$71)</x:f>
      </x:c>
      <x:c r="D647" s="34" t="str">
        <x:v>effective_tax_rate_gap</x:v>
      </x:c>
      <x:c r="E647" s="42" t="str">
        <x:f>IF(OR(B647="",COUNT('01_INPUT_COMPANIES'!$T$71)=0),"",'01_INPUT_COMPANIES'!$T$71)</x:f>
      </x:c>
      <x:c r="F647" s="42" t="n">
        <x:v>1</x:v>
      </x:c>
      <x:c r="G647" s="42" t="str">
        <x:f>IF(NOT(ISNUMBER(E647)),"",MAX(K647,MIN(L647,E647*F647)))</x:f>
      </x:c>
      <x:c r="H647" s="42" t="n">
        <x:v>74</x:v>
      </x:c>
      <x:c r="I647" s="42" t="str">
        <x:f>IF(COUNT(G647)=0,"",(COUNTIFS('93_REF_ANCHORS'!$A$7:$A$766,D647,'93_REF_ANCHORS'!$C$7:$C$766,"&lt;"&amp;G647)+COUNTIFS('93_REF_ANCHORS'!$A$7:$A$766,D647,'93_REF_ANCHORS'!$C$7:$C$766,"&lt;="&amp;G647)-1)/(2*(H647-1)))</x:f>
      </x:c>
      <x:c r="J647" s="34" t="str">
        <x:f>IF(B647="","",IF(COUNT(E647)=0,"MISSING",IF(NOT(ISNUMBER(E647)),"INVALID",IF(E647*F647&lt;K647,"WINSORIZED LOW",IF(E647*F647&gt;L647,"WINSORIZED HIGH","OK")))))</x:f>
      </x:c>
      <x:c r="K647" s="34" t="n">
        <x:v>-0.1416111014</x:v>
      </x:c>
      <x:c r="L647" s="34" t="n">
        <x:v>0.2683650488</x:v>
      </x:c>
      <x:c r="M647" s="34" t="n">
        <x:v>0.1111111111111111</x:v>
      </x:c>
      <x:c r="N647" s="34" t="str">
        <x:v>no</x:v>
      </x:c>
    </x:row>
    <x:row r="648">
      <x:c r="A648" s="34" t="n">
        <x:v>65</x:v>
      </x:c>
      <x:c r="B648" s="34" t="str">
        <x:f>IF('01_INPUT_COMPANIES'!$A$71="","",'01_INPUT_COMPANIES'!$A$71)</x:f>
      </x:c>
      <x:c r="C648" s="34" t="str">
        <x:f>IF(B648="","",'01_INPUT_COMPANIES'!$B$71)</x:f>
      </x:c>
      <x:c r="D648" s="34" t="str">
        <x:v>infra_dependency_ratio</x:v>
      </x:c>
      <x:c r="E648" s="42" t="str">
        <x:f>IF(OR(B648="",COUNT('01_INPUT_COMPANIES'!$U$71)=0),"",'01_INPUT_COMPANIES'!$U$71)</x:f>
      </x:c>
      <x:c r="F648" s="42" t="n">
        <x:v>1</x:v>
      </x:c>
      <x:c r="G648" s="42" t="str">
        <x:f>IF(NOT(ISNUMBER(E648)),"",MAX(K648,MIN(L648,E648*F648)))</x:f>
      </x:c>
      <x:c r="H648" s="42" t="n">
        <x:v>64</x:v>
      </x:c>
      <x:c r="I648" s="42" t="str">
        <x:f>IF(COUNT(G648)=0,"",(COUNTIFS('93_REF_ANCHORS'!$A$7:$A$766,D648,'93_REF_ANCHORS'!$C$7:$C$766,"&lt;"&amp;G648)+COUNTIFS('93_REF_ANCHORS'!$A$7:$A$766,D648,'93_REF_ANCHORS'!$C$7:$C$766,"&lt;="&amp;G648)-1)/(2*(H648-1)))</x:f>
      </x:c>
      <x:c r="J648" s="34" t="str">
        <x:f>IF(B648="","",IF(COUNT(E648)=0,"MISSING",IF(NOT(ISNUMBER(E648)),"INVALID",IF(E648*F648&lt;K648,"WINSORIZED LOW",IF(E648*F648&gt;L648,"WINSORIZED HIGH","OK")))))</x:f>
      </x:c>
      <x:c r="K648" s="34" t="n">
        <x:v>-0.10705024705171803</x:v>
      </x:c>
      <x:c r="L648" s="34" t="n">
        <x:v>0.8008753865408955</x:v>
      </x:c>
      <x:c r="M648" s="34" t="n">
        <x:v>0.1111111111111111</x:v>
      </x:c>
      <x:c r="N648" s="34" t="str">
        <x:v>no</x:v>
      </x:c>
    </x:row>
    <x:row r="649">
      <x:c r="A649" s="34" t="n">
        <x:v>65</x:v>
      </x:c>
      <x:c r="B649" s="34" t="str">
        <x:f>IF('01_INPUT_COMPANIES'!$A$71="","",'01_INPUT_COMPANIES'!$A$71)</x:f>
      </x:c>
      <x:c r="C649" s="34" t="str">
        <x:f>IF(B649="","",'01_INPUT_COMPANIES'!$B$71)</x:f>
      </x:c>
      <x:c r="D649" s="34" t="str">
        <x:v>network_cost_ratio</x:v>
      </x:c>
      <x:c r="E649" s="42" t="str">
        <x:f>IF(OR(B649="",COUNT('01_INPUT_COMPANIES'!$V$71)=0),"",'01_INPUT_COMPANIES'!$V$71)</x:f>
      </x:c>
      <x:c r="F649" s="42" t="n">
        <x:v>1</x:v>
      </x:c>
      <x:c r="G649" s="42" t="str">
        <x:f>IF(NOT(ISNUMBER(E649)),"",MAX(K649,MIN(L649,E649*F649)))</x:f>
      </x:c>
      <x:c r="H649" s="42" t="n">
        <x:v>97</x:v>
      </x:c>
      <x:c r="I649" s="42" t="str">
        <x:f>IF(COUNT(G649)=0,"",(COUNTIFS('93_REF_ANCHORS'!$A$7:$A$766,D649,'93_REF_ANCHORS'!$C$7:$C$766,"&lt;"&amp;G649)+COUNTIFS('93_REF_ANCHORS'!$A$7:$A$766,D649,'93_REF_ANCHORS'!$C$7:$C$766,"&lt;="&amp;G649)-1)/(2*(H649-1)))</x:f>
      </x:c>
      <x:c r="J649" s="34" t="str">
        <x:f>IF(B649="","",IF(COUNT(E649)=0,"MISSING",IF(NOT(ISNUMBER(E649)),"INVALID",IF(E649*F649&lt;K649,"WINSORIZED LOW",IF(E649*F649&gt;L649,"WINSORIZED HIGH","OK")))))</x:f>
      </x:c>
      <x:c r="K649" s="34" t="n">
        <x:v>-0.1395374353</x:v>
      </x:c>
      <x:c r="L649" s="34" t="n">
        <x:v>0.9274274845000001</x:v>
      </x:c>
      <x:c r="M649" s="34" t="n">
        <x:v>0.1111111111111111</x:v>
      </x:c>
      <x:c r="N649" s="34" t="str">
        <x:v>no</x:v>
      </x:c>
    </x:row>
    <x:row r="650">
      <x:c r="A650" s="34" t="n">
        <x:v>65</x:v>
      </x:c>
      <x:c r="B650" s="34" t="str">
        <x:f>IF('01_INPUT_COMPANIES'!$A$71="","",'01_INPUT_COMPANIES'!$A$71)</x:f>
      </x:c>
      <x:c r="C650" s="34" t="str">
        <x:f>IF(B650="","",'01_INPUT_COMPANIES'!$B$71)</x:f>
      </x:c>
      <x:c r="D650" s="34" t="str">
        <x:v>cashflow_recovery_ratio</x:v>
      </x:c>
      <x:c r="E650" s="42" t="str">
        <x:f>IF(OR(B650="",COUNT('01_INPUT_COMPANIES'!$W$71)=0),"",'01_INPUT_COMPANIES'!$W$71)</x:f>
      </x:c>
      <x:c r="F650" s="42" t="n">
        <x:v>-1</x:v>
      </x:c>
      <x:c r="G650" s="42" t="str">
        <x:f>IF(NOT(ISNUMBER(E650)),"",MAX(K650,MIN(L650,E650*F650)))</x:f>
      </x:c>
      <x:c r="H650" s="42" t="n">
        <x:v>95</x:v>
      </x:c>
      <x:c r="I650" s="42" t="str">
        <x:f>IF(COUNT(G650)=0,"",(COUNTIFS('93_REF_ANCHORS'!$A$7:$A$766,D650,'93_REF_ANCHORS'!$C$7:$C$766,"&lt;"&amp;G650)+COUNTIFS('93_REF_ANCHORS'!$A$7:$A$766,D650,'93_REF_ANCHORS'!$C$7:$C$766,"&lt;="&amp;G650)-1)/(2*(H650-1)))</x:f>
      </x:c>
      <x:c r="J650" s="34" t="str">
        <x:f>IF(B650="","",IF(COUNT(E650)=0,"MISSING",IF(NOT(ISNUMBER(E650)),"INVALID",IF(E650*F650&lt;K650,"WINSORIZED LOW",IF(E650*F650&gt;L650,"WINSORIZED HIGH","OK")))))</x:f>
      </x:c>
      <x:c r="K650" s="34" t="n">
        <x:v>-300.75</x:v>
      </x:c>
      <x:c r="L650" s="34" t="n">
        <x:v>42.6920305469</x:v>
      </x:c>
      <x:c r="M650" s="34" t="n">
        <x:v>0.08333333333333333</x:v>
      </x:c>
      <x:c r="N650" s="34" t="str">
        <x:v>no</x:v>
      </x:c>
    </x:row>
    <x:row r="651">
      <x:c r="A651" s="34" t="n">
        <x:v>65</x:v>
      </x:c>
      <x:c r="B651" s="34" t="str">
        <x:f>IF('01_INPUT_COMPANIES'!$A$71="","",'01_INPUT_COMPANIES'!$A$71)</x:f>
      </x:c>
      <x:c r="C651" s="34" t="str">
        <x:f>IF(B651="","",'01_INPUT_COMPANIES'!$B$71)</x:f>
      </x:c>
      <x:c r="D651" s="34" t="str">
        <x:v>funding_cost_spread</x:v>
      </x:c>
      <x:c r="E651" s="42" t="str">
        <x:f>IF(OR(B651="",COUNT('01_INPUT_COMPANIES'!$X$71)=0),"",'01_INPUT_COMPANIES'!$X$71)</x:f>
      </x:c>
      <x:c r="F651" s="42" t="n">
        <x:v>1</x:v>
      </x:c>
      <x:c r="G651" s="42" t="str">
        <x:f>IF(NOT(ISNUMBER(E651)),"",MAX(K651,MIN(L651,E651*F651)))</x:f>
      </x:c>
      <x:c r="H651" s="42" t="n">
        <x:v>58</x:v>
      </x:c>
      <x:c r="I651" s="42" t="str">
        <x:f>IF(COUNT(G651)=0,"",(COUNTIFS('93_REF_ANCHORS'!$A$7:$A$766,D651,'93_REF_ANCHORS'!$C$7:$C$766,"&lt;"&amp;G651)+COUNTIFS('93_REF_ANCHORS'!$A$7:$A$766,D651,'93_REF_ANCHORS'!$C$7:$C$766,"&lt;="&amp;G651)-1)/(2*(H651-1)))</x:f>
      </x:c>
      <x:c r="J651" s="34" t="str">
        <x:f>IF(B651="","",IF(COUNT(E651)=0,"MISSING",IF(NOT(ISNUMBER(E651)),"INVALID",IF(E651*F651&lt;K651,"WINSORIZED LOW",IF(E651*F651&gt;L651,"WINSORIZED HIGH","OK")))))</x:f>
      </x:c>
      <x:c r="K651" s="34" t="n">
        <x:v>-0.4430292903</x:v>
      </x:c>
      <x:c r="L651" s="34" t="n">
        <x:v>0.5068913103</x:v>
      </x:c>
      <x:c r="M651" s="34" t="n">
        <x:v>0.08333333333333333</x:v>
      </x:c>
      <x:c r="N651" s="34" t="str">
        <x:v>no</x:v>
      </x:c>
    </x:row>
    <x:row r="652">
      <x:c r="A652" s="34" t="n">
        <x:v>65</x:v>
      </x:c>
      <x:c r="B652" s="34" t="str">
        <x:f>IF('01_INPUT_COMPANIES'!$A$71="","",'01_INPUT_COMPANIES'!$A$71)</x:f>
      </x:c>
      <x:c r="C652" s="34" t="str">
        <x:f>IF(B652="","",'01_INPUT_COMPANIES'!$B$71)</x:f>
      </x:c>
      <x:c r="D652" s="34" t="str">
        <x:v>investment_recovery_ratio</x:v>
      </x:c>
      <x:c r="E652" s="42" t="str">
        <x:f>IF(OR(B652="",COUNT('01_INPUT_COMPANIES'!$Y$71)=0),"",'01_INPUT_COMPANIES'!$Y$71)</x:f>
      </x:c>
      <x:c r="F652" s="42" t="n">
        <x:v>-1</x:v>
      </x:c>
      <x:c r="G652" s="42" t="str">
        <x:f>IF(NOT(ISNUMBER(E652)),"",MAX(K652,MIN(L652,E652*F652)))</x:f>
      </x:c>
      <x:c r="H652" s="42" t="n">
        <x:v>95</x:v>
      </x:c>
      <x:c r="I652" s="42" t="str">
        <x:f>IF(COUNT(G652)=0,"",(COUNTIFS('93_REF_ANCHORS'!$A$7:$A$766,D652,'93_REF_ANCHORS'!$C$7:$C$766,"&lt;"&amp;G652)+COUNTIFS('93_REF_ANCHORS'!$A$7:$A$766,D652,'93_REF_ANCHORS'!$C$7:$C$766,"&lt;="&amp;G652)-1)/(2*(H652-1)))</x:f>
      </x:c>
      <x:c r="J652" s="34" t="str">
        <x:f>IF(B652="","",IF(COUNT(E652)=0,"MISSING",IF(NOT(ISNUMBER(E652)),"INVALID",IF(E652*F652&lt;K652,"WINSORIZED LOW",IF(E652*F652&gt;L652,"WINSORIZED HIGH","OK")))))</x:f>
      </x:c>
      <x:c r="K652" s="34" t="n">
        <x:v>-3163.7500000000014</x:v>
      </x:c>
      <x:c r="L652" s="34" t="n">
        <x:v>189.68191301719997</x:v>
      </x:c>
      <x:c r="M652" s="34" t="n">
        <x:v>0.08333333333333333</x:v>
      </x:c>
      <x:c r="N652" s="34" t="str">
        <x:v>no</x:v>
      </x:c>
    </x:row>
    <x:row r="653">
      <x:c r="A653" s="34" t="n">
        <x:v>65</x:v>
      </x:c>
      <x:c r="B653" s="34" t="str">
        <x:f>IF('01_INPUT_COMPANIES'!$A$71="","",'01_INPUT_COMPANIES'!$A$71)</x:f>
      </x:c>
      <x:c r="C653" s="34" t="str">
        <x:f>IF(B653="","",'01_INPUT_COMPANIES'!$B$71)</x:f>
      </x:c>
      <x:c r="D653" s="34" t="str">
        <x:v>ip_assetization_gap</x:v>
      </x:c>
      <x:c r="E653" s="42" t="str">
        <x:f>IF(OR(B653="",COUNT('01_INPUT_COMPANIES'!$Z$71)=0),"",'01_INPUT_COMPANIES'!$Z$71)</x:f>
      </x:c>
      <x:c r="F653" s="42" t="n">
        <x:v>1</x:v>
      </x:c>
      <x:c r="G653" s="42" t="str">
        <x:f>IF(NOT(ISNUMBER(E653)),"",MAX(K653,MIN(L653,E653*F653)))</x:f>
      </x:c>
      <x:c r="H653" s="42" t="n">
        <x:v>92</x:v>
      </x:c>
      <x:c r="I653" s="42" t="str">
        <x:f>IF(COUNT(G653)=0,"",(COUNTIFS('93_REF_ANCHORS'!$A$7:$A$766,D653,'93_REF_ANCHORS'!$C$7:$C$766,"&lt;"&amp;G653)+COUNTIFS('93_REF_ANCHORS'!$A$7:$A$766,D653,'93_REF_ANCHORS'!$C$7:$C$766,"&lt;="&amp;G653)-1)/(2*(H653-1)))</x:f>
      </x:c>
      <x:c r="J653" s="34" t="str">
        <x:f>IF(B653="","",IF(COUNT(E653)=0,"MISSING",IF(NOT(ISNUMBER(E653)),"INVALID",IF(E653*F653&lt;K653,"WINSORIZED LOW",IF(E653*F653&gt;L653,"WINSORIZED HIGH","OK")))))</x:f>
      </x:c>
      <x:c r="K653" s="34" t="n">
        <x:v>-1.6707152386</x:v>
      </x:c>
      <x:c r="L653" s="34" t="n">
        <x:v>0.7716332556000001</x:v>
      </x:c>
      <x:c r="M653" s="34" t="n">
        <x:v>0.08333333333333333</x:v>
      </x:c>
      <x:c r="N653" s="34" t="str">
        <x:v>no</x:v>
      </x:c>
    </x:row>
    <x:row r="654">
      <x:c r="A654" s="34" t="n">
        <x:v>65</x:v>
      </x:c>
      <x:c r="B654" s="34" t="str">
        <x:f>IF('01_INPUT_COMPANIES'!$A$71="","",'01_INPUT_COMPANIES'!$A$71)</x:f>
      </x:c>
      <x:c r="C654" s="34" t="str">
        <x:f>IF(B654="","",'01_INPUT_COMPANIES'!$B$71)</x:f>
      </x:c>
      <x:c r="D654" s="34" t="str">
        <x:v>cross_market_transfer_index</x:v>
      </x:c>
      <x:c r="E654" s="42" t="str">
        <x:f>IF(OR(B654="",COUNT('01_INPUT_COMPANIES'!$AA$71)=0),"",'01_INPUT_COMPANIES'!$AA$71)</x:f>
      </x:c>
      <x:c r="F654" s="42" t="n">
        <x:v>1</x:v>
      </x:c>
      <x:c r="G654" s="42" t="str">
        <x:f>IF(NOT(ISNUMBER(E654)),"",MAX(K654,MIN(L654,E654*F654)))</x:f>
      </x:c>
      <x:c r="H654" s="42" t="n">
        <x:v>4</x:v>
      </x:c>
      <x:c r="I654" s="42" t="str">
        <x:f>IF(COUNT(G654)=0,"",(COUNTIFS('93_REF_ANCHORS'!$A$7:$A$766,D654,'93_REF_ANCHORS'!$C$7:$C$766,"&lt;"&amp;G654)+COUNTIFS('93_REF_ANCHORS'!$A$7:$A$766,D654,'93_REF_ANCHORS'!$C$7:$C$766,"&lt;="&amp;G654)-1)/(2*(H654-1)))</x:f>
      </x:c>
      <x:c r="J654" s="34" t="str">
        <x:f>IF(B654="","",IF(COUNT(E654)=0,"MISSING",IF(NOT(ISNUMBER(E654)),"INVALID",IF(E654*F654&lt;K654,"WINSORIZED LOW",IF(E654*F654&gt;L654,"WINSORIZED HIGH","OK")))))</x:f>
      </x:c>
      <x:c r="K654" s="34" t="n">
        <x:v>0</x:v>
      </x:c>
      <x:c r="L654" s="34" t="n">
        <x:v>0.7587051325360435</x:v>
      </x:c>
      <x:c r="M654" s="34" t="n">
        <x:v>0.1111111111111111</x:v>
      </x:c>
      <x:c r="N654" s="34" t="str">
        <x:v>yes</x:v>
      </x:c>
    </x:row>
    <x:row r="655">
      <x:c r="A655" s="34" t="n">
        <x:v>65</x:v>
      </x:c>
      <x:c r="B655" s="34" t="str">
        <x:f>IF('01_INPUT_COMPANIES'!$A$71="","",'01_INPUT_COMPANIES'!$A$71)</x:f>
      </x:c>
      <x:c r="C655" s="34" t="str">
        <x:f>IF(B655="","",'01_INPUT_COMPANIES'!$B$71)</x:f>
      </x:c>
      <x:c r="D655" s="34" t="str">
        <x:v>foreign_dependency_ratio</x:v>
      </x:c>
      <x:c r="E655" s="42" t="str">
        <x:f>IF(OR(B655="",COUNT('01_INPUT_COMPANIES'!$AB$71)=0),"",'01_INPUT_COMPANIES'!$AB$71)</x:f>
      </x:c>
      <x:c r="F655" s="42" t="n">
        <x:v>1</x:v>
      </x:c>
      <x:c r="G655" s="42" t="str">
        <x:f>IF(NOT(ISNUMBER(E655)),"",MAX(K655,MIN(L655,E655*F655)))</x:f>
      </x:c>
      <x:c r="H655" s="42" t="n">
        <x:v>84</x:v>
      </x:c>
      <x:c r="I655" s="42" t="str">
        <x:f>IF(COUNT(G655)=0,"",(COUNTIFS('93_REF_ANCHORS'!$A$7:$A$766,D655,'93_REF_ANCHORS'!$C$7:$C$766,"&lt;"&amp;G655)+COUNTIFS('93_REF_ANCHORS'!$A$7:$A$766,D655,'93_REF_ANCHORS'!$C$7:$C$766,"&lt;="&amp;G655)-1)/(2*(H655-1)))</x:f>
      </x:c>
      <x:c r="J655" s="34" t="str">
        <x:f>IF(B655="","",IF(COUNT(E655)=0,"MISSING",IF(NOT(ISNUMBER(E655)),"INVALID",IF(E655*F655&lt;K655,"WINSORIZED LOW",IF(E655*F655&gt;L655,"WINSORIZED HIGH","OK")))))</x:f>
      </x:c>
      <x:c r="K655" s="34" t="n">
        <x:v>0.728196</x:v>
      </x:c>
      <x:c r="L655" s="34" t="n">
        <x:v>0.94</x:v>
      </x:c>
      <x:c r="M655" s="34" t="n">
        <x:v>0.1111111111111111</x:v>
      </x:c>
      <x:c r="N655" s="34" t="str">
        <x:v>yes</x:v>
      </x:c>
    </x:row>
    <x:row r="656">
      <x:c r="A656" s="34" t="n">
        <x:v>65</x:v>
      </x:c>
      <x:c r="B656" s="34" t="str">
        <x:f>IF('01_INPUT_COMPANIES'!$A$71="","",'01_INPUT_COMPANIES'!$A$71)</x:f>
      </x:c>
      <x:c r="C656" s="34" t="str">
        <x:f>IF(B656="","",'01_INPUT_COMPANIES'!$B$71)</x:f>
      </x:c>
      <x:c r="D656" s="34" t="str">
        <x:v>outflow_to_capex_ratio</x:v>
      </x:c>
      <x:c r="E656" s="42" t="str">
        <x:f>IF(OR(B656="",COUNT('01_INPUT_COMPANIES'!$AC$71)=0),"",'01_INPUT_COMPANIES'!$AC$71)</x:f>
      </x:c>
      <x:c r="F656" s="42" t="n">
        <x:v>1</x:v>
      </x:c>
      <x:c r="G656" s="42" t="str">
        <x:f>IF(NOT(ISNUMBER(E656)),"",MAX(K656,MIN(L656,E656*F656)))</x:f>
      </x:c>
      <x:c r="H656" s="42" t="n">
        <x:v>97</x:v>
      </x:c>
      <x:c r="I656" s="42" t="str">
        <x:f>IF(COUNT(G656)=0,"",(COUNTIFS('93_REF_ANCHORS'!$A$7:$A$766,D656,'93_REF_ANCHORS'!$C$7:$C$766,"&lt;"&amp;G656)+COUNTIFS('93_REF_ANCHORS'!$A$7:$A$766,D656,'93_REF_ANCHORS'!$C$7:$C$766,"&lt;="&amp;G656)-1)/(2*(H656-1)))</x:f>
      </x:c>
      <x:c r="J656" s="34" t="str">
        <x:f>IF(B656="","",IF(COUNT(E656)=0,"MISSING",IF(NOT(ISNUMBER(E656)),"INVALID",IF(E656*F656&lt;K656,"WINSORIZED LOW",IF(E656*F656&gt;L656,"WINSORIZED HIGH","OK")))))</x:f>
      </x:c>
      <x:c r="K656" s="34" t="n">
        <x:v>-123.5385890408</x:v>
      </x:c>
      <x:c r="L656" s="34" t="n">
        <x:v>974.1666666666999</x:v>
      </x:c>
      <x:c r="M656" s="34" t="n">
        <x:v>0.1111111111111111</x:v>
      </x:c>
      <x:c r="N656" s="34" t="str">
        <x:v>no</x:v>
      </x:c>
    </x:row>
    <x:row r="657">
      <x:c r="A657" s="34" t="n">
        <x:v>66</x:v>
      </x:c>
      <x:c r="B657" s="34" t="str">
        <x:f>IF('01_INPUT_COMPANIES'!$A$72="","",'01_INPUT_COMPANIES'!$A$72)</x:f>
      </x:c>
      <x:c r="C657" s="34" t="str">
        <x:f>IF(B657="","",'01_INPUT_COMPANIES'!$B$72)</x:f>
      </x:c>
      <x:c r="D657" s="34" t="str">
        <x:v>effective_tax_rate_gap</x:v>
      </x:c>
      <x:c r="E657" s="42" t="str">
        <x:f>IF(OR(B657="",COUNT('01_INPUT_COMPANIES'!$T$72)=0),"",'01_INPUT_COMPANIES'!$T$72)</x:f>
      </x:c>
      <x:c r="F657" s="42" t="n">
        <x:v>1</x:v>
      </x:c>
      <x:c r="G657" s="42" t="str">
        <x:f>IF(NOT(ISNUMBER(E657)),"",MAX(K657,MIN(L657,E657*F657)))</x:f>
      </x:c>
      <x:c r="H657" s="42" t="n">
        <x:v>74</x:v>
      </x:c>
      <x:c r="I657" s="42" t="str">
        <x:f>IF(COUNT(G657)=0,"",(COUNTIFS('93_REF_ANCHORS'!$A$7:$A$766,D657,'93_REF_ANCHORS'!$C$7:$C$766,"&lt;"&amp;G657)+COUNTIFS('93_REF_ANCHORS'!$A$7:$A$766,D657,'93_REF_ANCHORS'!$C$7:$C$766,"&lt;="&amp;G657)-1)/(2*(H657-1)))</x:f>
      </x:c>
      <x:c r="J657" s="34" t="str">
        <x:f>IF(B657="","",IF(COUNT(E657)=0,"MISSING",IF(NOT(ISNUMBER(E657)),"INVALID",IF(E657*F657&lt;K657,"WINSORIZED LOW",IF(E657*F657&gt;L657,"WINSORIZED HIGH","OK")))))</x:f>
      </x:c>
      <x:c r="K657" s="34" t="n">
        <x:v>-0.1416111014</x:v>
      </x:c>
      <x:c r="L657" s="34" t="n">
        <x:v>0.2683650488</x:v>
      </x:c>
      <x:c r="M657" s="34" t="n">
        <x:v>0.1111111111111111</x:v>
      </x:c>
      <x:c r="N657" s="34" t="str">
        <x:v>no</x:v>
      </x:c>
    </x:row>
    <x:row r="658">
      <x:c r="A658" s="34" t="n">
        <x:v>66</x:v>
      </x:c>
      <x:c r="B658" s="34" t="str">
        <x:f>IF('01_INPUT_COMPANIES'!$A$72="","",'01_INPUT_COMPANIES'!$A$72)</x:f>
      </x:c>
      <x:c r="C658" s="34" t="str">
        <x:f>IF(B658="","",'01_INPUT_COMPANIES'!$B$72)</x:f>
      </x:c>
      <x:c r="D658" s="34" t="str">
        <x:v>infra_dependency_ratio</x:v>
      </x:c>
      <x:c r="E658" s="42" t="str">
        <x:f>IF(OR(B658="",COUNT('01_INPUT_COMPANIES'!$U$72)=0),"",'01_INPUT_COMPANIES'!$U$72)</x:f>
      </x:c>
      <x:c r="F658" s="42" t="n">
        <x:v>1</x:v>
      </x:c>
      <x:c r="G658" s="42" t="str">
        <x:f>IF(NOT(ISNUMBER(E658)),"",MAX(K658,MIN(L658,E658*F658)))</x:f>
      </x:c>
      <x:c r="H658" s="42" t="n">
        <x:v>64</x:v>
      </x:c>
      <x:c r="I658" s="42" t="str">
        <x:f>IF(COUNT(G658)=0,"",(COUNTIFS('93_REF_ANCHORS'!$A$7:$A$766,D658,'93_REF_ANCHORS'!$C$7:$C$766,"&lt;"&amp;G658)+COUNTIFS('93_REF_ANCHORS'!$A$7:$A$766,D658,'93_REF_ANCHORS'!$C$7:$C$766,"&lt;="&amp;G658)-1)/(2*(H658-1)))</x:f>
      </x:c>
      <x:c r="J658" s="34" t="str">
        <x:f>IF(B658="","",IF(COUNT(E658)=0,"MISSING",IF(NOT(ISNUMBER(E658)),"INVALID",IF(E658*F658&lt;K658,"WINSORIZED LOW",IF(E658*F658&gt;L658,"WINSORIZED HIGH","OK")))))</x:f>
      </x:c>
      <x:c r="K658" s="34" t="n">
        <x:v>-0.10705024705171803</x:v>
      </x:c>
      <x:c r="L658" s="34" t="n">
        <x:v>0.8008753865408955</x:v>
      </x:c>
      <x:c r="M658" s="34" t="n">
        <x:v>0.1111111111111111</x:v>
      </x:c>
      <x:c r="N658" s="34" t="str">
        <x:v>no</x:v>
      </x:c>
    </x:row>
    <x:row r="659">
      <x:c r="A659" s="34" t="n">
        <x:v>66</x:v>
      </x:c>
      <x:c r="B659" s="34" t="str">
        <x:f>IF('01_INPUT_COMPANIES'!$A$72="","",'01_INPUT_COMPANIES'!$A$72)</x:f>
      </x:c>
      <x:c r="C659" s="34" t="str">
        <x:f>IF(B659="","",'01_INPUT_COMPANIES'!$B$72)</x:f>
      </x:c>
      <x:c r="D659" s="34" t="str">
        <x:v>network_cost_ratio</x:v>
      </x:c>
      <x:c r="E659" s="42" t="str">
        <x:f>IF(OR(B659="",COUNT('01_INPUT_COMPANIES'!$V$72)=0),"",'01_INPUT_COMPANIES'!$V$72)</x:f>
      </x:c>
      <x:c r="F659" s="42" t="n">
        <x:v>1</x:v>
      </x:c>
      <x:c r="G659" s="42" t="str">
        <x:f>IF(NOT(ISNUMBER(E659)),"",MAX(K659,MIN(L659,E659*F659)))</x:f>
      </x:c>
      <x:c r="H659" s="42" t="n">
        <x:v>97</x:v>
      </x:c>
      <x:c r="I659" s="42" t="str">
        <x:f>IF(COUNT(G659)=0,"",(COUNTIFS('93_REF_ANCHORS'!$A$7:$A$766,D659,'93_REF_ANCHORS'!$C$7:$C$766,"&lt;"&amp;G659)+COUNTIFS('93_REF_ANCHORS'!$A$7:$A$766,D659,'93_REF_ANCHORS'!$C$7:$C$766,"&lt;="&amp;G659)-1)/(2*(H659-1)))</x:f>
      </x:c>
      <x:c r="J659" s="34" t="str">
        <x:f>IF(B659="","",IF(COUNT(E659)=0,"MISSING",IF(NOT(ISNUMBER(E659)),"INVALID",IF(E659*F659&lt;K659,"WINSORIZED LOW",IF(E659*F659&gt;L659,"WINSORIZED HIGH","OK")))))</x:f>
      </x:c>
      <x:c r="K659" s="34" t="n">
        <x:v>-0.1395374353</x:v>
      </x:c>
      <x:c r="L659" s="34" t="n">
        <x:v>0.9274274845000001</x:v>
      </x:c>
      <x:c r="M659" s="34" t="n">
        <x:v>0.1111111111111111</x:v>
      </x:c>
      <x:c r="N659" s="34" t="str">
        <x:v>no</x:v>
      </x:c>
    </x:row>
    <x:row r="660">
      <x:c r="A660" s="34" t="n">
        <x:v>66</x:v>
      </x:c>
      <x:c r="B660" s="34" t="str">
        <x:f>IF('01_INPUT_COMPANIES'!$A$72="","",'01_INPUT_COMPANIES'!$A$72)</x:f>
      </x:c>
      <x:c r="C660" s="34" t="str">
        <x:f>IF(B660="","",'01_INPUT_COMPANIES'!$B$72)</x:f>
      </x:c>
      <x:c r="D660" s="34" t="str">
        <x:v>cashflow_recovery_ratio</x:v>
      </x:c>
      <x:c r="E660" s="42" t="str">
        <x:f>IF(OR(B660="",COUNT('01_INPUT_COMPANIES'!$W$72)=0),"",'01_INPUT_COMPANIES'!$W$72)</x:f>
      </x:c>
      <x:c r="F660" s="42" t="n">
        <x:v>-1</x:v>
      </x:c>
      <x:c r="G660" s="42" t="str">
        <x:f>IF(NOT(ISNUMBER(E660)),"",MAX(K660,MIN(L660,E660*F660)))</x:f>
      </x:c>
      <x:c r="H660" s="42" t="n">
        <x:v>95</x:v>
      </x:c>
      <x:c r="I660" s="42" t="str">
        <x:f>IF(COUNT(G660)=0,"",(COUNTIFS('93_REF_ANCHORS'!$A$7:$A$766,D660,'93_REF_ANCHORS'!$C$7:$C$766,"&lt;"&amp;G660)+COUNTIFS('93_REF_ANCHORS'!$A$7:$A$766,D660,'93_REF_ANCHORS'!$C$7:$C$766,"&lt;="&amp;G660)-1)/(2*(H660-1)))</x:f>
      </x:c>
      <x:c r="J660" s="34" t="str">
        <x:f>IF(B660="","",IF(COUNT(E660)=0,"MISSING",IF(NOT(ISNUMBER(E660)),"INVALID",IF(E660*F660&lt;K660,"WINSORIZED LOW",IF(E660*F660&gt;L660,"WINSORIZED HIGH","OK")))))</x:f>
      </x:c>
      <x:c r="K660" s="34" t="n">
        <x:v>-300.75</x:v>
      </x:c>
      <x:c r="L660" s="34" t="n">
        <x:v>42.6920305469</x:v>
      </x:c>
      <x:c r="M660" s="34" t="n">
        <x:v>0.08333333333333333</x:v>
      </x:c>
      <x:c r="N660" s="34" t="str">
        <x:v>no</x:v>
      </x:c>
    </x:row>
    <x:row r="661">
      <x:c r="A661" s="34" t="n">
        <x:v>66</x:v>
      </x:c>
      <x:c r="B661" s="34" t="str">
        <x:f>IF('01_INPUT_COMPANIES'!$A$72="","",'01_INPUT_COMPANIES'!$A$72)</x:f>
      </x:c>
      <x:c r="C661" s="34" t="str">
        <x:f>IF(B661="","",'01_INPUT_COMPANIES'!$B$72)</x:f>
      </x:c>
      <x:c r="D661" s="34" t="str">
        <x:v>funding_cost_spread</x:v>
      </x:c>
      <x:c r="E661" s="42" t="str">
        <x:f>IF(OR(B661="",COUNT('01_INPUT_COMPANIES'!$X$72)=0),"",'01_INPUT_COMPANIES'!$X$72)</x:f>
      </x:c>
      <x:c r="F661" s="42" t="n">
        <x:v>1</x:v>
      </x:c>
      <x:c r="G661" s="42" t="str">
        <x:f>IF(NOT(ISNUMBER(E661)),"",MAX(K661,MIN(L661,E661*F661)))</x:f>
      </x:c>
      <x:c r="H661" s="42" t="n">
        <x:v>58</x:v>
      </x:c>
      <x:c r="I661" s="42" t="str">
        <x:f>IF(COUNT(G661)=0,"",(COUNTIFS('93_REF_ANCHORS'!$A$7:$A$766,D661,'93_REF_ANCHORS'!$C$7:$C$766,"&lt;"&amp;G661)+COUNTIFS('93_REF_ANCHORS'!$A$7:$A$766,D661,'93_REF_ANCHORS'!$C$7:$C$766,"&lt;="&amp;G661)-1)/(2*(H661-1)))</x:f>
      </x:c>
      <x:c r="J661" s="34" t="str">
        <x:f>IF(B661="","",IF(COUNT(E661)=0,"MISSING",IF(NOT(ISNUMBER(E661)),"INVALID",IF(E661*F661&lt;K661,"WINSORIZED LOW",IF(E661*F661&gt;L661,"WINSORIZED HIGH","OK")))))</x:f>
      </x:c>
      <x:c r="K661" s="34" t="n">
        <x:v>-0.4430292903</x:v>
      </x:c>
      <x:c r="L661" s="34" t="n">
        <x:v>0.5068913103</x:v>
      </x:c>
      <x:c r="M661" s="34" t="n">
        <x:v>0.08333333333333333</x:v>
      </x:c>
      <x:c r="N661" s="34" t="str">
        <x:v>no</x:v>
      </x:c>
    </x:row>
    <x:row r="662">
      <x:c r="A662" s="34" t="n">
        <x:v>66</x:v>
      </x:c>
      <x:c r="B662" s="34" t="str">
        <x:f>IF('01_INPUT_COMPANIES'!$A$72="","",'01_INPUT_COMPANIES'!$A$72)</x:f>
      </x:c>
      <x:c r="C662" s="34" t="str">
        <x:f>IF(B662="","",'01_INPUT_COMPANIES'!$B$72)</x:f>
      </x:c>
      <x:c r="D662" s="34" t="str">
        <x:v>investment_recovery_ratio</x:v>
      </x:c>
      <x:c r="E662" s="42" t="str">
        <x:f>IF(OR(B662="",COUNT('01_INPUT_COMPANIES'!$Y$72)=0),"",'01_INPUT_COMPANIES'!$Y$72)</x:f>
      </x:c>
      <x:c r="F662" s="42" t="n">
        <x:v>-1</x:v>
      </x:c>
      <x:c r="G662" s="42" t="str">
        <x:f>IF(NOT(ISNUMBER(E662)),"",MAX(K662,MIN(L662,E662*F662)))</x:f>
      </x:c>
      <x:c r="H662" s="42" t="n">
        <x:v>95</x:v>
      </x:c>
      <x:c r="I662" s="42" t="str">
        <x:f>IF(COUNT(G662)=0,"",(COUNTIFS('93_REF_ANCHORS'!$A$7:$A$766,D662,'93_REF_ANCHORS'!$C$7:$C$766,"&lt;"&amp;G662)+COUNTIFS('93_REF_ANCHORS'!$A$7:$A$766,D662,'93_REF_ANCHORS'!$C$7:$C$766,"&lt;="&amp;G662)-1)/(2*(H662-1)))</x:f>
      </x:c>
      <x:c r="J662" s="34" t="str">
        <x:f>IF(B662="","",IF(COUNT(E662)=0,"MISSING",IF(NOT(ISNUMBER(E662)),"INVALID",IF(E662*F662&lt;K662,"WINSORIZED LOW",IF(E662*F662&gt;L662,"WINSORIZED HIGH","OK")))))</x:f>
      </x:c>
      <x:c r="K662" s="34" t="n">
        <x:v>-3163.7500000000014</x:v>
      </x:c>
      <x:c r="L662" s="34" t="n">
        <x:v>189.68191301719997</x:v>
      </x:c>
      <x:c r="M662" s="34" t="n">
        <x:v>0.08333333333333333</x:v>
      </x:c>
      <x:c r="N662" s="34" t="str">
        <x:v>no</x:v>
      </x:c>
    </x:row>
    <x:row r="663">
      <x:c r="A663" s="34" t="n">
        <x:v>66</x:v>
      </x:c>
      <x:c r="B663" s="34" t="str">
        <x:f>IF('01_INPUT_COMPANIES'!$A$72="","",'01_INPUT_COMPANIES'!$A$72)</x:f>
      </x:c>
      <x:c r="C663" s="34" t="str">
        <x:f>IF(B663="","",'01_INPUT_COMPANIES'!$B$72)</x:f>
      </x:c>
      <x:c r="D663" s="34" t="str">
        <x:v>ip_assetization_gap</x:v>
      </x:c>
      <x:c r="E663" s="42" t="str">
        <x:f>IF(OR(B663="",COUNT('01_INPUT_COMPANIES'!$Z$72)=0),"",'01_INPUT_COMPANIES'!$Z$72)</x:f>
      </x:c>
      <x:c r="F663" s="42" t="n">
        <x:v>1</x:v>
      </x:c>
      <x:c r="G663" s="42" t="str">
        <x:f>IF(NOT(ISNUMBER(E663)),"",MAX(K663,MIN(L663,E663*F663)))</x:f>
      </x:c>
      <x:c r="H663" s="42" t="n">
        <x:v>92</x:v>
      </x:c>
      <x:c r="I663" s="42" t="str">
        <x:f>IF(COUNT(G663)=0,"",(COUNTIFS('93_REF_ANCHORS'!$A$7:$A$766,D663,'93_REF_ANCHORS'!$C$7:$C$766,"&lt;"&amp;G663)+COUNTIFS('93_REF_ANCHORS'!$A$7:$A$766,D663,'93_REF_ANCHORS'!$C$7:$C$766,"&lt;="&amp;G663)-1)/(2*(H663-1)))</x:f>
      </x:c>
      <x:c r="J663" s="34" t="str">
        <x:f>IF(B663="","",IF(COUNT(E663)=0,"MISSING",IF(NOT(ISNUMBER(E663)),"INVALID",IF(E663*F663&lt;K663,"WINSORIZED LOW",IF(E663*F663&gt;L663,"WINSORIZED HIGH","OK")))))</x:f>
      </x:c>
      <x:c r="K663" s="34" t="n">
        <x:v>-1.6707152386</x:v>
      </x:c>
      <x:c r="L663" s="34" t="n">
        <x:v>0.7716332556000001</x:v>
      </x:c>
      <x:c r="M663" s="34" t="n">
        <x:v>0.08333333333333333</x:v>
      </x:c>
      <x:c r="N663" s="34" t="str">
        <x:v>no</x:v>
      </x:c>
    </x:row>
    <x:row r="664">
      <x:c r="A664" s="34" t="n">
        <x:v>66</x:v>
      </x:c>
      <x:c r="B664" s="34" t="str">
        <x:f>IF('01_INPUT_COMPANIES'!$A$72="","",'01_INPUT_COMPANIES'!$A$72)</x:f>
      </x:c>
      <x:c r="C664" s="34" t="str">
        <x:f>IF(B664="","",'01_INPUT_COMPANIES'!$B$72)</x:f>
      </x:c>
      <x:c r="D664" s="34" t="str">
        <x:v>cross_market_transfer_index</x:v>
      </x:c>
      <x:c r="E664" s="42" t="str">
        <x:f>IF(OR(B664="",COUNT('01_INPUT_COMPANIES'!$AA$72)=0),"",'01_INPUT_COMPANIES'!$AA$72)</x:f>
      </x:c>
      <x:c r="F664" s="42" t="n">
        <x:v>1</x:v>
      </x:c>
      <x:c r="G664" s="42" t="str">
        <x:f>IF(NOT(ISNUMBER(E664)),"",MAX(K664,MIN(L664,E664*F664)))</x:f>
      </x:c>
      <x:c r="H664" s="42" t="n">
        <x:v>4</x:v>
      </x:c>
      <x:c r="I664" s="42" t="str">
        <x:f>IF(COUNT(G664)=0,"",(COUNTIFS('93_REF_ANCHORS'!$A$7:$A$766,D664,'93_REF_ANCHORS'!$C$7:$C$766,"&lt;"&amp;G664)+COUNTIFS('93_REF_ANCHORS'!$A$7:$A$766,D664,'93_REF_ANCHORS'!$C$7:$C$766,"&lt;="&amp;G664)-1)/(2*(H664-1)))</x:f>
      </x:c>
      <x:c r="J664" s="34" t="str">
        <x:f>IF(B664="","",IF(COUNT(E664)=0,"MISSING",IF(NOT(ISNUMBER(E664)),"INVALID",IF(E664*F664&lt;K664,"WINSORIZED LOW",IF(E664*F664&gt;L664,"WINSORIZED HIGH","OK")))))</x:f>
      </x:c>
      <x:c r="K664" s="34" t="n">
        <x:v>0</x:v>
      </x:c>
      <x:c r="L664" s="34" t="n">
        <x:v>0.7587051325360435</x:v>
      </x:c>
      <x:c r="M664" s="34" t="n">
        <x:v>0.1111111111111111</x:v>
      </x:c>
      <x:c r="N664" s="34" t="str">
        <x:v>yes</x:v>
      </x:c>
    </x:row>
    <x:row r="665">
      <x:c r="A665" s="34" t="n">
        <x:v>66</x:v>
      </x:c>
      <x:c r="B665" s="34" t="str">
        <x:f>IF('01_INPUT_COMPANIES'!$A$72="","",'01_INPUT_COMPANIES'!$A$72)</x:f>
      </x:c>
      <x:c r="C665" s="34" t="str">
        <x:f>IF(B665="","",'01_INPUT_COMPANIES'!$B$72)</x:f>
      </x:c>
      <x:c r="D665" s="34" t="str">
        <x:v>foreign_dependency_ratio</x:v>
      </x:c>
      <x:c r="E665" s="42" t="str">
        <x:f>IF(OR(B665="",COUNT('01_INPUT_COMPANIES'!$AB$72)=0),"",'01_INPUT_COMPANIES'!$AB$72)</x:f>
      </x:c>
      <x:c r="F665" s="42" t="n">
        <x:v>1</x:v>
      </x:c>
      <x:c r="G665" s="42" t="str">
        <x:f>IF(NOT(ISNUMBER(E665)),"",MAX(K665,MIN(L665,E665*F665)))</x:f>
      </x:c>
      <x:c r="H665" s="42" t="n">
        <x:v>84</x:v>
      </x:c>
      <x:c r="I665" s="42" t="str">
        <x:f>IF(COUNT(G665)=0,"",(COUNTIFS('93_REF_ANCHORS'!$A$7:$A$766,D665,'93_REF_ANCHORS'!$C$7:$C$766,"&lt;"&amp;G665)+COUNTIFS('93_REF_ANCHORS'!$A$7:$A$766,D665,'93_REF_ANCHORS'!$C$7:$C$766,"&lt;="&amp;G665)-1)/(2*(H665-1)))</x:f>
      </x:c>
      <x:c r="J665" s="34" t="str">
        <x:f>IF(B665="","",IF(COUNT(E665)=0,"MISSING",IF(NOT(ISNUMBER(E665)),"INVALID",IF(E665*F665&lt;K665,"WINSORIZED LOW",IF(E665*F665&gt;L665,"WINSORIZED HIGH","OK")))))</x:f>
      </x:c>
      <x:c r="K665" s="34" t="n">
        <x:v>0.728196</x:v>
      </x:c>
      <x:c r="L665" s="34" t="n">
        <x:v>0.94</x:v>
      </x:c>
      <x:c r="M665" s="34" t="n">
        <x:v>0.1111111111111111</x:v>
      </x:c>
      <x:c r="N665" s="34" t="str">
        <x:v>yes</x:v>
      </x:c>
    </x:row>
    <x:row r="666">
      <x:c r="A666" s="34" t="n">
        <x:v>66</x:v>
      </x:c>
      <x:c r="B666" s="34" t="str">
        <x:f>IF('01_INPUT_COMPANIES'!$A$72="","",'01_INPUT_COMPANIES'!$A$72)</x:f>
      </x:c>
      <x:c r="C666" s="34" t="str">
        <x:f>IF(B666="","",'01_INPUT_COMPANIES'!$B$72)</x:f>
      </x:c>
      <x:c r="D666" s="34" t="str">
        <x:v>outflow_to_capex_ratio</x:v>
      </x:c>
      <x:c r="E666" s="42" t="str">
        <x:f>IF(OR(B666="",COUNT('01_INPUT_COMPANIES'!$AC$72)=0),"",'01_INPUT_COMPANIES'!$AC$72)</x:f>
      </x:c>
      <x:c r="F666" s="42" t="n">
        <x:v>1</x:v>
      </x:c>
      <x:c r="G666" s="42" t="str">
        <x:f>IF(NOT(ISNUMBER(E666)),"",MAX(K666,MIN(L666,E666*F666)))</x:f>
      </x:c>
      <x:c r="H666" s="42" t="n">
        <x:v>97</x:v>
      </x:c>
      <x:c r="I666" s="42" t="str">
        <x:f>IF(COUNT(G666)=0,"",(COUNTIFS('93_REF_ANCHORS'!$A$7:$A$766,D666,'93_REF_ANCHORS'!$C$7:$C$766,"&lt;"&amp;G666)+COUNTIFS('93_REF_ANCHORS'!$A$7:$A$766,D666,'93_REF_ANCHORS'!$C$7:$C$766,"&lt;="&amp;G666)-1)/(2*(H666-1)))</x:f>
      </x:c>
      <x:c r="J666" s="34" t="str">
        <x:f>IF(B666="","",IF(COUNT(E666)=0,"MISSING",IF(NOT(ISNUMBER(E666)),"INVALID",IF(E666*F666&lt;K666,"WINSORIZED LOW",IF(E666*F666&gt;L666,"WINSORIZED HIGH","OK")))))</x:f>
      </x:c>
      <x:c r="K666" s="34" t="n">
        <x:v>-123.5385890408</x:v>
      </x:c>
      <x:c r="L666" s="34" t="n">
        <x:v>974.1666666666999</x:v>
      </x:c>
      <x:c r="M666" s="34" t="n">
        <x:v>0.1111111111111111</x:v>
      </x:c>
      <x:c r="N666" s="34" t="str">
        <x:v>no</x:v>
      </x:c>
    </x:row>
    <x:row r="667">
      <x:c r="A667" s="34" t="n">
        <x:v>67</x:v>
      </x:c>
      <x:c r="B667" s="34" t="str">
        <x:f>IF('01_INPUT_COMPANIES'!$A$73="","",'01_INPUT_COMPANIES'!$A$73)</x:f>
      </x:c>
      <x:c r="C667" s="34" t="str">
        <x:f>IF(B667="","",'01_INPUT_COMPANIES'!$B$73)</x:f>
      </x:c>
      <x:c r="D667" s="34" t="str">
        <x:v>effective_tax_rate_gap</x:v>
      </x:c>
      <x:c r="E667" s="42" t="str">
        <x:f>IF(OR(B667="",COUNT('01_INPUT_COMPANIES'!$T$73)=0),"",'01_INPUT_COMPANIES'!$T$73)</x:f>
      </x:c>
      <x:c r="F667" s="42" t="n">
        <x:v>1</x:v>
      </x:c>
      <x:c r="G667" s="42" t="str">
        <x:f>IF(NOT(ISNUMBER(E667)),"",MAX(K667,MIN(L667,E667*F667)))</x:f>
      </x:c>
      <x:c r="H667" s="42" t="n">
        <x:v>74</x:v>
      </x:c>
      <x:c r="I667" s="42" t="str">
        <x:f>IF(COUNT(G667)=0,"",(COUNTIFS('93_REF_ANCHORS'!$A$7:$A$766,D667,'93_REF_ANCHORS'!$C$7:$C$766,"&lt;"&amp;G667)+COUNTIFS('93_REF_ANCHORS'!$A$7:$A$766,D667,'93_REF_ANCHORS'!$C$7:$C$766,"&lt;="&amp;G667)-1)/(2*(H667-1)))</x:f>
      </x:c>
      <x:c r="J667" s="34" t="str">
        <x:f>IF(B667="","",IF(COUNT(E667)=0,"MISSING",IF(NOT(ISNUMBER(E667)),"INVALID",IF(E667*F667&lt;K667,"WINSORIZED LOW",IF(E667*F667&gt;L667,"WINSORIZED HIGH","OK")))))</x:f>
      </x:c>
      <x:c r="K667" s="34" t="n">
        <x:v>-0.1416111014</x:v>
      </x:c>
      <x:c r="L667" s="34" t="n">
        <x:v>0.2683650488</x:v>
      </x:c>
      <x:c r="M667" s="34" t="n">
        <x:v>0.1111111111111111</x:v>
      </x:c>
      <x:c r="N667" s="34" t="str">
        <x:v>no</x:v>
      </x:c>
    </x:row>
    <x:row r="668">
      <x:c r="A668" s="34" t="n">
        <x:v>67</x:v>
      </x:c>
      <x:c r="B668" s="34" t="str">
        <x:f>IF('01_INPUT_COMPANIES'!$A$73="","",'01_INPUT_COMPANIES'!$A$73)</x:f>
      </x:c>
      <x:c r="C668" s="34" t="str">
        <x:f>IF(B668="","",'01_INPUT_COMPANIES'!$B$73)</x:f>
      </x:c>
      <x:c r="D668" s="34" t="str">
        <x:v>infra_dependency_ratio</x:v>
      </x:c>
      <x:c r="E668" s="42" t="str">
        <x:f>IF(OR(B668="",COUNT('01_INPUT_COMPANIES'!$U$73)=0),"",'01_INPUT_COMPANIES'!$U$73)</x:f>
      </x:c>
      <x:c r="F668" s="42" t="n">
        <x:v>1</x:v>
      </x:c>
      <x:c r="G668" s="42" t="str">
        <x:f>IF(NOT(ISNUMBER(E668)),"",MAX(K668,MIN(L668,E668*F668)))</x:f>
      </x:c>
      <x:c r="H668" s="42" t="n">
        <x:v>64</x:v>
      </x:c>
      <x:c r="I668" s="42" t="str">
        <x:f>IF(COUNT(G668)=0,"",(COUNTIFS('93_REF_ANCHORS'!$A$7:$A$766,D668,'93_REF_ANCHORS'!$C$7:$C$766,"&lt;"&amp;G668)+COUNTIFS('93_REF_ANCHORS'!$A$7:$A$766,D668,'93_REF_ANCHORS'!$C$7:$C$766,"&lt;="&amp;G668)-1)/(2*(H668-1)))</x:f>
      </x:c>
      <x:c r="J668" s="34" t="str">
        <x:f>IF(B668="","",IF(COUNT(E668)=0,"MISSING",IF(NOT(ISNUMBER(E668)),"INVALID",IF(E668*F668&lt;K668,"WINSORIZED LOW",IF(E668*F668&gt;L668,"WINSORIZED HIGH","OK")))))</x:f>
      </x:c>
      <x:c r="K668" s="34" t="n">
        <x:v>-0.10705024705171803</x:v>
      </x:c>
      <x:c r="L668" s="34" t="n">
        <x:v>0.8008753865408955</x:v>
      </x:c>
      <x:c r="M668" s="34" t="n">
        <x:v>0.1111111111111111</x:v>
      </x:c>
      <x:c r="N668" s="34" t="str">
        <x:v>no</x:v>
      </x:c>
    </x:row>
    <x:row r="669">
      <x:c r="A669" s="34" t="n">
        <x:v>67</x:v>
      </x:c>
      <x:c r="B669" s="34" t="str">
        <x:f>IF('01_INPUT_COMPANIES'!$A$73="","",'01_INPUT_COMPANIES'!$A$73)</x:f>
      </x:c>
      <x:c r="C669" s="34" t="str">
        <x:f>IF(B669="","",'01_INPUT_COMPANIES'!$B$73)</x:f>
      </x:c>
      <x:c r="D669" s="34" t="str">
        <x:v>network_cost_ratio</x:v>
      </x:c>
      <x:c r="E669" s="42" t="str">
        <x:f>IF(OR(B669="",COUNT('01_INPUT_COMPANIES'!$V$73)=0),"",'01_INPUT_COMPANIES'!$V$73)</x:f>
      </x:c>
      <x:c r="F669" s="42" t="n">
        <x:v>1</x:v>
      </x:c>
      <x:c r="G669" s="42" t="str">
        <x:f>IF(NOT(ISNUMBER(E669)),"",MAX(K669,MIN(L669,E669*F669)))</x:f>
      </x:c>
      <x:c r="H669" s="42" t="n">
        <x:v>97</x:v>
      </x:c>
      <x:c r="I669" s="42" t="str">
        <x:f>IF(COUNT(G669)=0,"",(COUNTIFS('93_REF_ANCHORS'!$A$7:$A$766,D669,'93_REF_ANCHORS'!$C$7:$C$766,"&lt;"&amp;G669)+COUNTIFS('93_REF_ANCHORS'!$A$7:$A$766,D669,'93_REF_ANCHORS'!$C$7:$C$766,"&lt;="&amp;G669)-1)/(2*(H669-1)))</x:f>
      </x:c>
      <x:c r="J669" s="34" t="str">
        <x:f>IF(B669="","",IF(COUNT(E669)=0,"MISSING",IF(NOT(ISNUMBER(E669)),"INVALID",IF(E669*F669&lt;K669,"WINSORIZED LOW",IF(E669*F669&gt;L669,"WINSORIZED HIGH","OK")))))</x:f>
      </x:c>
      <x:c r="K669" s="34" t="n">
        <x:v>-0.1395374353</x:v>
      </x:c>
      <x:c r="L669" s="34" t="n">
        <x:v>0.9274274845000001</x:v>
      </x:c>
      <x:c r="M669" s="34" t="n">
        <x:v>0.1111111111111111</x:v>
      </x:c>
      <x:c r="N669" s="34" t="str">
        <x:v>no</x:v>
      </x:c>
    </x:row>
    <x:row r="670">
      <x:c r="A670" s="34" t="n">
        <x:v>67</x:v>
      </x:c>
      <x:c r="B670" s="34" t="str">
        <x:f>IF('01_INPUT_COMPANIES'!$A$73="","",'01_INPUT_COMPANIES'!$A$73)</x:f>
      </x:c>
      <x:c r="C670" s="34" t="str">
        <x:f>IF(B670="","",'01_INPUT_COMPANIES'!$B$73)</x:f>
      </x:c>
      <x:c r="D670" s="34" t="str">
        <x:v>cashflow_recovery_ratio</x:v>
      </x:c>
      <x:c r="E670" s="42" t="str">
        <x:f>IF(OR(B670="",COUNT('01_INPUT_COMPANIES'!$W$73)=0),"",'01_INPUT_COMPANIES'!$W$73)</x:f>
      </x:c>
      <x:c r="F670" s="42" t="n">
        <x:v>-1</x:v>
      </x:c>
      <x:c r="G670" s="42" t="str">
        <x:f>IF(NOT(ISNUMBER(E670)),"",MAX(K670,MIN(L670,E670*F670)))</x:f>
      </x:c>
      <x:c r="H670" s="42" t="n">
        <x:v>95</x:v>
      </x:c>
      <x:c r="I670" s="42" t="str">
        <x:f>IF(COUNT(G670)=0,"",(COUNTIFS('93_REF_ANCHORS'!$A$7:$A$766,D670,'93_REF_ANCHORS'!$C$7:$C$766,"&lt;"&amp;G670)+COUNTIFS('93_REF_ANCHORS'!$A$7:$A$766,D670,'93_REF_ANCHORS'!$C$7:$C$766,"&lt;="&amp;G670)-1)/(2*(H670-1)))</x:f>
      </x:c>
      <x:c r="J670" s="34" t="str">
        <x:f>IF(B670="","",IF(COUNT(E670)=0,"MISSING",IF(NOT(ISNUMBER(E670)),"INVALID",IF(E670*F670&lt;K670,"WINSORIZED LOW",IF(E670*F670&gt;L670,"WINSORIZED HIGH","OK")))))</x:f>
      </x:c>
      <x:c r="K670" s="34" t="n">
        <x:v>-300.75</x:v>
      </x:c>
      <x:c r="L670" s="34" t="n">
        <x:v>42.6920305469</x:v>
      </x:c>
      <x:c r="M670" s="34" t="n">
        <x:v>0.08333333333333333</x:v>
      </x:c>
      <x:c r="N670" s="34" t="str">
        <x:v>no</x:v>
      </x:c>
    </x:row>
    <x:row r="671">
      <x:c r="A671" s="34" t="n">
        <x:v>67</x:v>
      </x:c>
      <x:c r="B671" s="34" t="str">
        <x:f>IF('01_INPUT_COMPANIES'!$A$73="","",'01_INPUT_COMPANIES'!$A$73)</x:f>
      </x:c>
      <x:c r="C671" s="34" t="str">
        <x:f>IF(B671="","",'01_INPUT_COMPANIES'!$B$73)</x:f>
      </x:c>
      <x:c r="D671" s="34" t="str">
        <x:v>funding_cost_spread</x:v>
      </x:c>
      <x:c r="E671" s="42" t="str">
        <x:f>IF(OR(B671="",COUNT('01_INPUT_COMPANIES'!$X$73)=0),"",'01_INPUT_COMPANIES'!$X$73)</x:f>
      </x:c>
      <x:c r="F671" s="42" t="n">
        <x:v>1</x:v>
      </x:c>
      <x:c r="G671" s="42" t="str">
        <x:f>IF(NOT(ISNUMBER(E671)),"",MAX(K671,MIN(L671,E671*F671)))</x:f>
      </x:c>
      <x:c r="H671" s="42" t="n">
        <x:v>58</x:v>
      </x:c>
      <x:c r="I671" s="42" t="str">
        <x:f>IF(COUNT(G671)=0,"",(COUNTIFS('93_REF_ANCHORS'!$A$7:$A$766,D671,'93_REF_ANCHORS'!$C$7:$C$766,"&lt;"&amp;G671)+COUNTIFS('93_REF_ANCHORS'!$A$7:$A$766,D671,'93_REF_ANCHORS'!$C$7:$C$766,"&lt;="&amp;G671)-1)/(2*(H671-1)))</x:f>
      </x:c>
      <x:c r="J671" s="34" t="str">
        <x:f>IF(B671="","",IF(COUNT(E671)=0,"MISSING",IF(NOT(ISNUMBER(E671)),"INVALID",IF(E671*F671&lt;K671,"WINSORIZED LOW",IF(E671*F671&gt;L671,"WINSORIZED HIGH","OK")))))</x:f>
      </x:c>
      <x:c r="K671" s="34" t="n">
        <x:v>-0.4430292903</x:v>
      </x:c>
      <x:c r="L671" s="34" t="n">
        <x:v>0.5068913103</x:v>
      </x:c>
      <x:c r="M671" s="34" t="n">
        <x:v>0.08333333333333333</x:v>
      </x:c>
      <x:c r="N671" s="34" t="str">
        <x:v>no</x:v>
      </x:c>
    </x:row>
    <x:row r="672">
      <x:c r="A672" s="34" t="n">
        <x:v>67</x:v>
      </x:c>
      <x:c r="B672" s="34" t="str">
        <x:f>IF('01_INPUT_COMPANIES'!$A$73="","",'01_INPUT_COMPANIES'!$A$73)</x:f>
      </x:c>
      <x:c r="C672" s="34" t="str">
        <x:f>IF(B672="","",'01_INPUT_COMPANIES'!$B$73)</x:f>
      </x:c>
      <x:c r="D672" s="34" t="str">
        <x:v>investment_recovery_ratio</x:v>
      </x:c>
      <x:c r="E672" s="42" t="str">
        <x:f>IF(OR(B672="",COUNT('01_INPUT_COMPANIES'!$Y$73)=0),"",'01_INPUT_COMPANIES'!$Y$73)</x:f>
      </x:c>
      <x:c r="F672" s="42" t="n">
        <x:v>-1</x:v>
      </x:c>
      <x:c r="G672" s="42" t="str">
        <x:f>IF(NOT(ISNUMBER(E672)),"",MAX(K672,MIN(L672,E672*F672)))</x:f>
      </x:c>
      <x:c r="H672" s="42" t="n">
        <x:v>95</x:v>
      </x:c>
      <x:c r="I672" s="42" t="str">
        <x:f>IF(COUNT(G672)=0,"",(COUNTIFS('93_REF_ANCHORS'!$A$7:$A$766,D672,'93_REF_ANCHORS'!$C$7:$C$766,"&lt;"&amp;G672)+COUNTIFS('93_REF_ANCHORS'!$A$7:$A$766,D672,'93_REF_ANCHORS'!$C$7:$C$766,"&lt;="&amp;G672)-1)/(2*(H672-1)))</x:f>
      </x:c>
      <x:c r="J672" s="34" t="str">
        <x:f>IF(B672="","",IF(COUNT(E672)=0,"MISSING",IF(NOT(ISNUMBER(E672)),"INVALID",IF(E672*F672&lt;K672,"WINSORIZED LOW",IF(E672*F672&gt;L672,"WINSORIZED HIGH","OK")))))</x:f>
      </x:c>
      <x:c r="K672" s="34" t="n">
        <x:v>-3163.7500000000014</x:v>
      </x:c>
      <x:c r="L672" s="34" t="n">
        <x:v>189.68191301719997</x:v>
      </x:c>
      <x:c r="M672" s="34" t="n">
        <x:v>0.08333333333333333</x:v>
      </x:c>
      <x:c r="N672" s="34" t="str">
        <x:v>no</x:v>
      </x:c>
    </x:row>
    <x:row r="673">
      <x:c r="A673" s="34" t="n">
        <x:v>67</x:v>
      </x:c>
      <x:c r="B673" s="34" t="str">
        <x:f>IF('01_INPUT_COMPANIES'!$A$73="","",'01_INPUT_COMPANIES'!$A$73)</x:f>
      </x:c>
      <x:c r="C673" s="34" t="str">
        <x:f>IF(B673="","",'01_INPUT_COMPANIES'!$B$73)</x:f>
      </x:c>
      <x:c r="D673" s="34" t="str">
        <x:v>ip_assetization_gap</x:v>
      </x:c>
      <x:c r="E673" s="42" t="str">
        <x:f>IF(OR(B673="",COUNT('01_INPUT_COMPANIES'!$Z$73)=0),"",'01_INPUT_COMPANIES'!$Z$73)</x:f>
      </x:c>
      <x:c r="F673" s="42" t="n">
        <x:v>1</x:v>
      </x:c>
      <x:c r="G673" s="42" t="str">
        <x:f>IF(NOT(ISNUMBER(E673)),"",MAX(K673,MIN(L673,E673*F673)))</x:f>
      </x:c>
      <x:c r="H673" s="42" t="n">
        <x:v>92</x:v>
      </x:c>
      <x:c r="I673" s="42" t="str">
        <x:f>IF(COUNT(G673)=0,"",(COUNTIFS('93_REF_ANCHORS'!$A$7:$A$766,D673,'93_REF_ANCHORS'!$C$7:$C$766,"&lt;"&amp;G673)+COUNTIFS('93_REF_ANCHORS'!$A$7:$A$766,D673,'93_REF_ANCHORS'!$C$7:$C$766,"&lt;="&amp;G673)-1)/(2*(H673-1)))</x:f>
      </x:c>
      <x:c r="J673" s="34" t="str">
        <x:f>IF(B673="","",IF(COUNT(E673)=0,"MISSING",IF(NOT(ISNUMBER(E673)),"INVALID",IF(E673*F673&lt;K673,"WINSORIZED LOW",IF(E673*F673&gt;L673,"WINSORIZED HIGH","OK")))))</x:f>
      </x:c>
      <x:c r="K673" s="34" t="n">
        <x:v>-1.6707152386</x:v>
      </x:c>
      <x:c r="L673" s="34" t="n">
        <x:v>0.7716332556000001</x:v>
      </x:c>
      <x:c r="M673" s="34" t="n">
        <x:v>0.08333333333333333</x:v>
      </x:c>
      <x:c r="N673" s="34" t="str">
        <x:v>no</x:v>
      </x:c>
    </x:row>
    <x:row r="674">
      <x:c r="A674" s="34" t="n">
        <x:v>67</x:v>
      </x:c>
      <x:c r="B674" s="34" t="str">
        <x:f>IF('01_INPUT_COMPANIES'!$A$73="","",'01_INPUT_COMPANIES'!$A$73)</x:f>
      </x:c>
      <x:c r="C674" s="34" t="str">
        <x:f>IF(B674="","",'01_INPUT_COMPANIES'!$B$73)</x:f>
      </x:c>
      <x:c r="D674" s="34" t="str">
        <x:v>cross_market_transfer_index</x:v>
      </x:c>
      <x:c r="E674" s="42" t="str">
        <x:f>IF(OR(B674="",COUNT('01_INPUT_COMPANIES'!$AA$73)=0),"",'01_INPUT_COMPANIES'!$AA$73)</x:f>
      </x:c>
      <x:c r="F674" s="42" t="n">
        <x:v>1</x:v>
      </x:c>
      <x:c r="G674" s="42" t="str">
        <x:f>IF(NOT(ISNUMBER(E674)),"",MAX(K674,MIN(L674,E674*F674)))</x:f>
      </x:c>
      <x:c r="H674" s="42" t="n">
        <x:v>4</x:v>
      </x:c>
      <x:c r="I674" s="42" t="str">
        <x:f>IF(COUNT(G674)=0,"",(COUNTIFS('93_REF_ANCHORS'!$A$7:$A$766,D674,'93_REF_ANCHORS'!$C$7:$C$766,"&lt;"&amp;G674)+COUNTIFS('93_REF_ANCHORS'!$A$7:$A$766,D674,'93_REF_ANCHORS'!$C$7:$C$766,"&lt;="&amp;G674)-1)/(2*(H674-1)))</x:f>
      </x:c>
      <x:c r="J674" s="34" t="str">
        <x:f>IF(B674="","",IF(COUNT(E674)=0,"MISSING",IF(NOT(ISNUMBER(E674)),"INVALID",IF(E674*F674&lt;K674,"WINSORIZED LOW",IF(E674*F674&gt;L674,"WINSORIZED HIGH","OK")))))</x:f>
      </x:c>
      <x:c r="K674" s="34" t="n">
        <x:v>0</x:v>
      </x:c>
      <x:c r="L674" s="34" t="n">
        <x:v>0.7587051325360435</x:v>
      </x:c>
      <x:c r="M674" s="34" t="n">
        <x:v>0.1111111111111111</x:v>
      </x:c>
      <x:c r="N674" s="34" t="str">
        <x:v>yes</x:v>
      </x:c>
    </x:row>
    <x:row r="675">
      <x:c r="A675" s="34" t="n">
        <x:v>67</x:v>
      </x:c>
      <x:c r="B675" s="34" t="str">
        <x:f>IF('01_INPUT_COMPANIES'!$A$73="","",'01_INPUT_COMPANIES'!$A$73)</x:f>
      </x:c>
      <x:c r="C675" s="34" t="str">
        <x:f>IF(B675="","",'01_INPUT_COMPANIES'!$B$73)</x:f>
      </x:c>
      <x:c r="D675" s="34" t="str">
        <x:v>foreign_dependency_ratio</x:v>
      </x:c>
      <x:c r="E675" s="42" t="str">
        <x:f>IF(OR(B675="",COUNT('01_INPUT_COMPANIES'!$AB$73)=0),"",'01_INPUT_COMPANIES'!$AB$73)</x:f>
      </x:c>
      <x:c r="F675" s="42" t="n">
        <x:v>1</x:v>
      </x:c>
      <x:c r="G675" s="42" t="str">
        <x:f>IF(NOT(ISNUMBER(E675)),"",MAX(K675,MIN(L675,E675*F675)))</x:f>
      </x:c>
      <x:c r="H675" s="42" t="n">
        <x:v>84</x:v>
      </x:c>
      <x:c r="I675" s="42" t="str">
        <x:f>IF(COUNT(G675)=0,"",(COUNTIFS('93_REF_ANCHORS'!$A$7:$A$766,D675,'93_REF_ANCHORS'!$C$7:$C$766,"&lt;"&amp;G675)+COUNTIFS('93_REF_ANCHORS'!$A$7:$A$766,D675,'93_REF_ANCHORS'!$C$7:$C$766,"&lt;="&amp;G675)-1)/(2*(H675-1)))</x:f>
      </x:c>
      <x:c r="J675" s="34" t="str">
        <x:f>IF(B675="","",IF(COUNT(E675)=0,"MISSING",IF(NOT(ISNUMBER(E675)),"INVALID",IF(E675*F675&lt;K675,"WINSORIZED LOW",IF(E675*F675&gt;L675,"WINSORIZED HIGH","OK")))))</x:f>
      </x:c>
      <x:c r="K675" s="34" t="n">
        <x:v>0.728196</x:v>
      </x:c>
      <x:c r="L675" s="34" t="n">
        <x:v>0.94</x:v>
      </x:c>
      <x:c r="M675" s="34" t="n">
        <x:v>0.1111111111111111</x:v>
      </x:c>
      <x:c r="N675" s="34" t="str">
        <x:v>yes</x:v>
      </x:c>
    </x:row>
    <x:row r="676">
      <x:c r="A676" s="34" t="n">
        <x:v>67</x:v>
      </x:c>
      <x:c r="B676" s="34" t="str">
        <x:f>IF('01_INPUT_COMPANIES'!$A$73="","",'01_INPUT_COMPANIES'!$A$73)</x:f>
      </x:c>
      <x:c r="C676" s="34" t="str">
        <x:f>IF(B676="","",'01_INPUT_COMPANIES'!$B$73)</x:f>
      </x:c>
      <x:c r="D676" s="34" t="str">
        <x:v>outflow_to_capex_ratio</x:v>
      </x:c>
      <x:c r="E676" s="42" t="str">
        <x:f>IF(OR(B676="",COUNT('01_INPUT_COMPANIES'!$AC$73)=0),"",'01_INPUT_COMPANIES'!$AC$73)</x:f>
      </x:c>
      <x:c r="F676" s="42" t="n">
        <x:v>1</x:v>
      </x:c>
      <x:c r="G676" s="42" t="str">
        <x:f>IF(NOT(ISNUMBER(E676)),"",MAX(K676,MIN(L676,E676*F676)))</x:f>
      </x:c>
      <x:c r="H676" s="42" t="n">
        <x:v>97</x:v>
      </x:c>
      <x:c r="I676" s="42" t="str">
        <x:f>IF(COUNT(G676)=0,"",(COUNTIFS('93_REF_ANCHORS'!$A$7:$A$766,D676,'93_REF_ANCHORS'!$C$7:$C$766,"&lt;"&amp;G676)+COUNTIFS('93_REF_ANCHORS'!$A$7:$A$766,D676,'93_REF_ANCHORS'!$C$7:$C$766,"&lt;="&amp;G676)-1)/(2*(H676-1)))</x:f>
      </x:c>
      <x:c r="J676" s="34" t="str">
        <x:f>IF(B676="","",IF(COUNT(E676)=0,"MISSING",IF(NOT(ISNUMBER(E676)),"INVALID",IF(E676*F676&lt;K676,"WINSORIZED LOW",IF(E676*F676&gt;L676,"WINSORIZED HIGH","OK")))))</x:f>
      </x:c>
      <x:c r="K676" s="34" t="n">
        <x:v>-123.5385890408</x:v>
      </x:c>
      <x:c r="L676" s="34" t="n">
        <x:v>974.1666666666999</x:v>
      </x:c>
      <x:c r="M676" s="34" t="n">
        <x:v>0.1111111111111111</x:v>
      </x:c>
      <x:c r="N676" s="34" t="str">
        <x:v>no</x:v>
      </x:c>
    </x:row>
    <x:row r="677">
      <x:c r="A677" s="34" t="n">
        <x:v>68</x:v>
      </x:c>
      <x:c r="B677" s="34" t="str">
        <x:f>IF('01_INPUT_COMPANIES'!$A$74="","",'01_INPUT_COMPANIES'!$A$74)</x:f>
      </x:c>
      <x:c r="C677" s="34" t="str">
        <x:f>IF(B677="","",'01_INPUT_COMPANIES'!$B$74)</x:f>
      </x:c>
      <x:c r="D677" s="34" t="str">
        <x:v>effective_tax_rate_gap</x:v>
      </x:c>
      <x:c r="E677" s="42" t="str">
        <x:f>IF(OR(B677="",COUNT('01_INPUT_COMPANIES'!$T$74)=0),"",'01_INPUT_COMPANIES'!$T$74)</x:f>
      </x:c>
      <x:c r="F677" s="42" t="n">
        <x:v>1</x:v>
      </x:c>
      <x:c r="G677" s="42" t="str">
        <x:f>IF(NOT(ISNUMBER(E677)),"",MAX(K677,MIN(L677,E677*F677)))</x:f>
      </x:c>
      <x:c r="H677" s="42" t="n">
        <x:v>74</x:v>
      </x:c>
      <x:c r="I677" s="42" t="str">
        <x:f>IF(COUNT(G677)=0,"",(COUNTIFS('93_REF_ANCHORS'!$A$7:$A$766,D677,'93_REF_ANCHORS'!$C$7:$C$766,"&lt;"&amp;G677)+COUNTIFS('93_REF_ANCHORS'!$A$7:$A$766,D677,'93_REF_ANCHORS'!$C$7:$C$766,"&lt;="&amp;G677)-1)/(2*(H677-1)))</x:f>
      </x:c>
      <x:c r="J677" s="34" t="str">
        <x:f>IF(B677="","",IF(COUNT(E677)=0,"MISSING",IF(NOT(ISNUMBER(E677)),"INVALID",IF(E677*F677&lt;K677,"WINSORIZED LOW",IF(E677*F677&gt;L677,"WINSORIZED HIGH","OK")))))</x:f>
      </x:c>
      <x:c r="K677" s="34" t="n">
        <x:v>-0.1416111014</x:v>
      </x:c>
      <x:c r="L677" s="34" t="n">
        <x:v>0.2683650488</x:v>
      </x:c>
      <x:c r="M677" s="34" t="n">
        <x:v>0.1111111111111111</x:v>
      </x:c>
      <x:c r="N677" s="34" t="str">
        <x:v>no</x:v>
      </x:c>
    </x:row>
    <x:row r="678">
      <x:c r="A678" s="34" t="n">
        <x:v>68</x:v>
      </x:c>
      <x:c r="B678" s="34" t="str">
        <x:f>IF('01_INPUT_COMPANIES'!$A$74="","",'01_INPUT_COMPANIES'!$A$74)</x:f>
      </x:c>
      <x:c r="C678" s="34" t="str">
        <x:f>IF(B678="","",'01_INPUT_COMPANIES'!$B$74)</x:f>
      </x:c>
      <x:c r="D678" s="34" t="str">
        <x:v>infra_dependency_ratio</x:v>
      </x:c>
      <x:c r="E678" s="42" t="str">
        <x:f>IF(OR(B678="",COUNT('01_INPUT_COMPANIES'!$U$74)=0),"",'01_INPUT_COMPANIES'!$U$74)</x:f>
      </x:c>
      <x:c r="F678" s="42" t="n">
        <x:v>1</x:v>
      </x:c>
      <x:c r="G678" s="42" t="str">
        <x:f>IF(NOT(ISNUMBER(E678)),"",MAX(K678,MIN(L678,E678*F678)))</x:f>
      </x:c>
      <x:c r="H678" s="42" t="n">
        <x:v>64</x:v>
      </x:c>
      <x:c r="I678" s="42" t="str">
        <x:f>IF(COUNT(G678)=0,"",(COUNTIFS('93_REF_ANCHORS'!$A$7:$A$766,D678,'93_REF_ANCHORS'!$C$7:$C$766,"&lt;"&amp;G678)+COUNTIFS('93_REF_ANCHORS'!$A$7:$A$766,D678,'93_REF_ANCHORS'!$C$7:$C$766,"&lt;="&amp;G678)-1)/(2*(H678-1)))</x:f>
      </x:c>
      <x:c r="J678" s="34" t="str">
        <x:f>IF(B678="","",IF(COUNT(E678)=0,"MISSING",IF(NOT(ISNUMBER(E678)),"INVALID",IF(E678*F678&lt;K678,"WINSORIZED LOW",IF(E678*F678&gt;L678,"WINSORIZED HIGH","OK")))))</x:f>
      </x:c>
      <x:c r="K678" s="34" t="n">
        <x:v>-0.10705024705171803</x:v>
      </x:c>
      <x:c r="L678" s="34" t="n">
        <x:v>0.8008753865408955</x:v>
      </x:c>
      <x:c r="M678" s="34" t="n">
        <x:v>0.1111111111111111</x:v>
      </x:c>
      <x:c r="N678" s="34" t="str">
        <x:v>no</x:v>
      </x:c>
    </x:row>
    <x:row r="679">
      <x:c r="A679" s="34" t="n">
        <x:v>68</x:v>
      </x:c>
      <x:c r="B679" s="34" t="str">
        <x:f>IF('01_INPUT_COMPANIES'!$A$74="","",'01_INPUT_COMPANIES'!$A$74)</x:f>
      </x:c>
      <x:c r="C679" s="34" t="str">
        <x:f>IF(B679="","",'01_INPUT_COMPANIES'!$B$74)</x:f>
      </x:c>
      <x:c r="D679" s="34" t="str">
        <x:v>network_cost_ratio</x:v>
      </x:c>
      <x:c r="E679" s="42" t="str">
        <x:f>IF(OR(B679="",COUNT('01_INPUT_COMPANIES'!$V$74)=0),"",'01_INPUT_COMPANIES'!$V$74)</x:f>
      </x:c>
      <x:c r="F679" s="42" t="n">
        <x:v>1</x:v>
      </x:c>
      <x:c r="G679" s="42" t="str">
        <x:f>IF(NOT(ISNUMBER(E679)),"",MAX(K679,MIN(L679,E679*F679)))</x:f>
      </x:c>
      <x:c r="H679" s="42" t="n">
        <x:v>97</x:v>
      </x:c>
      <x:c r="I679" s="42" t="str">
        <x:f>IF(COUNT(G679)=0,"",(COUNTIFS('93_REF_ANCHORS'!$A$7:$A$766,D679,'93_REF_ANCHORS'!$C$7:$C$766,"&lt;"&amp;G679)+COUNTIFS('93_REF_ANCHORS'!$A$7:$A$766,D679,'93_REF_ANCHORS'!$C$7:$C$766,"&lt;="&amp;G679)-1)/(2*(H679-1)))</x:f>
      </x:c>
      <x:c r="J679" s="34" t="str">
        <x:f>IF(B679="","",IF(COUNT(E679)=0,"MISSING",IF(NOT(ISNUMBER(E679)),"INVALID",IF(E679*F679&lt;K679,"WINSORIZED LOW",IF(E679*F679&gt;L679,"WINSORIZED HIGH","OK")))))</x:f>
      </x:c>
      <x:c r="K679" s="34" t="n">
        <x:v>-0.1395374353</x:v>
      </x:c>
      <x:c r="L679" s="34" t="n">
        <x:v>0.9274274845000001</x:v>
      </x:c>
      <x:c r="M679" s="34" t="n">
        <x:v>0.1111111111111111</x:v>
      </x:c>
      <x:c r="N679" s="34" t="str">
        <x:v>no</x:v>
      </x:c>
    </x:row>
    <x:row r="680">
      <x:c r="A680" s="34" t="n">
        <x:v>68</x:v>
      </x:c>
      <x:c r="B680" s="34" t="str">
        <x:f>IF('01_INPUT_COMPANIES'!$A$74="","",'01_INPUT_COMPANIES'!$A$74)</x:f>
      </x:c>
      <x:c r="C680" s="34" t="str">
        <x:f>IF(B680="","",'01_INPUT_COMPANIES'!$B$74)</x:f>
      </x:c>
      <x:c r="D680" s="34" t="str">
        <x:v>cashflow_recovery_ratio</x:v>
      </x:c>
      <x:c r="E680" s="42" t="str">
        <x:f>IF(OR(B680="",COUNT('01_INPUT_COMPANIES'!$W$74)=0),"",'01_INPUT_COMPANIES'!$W$74)</x:f>
      </x:c>
      <x:c r="F680" s="42" t="n">
        <x:v>-1</x:v>
      </x:c>
      <x:c r="G680" s="42" t="str">
        <x:f>IF(NOT(ISNUMBER(E680)),"",MAX(K680,MIN(L680,E680*F680)))</x:f>
      </x:c>
      <x:c r="H680" s="42" t="n">
        <x:v>95</x:v>
      </x:c>
      <x:c r="I680" s="42" t="str">
        <x:f>IF(COUNT(G680)=0,"",(COUNTIFS('93_REF_ANCHORS'!$A$7:$A$766,D680,'93_REF_ANCHORS'!$C$7:$C$766,"&lt;"&amp;G680)+COUNTIFS('93_REF_ANCHORS'!$A$7:$A$766,D680,'93_REF_ANCHORS'!$C$7:$C$766,"&lt;="&amp;G680)-1)/(2*(H680-1)))</x:f>
      </x:c>
      <x:c r="J680" s="34" t="str">
        <x:f>IF(B680="","",IF(COUNT(E680)=0,"MISSING",IF(NOT(ISNUMBER(E680)),"INVALID",IF(E680*F680&lt;K680,"WINSORIZED LOW",IF(E680*F680&gt;L680,"WINSORIZED HIGH","OK")))))</x:f>
      </x:c>
      <x:c r="K680" s="34" t="n">
        <x:v>-300.75</x:v>
      </x:c>
      <x:c r="L680" s="34" t="n">
        <x:v>42.6920305469</x:v>
      </x:c>
      <x:c r="M680" s="34" t="n">
        <x:v>0.08333333333333333</x:v>
      </x:c>
      <x:c r="N680" s="34" t="str">
        <x:v>no</x:v>
      </x:c>
    </x:row>
    <x:row r="681">
      <x:c r="A681" s="34" t="n">
        <x:v>68</x:v>
      </x:c>
      <x:c r="B681" s="34" t="str">
        <x:f>IF('01_INPUT_COMPANIES'!$A$74="","",'01_INPUT_COMPANIES'!$A$74)</x:f>
      </x:c>
      <x:c r="C681" s="34" t="str">
        <x:f>IF(B681="","",'01_INPUT_COMPANIES'!$B$74)</x:f>
      </x:c>
      <x:c r="D681" s="34" t="str">
        <x:v>funding_cost_spread</x:v>
      </x:c>
      <x:c r="E681" s="42" t="str">
        <x:f>IF(OR(B681="",COUNT('01_INPUT_COMPANIES'!$X$74)=0),"",'01_INPUT_COMPANIES'!$X$74)</x:f>
      </x:c>
      <x:c r="F681" s="42" t="n">
        <x:v>1</x:v>
      </x:c>
      <x:c r="G681" s="42" t="str">
        <x:f>IF(NOT(ISNUMBER(E681)),"",MAX(K681,MIN(L681,E681*F681)))</x:f>
      </x:c>
      <x:c r="H681" s="42" t="n">
        <x:v>58</x:v>
      </x:c>
      <x:c r="I681" s="42" t="str">
        <x:f>IF(COUNT(G681)=0,"",(COUNTIFS('93_REF_ANCHORS'!$A$7:$A$766,D681,'93_REF_ANCHORS'!$C$7:$C$766,"&lt;"&amp;G681)+COUNTIFS('93_REF_ANCHORS'!$A$7:$A$766,D681,'93_REF_ANCHORS'!$C$7:$C$766,"&lt;="&amp;G681)-1)/(2*(H681-1)))</x:f>
      </x:c>
      <x:c r="J681" s="34" t="str">
        <x:f>IF(B681="","",IF(COUNT(E681)=0,"MISSING",IF(NOT(ISNUMBER(E681)),"INVALID",IF(E681*F681&lt;K681,"WINSORIZED LOW",IF(E681*F681&gt;L681,"WINSORIZED HIGH","OK")))))</x:f>
      </x:c>
      <x:c r="K681" s="34" t="n">
        <x:v>-0.4430292903</x:v>
      </x:c>
      <x:c r="L681" s="34" t="n">
        <x:v>0.5068913103</x:v>
      </x:c>
      <x:c r="M681" s="34" t="n">
        <x:v>0.08333333333333333</x:v>
      </x:c>
      <x:c r="N681" s="34" t="str">
        <x:v>no</x:v>
      </x:c>
    </x:row>
    <x:row r="682">
      <x:c r="A682" s="34" t="n">
        <x:v>68</x:v>
      </x:c>
      <x:c r="B682" s="34" t="str">
        <x:f>IF('01_INPUT_COMPANIES'!$A$74="","",'01_INPUT_COMPANIES'!$A$74)</x:f>
      </x:c>
      <x:c r="C682" s="34" t="str">
        <x:f>IF(B682="","",'01_INPUT_COMPANIES'!$B$74)</x:f>
      </x:c>
      <x:c r="D682" s="34" t="str">
        <x:v>investment_recovery_ratio</x:v>
      </x:c>
      <x:c r="E682" s="42" t="str">
        <x:f>IF(OR(B682="",COUNT('01_INPUT_COMPANIES'!$Y$74)=0),"",'01_INPUT_COMPANIES'!$Y$74)</x:f>
      </x:c>
      <x:c r="F682" s="42" t="n">
        <x:v>-1</x:v>
      </x:c>
      <x:c r="G682" s="42" t="str">
        <x:f>IF(NOT(ISNUMBER(E682)),"",MAX(K682,MIN(L682,E682*F682)))</x:f>
      </x:c>
      <x:c r="H682" s="42" t="n">
        <x:v>95</x:v>
      </x:c>
      <x:c r="I682" s="42" t="str">
        <x:f>IF(COUNT(G682)=0,"",(COUNTIFS('93_REF_ANCHORS'!$A$7:$A$766,D682,'93_REF_ANCHORS'!$C$7:$C$766,"&lt;"&amp;G682)+COUNTIFS('93_REF_ANCHORS'!$A$7:$A$766,D682,'93_REF_ANCHORS'!$C$7:$C$766,"&lt;="&amp;G682)-1)/(2*(H682-1)))</x:f>
      </x:c>
      <x:c r="J682" s="34" t="str">
        <x:f>IF(B682="","",IF(COUNT(E682)=0,"MISSING",IF(NOT(ISNUMBER(E682)),"INVALID",IF(E682*F682&lt;K682,"WINSORIZED LOW",IF(E682*F682&gt;L682,"WINSORIZED HIGH","OK")))))</x:f>
      </x:c>
      <x:c r="K682" s="34" t="n">
        <x:v>-3163.7500000000014</x:v>
      </x:c>
      <x:c r="L682" s="34" t="n">
        <x:v>189.68191301719997</x:v>
      </x:c>
      <x:c r="M682" s="34" t="n">
        <x:v>0.08333333333333333</x:v>
      </x:c>
      <x:c r="N682" s="34" t="str">
        <x:v>no</x:v>
      </x:c>
    </x:row>
    <x:row r="683">
      <x:c r="A683" s="34" t="n">
        <x:v>68</x:v>
      </x:c>
      <x:c r="B683" s="34" t="str">
        <x:f>IF('01_INPUT_COMPANIES'!$A$74="","",'01_INPUT_COMPANIES'!$A$74)</x:f>
      </x:c>
      <x:c r="C683" s="34" t="str">
        <x:f>IF(B683="","",'01_INPUT_COMPANIES'!$B$74)</x:f>
      </x:c>
      <x:c r="D683" s="34" t="str">
        <x:v>ip_assetization_gap</x:v>
      </x:c>
      <x:c r="E683" s="42" t="str">
        <x:f>IF(OR(B683="",COUNT('01_INPUT_COMPANIES'!$Z$74)=0),"",'01_INPUT_COMPANIES'!$Z$74)</x:f>
      </x:c>
      <x:c r="F683" s="42" t="n">
        <x:v>1</x:v>
      </x:c>
      <x:c r="G683" s="42" t="str">
        <x:f>IF(NOT(ISNUMBER(E683)),"",MAX(K683,MIN(L683,E683*F683)))</x:f>
      </x:c>
      <x:c r="H683" s="42" t="n">
        <x:v>92</x:v>
      </x:c>
      <x:c r="I683" s="42" t="str">
        <x:f>IF(COUNT(G683)=0,"",(COUNTIFS('93_REF_ANCHORS'!$A$7:$A$766,D683,'93_REF_ANCHORS'!$C$7:$C$766,"&lt;"&amp;G683)+COUNTIFS('93_REF_ANCHORS'!$A$7:$A$766,D683,'93_REF_ANCHORS'!$C$7:$C$766,"&lt;="&amp;G683)-1)/(2*(H683-1)))</x:f>
      </x:c>
      <x:c r="J683" s="34" t="str">
        <x:f>IF(B683="","",IF(COUNT(E683)=0,"MISSING",IF(NOT(ISNUMBER(E683)),"INVALID",IF(E683*F683&lt;K683,"WINSORIZED LOW",IF(E683*F683&gt;L683,"WINSORIZED HIGH","OK")))))</x:f>
      </x:c>
      <x:c r="K683" s="34" t="n">
        <x:v>-1.6707152386</x:v>
      </x:c>
      <x:c r="L683" s="34" t="n">
        <x:v>0.7716332556000001</x:v>
      </x:c>
      <x:c r="M683" s="34" t="n">
        <x:v>0.08333333333333333</x:v>
      </x:c>
      <x:c r="N683" s="34" t="str">
        <x:v>no</x:v>
      </x:c>
    </x:row>
    <x:row r="684">
      <x:c r="A684" s="34" t="n">
        <x:v>68</x:v>
      </x:c>
      <x:c r="B684" s="34" t="str">
        <x:f>IF('01_INPUT_COMPANIES'!$A$74="","",'01_INPUT_COMPANIES'!$A$74)</x:f>
      </x:c>
      <x:c r="C684" s="34" t="str">
        <x:f>IF(B684="","",'01_INPUT_COMPANIES'!$B$74)</x:f>
      </x:c>
      <x:c r="D684" s="34" t="str">
        <x:v>cross_market_transfer_index</x:v>
      </x:c>
      <x:c r="E684" s="42" t="str">
        <x:f>IF(OR(B684="",COUNT('01_INPUT_COMPANIES'!$AA$74)=0),"",'01_INPUT_COMPANIES'!$AA$74)</x:f>
      </x:c>
      <x:c r="F684" s="42" t="n">
        <x:v>1</x:v>
      </x:c>
      <x:c r="G684" s="42" t="str">
        <x:f>IF(NOT(ISNUMBER(E684)),"",MAX(K684,MIN(L684,E684*F684)))</x:f>
      </x:c>
      <x:c r="H684" s="42" t="n">
        <x:v>4</x:v>
      </x:c>
      <x:c r="I684" s="42" t="str">
        <x:f>IF(COUNT(G684)=0,"",(COUNTIFS('93_REF_ANCHORS'!$A$7:$A$766,D684,'93_REF_ANCHORS'!$C$7:$C$766,"&lt;"&amp;G684)+COUNTIFS('93_REF_ANCHORS'!$A$7:$A$766,D684,'93_REF_ANCHORS'!$C$7:$C$766,"&lt;="&amp;G684)-1)/(2*(H684-1)))</x:f>
      </x:c>
      <x:c r="J684" s="34" t="str">
        <x:f>IF(B684="","",IF(COUNT(E684)=0,"MISSING",IF(NOT(ISNUMBER(E684)),"INVALID",IF(E684*F684&lt;K684,"WINSORIZED LOW",IF(E684*F684&gt;L684,"WINSORIZED HIGH","OK")))))</x:f>
      </x:c>
      <x:c r="K684" s="34" t="n">
        <x:v>0</x:v>
      </x:c>
      <x:c r="L684" s="34" t="n">
        <x:v>0.7587051325360435</x:v>
      </x:c>
      <x:c r="M684" s="34" t="n">
        <x:v>0.1111111111111111</x:v>
      </x:c>
      <x:c r="N684" s="34" t="str">
        <x:v>yes</x:v>
      </x:c>
    </x:row>
    <x:row r="685">
      <x:c r="A685" s="34" t="n">
        <x:v>68</x:v>
      </x:c>
      <x:c r="B685" s="34" t="str">
        <x:f>IF('01_INPUT_COMPANIES'!$A$74="","",'01_INPUT_COMPANIES'!$A$74)</x:f>
      </x:c>
      <x:c r="C685" s="34" t="str">
        <x:f>IF(B685="","",'01_INPUT_COMPANIES'!$B$74)</x:f>
      </x:c>
      <x:c r="D685" s="34" t="str">
        <x:v>foreign_dependency_ratio</x:v>
      </x:c>
      <x:c r="E685" s="42" t="str">
        <x:f>IF(OR(B685="",COUNT('01_INPUT_COMPANIES'!$AB$74)=0),"",'01_INPUT_COMPANIES'!$AB$74)</x:f>
      </x:c>
      <x:c r="F685" s="42" t="n">
        <x:v>1</x:v>
      </x:c>
      <x:c r="G685" s="42" t="str">
        <x:f>IF(NOT(ISNUMBER(E685)),"",MAX(K685,MIN(L685,E685*F685)))</x:f>
      </x:c>
      <x:c r="H685" s="42" t="n">
        <x:v>84</x:v>
      </x:c>
      <x:c r="I685" s="42" t="str">
        <x:f>IF(COUNT(G685)=0,"",(COUNTIFS('93_REF_ANCHORS'!$A$7:$A$766,D685,'93_REF_ANCHORS'!$C$7:$C$766,"&lt;"&amp;G685)+COUNTIFS('93_REF_ANCHORS'!$A$7:$A$766,D685,'93_REF_ANCHORS'!$C$7:$C$766,"&lt;="&amp;G685)-1)/(2*(H685-1)))</x:f>
      </x:c>
      <x:c r="J685" s="34" t="str">
        <x:f>IF(B685="","",IF(COUNT(E685)=0,"MISSING",IF(NOT(ISNUMBER(E685)),"INVALID",IF(E685*F685&lt;K685,"WINSORIZED LOW",IF(E685*F685&gt;L685,"WINSORIZED HIGH","OK")))))</x:f>
      </x:c>
      <x:c r="K685" s="34" t="n">
        <x:v>0.728196</x:v>
      </x:c>
      <x:c r="L685" s="34" t="n">
        <x:v>0.94</x:v>
      </x:c>
      <x:c r="M685" s="34" t="n">
        <x:v>0.1111111111111111</x:v>
      </x:c>
      <x:c r="N685" s="34" t="str">
        <x:v>yes</x:v>
      </x:c>
    </x:row>
    <x:row r="686">
      <x:c r="A686" s="34" t="n">
        <x:v>68</x:v>
      </x:c>
      <x:c r="B686" s="34" t="str">
        <x:f>IF('01_INPUT_COMPANIES'!$A$74="","",'01_INPUT_COMPANIES'!$A$74)</x:f>
      </x:c>
      <x:c r="C686" s="34" t="str">
        <x:f>IF(B686="","",'01_INPUT_COMPANIES'!$B$74)</x:f>
      </x:c>
      <x:c r="D686" s="34" t="str">
        <x:v>outflow_to_capex_ratio</x:v>
      </x:c>
      <x:c r="E686" s="42" t="str">
        <x:f>IF(OR(B686="",COUNT('01_INPUT_COMPANIES'!$AC$74)=0),"",'01_INPUT_COMPANIES'!$AC$74)</x:f>
      </x:c>
      <x:c r="F686" s="42" t="n">
        <x:v>1</x:v>
      </x:c>
      <x:c r="G686" s="42" t="str">
        <x:f>IF(NOT(ISNUMBER(E686)),"",MAX(K686,MIN(L686,E686*F686)))</x:f>
      </x:c>
      <x:c r="H686" s="42" t="n">
        <x:v>97</x:v>
      </x:c>
      <x:c r="I686" s="42" t="str">
        <x:f>IF(COUNT(G686)=0,"",(COUNTIFS('93_REF_ANCHORS'!$A$7:$A$766,D686,'93_REF_ANCHORS'!$C$7:$C$766,"&lt;"&amp;G686)+COUNTIFS('93_REF_ANCHORS'!$A$7:$A$766,D686,'93_REF_ANCHORS'!$C$7:$C$766,"&lt;="&amp;G686)-1)/(2*(H686-1)))</x:f>
      </x:c>
      <x:c r="J686" s="34" t="str">
        <x:f>IF(B686="","",IF(COUNT(E686)=0,"MISSING",IF(NOT(ISNUMBER(E686)),"INVALID",IF(E686*F686&lt;K686,"WINSORIZED LOW",IF(E686*F686&gt;L686,"WINSORIZED HIGH","OK")))))</x:f>
      </x:c>
      <x:c r="K686" s="34" t="n">
        <x:v>-123.5385890408</x:v>
      </x:c>
      <x:c r="L686" s="34" t="n">
        <x:v>974.1666666666999</x:v>
      </x:c>
      <x:c r="M686" s="34" t="n">
        <x:v>0.1111111111111111</x:v>
      </x:c>
      <x:c r="N686" s="34" t="str">
        <x:v>no</x:v>
      </x:c>
    </x:row>
    <x:row r="687">
      <x:c r="A687" s="34" t="n">
        <x:v>69</x:v>
      </x:c>
      <x:c r="B687" s="34" t="str">
        <x:f>IF('01_INPUT_COMPANIES'!$A$75="","",'01_INPUT_COMPANIES'!$A$75)</x:f>
      </x:c>
      <x:c r="C687" s="34" t="str">
        <x:f>IF(B687="","",'01_INPUT_COMPANIES'!$B$75)</x:f>
      </x:c>
      <x:c r="D687" s="34" t="str">
        <x:v>effective_tax_rate_gap</x:v>
      </x:c>
      <x:c r="E687" s="42" t="str">
        <x:f>IF(OR(B687="",COUNT('01_INPUT_COMPANIES'!$T$75)=0),"",'01_INPUT_COMPANIES'!$T$75)</x:f>
      </x:c>
      <x:c r="F687" s="42" t="n">
        <x:v>1</x:v>
      </x:c>
      <x:c r="G687" s="42" t="str">
        <x:f>IF(NOT(ISNUMBER(E687)),"",MAX(K687,MIN(L687,E687*F687)))</x:f>
      </x:c>
      <x:c r="H687" s="42" t="n">
        <x:v>74</x:v>
      </x:c>
      <x:c r="I687" s="42" t="str">
        <x:f>IF(COUNT(G687)=0,"",(COUNTIFS('93_REF_ANCHORS'!$A$7:$A$766,D687,'93_REF_ANCHORS'!$C$7:$C$766,"&lt;"&amp;G687)+COUNTIFS('93_REF_ANCHORS'!$A$7:$A$766,D687,'93_REF_ANCHORS'!$C$7:$C$766,"&lt;="&amp;G687)-1)/(2*(H687-1)))</x:f>
      </x:c>
      <x:c r="J687" s="34" t="str">
        <x:f>IF(B687="","",IF(COUNT(E687)=0,"MISSING",IF(NOT(ISNUMBER(E687)),"INVALID",IF(E687*F687&lt;K687,"WINSORIZED LOW",IF(E687*F687&gt;L687,"WINSORIZED HIGH","OK")))))</x:f>
      </x:c>
      <x:c r="K687" s="34" t="n">
        <x:v>-0.1416111014</x:v>
      </x:c>
      <x:c r="L687" s="34" t="n">
        <x:v>0.2683650488</x:v>
      </x:c>
      <x:c r="M687" s="34" t="n">
        <x:v>0.1111111111111111</x:v>
      </x:c>
      <x:c r="N687" s="34" t="str">
        <x:v>no</x:v>
      </x:c>
    </x:row>
    <x:row r="688">
      <x:c r="A688" s="34" t="n">
        <x:v>69</x:v>
      </x:c>
      <x:c r="B688" s="34" t="str">
        <x:f>IF('01_INPUT_COMPANIES'!$A$75="","",'01_INPUT_COMPANIES'!$A$75)</x:f>
      </x:c>
      <x:c r="C688" s="34" t="str">
        <x:f>IF(B688="","",'01_INPUT_COMPANIES'!$B$75)</x:f>
      </x:c>
      <x:c r="D688" s="34" t="str">
        <x:v>infra_dependency_ratio</x:v>
      </x:c>
      <x:c r="E688" s="42" t="str">
        <x:f>IF(OR(B688="",COUNT('01_INPUT_COMPANIES'!$U$75)=0),"",'01_INPUT_COMPANIES'!$U$75)</x:f>
      </x:c>
      <x:c r="F688" s="42" t="n">
        <x:v>1</x:v>
      </x:c>
      <x:c r="G688" s="42" t="str">
        <x:f>IF(NOT(ISNUMBER(E688)),"",MAX(K688,MIN(L688,E688*F688)))</x:f>
      </x:c>
      <x:c r="H688" s="42" t="n">
        <x:v>64</x:v>
      </x:c>
      <x:c r="I688" s="42" t="str">
        <x:f>IF(COUNT(G688)=0,"",(COUNTIFS('93_REF_ANCHORS'!$A$7:$A$766,D688,'93_REF_ANCHORS'!$C$7:$C$766,"&lt;"&amp;G688)+COUNTIFS('93_REF_ANCHORS'!$A$7:$A$766,D688,'93_REF_ANCHORS'!$C$7:$C$766,"&lt;="&amp;G688)-1)/(2*(H688-1)))</x:f>
      </x:c>
      <x:c r="J688" s="34" t="str">
        <x:f>IF(B688="","",IF(COUNT(E688)=0,"MISSING",IF(NOT(ISNUMBER(E688)),"INVALID",IF(E688*F688&lt;K688,"WINSORIZED LOW",IF(E688*F688&gt;L688,"WINSORIZED HIGH","OK")))))</x:f>
      </x:c>
      <x:c r="K688" s="34" t="n">
        <x:v>-0.10705024705171803</x:v>
      </x:c>
      <x:c r="L688" s="34" t="n">
        <x:v>0.8008753865408955</x:v>
      </x:c>
      <x:c r="M688" s="34" t="n">
        <x:v>0.1111111111111111</x:v>
      </x:c>
      <x:c r="N688" s="34" t="str">
        <x:v>no</x:v>
      </x:c>
    </x:row>
    <x:row r="689">
      <x:c r="A689" s="34" t="n">
        <x:v>69</x:v>
      </x:c>
      <x:c r="B689" s="34" t="str">
        <x:f>IF('01_INPUT_COMPANIES'!$A$75="","",'01_INPUT_COMPANIES'!$A$75)</x:f>
      </x:c>
      <x:c r="C689" s="34" t="str">
        <x:f>IF(B689="","",'01_INPUT_COMPANIES'!$B$75)</x:f>
      </x:c>
      <x:c r="D689" s="34" t="str">
        <x:v>network_cost_ratio</x:v>
      </x:c>
      <x:c r="E689" s="42" t="str">
        <x:f>IF(OR(B689="",COUNT('01_INPUT_COMPANIES'!$V$75)=0),"",'01_INPUT_COMPANIES'!$V$75)</x:f>
      </x:c>
      <x:c r="F689" s="42" t="n">
        <x:v>1</x:v>
      </x:c>
      <x:c r="G689" s="42" t="str">
        <x:f>IF(NOT(ISNUMBER(E689)),"",MAX(K689,MIN(L689,E689*F689)))</x:f>
      </x:c>
      <x:c r="H689" s="42" t="n">
        <x:v>97</x:v>
      </x:c>
      <x:c r="I689" s="42" t="str">
        <x:f>IF(COUNT(G689)=0,"",(COUNTIFS('93_REF_ANCHORS'!$A$7:$A$766,D689,'93_REF_ANCHORS'!$C$7:$C$766,"&lt;"&amp;G689)+COUNTIFS('93_REF_ANCHORS'!$A$7:$A$766,D689,'93_REF_ANCHORS'!$C$7:$C$766,"&lt;="&amp;G689)-1)/(2*(H689-1)))</x:f>
      </x:c>
      <x:c r="J689" s="34" t="str">
        <x:f>IF(B689="","",IF(COUNT(E689)=0,"MISSING",IF(NOT(ISNUMBER(E689)),"INVALID",IF(E689*F689&lt;K689,"WINSORIZED LOW",IF(E689*F689&gt;L689,"WINSORIZED HIGH","OK")))))</x:f>
      </x:c>
      <x:c r="K689" s="34" t="n">
        <x:v>-0.1395374353</x:v>
      </x:c>
      <x:c r="L689" s="34" t="n">
        <x:v>0.9274274845000001</x:v>
      </x:c>
      <x:c r="M689" s="34" t="n">
        <x:v>0.1111111111111111</x:v>
      </x:c>
      <x:c r="N689" s="34" t="str">
        <x:v>no</x:v>
      </x:c>
    </x:row>
    <x:row r="690">
      <x:c r="A690" s="34" t="n">
        <x:v>69</x:v>
      </x:c>
      <x:c r="B690" s="34" t="str">
        <x:f>IF('01_INPUT_COMPANIES'!$A$75="","",'01_INPUT_COMPANIES'!$A$75)</x:f>
      </x:c>
      <x:c r="C690" s="34" t="str">
        <x:f>IF(B690="","",'01_INPUT_COMPANIES'!$B$75)</x:f>
      </x:c>
      <x:c r="D690" s="34" t="str">
        <x:v>cashflow_recovery_ratio</x:v>
      </x:c>
      <x:c r="E690" s="42" t="str">
        <x:f>IF(OR(B690="",COUNT('01_INPUT_COMPANIES'!$W$75)=0),"",'01_INPUT_COMPANIES'!$W$75)</x:f>
      </x:c>
      <x:c r="F690" s="42" t="n">
        <x:v>-1</x:v>
      </x:c>
      <x:c r="G690" s="42" t="str">
        <x:f>IF(NOT(ISNUMBER(E690)),"",MAX(K690,MIN(L690,E690*F690)))</x:f>
      </x:c>
      <x:c r="H690" s="42" t="n">
        <x:v>95</x:v>
      </x:c>
      <x:c r="I690" s="42" t="str">
        <x:f>IF(COUNT(G690)=0,"",(COUNTIFS('93_REF_ANCHORS'!$A$7:$A$766,D690,'93_REF_ANCHORS'!$C$7:$C$766,"&lt;"&amp;G690)+COUNTIFS('93_REF_ANCHORS'!$A$7:$A$766,D690,'93_REF_ANCHORS'!$C$7:$C$766,"&lt;="&amp;G690)-1)/(2*(H690-1)))</x:f>
      </x:c>
      <x:c r="J690" s="34" t="str">
        <x:f>IF(B690="","",IF(COUNT(E690)=0,"MISSING",IF(NOT(ISNUMBER(E690)),"INVALID",IF(E690*F690&lt;K690,"WINSORIZED LOW",IF(E690*F690&gt;L690,"WINSORIZED HIGH","OK")))))</x:f>
      </x:c>
      <x:c r="K690" s="34" t="n">
        <x:v>-300.75</x:v>
      </x:c>
      <x:c r="L690" s="34" t="n">
        <x:v>42.6920305469</x:v>
      </x:c>
      <x:c r="M690" s="34" t="n">
        <x:v>0.08333333333333333</x:v>
      </x:c>
      <x:c r="N690" s="34" t="str">
        <x:v>no</x:v>
      </x:c>
    </x:row>
    <x:row r="691">
      <x:c r="A691" s="34" t="n">
        <x:v>69</x:v>
      </x:c>
      <x:c r="B691" s="34" t="str">
        <x:f>IF('01_INPUT_COMPANIES'!$A$75="","",'01_INPUT_COMPANIES'!$A$75)</x:f>
      </x:c>
      <x:c r="C691" s="34" t="str">
        <x:f>IF(B691="","",'01_INPUT_COMPANIES'!$B$75)</x:f>
      </x:c>
      <x:c r="D691" s="34" t="str">
        <x:v>funding_cost_spread</x:v>
      </x:c>
      <x:c r="E691" s="42" t="str">
        <x:f>IF(OR(B691="",COUNT('01_INPUT_COMPANIES'!$X$75)=0),"",'01_INPUT_COMPANIES'!$X$75)</x:f>
      </x:c>
      <x:c r="F691" s="42" t="n">
        <x:v>1</x:v>
      </x:c>
      <x:c r="G691" s="42" t="str">
        <x:f>IF(NOT(ISNUMBER(E691)),"",MAX(K691,MIN(L691,E691*F691)))</x:f>
      </x:c>
      <x:c r="H691" s="42" t="n">
        <x:v>58</x:v>
      </x:c>
      <x:c r="I691" s="42" t="str">
        <x:f>IF(COUNT(G691)=0,"",(COUNTIFS('93_REF_ANCHORS'!$A$7:$A$766,D691,'93_REF_ANCHORS'!$C$7:$C$766,"&lt;"&amp;G691)+COUNTIFS('93_REF_ANCHORS'!$A$7:$A$766,D691,'93_REF_ANCHORS'!$C$7:$C$766,"&lt;="&amp;G691)-1)/(2*(H691-1)))</x:f>
      </x:c>
      <x:c r="J691" s="34" t="str">
        <x:f>IF(B691="","",IF(COUNT(E691)=0,"MISSING",IF(NOT(ISNUMBER(E691)),"INVALID",IF(E691*F691&lt;K691,"WINSORIZED LOW",IF(E691*F691&gt;L691,"WINSORIZED HIGH","OK")))))</x:f>
      </x:c>
      <x:c r="K691" s="34" t="n">
        <x:v>-0.4430292903</x:v>
      </x:c>
      <x:c r="L691" s="34" t="n">
        <x:v>0.5068913103</x:v>
      </x:c>
      <x:c r="M691" s="34" t="n">
        <x:v>0.08333333333333333</x:v>
      </x:c>
      <x:c r="N691" s="34" t="str">
        <x:v>no</x:v>
      </x:c>
    </x:row>
    <x:row r="692">
      <x:c r="A692" s="34" t="n">
        <x:v>69</x:v>
      </x:c>
      <x:c r="B692" s="34" t="str">
        <x:f>IF('01_INPUT_COMPANIES'!$A$75="","",'01_INPUT_COMPANIES'!$A$75)</x:f>
      </x:c>
      <x:c r="C692" s="34" t="str">
        <x:f>IF(B692="","",'01_INPUT_COMPANIES'!$B$75)</x:f>
      </x:c>
      <x:c r="D692" s="34" t="str">
        <x:v>investment_recovery_ratio</x:v>
      </x:c>
      <x:c r="E692" s="42" t="str">
        <x:f>IF(OR(B692="",COUNT('01_INPUT_COMPANIES'!$Y$75)=0),"",'01_INPUT_COMPANIES'!$Y$75)</x:f>
      </x:c>
      <x:c r="F692" s="42" t="n">
        <x:v>-1</x:v>
      </x:c>
      <x:c r="G692" s="42" t="str">
        <x:f>IF(NOT(ISNUMBER(E692)),"",MAX(K692,MIN(L692,E692*F692)))</x:f>
      </x:c>
      <x:c r="H692" s="42" t="n">
        <x:v>95</x:v>
      </x:c>
      <x:c r="I692" s="42" t="str">
        <x:f>IF(COUNT(G692)=0,"",(COUNTIFS('93_REF_ANCHORS'!$A$7:$A$766,D692,'93_REF_ANCHORS'!$C$7:$C$766,"&lt;"&amp;G692)+COUNTIFS('93_REF_ANCHORS'!$A$7:$A$766,D692,'93_REF_ANCHORS'!$C$7:$C$766,"&lt;="&amp;G692)-1)/(2*(H692-1)))</x:f>
      </x:c>
      <x:c r="J692" s="34" t="str">
        <x:f>IF(B692="","",IF(COUNT(E692)=0,"MISSING",IF(NOT(ISNUMBER(E692)),"INVALID",IF(E692*F692&lt;K692,"WINSORIZED LOW",IF(E692*F692&gt;L692,"WINSORIZED HIGH","OK")))))</x:f>
      </x:c>
      <x:c r="K692" s="34" t="n">
        <x:v>-3163.7500000000014</x:v>
      </x:c>
      <x:c r="L692" s="34" t="n">
        <x:v>189.68191301719997</x:v>
      </x:c>
      <x:c r="M692" s="34" t="n">
        <x:v>0.08333333333333333</x:v>
      </x:c>
      <x:c r="N692" s="34" t="str">
        <x:v>no</x:v>
      </x:c>
    </x:row>
    <x:row r="693">
      <x:c r="A693" s="34" t="n">
        <x:v>69</x:v>
      </x:c>
      <x:c r="B693" s="34" t="str">
        <x:f>IF('01_INPUT_COMPANIES'!$A$75="","",'01_INPUT_COMPANIES'!$A$75)</x:f>
      </x:c>
      <x:c r="C693" s="34" t="str">
        <x:f>IF(B693="","",'01_INPUT_COMPANIES'!$B$75)</x:f>
      </x:c>
      <x:c r="D693" s="34" t="str">
        <x:v>ip_assetization_gap</x:v>
      </x:c>
      <x:c r="E693" s="42" t="str">
        <x:f>IF(OR(B693="",COUNT('01_INPUT_COMPANIES'!$Z$75)=0),"",'01_INPUT_COMPANIES'!$Z$75)</x:f>
      </x:c>
      <x:c r="F693" s="42" t="n">
        <x:v>1</x:v>
      </x:c>
      <x:c r="G693" s="42" t="str">
        <x:f>IF(NOT(ISNUMBER(E693)),"",MAX(K693,MIN(L693,E693*F693)))</x:f>
      </x:c>
      <x:c r="H693" s="42" t="n">
        <x:v>92</x:v>
      </x:c>
      <x:c r="I693" s="42" t="str">
        <x:f>IF(COUNT(G693)=0,"",(COUNTIFS('93_REF_ANCHORS'!$A$7:$A$766,D693,'93_REF_ANCHORS'!$C$7:$C$766,"&lt;"&amp;G693)+COUNTIFS('93_REF_ANCHORS'!$A$7:$A$766,D693,'93_REF_ANCHORS'!$C$7:$C$766,"&lt;="&amp;G693)-1)/(2*(H693-1)))</x:f>
      </x:c>
      <x:c r="J693" s="34" t="str">
        <x:f>IF(B693="","",IF(COUNT(E693)=0,"MISSING",IF(NOT(ISNUMBER(E693)),"INVALID",IF(E693*F693&lt;K693,"WINSORIZED LOW",IF(E693*F693&gt;L693,"WINSORIZED HIGH","OK")))))</x:f>
      </x:c>
      <x:c r="K693" s="34" t="n">
        <x:v>-1.6707152386</x:v>
      </x:c>
      <x:c r="L693" s="34" t="n">
        <x:v>0.7716332556000001</x:v>
      </x:c>
      <x:c r="M693" s="34" t="n">
        <x:v>0.08333333333333333</x:v>
      </x:c>
      <x:c r="N693" s="34" t="str">
        <x:v>no</x:v>
      </x:c>
    </x:row>
    <x:row r="694">
      <x:c r="A694" s="34" t="n">
        <x:v>69</x:v>
      </x:c>
      <x:c r="B694" s="34" t="str">
        <x:f>IF('01_INPUT_COMPANIES'!$A$75="","",'01_INPUT_COMPANIES'!$A$75)</x:f>
      </x:c>
      <x:c r="C694" s="34" t="str">
        <x:f>IF(B694="","",'01_INPUT_COMPANIES'!$B$75)</x:f>
      </x:c>
      <x:c r="D694" s="34" t="str">
        <x:v>cross_market_transfer_index</x:v>
      </x:c>
      <x:c r="E694" s="42" t="str">
        <x:f>IF(OR(B694="",COUNT('01_INPUT_COMPANIES'!$AA$75)=0),"",'01_INPUT_COMPANIES'!$AA$75)</x:f>
      </x:c>
      <x:c r="F694" s="42" t="n">
        <x:v>1</x:v>
      </x:c>
      <x:c r="G694" s="42" t="str">
        <x:f>IF(NOT(ISNUMBER(E694)),"",MAX(K694,MIN(L694,E694*F694)))</x:f>
      </x:c>
      <x:c r="H694" s="42" t="n">
        <x:v>4</x:v>
      </x:c>
      <x:c r="I694" s="42" t="str">
        <x:f>IF(COUNT(G694)=0,"",(COUNTIFS('93_REF_ANCHORS'!$A$7:$A$766,D694,'93_REF_ANCHORS'!$C$7:$C$766,"&lt;"&amp;G694)+COUNTIFS('93_REF_ANCHORS'!$A$7:$A$766,D694,'93_REF_ANCHORS'!$C$7:$C$766,"&lt;="&amp;G694)-1)/(2*(H694-1)))</x:f>
      </x:c>
      <x:c r="J694" s="34" t="str">
        <x:f>IF(B694="","",IF(COUNT(E694)=0,"MISSING",IF(NOT(ISNUMBER(E694)),"INVALID",IF(E694*F694&lt;K694,"WINSORIZED LOW",IF(E694*F694&gt;L694,"WINSORIZED HIGH","OK")))))</x:f>
      </x:c>
      <x:c r="K694" s="34" t="n">
        <x:v>0</x:v>
      </x:c>
      <x:c r="L694" s="34" t="n">
        <x:v>0.7587051325360435</x:v>
      </x:c>
      <x:c r="M694" s="34" t="n">
        <x:v>0.1111111111111111</x:v>
      </x:c>
      <x:c r="N694" s="34" t="str">
        <x:v>yes</x:v>
      </x:c>
    </x:row>
    <x:row r="695">
      <x:c r="A695" s="34" t="n">
        <x:v>69</x:v>
      </x:c>
      <x:c r="B695" s="34" t="str">
        <x:f>IF('01_INPUT_COMPANIES'!$A$75="","",'01_INPUT_COMPANIES'!$A$75)</x:f>
      </x:c>
      <x:c r="C695" s="34" t="str">
        <x:f>IF(B695="","",'01_INPUT_COMPANIES'!$B$75)</x:f>
      </x:c>
      <x:c r="D695" s="34" t="str">
        <x:v>foreign_dependency_ratio</x:v>
      </x:c>
      <x:c r="E695" s="42" t="str">
        <x:f>IF(OR(B695="",COUNT('01_INPUT_COMPANIES'!$AB$75)=0),"",'01_INPUT_COMPANIES'!$AB$75)</x:f>
      </x:c>
      <x:c r="F695" s="42" t="n">
        <x:v>1</x:v>
      </x:c>
      <x:c r="G695" s="42" t="str">
        <x:f>IF(NOT(ISNUMBER(E695)),"",MAX(K695,MIN(L695,E695*F695)))</x:f>
      </x:c>
      <x:c r="H695" s="42" t="n">
        <x:v>84</x:v>
      </x:c>
      <x:c r="I695" s="42" t="str">
        <x:f>IF(COUNT(G695)=0,"",(COUNTIFS('93_REF_ANCHORS'!$A$7:$A$766,D695,'93_REF_ANCHORS'!$C$7:$C$766,"&lt;"&amp;G695)+COUNTIFS('93_REF_ANCHORS'!$A$7:$A$766,D695,'93_REF_ANCHORS'!$C$7:$C$766,"&lt;="&amp;G695)-1)/(2*(H695-1)))</x:f>
      </x:c>
      <x:c r="J695" s="34" t="str">
        <x:f>IF(B695="","",IF(COUNT(E695)=0,"MISSING",IF(NOT(ISNUMBER(E695)),"INVALID",IF(E695*F695&lt;K695,"WINSORIZED LOW",IF(E695*F695&gt;L695,"WINSORIZED HIGH","OK")))))</x:f>
      </x:c>
      <x:c r="K695" s="34" t="n">
        <x:v>0.728196</x:v>
      </x:c>
      <x:c r="L695" s="34" t="n">
        <x:v>0.94</x:v>
      </x:c>
      <x:c r="M695" s="34" t="n">
        <x:v>0.1111111111111111</x:v>
      </x:c>
      <x:c r="N695" s="34" t="str">
        <x:v>yes</x:v>
      </x:c>
    </x:row>
    <x:row r="696">
      <x:c r="A696" s="34" t="n">
        <x:v>69</x:v>
      </x:c>
      <x:c r="B696" s="34" t="str">
        <x:f>IF('01_INPUT_COMPANIES'!$A$75="","",'01_INPUT_COMPANIES'!$A$75)</x:f>
      </x:c>
      <x:c r="C696" s="34" t="str">
        <x:f>IF(B696="","",'01_INPUT_COMPANIES'!$B$75)</x:f>
      </x:c>
      <x:c r="D696" s="34" t="str">
        <x:v>outflow_to_capex_ratio</x:v>
      </x:c>
      <x:c r="E696" s="42" t="str">
        <x:f>IF(OR(B696="",COUNT('01_INPUT_COMPANIES'!$AC$75)=0),"",'01_INPUT_COMPANIES'!$AC$75)</x:f>
      </x:c>
      <x:c r="F696" s="42" t="n">
        <x:v>1</x:v>
      </x:c>
      <x:c r="G696" s="42" t="str">
        <x:f>IF(NOT(ISNUMBER(E696)),"",MAX(K696,MIN(L696,E696*F696)))</x:f>
      </x:c>
      <x:c r="H696" s="42" t="n">
        <x:v>97</x:v>
      </x:c>
      <x:c r="I696" s="42" t="str">
        <x:f>IF(COUNT(G696)=0,"",(COUNTIFS('93_REF_ANCHORS'!$A$7:$A$766,D696,'93_REF_ANCHORS'!$C$7:$C$766,"&lt;"&amp;G696)+COUNTIFS('93_REF_ANCHORS'!$A$7:$A$766,D696,'93_REF_ANCHORS'!$C$7:$C$766,"&lt;="&amp;G696)-1)/(2*(H696-1)))</x:f>
      </x:c>
      <x:c r="J696" s="34" t="str">
        <x:f>IF(B696="","",IF(COUNT(E696)=0,"MISSING",IF(NOT(ISNUMBER(E696)),"INVALID",IF(E696*F696&lt;K696,"WINSORIZED LOW",IF(E696*F696&gt;L696,"WINSORIZED HIGH","OK")))))</x:f>
      </x:c>
      <x:c r="K696" s="34" t="n">
        <x:v>-123.5385890408</x:v>
      </x:c>
      <x:c r="L696" s="34" t="n">
        <x:v>974.1666666666999</x:v>
      </x:c>
      <x:c r="M696" s="34" t="n">
        <x:v>0.1111111111111111</x:v>
      </x:c>
      <x:c r="N696" s="34" t="str">
        <x:v>no</x:v>
      </x:c>
    </x:row>
    <x:row r="697">
      <x:c r="A697" s="34" t="n">
        <x:v>70</x:v>
      </x:c>
      <x:c r="B697" s="34" t="str">
        <x:f>IF('01_INPUT_COMPANIES'!$A$76="","",'01_INPUT_COMPANIES'!$A$76)</x:f>
      </x:c>
      <x:c r="C697" s="34" t="str">
        <x:f>IF(B697="","",'01_INPUT_COMPANIES'!$B$76)</x:f>
      </x:c>
      <x:c r="D697" s="34" t="str">
        <x:v>effective_tax_rate_gap</x:v>
      </x:c>
      <x:c r="E697" s="42" t="str">
        <x:f>IF(OR(B697="",COUNT('01_INPUT_COMPANIES'!$T$76)=0),"",'01_INPUT_COMPANIES'!$T$76)</x:f>
      </x:c>
      <x:c r="F697" s="42" t="n">
        <x:v>1</x:v>
      </x:c>
      <x:c r="G697" s="42" t="str">
        <x:f>IF(NOT(ISNUMBER(E697)),"",MAX(K697,MIN(L697,E697*F697)))</x:f>
      </x:c>
      <x:c r="H697" s="42" t="n">
        <x:v>74</x:v>
      </x:c>
      <x:c r="I697" s="42" t="str">
        <x:f>IF(COUNT(G697)=0,"",(COUNTIFS('93_REF_ANCHORS'!$A$7:$A$766,D697,'93_REF_ANCHORS'!$C$7:$C$766,"&lt;"&amp;G697)+COUNTIFS('93_REF_ANCHORS'!$A$7:$A$766,D697,'93_REF_ANCHORS'!$C$7:$C$766,"&lt;="&amp;G697)-1)/(2*(H697-1)))</x:f>
      </x:c>
      <x:c r="J697" s="34" t="str">
        <x:f>IF(B697="","",IF(COUNT(E697)=0,"MISSING",IF(NOT(ISNUMBER(E697)),"INVALID",IF(E697*F697&lt;K697,"WINSORIZED LOW",IF(E697*F697&gt;L697,"WINSORIZED HIGH","OK")))))</x:f>
      </x:c>
      <x:c r="K697" s="34" t="n">
        <x:v>-0.1416111014</x:v>
      </x:c>
      <x:c r="L697" s="34" t="n">
        <x:v>0.2683650488</x:v>
      </x:c>
      <x:c r="M697" s="34" t="n">
        <x:v>0.1111111111111111</x:v>
      </x:c>
      <x:c r="N697" s="34" t="str">
        <x:v>no</x:v>
      </x:c>
    </x:row>
    <x:row r="698">
      <x:c r="A698" s="34" t="n">
        <x:v>70</x:v>
      </x:c>
      <x:c r="B698" s="34" t="str">
        <x:f>IF('01_INPUT_COMPANIES'!$A$76="","",'01_INPUT_COMPANIES'!$A$76)</x:f>
      </x:c>
      <x:c r="C698" s="34" t="str">
        <x:f>IF(B698="","",'01_INPUT_COMPANIES'!$B$76)</x:f>
      </x:c>
      <x:c r="D698" s="34" t="str">
        <x:v>infra_dependency_ratio</x:v>
      </x:c>
      <x:c r="E698" s="42" t="str">
        <x:f>IF(OR(B698="",COUNT('01_INPUT_COMPANIES'!$U$76)=0),"",'01_INPUT_COMPANIES'!$U$76)</x:f>
      </x:c>
      <x:c r="F698" s="42" t="n">
        <x:v>1</x:v>
      </x:c>
      <x:c r="G698" s="42" t="str">
        <x:f>IF(NOT(ISNUMBER(E698)),"",MAX(K698,MIN(L698,E698*F698)))</x:f>
      </x:c>
      <x:c r="H698" s="42" t="n">
        <x:v>64</x:v>
      </x:c>
      <x:c r="I698" s="42" t="str">
        <x:f>IF(COUNT(G698)=0,"",(COUNTIFS('93_REF_ANCHORS'!$A$7:$A$766,D698,'93_REF_ANCHORS'!$C$7:$C$766,"&lt;"&amp;G698)+COUNTIFS('93_REF_ANCHORS'!$A$7:$A$766,D698,'93_REF_ANCHORS'!$C$7:$C$766,"&lt;="&amp;G698)-1)/(2*(H698-1)))</x:f>
      </x:c>
      <x:c r="J698" s="34" t="str">
        <x:f>IF(B698="","",IF(COUNT(E698)=0,"MISSING",IF(NOT(ISNUMBER(E698)),"INVALID",IF(E698*F698&lt;K698,"WINSORIZED LOW",IF(E698*F698&gt;L698,"WINSORIZED HIGH","OK")))))</x:f>
      </x:c>
      <x:c r="K698" s="34" t="n">
        <x:v>-0.10705024705171803</x:v>
      </x:c>
      <x:c r="L698" s="34" t="n">
        <x:v>0.8008753865408955</x:v>
      </x:c>
      <x:c r="M698" s="34" t="n">
        <x:v>0.1111111111111111</x:v>
      </x:c>
      <x:c r="N698" s="34" t="str">
        <x:v>no</x:v>
      </x:c>
    </x:row>
    <x:row r="699">
      <x:c r="A699" s="34" t="n">
        <x:v>70</x:v>
      </x:c>
      <x:c r="B699" s="34" t="str">
        <x:f>IF('01_INPUT_COMPANIES'!$A$76="","",'01_INPUT_COMPANIES'!$A$76)</x:f>
      </x:c>
      <x:c r="C699" s="34" t="str">
        <x:f>IF(B699="","",'01_INPUT_COMPANIES'!$B$76)</x:f>
      </x:c>
      <x:c r="D699" s="34" t="str">
        <x:v>network_cost_ratio</x:v>
      </x:c>
      <x:c r="E699" s="42" t="str">
        <x:f>IF(OR(B699="",COUNT('01_INPUT_COMPANIES'!$V$76)=0),"",'01_INPUT_COMPANIES'!$V$76)</x:f>
      </x:c>
      <x:c r="F699" s="42" t="n">
        <x:v>1</x:v>
      </x:c>
      <x:c r="G699" s="42" t="str">
        <x:f>IF(NOT(ISNUMBER(E699)),"",MAX(K699,MIN(L699,E699*F699)))</x:f>
      </x:c>
      <x:c r="H699" s="42" t="n">
        <x:v>97</x:v>
      </x:c>
      <x:c r="I699" s="42" t="str">
        <x:f>IF(COUNT(G699)=0,"",(COUNTIFS('93_REF_ANCHORS'!$A$7:$A$766,D699,'93_REF_ANCHORS'!$C$7:$C$766,"&lt;"&amp;G699)+COUNTIFS('93_REF_ANCHORS'!$A$7:$A$766,D699,'93_REF_ANCHORS'!$C$7:$C$766,"&lt;="&amp;G699)-1)/(2*(H699-1)))</x:f>
      </x:c>
      <x:c r="J699" s="34" t="str">
        <x:f>IF(B699="","",IF(COUNT(E699)=0,"MISSING",IF(NOT(ISNUMBER(E699)),"INVALID",IF(E699*F699&lt;K699,"WINSORIZED LOW",IF(E699*F699&gt;L699,"WINSORIZED HIGH","OK")))))</x:f>
      </x:c>
      <x:c r="K699" s="34" t="n">
        <x:v>-0.1395374353</x:v>
      </x:c>
      <x:c r="L699" s="34" t="n">
        <x:v>0.9274274845000001</x:v>
      </x:c>
      <x:c r="M699" s="34" t="n">
        <x:v>0.1111111111111111</x:v>
      </x:c>
      <x:c r="N699" s="34" t="str">
        <x:v>no</x:v>
      </x:c>
    </x:row>
    <x:row r="700">
      <x:c r="A700" s="34" t="n">
        <x:v>70</x:v>
      </x:c>
      <x:c r="B700" s="34" t="str">
        <x:f>IF('01_INPUT_COMPANIES'!$A$76="","",'01_INPUT_COMPANIES'!$A$76)</x:f>
      </x:c>
      <x:c r="C700" s="34" t="str">
        <x:f>IF(B700="","",'01_INPUT_COMPANIES'!$B$76)</x:f>
      </x:c>
      <x:c r="D700" s="34" t="str">
        <x:v>cashflow_recovery_ratio</x:v>
      </x:c>
      <x:c r="E700" s="42" t="str">
        <x:f>IF(OR(B700="",COUNT('01_INPUT_COMPANIES'!$W$76)=0),"",'01_INPUT_COMPANIES'!$W$76)</x:f>
      </x:c>
      <x:c r="F700" s="42" t="n">
        <x:v>-1</x:v>
      </x:c>
      <x:c r="G700" s="42" t="str">
        <x:f>IF(NOT(ISNUMBER(E700)),"",MAX(K700,MIN(L700,E700*F700)))</x:f>
      </x:c>
      <x:c r="H700" s="42" t="n">
        <x:v>95</x:v>
      </x:c>
      <x:c r="I700" s="42" t="str">
        <x:f>IF(COUNT(G700)=0,"",(COUNTIFS('93_REF_ANCHORS'!$A$7:$A$766,D700,'93_REF_ANCHORS'!$C$7:$C$766,"&lt;"&amp;G700)+COUNTIFS('93_REF_ANCHORS'!$A$7:$A$766,D700,'93_REF_ANCHORS'!$C$7:$C$766,"&lt;="&amp;G700)-1)/(2*(H700-1)))</x:f>
      </x:c>
      <x:c r="J700" s="34" t="str">
        <x:f>IF(B700="","",IF(COUNT(E700)=0,"MISSING",IF(NOT(ISNUMBER(E700)),"INVALID",IF(E700*F700&lt;K700,"WINSORIZED LOW",IF(E700*F700&gt;L700,"WINSORIZED HIGH","OK")))))</x:f>
      </x:c>
      <x:c r="K700" s="34" t="n">
        <x:v>-300.75</x:v>
      </x:c>
      <x:c r="L700" s="34" t="n">
        <x:v>42.6920305469</x:v>
      </x:c>
      <x:c r="M700" s="34" t="n">
        <x:v>0.08333333333333333</x:v>
      </x:c>
      <x:c r="N700" s="34" t="str">
        <x:v>no</x:v>
      </x:c>
    </x:row>
    <x:row r="701">
      <x:c r="A701" s="34" t="n">
        <x:v>70</x:v>
      </x:c>
      <x:c r="B701" s="34" t="str">
        <x:f>IF('01_INPUT_COMPANIES'!$A$76="","",'01_INPUT_COMPANIES'!$A$76)</x:f>
      </x:c>
      <x:c r="C701" s="34" t="str">
        <x:f>IF(B701="","",'01_INPUT_COMPANIES'!$B$76)</x:f>
      </x:c>
      <x:c r="D701" s="34" t="str">
        <x:v>funding_cost_spread</x:v>
      </x:c>
      <x:c r="E701" s="42" t="str">
        <x:f>IF(OR(B701="",COUNT('01_INPUT_COMPANIES'!$X$76)=0),"",'01_INPUT_COMPANIES'!$X$76)</x:f>
      </x:c>
      <x:c r="F701" s="42" t="n">
        <x:v>1</x:v>
      </x:c>
      <x:c r="G701" s="42" t="str">
        <x:f>IF(NOT(ISNUMBER(E701)),"",MAX(K701,MIN(L701,E701*F701)))</x:f>
      </x:c>
      <x:c r="H701" s="42" t="n">
        <x:v>58</x:v>
      </x:c>
      <x:c r="I701" s="42" t="str">
        <x:f>IF(COUNT(G701)=0,"",(COUNTIFS('93_REF_ANCHORS'!$A$7:$A$766,D701,'93_REF_ANCHORS'!$C$7:$C$766,"&lt;"&amp;G701)+COUNTIFS('93_REF_ANCHORS'!$A$7:$A$766,D701,'93_REF_ANCHORS'!$C$7:$C$766,"&lt;="&amp;G701)-1)/(2*(H701-1)))</x:f>
      </x:c>
      <x:c r="J701" s="34" t="str">
        <x:f>IF(B701="","",IF(COUNT(E701)=0,"MISSING",IF(NOT(ISNUMBER(E701)),"INVALID",IF(E701*F701&lt;K701,"WINSORIZED LOW",IF(E701*F701&gt;L701,"WINSORIZED HIGH","OK")))))</x:f>
      </x:c>
      <x:c r="K701" s="34" t="n">
        <x:v>-0.4430292903</x:v>
      </x:c>
      <x:c r="L701" s="34" t="n">
        <x:v>0.5068913103</x:v>
      </x:c>
      <x:c r="M701" s="34" t="n">
        <x:v>0.08333333333333333</x:v>
      </x:c>
      <x:c r="N701" s="34" t="str">
        <x:v>no</x:v>
      </x:c>
    </x:row>
    <x:row r="702">
      <x:c r="A702" s="34" t="n">
        <x:v>70</x:v>
      </x:c>
      <x:c r="B702" s="34" t="str">
        <x:f>IF('01_INPUT_COMPANIES'!$A$76="","",'01_INPUT_COMPANIES'!$A$76)</x:f>
      </x:c>
      <x:c r="C702" s="34" t="str">
        <x:f>IF(B702="","",'01_INPUT_COMPANIES'!$B$76)</x:f>
      </x:c>
      <x:c r="D702" s="34" t="str">
        <x:v>investment_recovery_ratio</x:v>
      </x:c>
      <x:c r="E702" s="42" t="str">
        <x:f>IF(OR(B702="",COUNT('01_INPUT_COMPANIES'!$Y$76)=0),"",'01_INPUT_COMPANIES'!$Y$76)</x:f>
      </x:c>
      <x:c r="F702" s="42" t="n">
        <x:v>-1</x:v>
      </x:c>
      <x:c r="G702" s="42" t="str">
        <x:f>IF(NOT(ISNUMBER(E702)),"",MAX(K702,MIN(L702,E702*F702)))</x:f>
      </x:c>
      <x:c r="H702" s="42" t="n">
        <x:v>95</x:v>
      </x:c>
      <x:c r="I702" s="42" t="str">
        <x:f>IF(COUNT(G702)=0,"",(COUNTIFS('93_REF_ANCHORS'!$A$7:$A$766,D702,'93_REF_ANCHORS'!$C$7:$C$766,"&lt;"&amp;G702)+COUNTIFS('93_REF_ANCHORS'!$A$7:$A$766,D702,'93_REF_ANCHORS'!$C$7:$C$766,"&lt;="&amp;G702)-1)/(2*(H702-1)))</x:f>
      </x:c>
      <x:c r="J702" s="34" t="str">
        <x:f>IF(B702="","",IF(COUNT(E702)=0,"MISSING",IF(NOT(ISNUMBER(E702)),"INVALID",IF(E702*F702&lt;K702,"WINSORIZED LOW",IF(E702*F702&gt;L702,"WINSORIZED HIGH","OK")))))</x:f>
      </x:c>
      <x:c r="K702" s="34" t="n">
        <x:v>-3163.7500000000014</x:v>
      </x:c>
      <x:c r="L702" s="34" t="n">
        <x:v>189.68191301719997</x:v>
      </x:c>
      <x:c r="M702" s="34" t="n">
        <x:v>0.08333333333333333</x:v>
      </x:c>
      <x:c r="N702" s="34" t="str">
        <x:v>no</x:v>
      </x:c>
    </x:row>
    <x:row r="703">
      <x:c r="A703" s="34" t="n">
        <x:v>70</x:v>
      </x:c>
      <x:c r="B703" s="34" t="str">
        <x:f>IF('01_INPUT_COMPANIES'!$A$76="","",'01_INPUT_COMPANIES'!$A$76)</x:f>
      </x:c>
      <x:c r="C703" s="34" t="str">
        <x:f>IF(B703="","",'01_INPUT_COMPANIES'!$B$76)</x:f>
      </x:c>
      <x:c r="D703" s="34" t="str">
        <x:v>ip_assetization_gap</x:v>
      </x:c>
      <x:c r="E703" s="42" t="str">
        <x:f>IF(OR(B703="",COUNT('01_INPUT_COMPANIES'!$Z$76)=0),"",'01_INPUT_COMPANIES'!$Z$76)</x:f>
      </x:c>
      <x:c r="F703" s="42" t="n">
        <x:v>1</x:v>
      </x:c>
      <x:c r="G703" s="42" t="str">
        <x:f>IF(NOT(ISNUMBER(E703)),"",MAX(K703,MIN(L703,E703*F703)))</x:f>
      </x:c>
      <x:c r="H703" s="42" t="n">
        <x:v>92</x:v>
      </x:c>
      <x:c r="I703" s="42" t="str">
        <x:f>IF(COUNT(G703)=0,"",(COUNTIFS('93_REF_ANCHORS'!$A$7:$A$766,D703,'93_REF_ANCHORS'!$C$7:$C$766,"&lt;"&amp;G703)+COUNTIFS('93_REF_ANCHORS'!$A$7:$A$766,D703,'93_REF_ANCHORS'!$C$7:$C$766,"&lt;="&amp;G703)-1)/(2*(H703-1)))</x:f>
      </x:c>
      <x:c r="J703" s="34" t="str">
        <x:f>IF(B703="","",IF(COUNT(E703)=0,"MISSING",IF(NOT(ISNUMBER(E703)),"INVALID",IF(E703*F703&lt;K703,"WINSORIZED LOW",IF(E703*F703&gt;L703,"WINSORIZED HIGH","OK")))))</x:f>
      </x:c>
      <x:c r="K703" s="34" t="n">
        <x:v>-1.6707152386</x:v>
      </x:c>
      <x:c r="L703" s="34" t="n">
        <x:v>0.7716332556000001</x:v>
      </x:c>
      <x:c r="M703" s="34" t="n">
        <x:v>0.08333333333333333</x:v>
      </x:c>
      <x:c r="N703" s="34" t="str">
        <x:v>no</x:v>
      </x:c>
    </x:row>
    <x:row r="704">
      <x:c r="A704" s="34" t="n">
        <x:v>70</x:v>
      </x:c>
      <x:c r="B704" s="34" t="str">
        <x:f>IF('01_INPUT_COMPANIES'!$A$76="","",'01_INPUT_COMPANIES'!$A$76)</x:f>
      </x:c>
      <x:c r="C704" s="34" t="str">
        <x:f>IF(B704="","",'01_INPUT_COMPANIES'!$B$76)</x:f>
      </x:c>
      <x:c r="D704" s="34" t="str">
        <x:v>cross_market_transfer_index</x:v>
      </x:c>
      <x:c r="E704" s="42" t="str">
        <x:f>IF(OR(B704="",COUNT('01_INPUT_COMPANIES'!$AA$76)=0),"",'01_INPUT_COMPANIES'!$AA$76)</x:f>
      </x:c>
      <x:c r="F704" s="42" t="n">
        <x:v>1</x:v>
      </x:c>
      <x:c r="G704" s="42" t="str">
        <x:f>IF(NOT(ISNUMBER(E704)),"",MAX(K704,MIN(L704,E704*F704)))</x:f>
      </x:c>
      <x:c r="H704" s="42" t="n">
        <x:v>4</x:v>
      </x:c>
      <x:c r="I704" s="42" t="str">
        <x:f>IF(COUNT(G704)=0,"",(COUNTIFS('93_REF_ANCHORS'!$A$7:$A$766,D704,'93_REF_ANCHORS'!$C$7:$C$766,"&lt;"&amp;G704)+COUNTIFS('93_REF_ANCHORS'!$A$7:$A$766,D704,'93_REF_ANCHORS'!$C$7:$C$766,"&lt;="&amp;G704)-1)/(2*(H704-1)))</x:f>
      </x:c>
      <x:c r="J704" s="34" t="str">
        <x:f>IF(B704="","",IF(COUNT(E704)=0,"MISSING",IF(NOT(ISNUMBER(E704)),"INVALID",IF(E704*F704&lt;K704,"WINSORIZED LOW",IF(E704*F704&gt;L704,"WINSORIZED HIGH","OK")))))</x:f>
      </x:c>
      <x:c r="K704" s="34" t="n">
        <x:v>0</x:v>
      </x:c>
      <x:c r="L704" s="34" t="n">
        <x:v>0.7587051325360435</x:v>
      </x:c>
      <x:c r="M704" s="34" t="n">
        <x:v>0.1111111111111111</x:v>
      </x:c>
      <x:c r="N704" s="34" t="str">
        <x:v>yes</x:v>
      </x:c>
    </x:row>
    <x:row r="705">
      <x:c r="A705" s="34" t="n">
        <x:v>70</x:v>
      </x:c>
      <x:c r="B705" s="34" t="str">
        <x:f>IF('01_INPUT_COMPANIES'!$A$76="","",'01_INPUT_COMPANIES'!$A$76)</x:f>
      </x:c>
      <x:c r="C705" s="34" t="str">
        <x:f>IF(B705="","",'01_INPUT_COMPANIES'!$B$76)</x:f>
      </x:c>
      <x:c r="D705" s="34" t="str">
        <x:v>foreign_dependency_ratio</x:v>
      </x:c>
      <x:c r="E705" s="42" t="str">
        <x:f>IF(OR(B705="",COUNT('01_INPUT_COMPANIES'!$AB$76)=0),"",'01_INPUT_COMPANIES'!$AB$76)</x:f>
      </x:c>
      <x:c r="F705" s="42" t="n">
        <x:v>1</x:v>
      </x:c>
      <x:c r="G705" s="42" t="str">
        <x:f>IF(NOT(ISNUMBER(E705)),"",MAX(K705,MIN(L705,E705*F705)))</x:f>
      </x:c>
      <x:c r="H705" s="42" t="n">
        <x:v>84</x:v>
      </x:c>
      <x:c r="I705" s="42" t="str">
        <x:f>IF(COUNT(G705)=0,"",(COUNTIFS('93_REF_ANCHORS'!$A$7:$A$766,D705,'93_REF_ANCHORS'!$C$7:$C$766,"&lt;"&amp;G705)+COUNTIFS('93_REF_ANCHORS'!$A$7:$A$766,D705,'93_REF_ANCHORS'!$C$7:$C$766,"&lt;="&amp;G705)-1)/(2*(H705-1)))</x:f>
      </x:c>
      <x:c r="J705" s="34" t="str">
        <x:f>IF(B705="","",IF(COUNT(E705)=0,"MISSING",IF(NOT(ISNUMBER(E705)),"INVALID",IF(E705*F705&lt;K705,"WINSORIZED LOW",IF(E705*F705&gt;L705,"WINSORIZED HIGH","OK")))))</x:f>
      </x:c>
      <x:c r="K705" s="34" t="n">
        <x:v>0.728196</x:v>
      </x:c>
      <x:c r="L705" s="34" t="n">
        <x:v>0.94</x:v>
      </x:c>
      <x:c r="M705" s="34" t="n">
        <x:v>0.1111111111111111</x:v>
      </x:c>
      <x:c r="N705" s="34" t="str">
        <x:v>yes</x:v>
      </x:c>
    </x:row>
    <x:row r="706">
      <x:c r="A706" s="34" t="n">
        <x:v>70</x:v>
      </x:c>
      <x:c r="B706" s="34" t="str">
        <x:f>IF('01_INPUT_COMPANIES'!$A$76="","",'01_INPUT_COMPANIES'!$A$76)</x:f>
      </x:c>
      <x:c r="C706" s="34" t="str">
        <x:f>IF(B706="","",'01_INPUT_COMPANIES'!$B$76)</x:f>
      </x:c>
      <x:c r="D706" s="34" t="str">
        <x:v>outflow_to_capex_ratio</x:v>
      </x:c>
      <x:c r="E706" s="42" t="str">
        <x:f>IF(OR(B706="",COUNT('01_INPUT_COMPANIES'!$AC$76)=0),"",'01_INPUT_COMPANIES'!$AC$76)</x:f>
      </x:c>
      <x:c r="F706" s="42" t="n">
        <x:v>1</x:v>
      </x:c>
      <x:c r="G706" s="42" t="str">
        <x:f>IF(NOT(ISNUMBER(E706)),"",MAX(K706,MIN(L706,E706*F706)))</x:f>
      </x:c>
      <x:c r="H706" s="42" t="n">
        <x:v>97</x:v>
      </x:c>
      <x:c r="I706" s="42" t="str">
        <x:f>IF(COUNT(G706)=0,"",(COUNTIFS('93_REF_ANCHORS'!$A$7:$A$766,D706,'93_REF_ANCHORS'!$C$7:$C$766,"&lt;"&amp;G706)+COUNTIFS('93_REF_ANCHORS'!$A$7:$A$766,D706,'93_REF_ANCHORS'!$C$7:$C$766,"&lt;="&amp;G706)-1)/(2*(H706-1)))</x:f>
      </x:c>
      <x:c r="J706" s="34" t="str">
        <x:f>IF(B706="","",IF(COUNT(E706)=0,"MISSING",IF(NOT(ISNUMBER(E706)),"INVALID",IF(E706*F706&lt;K706,"WINSORIZED LOW",IF(E706*F706&gt;L706,"WINSORIZED HIGH","OK")))))</x:f>
      </x:c>
      <x:c r="K706" s="34" t="n">
        <x:v>-123.5385890408</x:v>
      </x:c>
      <x:c r="L706" s="34" t="n">
        <x:v>974.1666666666999</x:v>
      </x:c>
      <x:c r="M706" s="34" t="n">
        <x:v>0.1111111111111111</x:v>
      </x:c>
      <x:c r="N706" s="34" t="str">
        <x:v>no</x:v>
      </x:c>
    </x:row>
    <x:row r="707">
      <x:c r="A707" s="34" t="n">
        <x:v>71</x:v>
      </x:c>
      <x:c r="B707" s="34" t="str">
        <x:f>IF('01_INPUT_COMPANIES'!$A$77="","",'01_INPUT_COMPANIES'!$A$77)</x:f>
      </x:c>
      <x:c r="C707" s="34" t="str">
        <x:f>IF(B707="","",'01_INPUT_COMPANIES'!$B$77)</x:f>
      </x:c>
      <x:c r="D707" s="34" t="str">
        <x:v>effective_tax_rate_gap</x:v>
      </x:c>
      <x:c r="E707" s="42" t="str">
        <x:f>IF(OR(B707="",COUNT('01_INPUT_COMPANIES'!$T$77)=0),"",'01_INPUT_COMPANIES'!$T$77)</x:f>
      </x:c>
      <x:c r="F707" s="42" t="n">
        <x:v>1</x:v>
      </x:c>
      <x:c r="G707" s="42" t="str">
        <x:f>IF(NOT(ISNUMBER(E707)),"",MAX(K707,MIN(L707,E707*F707)))</x:f>
      </x:c>
      <x:c r="H707" s="42" t="n">
        <x:v>74</x:v>
      </x:c>
      <x:c r="I707" s="42" t="str">
        <x:f>IF(COUNT(G707)=0,"",(COUNTIFS('93_REF_ANCHORS'!$A$7:$A$766,D707,'93_REF_ANCHORS'!$C$7:$C$766,"&lt;"&amp;G707)+COUNTIFS('93_REF_ANCHORS'!$A$7:$A$766,D707,'93_REF_ANCHORS'!$C$7:$C$766,"&lt;="&amp;G707)-1)/(2*(H707-1)))</x:f>
      </x:c>
      <x:c r="J707" s="34" t="str">
        <x:f>IF(B707="","",IF(COUNT(E707)=0,"MISSING",IF(NOT(ISNUMBER(E707)),"INVALID",IF(E707*F707&lt;K707,"WINSORIZED LOW",IF(E707*F707&gt;L707,"WINSORIZED HIGH","OK")))))</x:f>
      </x:c>
      <x:c r="K707" s="34" t="n">
        <x:v>-0.1416111014</x:v>
      </x:c>
      <x:c r="L707" s="34" t="n">
        <x:v>0.2683650488</x:v>
      </x:c>
      <x:c r="M707" s="34" t="n">
        <x:v>0.1111111111111111</x:v>
      </x:c>
      <x:c r="N707" s="34" t="str">
        <x:v>no</x:v>
      </x:c>
    </x:row>
    <x:row r="708">
      <x:c r="A708" s="34" t="n">
        <x:v>71</x:v>
      </x:c>
      <x:c r="B708" s="34" t="str">
        <x:f>IF('01_INPUT_COMPANIES'!$A$77="","",'01_INPUT_COMPANIES'!$A$77)</x:f>
      </x:c>
      <x:c r="C708" s="34" t="str">
        <x:f>IF(B708="","",'01_INPUT_COMPANIES'!$B$77)</x:f>
      </x:c>
      <x:c r="D708" s="34" t="str">
        <x:v>infra_dependency_ratio</x:v>
      </x:c>
      <x:c r="E708" s="42" t="str">
        <x:f>IF(OR(B708="",COUNT('01_INPUT_COMPANIES'!$U$77)=0),"",'01_INPUT_COMPANIES'!$U$77)</x:f>
      </x:c>
      <x:c r="F708" s="42" t="n">
        <x:v>1</x:v>
      </x:c>
      <x:c r="G708" s="42" t="str">
        <x:f>IF(NOT(ISNUMBER(E708)),"",MAX(K708,MIN(L708,E708*F708)))</x:f>
      </x:c>
      <x:c r="H708" s="42" t="n">
        <x:v>64</x:v>
      </x:c>
      <x:c r="I708" s="42" t="str">
        <x:f>IF(COUNT(G708)=0,"",(COUNTIFS('93_REF_ANCHORS'!$A$7:$A$766,D708,'93_REF_ANCHORS'!$C$7:$C$766,"&lt;"&amp;G708)+COUNTIFS('93_REF_ANCHORS'!$A$7:$A$766,D708,'93_REF_ANCHORS'!$C$7:$C$766,"&lt;="&amp;G708)-1)/(2*(H708-1)))</x:f>
      </x:c>
      <x:c r="J708" s="34" t="str">
        <x:f>IF(B708="","",IF(COUNT(E708)=0,"MISSING",IF(NOT(ISNUMBER(E708)),"INVALID",IF(E708*F708&lt;K708,"WINSORIZED LOW",IF(E708*F708&gt;L708,"WINSORIZED HIGH","OK")))))</x:f>
      </x:c>
      <x:c r="K708" s="34" t="n">
        <x:v>-0.10705024705171803</x:v>
      </x:c>
      <x:c r="L708" s="34" t="n">
        <x:v>0.8008753865408955</x:v>
      </x:c>
      <x:c r="M708" s="34" t="n">
        <x:v>0.1111111111111111</x:v>
      </x:c>
      <x:c r="N708" s="34" t="str">
        <x:v>no</x:v>
      </x:c>
    </x:row>
    <x:row r="709">
      <x:c r="A709" s="34" t="n">
        <x:v>71</x:v>
      </x:c>
      <x:c r="B709" s="34" t="str">
        <x:f>IF('01_INPUT_COMPANIES'!$A$77="","",'01_INPUT_COMPANIES'!$A$77)</x:f>
      </x:c>
      <x:c r="C709" s="34" t="str">
        <x:f>IF(B709="","",'01_INPUT_COMPANIES'!$B$77)</x:f>
      </x:c>
      <x:c r="D709" s="34" t="str">
        <x:v>network_cost_ratio</x:v>
      </x:c>
      <x:c r="E709" s="42" t="str">
        <x:f>IF(OR(B709="",COUNT('01_INPUT_COMPANIES'!$V$77)=0),"",'01_INPUT_COMPANIES'!$V$77)</x:f>
      </x:c>
      <x:c r="F709" s="42" t="n">
        <x:v>1</x:v>
      </x:c>
      <x:c r="G709" s="42" t="str">
        <x:f>IF(NOT(ISNUMBER(E709)),"",MAX(K709,MIN(L709,E709*F709)))</x:f>
      </x:c>
      <x:c r="H709" s="42" t="n">
        <x:v>97</x:v>
      </x:c>
      <x:c r="I709" s="42" t="str">
        <x:f>IF(COUNT(G709)=0,"",(COUNTIFS('93_REF_ANCHORS'!$A$7:$A$766,D709,'93_REF_ANCHORS'!$C$7:$C$766,"&lt;"&amp;G709)+COUNTIFS('93_REF_ANCHORS'!$A$7:$A$766,D709,'93_REF_ANCHORS'!$C$7:$C$766,"&lt;="&amp;G709)-1)/(2*(H709-1)))</x:f>
      </x:c>
      <x:c r="J709" s="34" t="str">
        <x:f>IF(B709="","",IF(COUNT(E709)=0,"MISSING",IF(NOT(ISNUMBER(E709)),"INVALID",IF(E709*F709&lt;K709,"WINSORIZED LOW",IF(E709*F709&gt;L709,"WINSORIZED HIGH","OK")))))</x:f>
      </x:c>
      <x:c r="K709" s="34" t="n">
        <x:v>-0.1395374353</x:v>
      </x:c>
      <x:c r="L709" s="34" t="n">
        <x:v>0.9274274845000001</x:v>
      </x:c>
      <x:c r="M709" s="34" t="n">
        <x:v>0.1111111111111111</x:v>
      </x:c>
      <x:c r="N709" s="34" t="str">
        <x:v>no</x:v>
      </x:c>
    </x:row>
    <x:row r="710">
      <x:c r="A710" s="34" t="n">
        <x:v>71</x:v>
      </x:c>
      <x:c r="B710" s="34" t="str">
        <x:f>IF('01_INPUT_COMPANIES'!$A$77="","",'01_INPUT_COMPANIES'!$A$77)</x:f>
      </x:c>
      <x:c r="C710" s="34" t="str">
        <x:f>IF(B710="","",'01_INPUT_COMPANIES'!$B$77)</x:f>
      </x:c>
      <x:c r="D710" s="34" t="str">
        <x:v>cashflow_recovery_ratio</x:v>
      </x:c>
      <x:c r="E710" s="42" t="str">
        <x:f>IF(OR(B710="",COUNT('01_INPUT_COMPANIES'!$W$77)=0),"",'01_INPUT_COMPANIES'!$W$77)</x:f>
      </x:c>
      <x:c r="F710" s="42" t="n">
        <x:v>-1</x:v>
      </x:c>
      <x:c r="G710" s="42" t="str">
        <x:f>IF(NOT(ISNUMBER(E710)),"",MAX(K710,MIN(L710,E710*F710)))</x:f>
      </x:c>
      <x:c r="H710" s="42" t="n">
        <x:v>95</x:v>
      </x:c>
      <x:c r="I710" s="42" t="str">
        <x:f>IF(COUNT(G710)=0,"",(COUNTIFS('93_REF_ANCHORS'!$A$7:$A$766,D710,'93_REF_ANCHORS'!$C$7:$C$766,"&lt;"&amp;G710)+COUNTIFS('93_REF_ANCHORS'!$A$7:$A$766,D710,'93_REF_ANCHORS'!$C$7:$C$766,"&lt;="&amp;G710)-1)/(2*(H710-1)))</x:f>
      </x:c>
      <x:c r="J710" s="34" t="str">
        <x:f>IF(B710="","",IF(COUNT(E710)=0,"MISSING",IF(NOT(ISNUMBER(E710)),"INVALID",IF(E710*F710&lt;K710,"WINSORIZED LOW",IF(E710*F710&gt;L710,"WINSORIZED HIGH","OK")))))</x:f>
      </x:c>
      <x:c r="K710" s="34" t="n">
        <x:v>-300.75</x:v>
      </x:c>
      <x:c r="L710" s="34" t="n">
        <x:v>42.6920305469</x:v>
      </x:c>
      <x:c r="M710" s="34" t="n">
        <x:v>0.08333333333333333</x:v>
      </x:c>
      <x:c r="N710" s="34" t="str">
        <x:v>no</x:v>
      </x:c>
    </x:row>
    <x:row r="711">
      <x:c r="A711" s="34" t="n">
        <x:v>71</x:v>
      </x:c>
      <x:c r="B711" s="34" t="str">
        <x:f>IF('01_INPUT_COMPANIES'!$A$77="","",'01_INPUT_COMPANIES'!$A$77)</x:f>
      </x:c>
      <x:c r="C711" s="34" t="str">
        <x:f>IF(B711="","",'01_INPUT_COMPANIES'!$B$77)</x:f>
      </x:c>
      <x:c r="D711" s="34" t="str">
        <x:v>funding_cost_spread</x:v>
      </x:c>
      <x:c r="E711" s="42" t="str">
        <x:f>IF(OR(B711="",COUNT('01_INPUT_COMPANIES'!$X$77)=0),"",'01_INPUT_COMPANIES'!$X$77)</x:f>
      </x:c>
      <x:c r="F711" s="42" t="n">
        <x:v>1</x:v>
      </x:c>
      <x:c r="G711" s="42" t="str">
        <x:f>IF(NOT(ISNUMBER(E711)),"",MAX(K711,MIN(L711,E711*F711)))</x:f>
      </x:c>
      <x:c r="H711" s="42" t="n">
        <x:v>58</x:v>
      </x:c>
      <x:c r="I711" s="42" t="str">
        <x:f>IF(COUNT(G711)=0,"",(COUNTIFS('93_REF_ANCHORS'!$A$7:$A$766,D711,'93_REF_ANCHORS'!$C$7:$C$766,"&lt;"&amp;G711)+COUNTIFS('93_REF_ANCHORS'!$A$7:$A$766,D711,'93_REF_ANCHORS'!$C$7:$C$766,"&lt;="&amp;G711)-1)/(2*(H711-1)))</x:f>
      </x:c>
      <x:c r="J711" s="34" t="str">
        <x:f>IF(B711="","",IF(COUNT(E711)=0,"MISSING",IF(NOT(ISNUMBER(E711)),"INVALID",IF(E711*F711&lt;K711,"WINSORIZED LOW",IF(E711*F711&gt;L711,"WINSORIZED HIGH","OK")))))</x:f>
      </x:c>
      <x:c r="K711" s="34" t="n">
        <x:v>-0.4430292903</x:v>
      </x:c>
      <x:c r="L711" s="34" t="n">
        <x:v>0.5068913103</x:v>
      </x:c>
      <x:c r="M711" s="34" t="n">
        <x:v>0.08333333333333333</x:v>
      </x:c>
      <x:c r="N711" s="34" t="str">
        <x:v>no</x:v>
      </x:c>
    </x:row>
    <x:row r="712">
      <x:c r="A712" s="34" t="n">
        <x:v>71</x:v>
      </x:c>
      <x:c r="B712" s="34" t="str">
        <x:f>IF('01_INPUT_COMPANIES'!$A$77="","",'01_INPUT_COMPANIES'!$A$77)</x:f>
      </x:c>
      <x:c r="C712" s="34" t="str">
        <x:f>IF(B712="","",'01_INPUT_COMPANIES'!$B$77)</x:f>
      </x:c>
      <x:c r="D712" s="34" t="str">
        <x:v>investment_recovery_ratio</x:v>
      </x:c>
      <x:c r="E712" s="42" t="str">
        <x:f>IF(OR(B712="",COUNT('01_INPUT_COMPANIES'!$Y$77)=0),"",'01_INPUT_COMPANIES'!$Y$77)</x:f>
      </x:c>
      <x:c r="F712" s="42" t="n">
        <x:v>-1</x:v>
      </x:c>
      <x:c r="G712" s="42" t="str">
        <x:f>IF(NOT(ISNUMBER(E712)),"",MAX(K712,MIN(L712,E712*F712)))</x:f>
      </x:c>
      <x:c r="H712" s="42" t="n">
        <x:v>95</x:v>
      </x:c>
      <x:c r="I712" s="42" t="str">
        <x:f>IF(COUNT(G712)=0,"",(COUNTIFS('93_REF_ANCHORS'!$A$7:$A$766,D712,'93_REF_ANCHORS'!$C$7:$C$766,"&lt;"&amp;G712)+COUNTIFS('93_REF_ANCHORS'!$A$7:$A$766,D712,'93_REF_ANCHORS'!$C$7:$C$766,"&lt;="&amp;G712)-1)/(2*(H712-1)))</x:f>
      </x:c>
      <x:c r="J712" s="34" t="str">
        <x:f>IF(B712="","",IF(COUNT(E712)=0,"MISSING",IF(NOT(ISNUMBER(E712)),"INVALID",IF(E712*F712&lt;K712,"WINSORIZED LOW",IF(E712*F712&gt;L712,"WINSORIZED HIGH","OK")))))</x:f>
      </x:c>
      <x:c r="K712" s="34" t="n">
        <x:v>-3163.7500000000014</x:v>
      </x:c>
      <x:c r="L712" s="34" t="n">
        <x:v>189.68191301719997</x:v>
      </x:c>
      <x:c r="M712" s="34" t="n">
        <x:v>0.08333333333333333</x:v>
      </x:c>
      <x:c r="N712" s="34" t="str">
        <x:v>no</x:v>
      </x:c>
    </x:row>
    <x:row r="713">
      <x:c r="A713" s="34" t="n">
        <x:v>71</x:v>
      </x:c>
      <x:c r="B713" s="34" t="str">
        <x:f>IF('01_INPUT_COMPANIES'!$A$77="","",'01_INPUT_COMPANIES'!$A$77)</x:f>
      </x:c>
      <x:c r="C713" s="34" t="str">
        <x:f>IF(B713="","",'01_INPUT_COMPANIES'!$B$77)</x:f>
      </x:c>
      <x:c r="D713" s="34" t="str">
        <x:v>ip_assetization_gap</x:v>
      </x:c>
      <x:c r="E713" s="42" t="str">
        <x:f>IF(OR(B713="",COUNT('01_INPUT_COMPANIES'!$Z$77)=0),"",'01_INPUT_COMPANIES'!$Z$77)</x:f>
      </x:c>
      <x:c r="F713" s="42" t="n">
        <x:v>1</x:v>
      </x:c>
      <x:c r="G713" s="42" t="str">
        <x:f>IF(NOT(ISNUMBER(E713)),"",MAX(K713,MIN(L713,E713*F713)))</x:f>
      </x:c>
      <x:c r="H713" s="42" t="n">
        <x:v>92</x:v>
      </x:c>
      <x:c r="I713" s="42" t="str">
        <x:f>IF(COUNT(G713)=0,"",(COUNTIFS('93_REF_ANCHORS'!$A$7:$A$766,D713,'93_REF_ANCHORS'!$C$7:$C$766,"&lt;"&amp;G713)+COUNTIFS('93_REF_ANCHORS'!$A$7:$A$766,D713,'93_REF_ANCHORS'!$C$7:$C$766,"&lt;="&amp;G713)-1)/(2*(H713-1)))</x:f>
      </x:c>
      <x:c r="J713" s="34" t="str">
        <x:f>IF(B713="","",IF(COUNT(E713)=0,"MISSING",IF(NOT(ISNUMBER(E713)),"INVALID",IF(E713*F713&lt;K713,"WINSORIZED LOW",IF(E713*F713&gt;L713,"WINSORIZED HIGH","OK")))))</x:f>
      </x:c>
      <x:c r="K713" s="34" t="n">
        <x:v>-1.6707152386</x:v>
      </x:c>
      <x:c r="L713" s="34" t="n">
        <x:v>0.7716332556000001</x:v>
      </x:c>
      <x:c r="M713" s="34" t="n">
        <x:v>0.08333333333333333</x:v>
      </x:c>
      <x:c r="N713" s="34" t="str">
        <x:v>no</x:v>
      </x:c>
    </x:row>
    <x:row r="714">
      <x:c r="A714" s="34" t="n">
        <x:v>71</x:v>
      </x:c>
      <x:c r="B714" s="34" t="str">
        <x:f>IF('01_INPUT_COMPANIES'!$A$77="","",'01_INPUT_COMPANIES'!$A$77)</x:f>
      </x:c>
      <x:c r="C714" s="34" t="str">
        <x:f>IF(B714="","",'01_INPUT_COMPANIES'!$B$77)</x:f>
      </x:c>
      <x:c r="D714" s="34" t="str">
        <x:v>cross_market_transfer_index</x:v>
      </x:c>
      <x:c r="E714" s="42" t="str">
        <x:f>IF(OR(B714="",COUNT('01_INPUT_COMPANIES'!$AA$77)=0),"",'01_INPUT_COMPANIES'!$AA$77)</x:f>
      </x:c>
      <x:c r="F714" s="42" t="n">
        <x:v>1</x:v>
      </x:c>
      <x:c r="G714" s="42" t="str">
        <x:f>IF(NOT(ISNUMBER(E714)),"",MAX(K714,MIN(L714,E714*F714)))</x:f>
      </x:c>
      <x:c r="H714" s="42" t="n">
        <x:v>4</x:v>
      </x:c>
      <x:c r="I714" s="42" t="str">
        <x:f>IF(COUNT(G714)=0,"",(COUNTIFS('93_REF_ANCHORS'!$A$7:$A$766,D714,'93_REF_ANCHORS'!$C$7:$C$766,"&lt;"&amp;G714)+COUNTIFS('93_REF_ANCHORS'!$A$7:$A$766,D714,'93_REF_ANCHORS'!$C$7:$C$766,"&lt;="&amp;G714)-1)/(2*(H714-1)))</x:f>
      </x:c>
      <x:c r="J714" s="34" t="str">
        <x:f>IF(B714="","",IF(COUNT(E714)=0,"MISSING",IF(NOT(ISNUMBER(E714)),"INVALID",IF(E714*F714&lt;K714,"WINSORIZED LOW",IF(E714*F714&gt;L714,"WINSORIZED HIGH","OK")))))</x:f>
      </x:c>
      <x:c r="K714" s="34" t="n">
        <x:v>0</x:v>
      </x:c>
      <x:c r="L714" s="34" t="n">
        <x:v>0.7587051325360435</x:v>
      </x:c>
      <x:c r="M714" s="34" t="n">
        <x:v>0.1111111111111111</x:v>
      </x:c>
      <x:c r="N714" s="34" t="str">
        <x:v>yes</x:v>
      </x:c>
    </x:row>
    <x:row r="715">
      <x:c r="A715" s="34" t="n">
        <x:v>71</x:v>
      </x:c>
      <x:c r="B715" s="34" t="str">
        <x:f>IF('01_INPUT_COMPANIES'!$A$77="","",'01_INPUT_COMPANIES'!$A$77)</x:f>
      </x:c>
      <x:c r="C715" s="34" t="str">
        <x:f>IF(B715="","",'01_INPUT_COMPANIES'!$B$77)</x:f>
      </x:c>
      <x:c r="D715" s="34" t="str">
        <x:v>foreign_dependency_ratio</x:v>
      </x:c>
      <x:c r="E715" s="42" t="str">
        <x:f>IF(OR(B715="",COUNT('01_INPUT_COMPANIES'!$AB$77)=0),"",'01_INPUT_COMPANIES'!$AB$77)</x:f>
      </x:c>
      <x:c r="F715" s="42" t="n">
        <x:v>1</x:v>
      </x:c>
      <x:c r="G715" s="42" t="str">
        <x:f>IF(NOT(ISNUMBER(E715)),"",MAX(K715,MIN(L715,E715*F715)))</x:f>
      </x:c>
      <x:c r="H715" s="42" t="n">
        <x:v>84</x:v>
      </x:c>
      <x:c r="I715" s="42" t="str">
        <x:f>IF(COUNT(G715)=0,"",(COUNTIFS('93_REF_ANCHORS'!$A$7:$A$766,D715,'93_REF_ANCHORS'!$C$7:$C$766,"&lt;"&amp;G715)+COUNTIFS('93_REF_ANCHORS'!$A$7:$A$766,D715,'93_REF_ANCHORS'!$C$7:$C$766,"&lt;="&amp;G715)-1)/(2*(H715-1)))</x:f>
      </x:c>
      <x:c r="J715" s="34" t="str">
        <x:f>IF(B715="","",IF(COUNT(E715)=0,"MISSING",IF(NOT(ISNUMBER(E715)),"INVALID",IF(E715*F715&lt;K715,"WINSORIZED LOW",IF(E715*F715&gt;L715,"WINSORIZED HIGH","OK")))))</x:f>
      </x:c>
      <x:c r="K715" s="34" t="n">
        <x:v>0.728196</x:v>
      </x:c>
      <x:c r="L715" s="34" t="n">
        <x:v>0.94</x:v>
      </x:c>
      <x:c r="M715" s="34" t="n">
        <x:v>0.1111111111111111</x:v>
      </x:c>
      <x:c r="N715" s="34" t="str">
        <x:v>yes</x:v>
      </x:c>
    </x:row>
    <x:row r="716">
      <x:c r="A716" s="34" t="n">
        <x:v>71</x:v>
      </x:c>
      <x:c r="B716" s="34" t="str">
        <x:f>IF('01_INPUT_COMPANIES'!$A$77="","",'01_INPUT_COMPANIES'!$A$77)</x:f>
      </x:c>
      <x:c r="C716" s="34" t="str">
        <x:f>IF(B716="","",'01_INPUT_COMPANIES'!$B$77)</x:f>
      </x:c>
      <x:c r="D716" s="34" t="str">
        <x:v>outflow_to_capex_ratio</x:v>
      </x:c>
      <x:c r="E716" s="42" t="str">
        <x:f>IF(OR(B716="",COUNT('01_INPUT_COMPANIES'!$AC$77)=0),"",'01_INPUT_COMPANIES'!$AC$77)</x:f>
      </x:c>
      <x:c r="F716" s="42" t="n">
        <x:v>1</x:v>
      </x:c>
      <x:c r="G716" s="42" t="str">
        <x:f>IF(NOT(ISNUMBER(E716)),"",MAX(K716,MIN(L716,E716*F716)))</x:f>
      </x:c>
      <x:c r="H716" s="42" t="n">
        <x:v>97</x:v>
      </x:c>
      <x:c r="I716" s="42" t="str">
        <x:f>IF(COUNT(G716)=0,"",(COUNTIFS('93_REF_ANCHORS'!$A$7:$A$766,D716,'93_REF_ANCHORS'!$C$7:$C$766,"&lt;"&amp;G716)+COUNTIFS('93_REF_ANCHORS'!$A$7:$A$766,D716,'93_REF_ANCHORS'!$C$7:$C$766,"&lt;="&amp;G716)-1)/(2*(H716-1)))</x:f>
      </x:c>
      <x:c r="J716" s="34" t="str">
        <x:f>IF(B716="","",IF(COUNT(E716)=0,"MISSING",IF(NOT(ISNUMBER(E716)),"INVALID",IF(E716*F716&lt;K716,"WINSORIZED LOW",IF(E716*F716&gt;L716,"WINSORIZED HIGH","OK")))))</x:f>
      </x:c>
      <x:c r="K716" s="34" t="n">
        <x:v>-123.5385890408</x:v>
      </x:c>
      <x:c r="L716" s="34" t="n">
        <x:v>974.1666666666999</x:v>
      </x:c>
      <x:c r="M716" s="34" t="n">
        <x:v>0.1111111111111111</x:v>
      </x:c>
      <x:c r="N716" s="34" t="str">
        <x:v>no</x:v>
      </x:c>
    </x:row>
    <x:row r="717">
      <x:c r="A717" s="34" t="n">
        <x:v>72</x:v>
      </x:c>
      <x:c r="B717" s="34" t="str">
        <x:f>IF('01_INPUT_COMPANIES'!$A$78="","",'01_INPUT_COMPANIES'!$A$78)</x:f>
      </x:c>
      <x:c r="C717" s="34" t="str">
        <x:f>IF(B717="","",'01_INPUT_COMPANIES'!$B$78)</x:f>
      </x:c>
      <x:c r="D717" s="34" t="str">
        <x:v>effective_tax_rate_gap</x:v>
      </x:c>
      <x:c r="E717" s="42" t="str">
        <x:f>IF(OR(B717="",COUNT('01_INPUT_COMPANIES'!$T$78)=0),"",'01_INPUT_COMPANIES'!$T$78)</x:f>
      </x:c>
      <x:c r="F717" s="42" t="n">
        <x:v>1</x:v>
      </x:c>
      <x:c r="G717" s="42" t="str">
        <x:f>IF(NOT(ISNUMBER(E717)),"",MAX(K717,MIN(L717,E717*F717)))</x:f>
      </x:c>
      <x:c r="H717" s="42" t="n">
        <x:v>74</x:v>
      </x:c>
      <x:c r="I717" s="42" t="str">
        <x:f>IF(COUNT(G717)=0,"",(COUNTIFS('93_REF_ANCHORS'!$A$7:$A$766,D717,'93_REF_ANCHORS'!$C$7:$C$766,"&lt;"&amp;G717)+COUNTIFS('93_REF_ANCHORS'!$A$7:$A$766,D717,'93_REF_ANCHORS'!$C$7:$C$766,"&lt;="&amp;G717)-1)/(2*(H717-1)))</x:f>
      </x:c>
      <x:c r="J717" s="34" t="str">
        <x:f>IF(B717="","",IF(COUNT(E717)=0,"MISSING",IF(NOT(ISNUMBER(E717)),"INVALID",IF(E717*F717&lt;K717,"WINSORIZED LOW",IF(E717*F717&gt;L717,"WINSORIZED HIGH","OK")))))</x:f>
      </x:c>
      <x:c r="K717" s="34" t="n">
        <x:v>-0.1416111014</x:v>
      </x:c>
      <x:c r="L717" s="34" t="n">
        <x:v>0.2683650488</x:v>
      </x:c>
      <x:c r="M717" s="34" t="n">
        <x:v>0.1111111111111111</x:v>
      </x:c>
      <x:c r="N717" s="34" t="str">
        <x:v>no</x:v>
      </x:c>
    </x:row>
    <x:row r="718">
      <x:c r="A718" s="34" t="n">
        <x:v>72</x:v>
      </x:c>
      <x:c r="B718" s="34" t="str">
        <x:f>IF('01_INPUT_COMPANIES'!$A$78="","",'01_INPUT_COMPANIES'!$A$78)</x:f>
      </x:c>
      <x:c r="C718" s="34" t="str">
        <x:f>IF(B718="","",'01_INPUT_COMPANIES'!$B$78)</x:f>
      </x:c>
      <x:c r="D718" s="34" t="str">
        <x:v>infra_dependency_ratio</x:v>
      </x:c>
      <x:c r="E718" s="42" t="str">
        <x:f>IF(OR(B718="",COUNT('01_INPUT_COMPANIES'!$U$78)=0),"",'01_INPUT_COMPANIES'!$U$78)</x:f>
      </x:c>
      <x:c r="F718" s="42" t="n">
        <x:v>1</x:v>
      </x:c>
      <x:c r="G718" s="42" t="str">
        <x:f>IF(NOT(ISNUMBER(E718)),"",MAX(K718,MIN(L718,E718*F718)))</x:f>
      </x:c>
      <x:c r="H718" s="42" t="n">
        <x:v>64</x:v>
      </x:c>
      <x:c r="I718" s="42" t="str">
        <x:f>IF(COUNT(G718)=0,"",(COUNTIFS('93_REF_ANCHORS'!$A$7:$A$766,D718,'93_REF_ANCHORS'!$C$7:$C$766,"&lt;"&amp;G718)+COUNTIFS('93_REF_ANCHORS'!$A$7:$A$766,D718,'93_REF_ANCHORS'!$C$7:$C$766,"&lt;="&amp;G718)-1)/(2*(H718-1)))</x:f>
      </x:c>
      <x:c r="J718" s="34" t="str">
        <x:f>IF(B718="","",IF(COUNT(E718)=0,"MISSING",IF(NOT(ISNUMBER(E718)),"INVALID",IF(E718*F718&lt;K718,"WINSORIZED LOW",IF(E718*F718&gt;L718,"WINSORIZED HIGH","OK")))))</x:f>
      </x:c>
      <x:c r="K718" s="34" t="n">
        <x:v>-0.10705024705171803</x:v>
      </x:c>
      <x:c r="L718" s="34" t="n">
        <x:v>0.8008753865408955</x:v>
      </x:c>
      <x:c r="M718" s="34" t="n">
        <x:v>0.1111111111111111</x:v>
      </x:c>
      <x:c r="N718" s="34" t="str">
        <x:v>no</x:v>
      </x:c>
    </x:row>
    <x:row r="719">
      <x:c r="A719" s="34" t="n">
        <x:v>72</x:v>
      </x:c>
      <x:c r="B719" s="34" t="str">
        <x:f>IF('01_INPUT_COMPANIES'!$A$78="","",'01_INPUT_COMPANIES'!$A$78)</x:f>
      </x:c>
      <x:c r="C719" s="34" t="str">
        <x:f>IF(B719="","",'01_INPUT_COMPANIES'!$B$78)</x:f>
      </x:c>
      <x:c r="D719" s="34" t="str">
        <x:v>network_cost_ratio</x:v>
      </x:c>
      <x:c r="E719" s="42" t="str">
        <x:f>IF(OR(B719="",COUNT('01_INPUT_COMPANIES'!$V$78)=0),"",'01_INPUT_COMPANIES'!$V$78)</x:f>
      </x:c>
      <x:c r="F719" s="42" t="n">
        <x:v>1</x:v>
      </x:c>
      <x:c r="G719" s="42" t="str">
        <x:f>IF(NOT(ISNUMBER(E719)),"",MAX(K719,MIN(L719,E719*F719)))</x:f>
      </x:c>
      <x:c r="H719" s="42" t="n">
        <x:v>97</x:v>
      </x:c>
      <x:c r="I719" s="42" t="str">
        <x:f>IF(COUNT(G719)=0,"",(COUNTIFS('93_REF_ANCHORS'!$A$7:$A$766,D719,'93_REF_ANCHORS'!$C$7:$C$766,"&lt;"&amp;G719)+COUNTIFS('93_REF_ANCHORS'!$A$7:$A$766,D719,'93_REF_ANCHORS'!$C$7:$C$766,"&lt;="&amp;G719)-1)/(2*(H719-1)))</x:f>
      </x:c>
      <x:c r="J719" s="34" t="str">
        <x:f>IF(B719="","",IF(COUNT(E719)=0,"MISSING",IF(NOT(ISNUMBER(E719)),"INVALID",IF(E719*F719&lt;K719,"WINSORIZED LOW",IF(E719*F719&gt;L719,"WINSORIZED HIGH","OK")))))</x:f>
      </x:c>
      <x:c r="K719" s="34" t="n">
        <x:v>-0.1395374353</x:v>
      </x:c>
      <x:c r="L719" s="34" t="n">
        <x:v>0.9274274845000001</x:v>
      </x:c>
      <x:c r="M719" s="34" t="n">
        <x:v>0.1111111111111111</x:v>
      </x:c>
      <x:c r="N719" s="34" t="str">
        <x:v>no</x:v>
      </x:c>
    </x:row>
    <x:row r="720">
      <x:c r="A720" s="34" t="n">
        <x:v>72</x:v>
      </x:c>
      <x:c r="B720" s="34" t="str">
        <x:f>IF('01_INPUT_COMPANIES'!$A$78="","",'01_INPUT_COMPANIES'!$A$78)</x:f>
      </x:c>
      <x:c r="C720" s="34" t="str">
        <x:f>IF(B720="","",'01_INPUT_COMPANIES'!$B$78)</x:f>
      </x:c>
      <x:c r="D720" s="34" t="str">
        <x:v>cashflow_recovery_ratio</x:v>
      </x:c>
      <x:c r="E720" s="42" t="str">
        <x:f>IF(OR(B720="",COUNT('01_INPUT_COMPANIES'!$W$78)=0),"",'01_INPUT_COMPANIES'!$W$78)</x:f>
      </x:c>
      <x:c r="F720" s="42" t="n">
        <x:v>-1</x:v>
      </x:c>
      <x:c r="G720" s="42" t="str">
        <x:f>IF(NOT(ISNUMBER(E720)),"",MAX(K720,MIN(L720,E720*F720)))</x:f>
      </x:c>
      <x:c r="H720" s="42" t="n">
        <x:v>95</x:v>
      </x:c>
      <x:c r="I720" s="42" t="str">
        <x:f>IF(COUNT(G720)=0,"",(COUNTIFS('93_REF_ANCHORS'!$A$7:$A$766,D720,'93_REF_ANCHORS'!$C$7:$C$766,"&lt;"&amp;G720)+COUNTIFS('93_REF_ANCHORS'!$A$7:$A$766,D720,'93_REF_ANCHORS'!$C$7:$C$766,"&lt;="&amp;G720)-1)/(2*(H720-1)))</x:f>
      </x:c>
      <x:c r="J720" s="34" t="str">
        <x:f>IF(B720="","",IF(COUNT(E720)=0,"MISSING",IF(NOT(ISNUMBER(E720)),"INVALID",IF(E720*F720&lt;K720,"WINSORIZED LOW",IF(E720*F720&gt;L720,"WINSORIZED HIGH","OK")))))</x:f>
      </x:c>
      <x:c r="K720" s="34" t="n">
        <x:v>-300.75</x:v>
      </x:c>
      <x:c r="L720" s="34" t="n">
        <x:v>42.6920305469</x:v>
      </x:c>
      <x:c r="M720" s="34" t="n">
        <x:v>0.08333333333333333</x:v>
      </x:c>
      <x:c r="N720" s="34" t="str">
        <x:v>no</x:v>
      </x:c>
    </x:row>
    <x:row r="721">
      <x:c r="A721" s="34" t="n">
        <x:v>72</x:v>
      </x:c>
      <x:c r="B721" s="34" t="str">
        <x:f>IF('01_INPUT_COMPANIES'!$A$78="","",'01_INPUT_COMPANIES'!$A$78)</x:f>
      </x:c>
      <x:c r="C721" s="34" t="str">
        <x:f>IF(B721="","",'01_INPUT_COMPANIES'!$B$78)</x:f>
      </x:c>
      <x:c r="D721" s="34" t="str">
        <x:v>funding_cost_spread</x:v>
      </x:c>
      <x:c r="E721" s="42" t="str">
        <x:f>IF(OR(B721="",COUNT('01_INPUT_COMPANIES'!$X$78)=0),"",'01_INPUT_COMPANIES'!$X$78)</x:f>
      </x:c>
      <x:c r="F721" s="42" t="n">
        <x:v>1</x:v>
      </x:c>
      <x:c r="G721" s="42" t="str">
        <x:f>IF(NOT(ISNUMBER(E721)),"",MAX(K721,MIN(L721,E721*F721)))</x:f>
      </x:c>
      <x:c r="H721" s="42" t="n">
        <x:v>58</x:v>
      </x:c>
      <x:c r="I721" s="42" t="str">
        <x:f>IF(COUNT(G721)=0,"",(COUNTIFS('93_REF_ANCHORS'!$A$7:$A$766,D721,'93_REF_ANCHORS'!$C$7:$C$766,"&lt;"&amp;G721)+COUNTIFS('93_REF_ANCHORS'!$A$7:$A$766,D721,'93_REF_ANCHORS'!$C$7:$C$766,"&lt;="&amp;G721)-1)/(2*(H721-1)))</x:f>
      </x:c>
      <x:c r="J721" s="34" t="str">
        <x:f>IF(B721="","",IF(COUNT(E721)=0,"MISSING",IF(NOT(ISNUMBER(E721)),"INVALID",IF(E721*F721&lt;K721,"WINSORIZED LOW",IF(E721*F721&gt;L721,"WINSORIZED HIGH","OK")))))</x:f>
      </x:c>
      <x:c r="K721" s="34" t="n">
        <x:v>-0.4430292903</x:v>
      </x:c>
      <x:c r="L721" s="34" t="n">
        <x:v>0.5068913103</x:v>
      </x:c>
      <x:c r="M721" s="34" t="n">
        <x:v>0.08333333333333333</x:v>
      </x:c>
      <x:c r="N721" s="34" t="str">
        <x:v>no</x:v>
      </x:c>
    </x:row>
    <x:row r="722">
      <x:c r="A722" s="34" t="n">
        <x:v>72</x:v>
      </x:c>
      <x:c r="B722" s="34" t="str">
        <x:f>IF('01_INPUT_COMPANIES'!$A$78="","",'01_INPUT_COMPANIES'!$A$78)</x:f>
      </x:c>
      <x:c r="C722" s="34" t="str">
        <x:f>IF(B722="","",'01_INPUT_COMPANIES'!$B$78)</x:f>
      </x:c>
      <x:c r="D722" s="34" t="str">
        <x:v>investment_recovery_ratio</x:v>
      </x:c>
      <x:c r="E722" s="42" t="str">
        <x:f>IF(OR(B722="",COUNT('01_INPUT_COMPANIES'!$Y$78)=0),"",'01_INPUT_COMPANIES'!$Y$78)</x:f>
      </x:c>
      <x:c r="F722" s="42" t="n">
        <x:v>-1</x:v>
      </x:c>
      <x:c r="G722" s="42" t="str">
        <x:f>IF(NOT(ISNUMBER(E722)),"",MAX(K722,MIN(L722,E722*F722)))</x:f>
      </x:c>
      <x:c r="H722" s="42" t="n">
        <x:v>95</x:v>
      </x:c>
      <x:c r="I722" s="42" t="str">
        <x:f>IF(COUNT(G722)=0,"",(COUNTIFS('93_REF_ANCHORS'!$A$7:$A$766,D722,'93_REF_ANCHORS'!$C$7:$C$766,"&lt;"&amp;G722)+COUNTIFS('93_REF_ANCHORS'!$A$7:$A$766,D722,'93_REF_ANCHORS'!$C$7:$C$766,"&lt;="&amp;G722)-1)/(2*(H722-1)))</x:f>
      </x:c>
      <x:c r="J722" s="34" t="str">
        <x:f>IF(B722="","",IF(COUNT(E722)=0,"MISSING",IF(NOT(ISNUMBER(E722)),"INVALID",IF(E722*F722&lt;K722,"WINSORIZED LOW",IF(E722*F722&gt;L722,"WINSORIZED HIGH","OK")))))</x:f>
      </x:c>
      <x:c r="K722" s="34" t="n">
        <x:v>-3163.7500000000014</x:v>
      </x:c>
      <x:c r="L722" s="34" t="n">
        <x:v>189.68191301719997</x:v>
      </x:c>
      <x:c r="M722" s="34" t="n">
        <x:v>0.08333333333333333</x:v>
      </x:c>
      <x:c r="N722" s="34" t="str">
        <x:v>no</x:v>
      </x:c>
    </x:row>
    <x:row r="723">
      <x:c r="A723" s="34" t="n">
        <x:v>72</x:v>
      </x:c>
      <x:c r="B723" s="34" t="str">
        <x:f>IF('01_INPUT_COMPANIES'!$A$78="","",'01_INPUT_COMPANIES'!$A$78)</x:f>
      </x:c>
      <x:c r="C723" s="34" t="str">
        <x:f>IF(B723="","",'01_INPUT_COMPANIES'!$B$78)</x:f>
      </x:c>
      <x:c r="D723" s="34" t="str">
        <x:v>ip_assetization_gap</x:v>
      </x:c>
      <x:c r="E723" s="42" t="str">
        <x:f>IF(OR(B723="",COUNT('01_INPUT_COMPANIES'!$Z$78)=0),"",'01_INPUT_COMPANIES'!$Z$78)</x:f>
      </x:c>
      <x:c r="F723" s="42" t="n">
        <x:v>1</x:v>
      </x:c>
      <x:c r="G723" s="42" t="str">
        <x:f>IF(NOT(ISNUMBER(E723)),"",MAX(K723,MIN(L723,E723*F723)))</x:f>
      </x:c>
      <x:c r="H723" s="42" t="n">
        <x:v>92</x:v>
      </x:c>
      <x:c r="I723" s="42" t="str">
        <x:f>IF(COUNT(G723)=0,"",(COUNTIFS('93_REF_ANCHORS'!$A$7:$A$766,D723,'93_REF_ANCHORS'!$C$7:$C$766,"&lt;"&amp;G723)+COUNTIFS('93_REF_ANCHORS'!$A$7:$A$766,D723,'93_REF_ANCHORS'!$C$7:$C$766,"&lt;="&amp;G723)-1)/(2*(H723-1)))</x:f>
      </x:c>
      <x:c r="J723" s="34" t="str">
        <x:f>IF(B723="","",IF(COUNT(E723)=0,"MISSING",IF(NOT(ISNUMBER(E723)),"INVALID",IF(E723*F723&lt;K723,"WINSORIZED LOW",IF(E723*F723&gt;L723,"WINSORIZED HIGH","OK")))))</x:f>
      </x:c>
      <x:c r="K723" s="34" t="n">
        <x:v>-1.6707152386</x:v>
      </x:c>
      <x:c r="L723" s="34" t="n">
        <x:v>0.7716332556000001</x:v>
      </x:c>
      <x:c r="M723" s="34" t="n">
        <x:v>0.08333333333333333</x:v>
      </x:c>
      <x:c r="N723" s="34" t="str">
        <x:v>no</x:v>
      </x:c>
    </x:row>
    <x:row r="724">
      <x:c r="A724" s="34" t="n">
        <x:v>72</x:v>
      </x:c>
      <x:c r="B724" s="34" t="str">
        <x:f>IF('01_INPUT_COMPANIES'!$A$78="","",'01_INPUT_COMPANIES'!$A$78)</x:f>
      </x:c>
      <x:c r="C724" s="34" t="str">
        <x:f>IF(B724="","",'01_INPUT_COMPANIES'!$B$78)</x:f>
      </x:c>
      <x:c r="D724" s="34" t="str">
        <x:v>cross_market_transfer_index</x:v>
      </x:c>
      <x:c r="E724" s="42" t="str">
        <x:f>IF(OR(B724="",COUNT('01_INPUT_COMPANIES'!$AA$78)=0),"",'01_INPUT_COMPANIES'!$AA$78)</x:f>
      </x:c>
      <x:c r="F724" s="42" t="n">
        <x:v>1</x:v>
      </x:c>
      <x:c r="G724" s="42" t="str">
        <x:f>IF(NOT(ISNUMBER(E724)),"",MAX(K724,MIN(L724,E724*F724)))</x:f>
      </x:c>
      <x:c r="H724" s="42" t="n">
        <x:v>4</x:v>
      </x:c>
      <x:c r="I724" s="42" t="str">
        <x:f>IF(COUNT(G724)=0,"",(COUNTIFS('93_REF_ANCHORS'!$A$7:$A$766,D724,'93_REF_ANCHORS'!$C$7:$C$766,"&lt;"&amp;G724)+COUNTIFS('93_REF_ANCHORS'!$A$7:$A$766,D724,'93_REF_ANCHORS'!$C$7:$C$766,"&lt;="&amp;G724)-1)/(2*(H724-1)))</x:f>
      </x:c>
      <x:c r="J724" s="34" t="str">
        <x:f>IF(B724="","",IF(COUNT(E724)=0,"MISSING",IF(NOT(ISNUMBER(E724)),"INVALID",IF(E724*F724&lt;K724,"WINSORIZED LOW",IF(E724*F724&gt;L724,"WINSORIZED HIGH","OK")))))</x:f>
      </x:c>
      <x:c r="K724" s="34" t="n">
        <x:v>0</x:v>
      </x:c>
      <x:c r="L724" s="34" t="n">
        <x:v>0.7587051325360435</x:v>
      </x:c>
      <x:c r="M724" s="34" t="n">
        <x:v>0.1111111111111111</x:v>
      </x:c>
      <x:c r="N724" s="34" t="str">
        <x:v>yes</x:v>
      </x:c>
    </x:row>
    <x:row r="725">
      <x:c r="A725" s="34" t="n">
        <x:v>72</x:v>
      </x:c>
      <x:c r="B725" s="34" t="str">
        <x:f>IF('01_INPUT_COMPANIES'!$A$78="","",'01_INPUT_COMPANIES'!$A$78)</x:f>
      </x:c>
      <x:c r="C725" s="34" t="str">
        <x:f>IF(B725="","",'01_INPUT_COMPANIES'!$B$78)</x:f>
      </x:c>
      <x:c r="D725" s="34" t="str">
        <x:v>foreign_dependency_ratio</x:v>
      </x:c>
      <x:c r="E725" s="42" t="str">
        <x:f>IF(OR(B725="",COUNT('01_INPUT_COMPANIES'!$AB$78)=0),"",'01_INPUT_COMPANIES'!$AB$78)</x:f>
      </x:c>
      <x:c r="F725" s="42" t="n">
        <x:v>1</x:v>
      </x:c>
      <x:c r="G725" s="42" t="str">
        <x:f>IF(NOT(ISNUMBER(E725)),"",MAX(K725,MIN(L725,E725*F725)))</x:f>
      </x:c>
      <x:c r="H725" s="42" t="n">
        <x:v>84</x:v>
      </x:c>
      <x:c r="I725" s="42" t="str">
        <x:f>IF(COUNT(G725)=0,"",(COUNTIFS('93_REF_ANCHORS'!$A$7:$A$766,D725,'93_REF_ANCHORS'!$C$7:$C$766,"&lt;"&amp;G725)+COUNTIFS('93_REF_ANCHORS'!$A$7:$A$766,D725,'93_REF_ANCHORS'!$C$7:$C$766,"&lt;="&amp;G725)-1)/(2*(H725-1)))</x:f>
      </x:c>
      <x:c r="J725" s="34" t="str">
        <x:f>IF(B725="","",IF(COUNT(E725)=0,"MISSING",IF(NOT(ISNUMBER(E725)),"INVALID",IF(E725*F725&lt;K725,"WINSORIZED LOW",IF(E725*F725&gt;L725,"WINSORIZED HIGH","OK")))))</x:f>
      </x:c>
      <x:c r="K725" s="34" t="n">
        <x:v>0.728196</x:v>
      </x:c>
      <x:c r="L725" s="34" t="n">
        <x:v>0.94</x:v>
      </x:c>
      <x:c r="M725" s="34" t="n">
        <x:v>0.1111111111111111</x:v>
      </x:c>
      <x:c r="N725" s="34" t="str">
        <x:v>yes</x:v>
      </x:c>
    </x:row>
    <x:row r="726">
      <x:c r="A726" s="34" t="n">
        <x:v>72</x:v>
      </x:c>
      <x:c r="B726" s="34" t="str">
        <x:f>IF('01_INPUT_COMPANIES'!$A$78="","",'01_INPUT_COMPANIES'!$A$78)</x:f>
      </x:c>
      <x:c r="C726" s="34" t="str">
        <x:f>IF(B726="","",'01_INPUT_COMPANIES'!$B$78)</x:f>
      </x:c>
      <x:c r="D726" s="34" t="str">
        <x:v>outflow_to_capex_ratio</x:v>
      </x:c>
      <x:c r="E726" s="42" t="str">
        <x:f>IF(OR(B726="",COUNT('01_INPUT_COMPANIES'!$AC$78)=0),"",'01_INPUT_COMPANIES'!$AC$78)</x:f>
      </x:c>
      <x:c r="F726" s="42" t="n">
        <x:v>1</x:v>
      </x:c>
      <x:c r="G726" s="42" t="str">
        <x:f>IF(NOT(ISNUMBER(E726)),"",MAX(K726,MIN(L726,E726*F726)))</x:f>
      </x:c>
      <x:c r="H726" s="42" t="n">
        <x:v>97</x:v>
      </x:c>
      <x:c r="I726" s="42" t="str">
        <x:f>IF(COUNT(G726)=0,"",(COUNTIFS('93_REF_ANCHORS'!$A$7:$A$766,D726,'93_REF_ANCHORS'!$C$7:$C$766,"&lt;"&amp;G726)+COUNTIFS('93_REF_ANCHORS'!$A$7:$A$766,D726,'93_REF_ANCHORS'!$C$7:$C$766,"&lt;="&amp;G726)-1)/(2*(H726-1)))</x:f>
      </x:c>
      <x:c r="J726" s="34" t="str">
        <x:f>IF(B726="","",IF(COUNT(E726)=0,"MISSING",IF(NOT(ISNUMBER(E726)),"INVALID",IF(E726*F726&lt;K726,"WINSORIZED LOW",IF(E726*F726&gt;L726,"WINSORIZED HIGH","OK")))))</x:f>
      </x:c>
      <x:c r="K726" s="34" t="n">
        <x:v>-123.5385890408</x:v>
      </x:c>
      <x:c r="L726" s="34" t="n">
        <x:v>974.1666666666999</x:v>
      </x:c>
      <x:c r="M726" s="34" t="n">
        <x:v>0.1111111111111111</x:v>
      </x:c>
      <x:c r="N726" s="34" t="str">
        <x:v>no</x:v>
      </x:c>
    </x:row>
    <x:row r="727">
      <x:c r="A727" s="34" t="n">
        <x:v>73</x:v>
      </x:c>
      <x:c r="B727" s="34" t="str">
        <x:f>IF('01_INPUT_COMPANIES'!$A$79="","",'01_INPUT_COMPANIES'!$A$79)</x:f>
      </x:c>
      <x:c r="C727" s="34" t="str">
        <x:f>IF(B727="","",'01_INPUT_COMPANIES'!$B$79)</x:f>
      </x:c>
      <x:c r="D727" s="34" t="str">
        <x:v>effective_tax_rate_gap</x:v>
      </x:c>
      <x:c r="E727" s="42" t="str">
        <x:f>IF(OR(B727="",COUNT('01_INPUT_COMPANIES'!$T$79)=0),"",'01_INPUT_COMPANIES'!$T$79)</x:f>
      </x:c>
      <x:c r="F727" s="42" t="n">
        <x:v>1</x:v>
      </x:c>
      <x:c r="G727" s="42" t="str">
        <x:f>IF(NOT(ISNUMBER(E727)),"",MAX(K727,MIN(L727,E727*F727)))</x:f>
      </x:c>
      <x:c r="H727" s="42" t="n">
        <x:v>74</x:v>
      </x:c>
      <x:c r="I727" s="42" t="str">
        <x:f>IF(COUNT(G727)=0,"",(COUNTIFS('93_REF_ANCHORS'!$A$7:$A$766,D727,'93_REF_ANCHORS'!$C$7:$C$766,"&lt;"&amp;G727)+COUNTIFS('93_REF_ANCHORS'!$A$7:$A$766,D727,'93_REF_ANCHORS'!$C$7:$C$766,"&lt;="&amp;G727)-1)/(2*(H727-1)))</x:f>
      </x:c>
      <x:c r="J727" s="34" t="str">
        <x:f>IF(B727="","",IF(COUNT(E727)=0,"MISSING",IF(NOT(ISNUMBER(E727)),"INVALID",IF(E727*F727&lt;K727,"WINSORIZED LOW",IF(E727*F727&gt;L727,"WINSORIZED HIGH","OK")))))</x:f>
      </x:c>
      <x:c r="K727" s="34" t="n">
        <x:v>-0.1416111014</x:v>
      </x:c>
      <x:c r="L727" s="34" t="n">
        <x:v>0.2683650488</x:v>
      </x:c>
      <x:c r="M727" s="34" t="n">
        <x:v>0.1111111111111111</x:v>
      </x:c>
      <x:c r="N727" s="34" t="str">
        <x:v>no</x:v>
      </x:c>
    </x:row>
    <x:row r="728">
      <x:c r="A728" s="34" t="n">
        <x:v>73</x:v>
      </x:c>
      <x:c r="B728" s="34" t="str">
        <x:f>IF('01_INPUT_COMPANIES'!$A$79="","",'01_INPUT_COMPANIES'!$A$79)</x:f>
      </x:c>
      <x:c r="C728" s="34" t="str">
        <x:f>IF(B728="","",'01_INPUT_COMPANIES'!$B$79)</x:f>
      </x:c>
      <x:c r="D728" s="34" t="str">
        <x:v>infra_dependency_ratio</x:v>
      </x:c>
      <x:c r="E728" s="42" t="str">
        <x:f>IF(OR(B728="",COUNT('01_INPUT_COMPANIES'!$U$79)=0),"",'01_INPUT_COMPANIES'!$U$79)</x:f>
      </x:c>
      <x:c r="F728" s="42" t="n">
        <x:v>1</x:v>
      </x:c>
      <x:c r="G728" s="42" t="str">
        <x:f>IF(NOT(ISNUMBER(E728)),"",MAX(K728,MIN(L728,E728*F728)))</x:f>
      </x:c>
      <x:c r="H728" s="42" t="n">
        <x:v>64</x:v>
      </x:c>
      <x:c r="I728" s="42" t="str">
        <x:f>IF(COUNT(G728)=0,"",(COUNTIFS('93_REF_ANCHORS'!$A$7:$A$766,D728,'93_REF_ANCHORS'!$C$7:$C$766,"&lt;"&amp;G728)+COUNTIFS('93_REF_ANCHORS'!$A$7:$A$766,D728,'93_REF_ANCHORS'!$C$7:$C$766,"&lt;="&amp;G728)-1)/(2*(H728-1)))</x:f>
      </x:c>
      <x:c r="J728" s="34" t="str">
        <x:f>IF(B728="","",IF(COUNT(E728)=0,"MISSING",IF(NOT(ISNUMBER(E728)),"INVALID",IF(E728*F728&lt;K728,"WINSORIZED LOW",IF(E728*F728&gt;L728,"WINSORIZED HIGH","OK")))))</x:f>
      </x:c>
      <x:c r="K728" s="34" t="n">
        <x:v>-0.10705024705171803</x:v>
      </x:c>
      <x:c r="L728" s="34" t="n">
        <x:v>0.8008753865408955</x:v>
      </x:c>
      <x:c r="M728" s="34" t="n">
        <x:v>0.1111111111111111</x:v>
      </x:c>
      <x:c r="N728" s="34" t="str">
        <x:v>no</x:v>
      </x:c>
    </x:row>
    <x:row r="729">
      <x:c r="A729" s="34" t="n">
        <x:v>73</x:v>
      </x:c>
      <x:c r="B729" s="34" t="str">
        <x:f>IF('01_INPUT_COMPANIES'!$A$79="","",'01_INPUT_COMPANIES'!$A$79)</x:f>
      </x:c>
      <x:c r="C729" s="34" t="str">
        <x:f>IF(B729="","",'01_INPUT_COMPANIES'!$B$79)</x:f>
      </x:c>
      <x:c r="D729" s="34" t="str">
        <x:v>network_cost_ratio</x:v>
      </x:c>
      <x:c r="E729" s="42" t="str">
        <x:f>IF(OR(B729="",COUNT('01_INPUT_COMPANIES'!$V$79)=0),"",'01_INPUT_COMPANIES'!$V$79)</x:f>
      </x:c>
      <x:c r="F729" s="42" t="n">
        <x:v>1</x:v>
      </x:c>
      <x:c r="G729" s="42" t="str">
        <x:f>IF(NOT(ISNUMBER(E729)),"",MAX(K729,MIN(L729,E729*F729)))</x:f>
      </x:c>
      <x:c r="H729" s="42" t="n">
        <x:v>97</x:v>
      </x:c>
      <x:c r="I729" s="42" t="str">
        <x:f>IF(COUNT(G729)=0,"",(COUNTIFS('93_REF_ANCHORS'!$A$7:$A$766,D729,'93_REF_ANCHORS'!$C$7:$C$766,"&lt;"&amp;G729)+COUNTIFS('93_REF_ANCHORS'!$A$7:$A$766,D729,'93_REF_ANCHORS'!$C$7:$C$766,"&lt;="&amp;G729)-1)/(2*(H729-1)))</x:f>
      </x:c>
      <x:c r="J729" s="34" t="str">
        <x:f>IF(B729="","",IF(COUNT(E729)=0,"MISSING",IF(NOT(ISNUMBER(E729)),"INVALID",IF(E729*F729&lt;K729,"WINSORIZED LOW",IF(E729*F729&gt;L729,"WINSORIZED HIGH","OK")))))</x:f>
      </x:c>
      <x:c r="K729" s="34" t="n">
        <x:v>-0.1395374353</x:v>
      </x:c>
      <x:c r="L729" s="34" t="n">
        <x:v>0.9274274845000001</x:v>
      </x:c>
      <x:c r="M729" s="34" t="n">
        <x:v>0.1111111111111111</x:v>
      </x:c>
      <x:c r="N729" s="34" t="str">
        <x:v>no</x:v>
      </x:c>
    </x:row>
    <x:row r="730">
      <x:c r="A730" s="34" t="n">
        <x:v>73</x:v>
      </x:c>
      <x:c r="B730" s="34" t="str">
        <x:f>IF('01_INPUT_COMPANIES'!$A$79="","",'01_INPUT_COMPANIES'!$A$79)</x:f>
      </x:c>
      <x:c r="C730" s="34" t="str">
        <x:f>IF(B730="","",'01_INPUT_COMPANIES'!$B$79)</x:f>
      </x:c>
      <x:c r="D730" s="34" t="str">
        <x:v>cashflow_recovery_ratio</x:v>
      </x:c>
      <x:c r="E730" s="42" t="str">
        <x:f>IF(OR(B730="",COUNT('01_INPUT_COMPANIES'!$W$79)=0),"",'01_INPUT_COMPANIES'!$W$79)</x:f>
      </x:c>
      <x:c r="F730" s="42" t="n">
        <x:v>-1</x:v>
      </x:c>
      <x:c r="G730" s="42" t="str">
        <x:f>IF(NOT(ISNUMBER(E730)),"",MAX(K730,MIN(L730,E730*F730)))</x:f>
      </x:c>
      <x:c r="H730" s="42" t="n">
        <x:v>95</x:v>
      </x:c>
      <x:c r="I730" s="42" t="str">
        <x:f>IF(COUNT(G730)=0,"",(COUNTIFS('93_REF_ANCHORS'!$A$7:$A$766,D730,'93_REF_ANCHORS'!$C$7:$C$766,"&lt;"&amp;G730)+COUNTIFS('93_REF_ANCHORS'!$A$7:$A$766,D730,'93_REF_ANCHORS'!$C$7:$C$766,"&lt;="&amp;G730)-1)/(2*(H730-1)))</x:f>
      </x:c>
      <x:c r="J730" s="34" t="str">
        <x:f>IF(B730="","",IF(COUNT(E730)=0,"MISSING",IF(NOT(ISNUMBER(E730)),"INVALID",IF(E730*F730&lt;K730,"WINSORIZED LOW",IF(E730*F730&gt;L730,"WINSORIZED HIGH","OK")))))</x:f>
      </x:c>
      <x:c r="K730" s="34" t="n">
        <x:v>-300.75</x:v>
      </x:c>
      <x:c r="L730" s="34" t="n">
        <x:v>42.6920305469</x:v>
      </x:c>
      <x:c r="M730" s="34" t="n">
        <x:v>0.08333333333333333</x:v>
      </x:c>
      <x:c r="N730" s="34" t="str">
        <x:v>no</x:v>
      </x:c>
    </x:row>
    <x:row r="731">
      <x:c r="A731" s="34" t="n">
        <x:v>73</x:v>
      </x:c>
      <x:c r="B731" s="34" t="str">
        <x:f>IF('01_INPUT_COMPANIES'!$A$79="","",'01_INPUT_COMPANIES'!$A$79)</x:f>
      </x:c>
      <x:c r="C731" s="34" t="str">
        <x:f>IF(B731="","",'01_INPUT_COMPANIES'!$B$79)</x:f>
      </x:c>
      <x:c r="D731" s="34" t="str">
        <x:v>funding_cost_spread</x:v>
      </x:c>
      <x:c r="E731" s="42" t="str">
        <x:f>IF(OR(B731="",COUNT('01_INPUT_COMPANIES'!$X$79)=0),"",'01_INPUT_COMPANIES'!$X$79)</x:f>
      </x:c>
      <x:c r="F731" s="42" t="n">
        <x:v>1</x:v>
      </x:c>
      <x:c r="G731" s="42" t="str">
        <x:f>IF(NOT(ISNUMBER(E731)),"",MAX(K731,MIN(L731,E731*F731)))</x:f>
      </x:c>
      <x:c r="H731" s="42" t="n">
        <x:v>58</x:v>
      </x:c>
      <x:c r="I731" s="42" t="str">
        <x:f>IF(COUNT(G731)=0,"",(COUNTIFS('93_REF_ANCHORS'!$A$7:$A$766,D731,'93_REF_ANCHORS'!$C$7:$C$766,"&lt;"&amp;G731)+COUNTIFS('93_REF_ANCHORS'!$A$7:$A$766,D731,'93_REF_ANCHORS'!$C$7:$C$766,"&lt;="&amp;G731)-1)/(2*(H731-1)))</x:f>
      </x:c>
      <x:c r="J731" s="34" t="str">
        <x:f>IF(B731="","",IF(COUNT(E731)=0,"MISSING",IF(NOT(ISNUMBER(E731)),"INVALID",IF(E731*F731&lt;K731,"WINSORIZED LOW",IF(E731*F731&gt;L731,"WINSORIZED HIGH","OK")))))</x:f>
      </x:c>
      <x:c r="K731" s="34" t="n">
        <x:v>-0.4430292903</x:v>
      </x:c>
      <x:c r="L731" s="34" t="n">
        <x:v>0.5068913103</x:v>
      </x:c>
      <x:c r="M731" s="34" t="n">
        <x:v>0.08333333333333333</x:v>
      </x:c>
      <x:c r="N731" s="34" t="str">
        <x:v>no</x:v>
      </x:c>
    </x:row>
    <x:row r="732">
      <x:c r="A732" s="34" t="n">
        <x:v>73</x:v>
      </x:c>
      <x:c r="B732" s="34" t="str">
        <x:f>IF('01_INPUT_COMPANIES'!$A$79="","",'01_INPUT_COMPANIES'!$A$79)</x:f>
      </x:c>
      <x:c r="C732" s="34" t="str">
        <x:f>IF(B732="","",'01_INPUT_COMPANIES'!$B$79)</x:f>
      </x:c>
      <x:c r="D732" s="34" t="str">
        <x:v>investment_recovery_ratio</x:v>
      </x:c>
      <x:c r="E732" s="42" t="str">
        <x:f>IF(OR(B732="",COUNT('01_INPUT_COMPANIES'!$Y$79)=0),"",'01_INPUT_COMPANIES'!$Y$79)</x:f>
      </x:c>
      <x:c r="F732" s="42" t="n">
        <x:v>-1</x:v>
      </x:c>
      <x:c r="G732" s="42" t="str">
        <x:f>IF(NOT(ISNUMBER(E732)),"",MAX(K732,MIN(L732,E732*F732)))</x:f>
      </x:c>
      <x:c r="H732" s="42" t="n">
        <x:v>95</x:v>
      </x:c>
      <x:c r="I732" s="42" t="str">
        <x:f>IF(COUNT(G732)=0,"",(COUNTIFS('93_REF_ANCHORS'!$A$7:$A$766,D732,'93_REF_ANCHORS'!$C$7:$C$766,"&lt;"&amp;G732)+COUNTIFS('93_REF_ANCHORS'!$A$7:$A$766,D732,'93_REF_ANCHORS'!$C$7:$C$766,"&lt;="&amp;G732)-1)/(2*(H732-1)))</x:f>
      </x:c>
      <x:c r="J732" s="34" t="str">
        <x:f>IF(B732="","",IF(COUNT(E732)=0,"MISSING",IF(NOT(ISNUMBER(E732)),"INVALID",IF(E732*F732&lt;K732,"WINSORIZED LOW",IF(E732*F732&gt;L732,"WINSORIZED HIGH","OK")))))</x:f>
      </x:c>
      <x:c r="K732" s="34" t="n">
        <x:v>-3163.7500000000014</x:v>
      </x:c>
      <x:c r="L732" s="34" t="n">
        <x:v>189.68191301719997</x:v>
      </x:c>
      <x:c r="M732" s="34" t="n">
        <x:v>0.08333333333333333</x:v>
      </x:c>
      <x:c r="N732" s="34" t="str">
        <x:v>no</x:v>
      </x:c>
    </x:row>
    <x:row r="733">
      <x:c r="A733" s="34" t="n">
        <x:v>73</x:v>
      </x:c>
      <x:c r="B733" s="34" t="str">
        <x:f>IF('01_INPUT_COMPANIES'!$A$79="","",'01_INPUT_COMPANIES'!$A$79)</x:f>
      </x:c>
      <x:c r="C733" s="34" t="str">
        <x:f>IF(B733="","",'01_INPUT_COMPANIES'!$B$79)</x:f>
      </x:c>
      <x:c r="D733" s="34" t="str">
        <x:v>ip_assetization_gap</x:v>
      </x:c>
      <x:c r="E733" s="42" t="str">
        <x:f>IF(OR(B733="",COUNT('01_INPUT_COMPANIES'!$Z$79)=0),"",'01_INPUT_COMPANIES'!$Z$79)</x:f>
      </x:c>
      <x:c r="F733" s="42" t="n">
        <x:v>1</x:v>
      </x:c>
      <x:c r="G733" s="42" t="str">
        <x:f>IF(NOT(ISNUMBER(E733)),"",MAX(K733,MIN(L733,E733*F733)))</x:f>
      </x:c>
      <x:c r="H733" s="42" t="n">
        <x:v>92</x:v>
      </x:c>
      <x:c r="I733" s="42" t="str">
        <x:f>IF(COUNT(G733)=0,"",(COUNTIFS('93_REF_ANCHORS'!$A$7:$A$766,D733,'93_REF_ANCHORS'!$C$7:$C$766,"&lt;"&amp;G733)+COUNTIFS('93_REF_ANCHORS'!$A$7:$A$766,D733,'93_REF_ANCHORS'!$C$7:$C$766,"&lt;="&amp;G733)-1)/(2*(H733-1)))</x:f>
      </x:c>
      <x:c r="J733" s="34" t="str">
        <x:f>IF(B733="","",IF(COUNT(E733)=0,"MISSING",IF(NOT(ISNUMBER(E733)),"INVALID",IF(E733*F733&lt;K733,"WINSORIZED LOW",IF(E733*F733&gt;L733,"WINSORIZED HIGH","OK")))))</x:f>
      </x:c>
      <x:c r="K733" s="34" t="n">
        <x:v>-1.6707152386</x:v>
      </x:c>
      <x:c r="L733" s="34" t="n">
        <x:v>0.7716332556000001</x:v>
      </x:c>
      <x:c r="M733" s="34" t="n">
        <x:v>0.08333333333333333</x:v>
      </x:c>
      <x:c r="N733" s="34" t="str">
        <x:v>no</x:v>
      </x:c>
    </x:row>
    <x:row r="734">
      <x:c r="A734" s="34" t="n">
        <x:v>73</x:v>
      </x:c>
      <x:c r="B734" s="34" t="str">
        <x:f>IF('01_INPUT_COMPANIES'!$A$79="","",'01_INPUT_COMPANIES'!$A$79)</x:f>
      </x:c>
      <x:c r="C734" s="34" t="str">
        <x:f>IF(B734="","",'01_INPUT_COMPANIES'!$B$79)</x:f>
      </x:c>
      <x:c r="D734" s="34" t="str">
        <x:v>cross_market_transfer_index</x:v>
      </x:c>
      <x:c r="E734" s="42" t="str">
        <x:f>IF(OR(B734="",COUNT('01_INPUT_COMPANIES'!$AA$79)=0),"",'01_INPUT_COMPANIES'!$AA$79)</x:f>
      </x:c>
      <x:c r="F734" s="42" t="n">
        <x:v>1</x:v>
      </x:c>
      <x:c r="G734" s="42" t="str">
        <x:f>IF(NOT(ISNUMBER(E734)),"",MAX(K734,MIN(L734,E734*F734)))</x:f>
      </x:c>
      <x:c r="H734" s="42" t="n">
        <x:v>4</x:v>
      </x:c>
      <x:c r="I734" s="42" t="str">
        <x:f>IF(COUNT(G734)=0,"",(COUNTIFS('93_REF_ANCHORS'!$A$7:$A$766,D734,'93_REF_ANCHORS'!$C$7:$C$766,"&lt;"&amp;G734)+COUNTIFS('93_REF_ANCHORS'!$A$7:$A$766,D734,'93_REF_ANCHORS'!$C$7:$C$766,"&lt;="&amp;G734)-1)/(2*(H734-1)))</x:f>
      </x:c>
      <x:c r="J734" s="34" t="str">
        <x:f>IF(B734="","",IF(COUNT(E734)=0,"MISSING",IF(NOT(ISNUMBER(E734)),"INVALID",IF(E734*F734&lt;K734,"WINSORIZED LOW",IF(E734*F734&gt;L734,"WINSORIZED HIGH","OK")))))</x:f>
      </x:c>
      <x:c r="K734" s="34" t="n">
        <x:v>0</x:v>
      </x:c>
      <x:c r="L734" s="34" t="n">
        <x:v>0.7587051325360435</x:v>
      </x:c>
      <x:c r="M734" s="34" t="n">
        <x:v>0.1111111111111111</x:v>
      </x:c>
      <x:c r="N734" s="34" t="str">
        <x:v>yes</x:v>
      </x:c>
    </x:row>
    <x:row r="735">
      <x:c r="A735" s="34" t="n">
        <x:v>73</x:v>
      </x:c>
      <x:c r="B735" s="34" t="str">
        <x:f>IF('01_INPUT_COMPANIES'!$A$79="","",'01_INPUT_COMPANIES'!$A$79)</x:f>
      </x:c>
      <x:c r="C735" s="34" t="str">
        <x:f>IF(B735="","",'01_INPUT_COMPANIES'!$B$79)</x:f>
      </x:c>
      <x:c r="D735" s="34" t="str">
        <x:v>foreign_dependency_ratio</x:v>
      </x:c>
      <x:c r="E735" s="42" t="str">
        <x:f>IF(OR(B735="",COUNT('01_INPUT_COMPANIES'!$AB$79)=0),"",'01_INPUT_COMPANIES'!$AB$79)</x:f>
      </x:c>
      <x:c r="F735" s="42" t="n">
        <x:v>1</x:v>
      </x:c>
      <x:c r="G735" s="42" t="str">
        <x:f>IF(NOT(ISNUMBER(E735)),"",MAX(K735,MIN(L735,E735*F735)))</x:f>
      </x:c>
      <x:c r="H735" s="42" t="n">
        <x:v>84</x:v>
      </x:c>
      <x:c r="I735" s="42" t="str">
        <x:f>IF(COUNT(G735)=0,"",(COUNTIFS('93_REF_ANCHORS'!$A$7:$A$766,D735,'93_REF_ANCHORS'!$C$7:$C$766,"&lt;"&amp;G735)+COUNTIFS('93_REF_ANCHORS'!$A$7:$A$766,D735,'93_REF_ANCHORS'!$C$7:$C$766,"&lt;="&amp;G735)-1)/(2*(H735-1)))</x:f>
      </x:c>
      <x:c r="J735" s="34" t="str">
        <x:f>IF(B735="","",IF(COUNT(E735)=0,"MISSING",IF(NOT(ISNUMBER(E735)),"INVALID",IF(E735*F735&lt;K735,"WINSORIZED LOW",IF(E735*F735&gt;L735,"WINSORIZED HIGH","OK")))))</x:f>
      </x:c>
      <x:c r="K735" s="34" t="n">
        <x:v>0.728196</x:v>
      </x:c>
      <x:c r="L735" s="34" t="n">
        <x:v>0.94</x:v>
      </x:c>
      <x:c r="M735" s="34" t="n">
        <x:v>0.1111111111111111</x:v>
      </x:c>
      <x:c r="N735" s="34" t="str">
        <x:v>yes</x:v>
      </x:c>
    </x:row>
    <x:row r="736">
      <x:c r="A736" s="34" t="n">
        <x:v>73</x:v>
      </x:c>
      <x:c r="B736" s="34" t="str">
        <x:f>IF('01_INPUT_COMPANIES'!$A$79="","",'01_INPUT_COMPANIES'!$A$79)</x:f>
      </x:c>
      <x:c r="C736" s="34" t="str">
        <x:f>IF(B736="","",'01_INPUT_COMPANIES'!$B$79)</x:f>
      </x:c>
      <x:c r="D736" s="34" t="str">
        <x:v>outflow_to_capex_ratio</x:v>
      </x:c>
      <x:c r="E736" s="42" t="str">
        <x:f>IF(OR(B736="",COUNT('01_INPUT_COMPANIES'!$AC$79)=0),"",'01_INPUT_COMPANIES'!$AC$79)</x:f>
      </x:c>
      <x:c r="F736" s="42" t="n">
        <x:v>1</x:v>
      </x:c>
      <x:c r="G736" s="42" t="str">
        <x:f>IF(NOT(ISNUMBER(E736)),"",MAX(K736,MIN(L736,E736*F736)))</x:f>
      </x:c>
      <x:c r="H736" s="42" t="n">
        <x:v>97</x:v>
      </x:c>
      <x:c r="I736" s="42" t="str">
        <x:f>IF(COUNT(G736)=0,"",(COUNTIFS('93_REF_ANCHORS'!$A$7:$A$766,D736,'93_REF_ANCHORS'!$C$7:$C$766,"&lt;"&amp;G736)+COUNTIFS('93_REF_ANCHORS'!$A$7:$A$766,D736,'93_REF_ANCHORS'!$C$7:$C$766,"&lt;="&amp;G736)-1)/(2*(H736-1)))</x:f>
      </x:c>
      <x:c r="J736" s="34" t="str">
        <x:f>IF(B736="","",IF(COUNT(E736)=0,"MISSING",IF(NOT(ISNUMBER(E736)),"INVALID",IF(E736*F736&lt;K736,"WINSORIZED LOW",IF(E736*F736&gt;L736,"WINSORIZED HIGH","OK")))))</x:f>
      </x:c>
      <x:c r="K736" s="34" t="n">
        <x:v>-123.5385890408</x:v>
      </x:c>
      <x:c r="L736" s="34" t="n">
        <x:v>974.1666666666999</x:v>
      </x:c>
      <x:c r="M736" s="34" t="n">
        <x:v>0.1111111111111111</x:v>
      </x:c>
      <x:c r="N736" s="34" t="str">
        <x:v>no</x:v>
      </x:c>
    </x:row>
    <x:row r="737">
      <x:c r="A737" s="34" t="n">
        <x:v>74</x:v>
      </x:c>
      <x:c r="B737" s="34" t="str">
        <x:f>IF('01_INPUT_COMPANIES'!$A$80="","",'01_INPUT_COMPANIES'!$A$80)</x:f>
      </x:c>
      <x:c r="C737" s="34" t="str">
        <x:f>IF(B737="","",'01_INPUT_COMPANIES'!$B$80)</x:f>
      </x:c>
      <x:c r="D737" s="34" t="str">
        <x:v>effective_tax_rate_gap</x:v>
      </x:c>
      <x:c r="E737" s="42" t="str">
        <x:f>IF(OR(B737="",COUNT('01_INPUT_COMPANIES'!$T$80)=0),"",'01_INPUT_COMPANIES'!$T$80)</x:f>
      </x:c>
      <x:c r="F737" s="42" t="n">
        <x:v>1</x:v>
      </x:c>
      <x:c r="G737" s="42" t="str">
        <x:f>IF(NOT(ISNUMBER(E737)),"",MAX(K737,MIN(L737,E737*F737)))</x:f>
      </x:c>
      <x:c r="H737" s="42" t="n">
        <x:v>74</x:v>
      </x:c>
      <x:c r="I737" s="42" t="str">
        <x:f>IF(COUNT(G737)=0,"",(COUNTIFS('93_REF_ANCHORS'!$A$7:$A$766,D737,'93_REF_ANCHORS'!$C$7:$C$766,"&lt;"&amp;G737)+COUNTIFS('93_REF_ANCHORS'!$A$7:$A$766,D737,'93_REF_ANCHORS'!$C$7:$C$766,"&lt;="&amp;G737)-1)/(2*(H737-1)))</x:f>
      </x:c>
      <x:c r="J737" s="34" t="str">
        <x:f>IF(B737="","",IF(COUNT(E737)=0,"MISSING",IF(NOT(ISNUMBER(E737)),"INVALID",IF(E737*F737&lt;K737,"WINSORIZED LOW",IF(E737*F737&gt;L737,"WINSORIZED HIGH","OK")))))</x:f>
      </x:c>
      <x:c r="K737" s="34" t="n">
        <x:v>-0.1416111014</x:v>
      </x:c>
      <x:c r="L737" s="34" t="n">
        <x:v>0.2683650488</x:v>
      </x:c>
      <x:c r="M737" s="34" t="n">
        <x:v>0.1111111111111111</x:v>
      </x:c>
      <x:c r="N737" s="34" t="str">
        <x:v>no</x:v>
      </x:c>
    </x:row>
    <x:row r="738">
      <x:c r="A738" s="34" t="n">
        <x:v>74</x:v>
      </x:c>
      <x:c r="B738" s="34" t="str">
        <x:f>IF('01_INPUT_COMPANIES'!$A$80="","",'01_INPUT_COMPANIES'!$A$80)</x:f>
      </x:c>
      <x:c r="C738" s="34" t="str">
        <x:f>IF(B738="","",'01_INPUT_COMPANIES'!$B$80)</x:f>
      </x:c>
      <x:c r="D738" s="34" t="str">
        <x:v>infra_dependency_ratio</x:v>
      </x:c>
      <x:c r="E738" s="42" t="str">
        <x:f>IF(OR(B738="",COUNT('01_INPUT_COMPANIES'!$U$80)=0),"",'01_INPUT_COMPANIES'!$U$80)</x:f>
      </x:c>
      <x:c r="F738" s="42" t="n">
        <x:v>1</x:v>
      </x:c>
      <x:c r="G738" s="42" t="str">
        <x:f>IF(NOT(ISNUMBER(E738)),"",MAX(K738,MIN(L738,E738*F738)))</x:f>
      </x:c>
      <x:c r="H738" s="42" t="n">
        <x:v>64</x:v>
      </x:c>
      <x:c r="I738" s="42" t="str">
        <x:f>IF(COUNT(G738)=0,"",(COUNTIFS('93_REF_ANCHORS'!$A$7:$A$766,D738,'93_REF_ANCHORS'!$C$7:$C$766,"&lt;"&amp;G738)+COUNTIFS('93_REF_ANCHORS'!$A$7:$A$766,D738,'93_REF_ANCHORS'!$C$7:$C$766,"&lt;="&amp;G738)-1)/(2*(H738-1)))</x:f>
      </x:c>
      <x:c r="J738" s="34" t="str">
        <x:f>IF(B738="","",IF(COUNT(E738)=0,"MISSING",IF(NOT(ISNUMBER(E738)),"INVALID",IF(E738*F738&lt;K738,"WINSORIZED LOW",IF(E738*F738&gt;L738,"WINSORIZED HIGH","OK")))))</x:f>
      </x:c>
      <x:c r="K738" s="34" t="n">
        <x:v>-0.10705024705171803</x:v>
      </x:c>
      <x:c r="L738" s="34" t="n">
        <x:v>0.8008753865408955</x:v>
      </x:c>
      <x:c r="M738" s="34" t="n">
        <x:v>0.1111111111111111</x:v>
      </x:c>
      <x:c r="N738" s="34" t="str">
        <x:v>no</x:v>
      </x:c>
    </x:row>
    <x:row r="739">
      <x:c r="A739" s="34" t="n">
        <x:v>74</x:v>
      </x:c>
      <x:c r="B739" s="34" t="str">
        <x:f>IF('01_INPUT_COMPANIES'!$A$80="","",'01_INPUT_COMPANIES'!$A$80)</x:f>
      </x:c>
      <x:c r="C739" s="34" t="str">
        <x:f>IF(B739="","",'01_INPUT_COMPANIES'!$B$80)</x:f>
      </x:c>
      <x:c r="D739" s="34" t="str">
        <x:v>network_cost_ratio</x:v>
      </x:c>
      <x:c r="E739" s="42" t="str">
        <x:f>IF(OR(B739="",COUNT('01_INPUT_COMPANIES'!$V$80)=0),"",'01_INPUT_COMPANIES'!$V$80)</x:f>
      </x:c>
      <x:c r="F739" s="42" t="n">
        <x:v>1</x:v>
      </x:c>
      <x:c r="G739" s="42" t="str">
        <x:f>IF(NOT(ISNUMBER(E739)),"",MAX(K739,MIN(L739,E739*F739)))</x:f>
      </x:c>
      <x:c r="H739" s="42" t="n">
        <x:v>97</x:v>
      </x:c>
      <x:c r="I739" s="42" t="str">
        <x:f>IF(COUNT(G739)=0,"",(COUNTIFS('93_REF_ANCHORS'!$A$7:$A$766,D739,'93_REF_ANCHORS'!$C$7:$C$766,"&lt;"&amp;G739)+COUNTIFS('93_REF_ANCHORS'!$A$7:$A$766,D739,'93_REF_ANCHORS'!$C$7:$C$766,"&lt;="&amp;G739)-1)/(2*(H739-1)))</x:f>
      </x:c>
      <x:c r="J739" s="34" t="str">
        <x:f>IF(B739="","",IF(COUNT(E739)=0,"MISSING",IF(NOT(ISNUMBER(E739)),"INVALID",IF(E739*F739&lt;K739,"WINSORIZED LOW",IF(E739*F739&gt;L739,"WINSORIZED HIGH","OK")))))</x:f>
      </x:c>
      <x:c r="K739" s="34" t="n">
        <x:v>-0.1395374353</x:v>
      </x:c>
      <x:c r="L739" s="34" t="n">
        <x:v>0.9274274845000001</x:v>
      </x:c>
      <x:c r="M739" s="34" t="n">
        <x:v>0.1111111111111111</x:v>
      </x:c>
      <x:c r="N739" s="34" t="str">
        <x:v>no</x:v>
      </x:c>
    </x:row>
    <x:row r="740">
      <x:c r="A740" s="34" t="n">
        <x:v>74</x:v>
      </x:c>
      <x:c r="B740" s="34" t="str">
        <x:f>IF('01_INPUT_COMPANIES'!$A$80="","",'01_INPUT_COMPANIES'!$A$80)</x:f>
      </x:c>
      <x:c r="C740" s="34" t="str">
        <x:f>IF(B740="","",'01_INPUT_COMPANIES'!$B$80)</x:f>
      </x:c>
      <x:c r="D740" s="34" t="str">
        <x:v>cashflow_recovery_ratio</x:v>
      </x:c>
      <x:c r="E740" s="42" t="str">
        <x:f>IF(OR(B740="",COUNT('01_INPUT_COMPANIES'!$W$80)=0),"",'01_INPUT_COMPANIES'!$W$80)</x:f>
      </x:c>
      <x:c r="F740" s="42" t="n">
        <x:v>-1</x:v>
      </x:c>
      <x:c r="G740" s="42" t="str">
        <x:f>IF(NOT(ISNUMBER(E740)),"",MAX(K740,MIN(L740,E740*F740)))</x:f>
      </x:c>
      <x:c r="H740" s="42" t="n">
        <x:v>95</x:v>
      </x:c>
      <x:c r="I740" s="42" t="str">
        <x:f>IF(COUNT(G740)=0,"",(COUNTIFS('93_REF_ANCHORS'!$A$7:$A$766,D740,'93_REF_ANCHORS'!$C$7:$C$766,"&lt;"&amp;G740)+COUNTIFS('93_REF_ANCHORS'!$A$7:$A$766,D740,'93_REF_ANCHORS'!$C$7:$C$766,"&lt;="&amp;G740)-1)/(2*(H740-1)))</x:f>
      </x:c>
      <x:c r="J740" s="34" t="str">
        <x:f>IF(B740="","",IF(COUNT(E740)=0,"MISSING",IF(NOT(ISNUMBER(E740)),"INVALID",IF(E740*F740&lt;K740,"WINSORIZED LOW",IF(E740*F740&gt;L740,"WINSORIZED HIGH","OK")))))</x:f>
      </x:c>
      <x:c r="K740" s="34" t="n">
        <x:v>-300.75</x:v>
      </x:c>
      <x:c r="L740" s="34" t="n">
        <x:v>42.6920305469</x:v>
      </x:c>
      <x:c r="M740" s="34" t="n">
        <x:v>0.08333333333333333</x:v>
      </x:c>
      <x:c r="N740" s="34" t="str">
        <x:v>no</x:v>
      </x:c>
    </x:row>
    <x:row r="741">
      <x:c r="A741" s="34" t="n">
        <x:v>74</x:v>
      </x:c>
      <x:c r="B741" s="34" t="str">
        <x:f>IF('01_INPUT_COMPANIES'!$A$80="","",'01_INPUT_COMPANIES'!$A$80)</x:f>
      </x:c>
      <x:c r="C741" s="34" t="str">
        <x:f>IF(B741="","",'01_INPUT_COMPANIES'!$B$80)</x:f>
      </x:c>
      <x:c r="D741" s="34" t="str">
        <x:v>funding_cost_spread</x:v>
      </x:c>
      <x:c r="E741" s="42" t="str">
        <x:f>IF(OR(B741="",COUNT('01_INPUT_COMPANIES'!$X$80)=0),"",'01_INPUT_COMPANIES'!$X$80)</x:f>
      </x:c>
      <x:c r="F741" s="42" t="n">
        <x:v>1</x:v>
      </x:c>
      <x:c r="G741" s="42" t="str">
        <x:f>IF(NOT(ISNUMBER(E741)),"",MAX(K741,MIN(L741,E741*F741)))</x:f>
      </x:c>
      <x:c r="H741" s="42" t="n">
        <x:v>58</x:v>
      </x:c>
      <x:c r="I741" s="42" t="str">
        <x:f>IF(COUNT(G741)=0,"",(COUNTIFS('93_REF_ANCHORS'!$A$7:$A$766,D741,'93_REF_ANCHORS'!$C$7:$C$766,"&lt;"&amp;G741)+COUNTIFS('93_REF_ANCHORS'!$A$7:$A$766,D741,'93_REF_ANCHORS'!$C$7:$C$766,"&lt;="&amp;G741)-1)/(2*(H741-1)))</x:f>
      </x:c>
      <x:c r="J741" s="34" t="str">
        <x:f>IF(B741="","",IF(COUNT(E741)=0,"MISSING",IF(NOT(ISNUMBER(E741)),"INVALID",IF(E741*F741&lt;K741,"WINSORIZED LOW",IF(E741*F741&gt;L741,"WINSORIZED HIGH","OK")))))</x:f>
      </x:c>
      <x:c r="K741" s="34" t="n">
        <x:v>-0.4430292903</x:v>
      </x:c>
      <x:c r="L741" s="34" t="n">
        <x:v>0.5068913103</x:v>
      </x:c>
      <x:c r="M741" s="34" t="n">
        <x:v>0.08333333333333333</x:v>
      </x:c>
      <x:c r="N741" s="34" t="str">
        <x:v>no</x:v>
      </x:c>
    </x:row>
    <x:row r="742">
      <x:c r="A742" s="34" t="n">
        <x:v>74</x:v>
      </x:c>
      <x:c r="B742" s="34" t="str">
        <x:f>IF('01_INPUT_COMPANIES'!$A$80="","",'01_INPUT_COMPANIES'!$A$80)</x:f>
      </x:c>
      <x:c r="C742" s="34" t="str">
        <x:f>IF(B742="","",'01_INPUT_COMPANIES'!$B$80)</x:f>
      </x:c>
      <x:c r="D742" s="34" t="str">
        <x:v>investment_recovery_ratio</x:v>
      </x:c>
      <x:c r="E742" s="42" t="str">
        <x:f>IF(OR(B742="",COUNT('01_INPUT_COMPANIES'!$Y$80)=0),"",'01_INPUT_COMPANIES'!$Y$80)</x:f>
      </x:c>
      <x:c r="F742" s="42" t="n">
        <x:v>-1</x:v>
      </x:c>
      <x:c r="G742" s="42" t="str">
        <x:f>IF(NOT(ISNUMBER(E742)),"",MAX(K742,MIN(L742,E742*F742)))</x:f>
      </x:c>
      <x:c r="H742" s="42" t="n">
        <x:v>95</x:v>
      </x:c>
      <x:c r="I742" s="42" t="str">
        <x:f>IF(COUNT(G742)=0,"",(COUNTIFS('93_REF_ANCHORS'!$A$7:$A$766,D742,'93_REF_ANCHORS'!$C$7:$C$766,"&lt;"&amp;G742)+COUNTIFS('93_REF_ANCHORS'!$A$7:$A$766,D742,'93_REF_ANCHORS'!$C$7:$C$766,"&lt;="&amp;G742)-1)/(2*(H742-1)))</x:f>
      </x:c>
      <x:c r="J742" s="34" t="str">
        <x:f>IF(B742="","",IF(COUNT(E742)=0,"MISSING",IF(NOT(ISNUMBER(E742)),"INVALID",IF(E742*F742&lt;K742,"WINSORIZED LOW",IF(E742*F742&gt;L742,"WINSORIZED HIGH","OK")))))</x:f>
      </x:c>
      <x:c r="K742" s="34" t="n">
        <x:v>-3163.7500000000014</x:v>
      </x:c>
      <x:c r="L742" s="34" t="n">
        <x:v>189.68191301719997</x:v>
      </x:c>
      <x:c r="M742" s="34" t="n">
        <x:v>0.08333333333333333</x:v>
      </x:c>
      <x:c r="N742" s="34" t="str">
        <x:v>no</x:v>
      </x:c>
    </x:row>
    <x:row r="743">
      <x:c r="A743" s="34" t="n">
        <x:v>74</x:v>
      </x:c>
      <x:c r="B743" s="34" t="str">
        <x:f>IF('01_INPUT_COMPANIES'!$A$80="","",'01_INPUT_COMPANIES'!$A$80)</x:f>
      </x:c>
      <x:c r="C743" s="34" t="str">
        <x:f>IF(B743="","",'01_INPUT_COMPANIES'!$B$80)</x:f>
      </x:c>
      <x:c r="D743" s="34" t="str">
        <x:v>ip_assetization_gap</x:v>
      </x:c>
      <x:c r="E743" s="42" t="str">
        <x:f>IF(OR(B743="",COUNT('01_INPUT_COMPANIES'!$Z$80)=0),"",'01_INPUT_COMPANIES'!$Z$80)</x:f>
      </x:c>
      <x:c r="F743" s="42" t="n">
        <x:v>1</x:v>
      </x:c>
      <x:c r="G743" s="42" t="str">
        <x:f>IF(NOT(ISNUMBER(E743)),"",MAX(K743,MIN(L743,E743*F743)))</x:f>
      </x:c>
      <x:c r="H743" s="42" t="n">
        <x:v>92</x:v>
      </x:c>
      <x:c r="I743" s="42" t="str">
        <x:f>IF(COUNT(G743)=0,"",(COUNTIFS('93_REF_ANCHORS'!$A$7:$A$766,D743,'93_REF_ANCHORS'!$C$7:$C$766,"&lt;"&amp;G743)+COUNTIFS('93_REF_ANCHORS'!$A$7:$A$766,D743,'93_REF_ANCHORS'!$C$7:$C$766,"&lt;="&amp;G743)-1)/(2*(H743-1)))</x:f>
      </x:c>
      <x:c r="J743" s="34" t="str">
        <x:f>IF(B743="","",IF(COUNT(E743)=0,"MISSING",IF(NOT(ISNUMBER(E743)),"INVALID",IF(E743*F743&lt;K743,"WINSORIZED LOW",IF(E743*F743&gt;L743,"WINSORIZED HIGH","OK")))))</x:f>
      </x:c>
      <x:c r="K743" s="34" t="n">
        <x:v>-1.6707152386</x:v>
      </x:c>
      <x:c r="L743" s="34" t="n">
        <x:v>0.7716332556000001</x:v>
      </x:c>
      <x:c r="M743" s="34" t="n">
        <x:v>0.08333333333333333</x:v>
      </x:c>
      <x:c r="N743" s="34" t="str">
        <x:v>no</x:v>
      </x:c>
    </x:row>
    <x:row r="744">
      <x:c r="A744" s="34" t="n">
        <x:v>74</x:v>
      </x:c>
      <x:c r="B744" s="34" t="str">
        <x:f>IF('01_INPUT_COMPANIES'!$A$80="","",'01_INPUT_COMPANIES'!$A$80)</x:f>
      </x:c>
      <x:c r="C744" s="34" t="str">
        <x:f>IF(B744="","",'01_INPUT_COMPANIES'!$B$80)</x:f>
      </x:c>
      <x:c r="D744" s="34" t="str">
        <x:v>cross_market_transfer_index</x:v>
      </x:c>
      <x:c r="E744" s="42" t="str">
        <x:f>IF(OR(B744="",COUNT('01_INPUT_COMPANIES'!$AA$80)=0),"",'01_INPUT_COMPANIES'!$AA$80)</x:f>
      </x:c>
      <x:c r="F744" s="42" t="n">
        <x:v>1</x:v>
      </x:c>
      <x:c r="G744" s="42" t="str">
        <x:f>IF(NOT(ISNUMBER(E744)),"",MAX(K744,MIN(L744,E744*F744)))</x:f>
      </x:c>
      <x:c r="H744" s="42" t="n">
        <x:v>4</x:v>
      </x:c>
      <x:c r="I744" s="42" t="str">
        <x:f>IF(COUNT(G744)=0,"",(COUNTIFS('93_REF_ANCHORS'!$A$7:$A$766,D744,'93_REF_ANCHORS'!$C$7:$C$766,"&lt;"&amp;G744)+COUNTIFS('93_REF_ANCHORS'!$A$7:$A$766,D744,'93_REF_ANCHORS'!$C$7:$C$766,"&lt;="&amp;G744)-1)/(2*(H744-1)))</x:f>
      </x:c>
      <x:c r="J744" s="34" t="str">
        <x:f>IF(B744="","",IF(COUNT(E744)=0,"MISSING",IF(NOT(ISNUMBER(E744)),"INVALID",IF(E744*F744&lt;K744,"WINSORIZED LOW",IF(E744*F744&gt;L744,"WINSORIZED HIGH","OK")))))</x:f>
      </x:c>
      <x:c r="K744" s="34" t="n">
        <x:v>0</x:v>
      </x:c>
      <x:c r="L744" s="34" t="n">
        <x:v>0.7587051325360435</x:v>
      </x:c>
      <x:c r="M744" s="34" t="n">
        <x:v>0.1111111111111111</x:v>
      </x:c>
      <x:c r="N744" s="34" t="str">
        <x:v>yes</x:v>
      </x:c>
    </x:row>
    <x:row r="745">
      <x:c r="A745" s="34" t="n">
        <x:v>74</x:v>
      </x:c>
      <x:c r="B745" s="34" t="str">
        <x:f>IF('01_INPUT_COMPANIES'!$A$80="","",'01_INPUT_COMPANIES'!$A$80)</x:f>
      </x:c>
      <x:c r="C745" s="34" t="str">
        <x:f>IF(B745="","",'01_INPUT_COMPANIES'!$B$80)</x:f>
      </x:c>
      <x:c r="D745" s="34" t="str">
        <x:v>foreign_dependency_ratio</x:v>
      </x:c>
      <x:c r="E745" s="42" t="str">
        <x:f>IF(OR(B745="",COUNT('01_INPUT_COMPANIES'!$AB$80)=0),"",'01_INPUT_COMPANIES'!$AB$80)</x:f>
      </x:c>
      <x:c r="F745" s="42" t="n">
        <x:v>1</x:v>
      </x:c>
      <x:c r="G745" s="42" t="str">
        <x:f>IF(NOT(ISNUMBER(E745)),"",MAX(K745,MIN(L745,E745*F745)))</x:f>
      </x:c>
      <x:c r="H745" s="42" t="n">
        <x:v>84</x:v>
      </x:c>
      <x:c r="I745" s="42" t="str">
        <x:f>IF(COUNT(G745)=0,"",(COUNTIFS('93_REF_ANCHORS'!$A$7:$A$766,D745,'93_REF_ANCHORS'!$C$7:$C$766,"&lt;"&amp;G745)+COUNTIFS('93_REF_ANCHORS'!$A$7:$A$766,D745,'93_REF_ANCHORS'!$C$7:$C$766,"&lt;="&amp;G745)-1)/(2*(H745-1)))</x:f>
      </x:c>
      <x:c r="J745" s="34" t="str">
        <x:f>IF(B745="","",IF(COUNT(E745)=0,"MISSING",IF(NOT(ISNUMBER(E745)),"INVALID",IF(E745*F745&lt;K745,"WINSORIZED LOW",IF(E745*F745&gt;L745,"WINSORIZED HIGH","OK")))))</x:f>
      </x:c>
      <x:c r="K745" s="34" t="n">
        <x:v>0.728196</x:v>
      </x:c>
      <x:c r="L745" s="34" t="n">
        <x:v>0.94</x:v>
      </x:c>
      <x:c r="M745" s="34" t="n">
        <x:v>0.1111111111111111</x:v>
      </x:c>
      <x:c r="N745" s="34" t="str">
        <x:v>yes</x:v>
      </x:c>
    </x:row>
    <x:row r="746">
      <x:c r="A746" s="34" t="n">
        <x:v>74</x:v>
      </x:c>
      <x:c r="B746" s="34" t="str">
        <x:f>IF('01_INPUT_COMPANIES'!$A$80="","",'01_INPUT_COMPANIES'!$A$80)</x:f>
      </x:c>
      <x:c r="C746" s="34" t="str">
        <x:f>IF(B746="","",'01_INPUT_COMPANIES'!$B$80)</x:f>
      </x:c>
      <x:c r="D746" s="34" t="str">
        <x:v>outflow_to_capex_ratio</x:v>
      </x:c>
      <x:c r="E746" s="42" t="str">
        <x:f>IF(OR(B746="",COUNT('01_INPUT_COMPANIES'!$AC$80)=0),"",'01_INPUT_COMPANIES'!$AC$80)</x:f>
      </x:c>
      <x:c r="F746" s="42" t="n">
        <x:v>1</x:v>
      </x:c>
      <x:c r="G746" s="42" t="str">
        <x:f>IF(NOT(ISNUMBER(E746)),"",MAX(K746,MIN(L746,E746*F746)))</x:f>
      </x:c>
      <x:c r="H746" s="42" t="n">
        <x:v>97</x:v>
      </x:c>
      <x:c r="I746" s="42" t="str">
        <x:f>IF(COUNT(G746)=0,"",(COUNTIFS('93_REF_ANCHORS'!$A$7:$A$766,D746,'93_REF_ANCHORS'!$C$7:$C$766,"&lt;"&amp;G746)+COUNTIFS('93_REF_ANCHORS'!$A$7:$A$766,D746,'93_REF_ANCHORS'!$C$7:$C$766,"&lt;="&amp;G746)-1)/(2*(H746-1)))</x:f>
      </x:c>
      <x:c r="J746" s="34" t="str">
        <x:f>IF(B746="","",IF(COUNT(E746)=0,"MISSING",IF(NOT(ISNUMBER(E746)),"INVALID",IF(E746*F746&lt;K746,"WINSORIZED LOW",IF(E746*F746&gt;L746,"WINSORIZED HIGH","OK")))))</x:f>
      </x:c>
      <x:c r="K746" s="34" t="n">
        <x:v>-123.5385890408</x:v>
      </x:c>
      <x:c r="L746" s="34" t="n">
        <x:v>974.1666666666999</x:v>
      </x:c>
      <x:c r="M746" s="34" t="n">
        <x:v>0.1111111111111111</x:v>
      </x:c>
      <x:c r="N746" s="34" t="str">
        <x:v>no</x:v>
      </x:c>
    </x:row>
    <x:row r="747">
      <x:c r="A747" s="34" t="n">
        <x:v>75</x:v>
      </x:c>
      <x:c r="B747" s="34" t="str">
        <x:f>IF('01_INPUT_COMPANIES'!$A$81="","",'01_INPUT_COMPANIES'!$A$81)</x:f>
      </x:c>
      <x:c r="C747" s="34" t="str">
        <x:f>IF(B747="","",'01_INPUT_COMPANIES'!$B$81)</x:f>
      </x:c>
      <x:c r="D747" s="34" t="str">
        <x:v>effective_tax_rate_gap</x:v>
      </x:c>
      <x:c r="E747" s="42" t="str">
        <x:f>IF(OR(B747="",COUNT('01_INPUT_COMPANIES'!$T$81)=0),"",'01_INPUT_COMPANIES'!$T$81)</x:f>
      </x:c>
      <x:c r="F747" s="42" t="n">
        <x:v>1</x:v>
      </x:c>
      <x:c r="G747" s="42" t="str">
        <x:f>IF(NOT(ISNUMBER(E747)),"",MAX(K747,MIN(L747,E747*F747)))</x:f>
      </x:c>
      <x:c r="H747" s="42" t="n">
        <x:v>74</x:v>
      </x:c>
      <x:c r="I747" s="42" t="str">
        <x:f>IF(COUNT(G747)=0,"",(COUNTIFS('93_REF_ANCHORS'!$A$7:$A$766,D747,'93_REF_ANCHORS'!$C$7:$C$766,"&lt;"&amp;G747)+COUNTIFS('93_REF_ANCHORS'!$A$7:$A$766,D747,'93_REF_ANCHORS'!$C$7:$C$766,"&lt;="&amp;G747)-1)/(2*(H747-1)))</x:f>
      </x:c>
      <x:c r="J747" s="34" t="str">
        <x:f>IF(B747="","",IF(COUNT(E747)=0,"MISSING",IF(NOT(ISNUMBER(E747)),"INVALID",IF(E747*F747&lt;K747,"WINSORIZED LOW",IF(E747*F747&gt;L747,"WINSORIZED HIGH","OK")))))</x:f>
      </x:c>
      <x:c r="K747" s="34" t="n">
        <x:v>-0.1416111014</x:v>
      </x:c>
      <x:c r="L747" s="34" t="n">
        <x:v>0.2683650488</x:v>
      </x:c>
      <x:c r="M747" s="34" t="n">
        <x:v>0.1111111111111111</x:v>
      </x:c>
      <x:c r="N747" s="34" t="str">
        <x:v>no</x:v>
      </x:c>
    </x:row>
    <x:row r="748">
      <x:c r="A748" s="34" t="n">
        <x:v>75</x:v>
      </x:c>
      <x:c r="B748" s="34" t="str">
        <x:f>IF('01_INPUT_COMPANIES'!$A$81="","",'01_INPUT_COMPANIES'!$A$81)</x:f>
      </x:c>
      <x:c r="C748" s="34" t="str">
        <x:f>IF(B748="","",'01_INPUT_COMPANIES'!$B$81)</x:f>
      </x:c>
      <x:c r="D748" s="34" t="str">
        <x:v>infra_dependency_ratio</x:v>
      </x:c>
      <x:c r="E748" s="42" t="str">
        <x:f>IF(OR(B748="",COUNT('01_INPUT_COMPANIES'!$U$81)=0),"",'01_INPUT_COMPANIES'!$U$81)</x:f>
      </x:c>
      <x:c r="F748" s="42" t="n">
        <x:v>1</x:v>
      </x:c>
      <x:c r="G748" s="42" t="str">
        <x:f>IF(NOT(ISNUMBER(E748)),"",MAX(K748,MIN(L748,E748*F748)))</x:f>
      </x:c>
      <x:c r="H748" s="42" t="n">
        <x:v>64</x:v>
      </x:c>
      <x:c r="I748" s="42" t="str">
        <x:f>IF(COUNT(G748)=0,"",(COUNTIFS('93_REF_ANCHORS'!$A$7:$A$766,D748,'93_REF_ANCHORS'!$C$7:$C$766,"&lt;"&amp;G748)+COUNTIFS('93_REF_ANCHORS'!$A$7:$A$766,D748,'93_REF_ANCHORS'!$C$7:$C$766,"&lt;="&amp;G748)-1)/(2*(H748-1)))</x:f>
      </x:c>
      <x:c r="J748" s="34" t="str">
        <x:f>IF(B748="","",IF(COUNT(E748)=0,"MISSING",IF(NOT(ISNUMBER(E748)),"INVALID",IF(E748*F748&lt;K748,"WINSORIZED LOW",IF(E748*F748&gt;L748,"WINSORIZED HIGH","OK")))))</x:f>
      </x:c>
      <x:c r="K748" s="34" t="n">
        <x:v>-0.10705024705171803</x:v>
      </x:c>
      <x:c r="L748" s="34" t="n">
        <x:v>0.8008753865408955</x:v>
      </x:c>
      <x:c r="M748" s="34" t="n">
        <x:v>0.1111111111111111</x:v>
      </x:c>
      <x:c r="N748" s="34" t="str">
        <x:v>no</x:v>
      </x:c>
    </x:row>
    <x:row r="749">
      <x:c r="A749" s="34" t="n">
        <x:v>75</x:v>
      </x:c>
      <x:c r="B749" s="34" t="str">
        <x:f>IF('01_INPUT_COMPANIES'!$A$81="","",'01_INPUT_COMPANIES'!$A$81)</x:f>
      </x:c>
      <x:c r="C749" s="34" t="str">
        <x:f>IF(B749="","",'01_INPUT_COMPANIES'!$B$81)</x:f>
      </x:c>
      <x:c r="D749" s="34" t="str">
        <x:v>network_cost_ratio</x:v>
      </x:c>
      <x:c r="E749" s="42" t="str">
        <x:f>IF(OR(B749="",COUNT('01_INPUT_COMPANIES'!$V$81)=0),"",'01_INPUT_COMPANIES'!$V$81)</x:f>
      </x:c>
      <x:c r="F749" s="42" t="n">
        <x:v>1</x:v>
      </x:c>
      <x:c r="G749" s="42" t="str">
        <x:f>IF(NOT(ISNUMBER(E749)),"",MAX(K749,MIN(L749,E749*F749)))</x:f>
      </x:c>
      <x:c r="H749" s="42" t="n">
        <x:v>97</x:v>
      </x:c>
      <x:c r="I749" s="42" t="str">
        <x:f>IF(COUNT(G749)=0,"",(COUNTIFS('93_REF_ANCHORS'!$A$7:$A$766,D749,'93_REF_ANCHORS'!$C$7:$C$766,"&lt;"&amp;G749)+COUNTIFS('93_REF_ANCHORS'!$A$7:$A$766,D749,'93_REF_ANCHORS'!$C$7:$C$766,"&lt;="&amp;G749)-1)/(2*(H749-1)))</x:f>
      </x:c>
      <x:c r="J749" s="34" t="str">
        <x:f>IF(B749="","",IF(COUNT(E749)=0,"MISSING",IF(NOT(ISNUMBER(E749)),"INVALID",IF(E749*F749&lt;K749,"WINSORIZED LOW",IF(E749*F749&gt;L749,"WINSORIZED HIGH","OK")))))</x:f>
      </x:c>
      <x:c r="K749" s="34" t="n">
        <x:v>-0.1395374353</x:v>
      </x:c>
      <x:c r="L749" s="34" t="n">
        <x:v>0.9274274845000001</x:v>
      </x:c>
      <x:c r="M749" s="34" t="n">
        <x:v>0.1111111111111111</x:v>
      </x:c>
      <x:c r="N749" s="34" t="str">
        <x:v>no</x:v>
      </x:c>
    </x:row>
    <x:row r="750">
      <x:c r="A750" s="34" t="n">
        <x:v>75</x:v>
      </x:c>
      <x:c r="B750" s="34" t="str">
        <x:f>IF('01_INPUT_COMPANIES'!$A$81="","",'01_INPUT_COMPANIES'!$A$81)</x:f>
      </x:c>
      <x:c r="C750" s="34" t="str">
        <x:f>IF(B750="","",'01_INPUT_COMPANIES'!$B$81)</x:f>
      </x:c>
      <x:c r="D750" s="34" t="str">
        <x:v>cashflow_recovery_ratio</x:v>
      </x:c>
      <x:c r="E750" s="42" t="str">
        <x:f>IF(OR(B750="",COUNT('01_INPUT_COMPANIES'!$W$81)=0),"",'01_INPUT_COMPANIES'!$W$81)</x:f>
      </x:c>
      <x:c r="F750" s="42" t="n">
        <x:v>-1</x:v>
      </x:c>
      <x:c r="G750" s="42" t="str">
        <x:f>IF(NOT(ISNUMBER(E750)),"",MAX(K750,MIN(L750,E750*F750)))</x:f>
      </x:c>
      <x:c r="H750" s="42" t="n">
        <x:v>95</x:v>
      </x:c>
      <x:c r="I750" s="42" t="str">
        <x:f>IF(COUNT(G750)=0,"",(COUNTIFS('93_REF_ANCHORS'!$A$7:$A$766,D750,'93_REF_ANCHORS'!$C$7:$C$766,"&lt;"&amp;G750)+COUNTIFS('93_REF_ANCHORS'!$A$7:$A$766,D750,'93_REF_ANCHORS'!$C$7:$C$766,"&lt;="&amp;G750)-1)/(2*(H750-1)))</x:f>
      </x:c>
      <x:c r="J750" s="34" t="str">
        <x:f>IF(B750="","",IF(COUNT(E750)=0,"MISSING",IF(NOT(ISNUMBER(E750)),"INVALID",IF(E750*F750&lt;K750,"WINSORIZED LOW",IF(E750*F750&gt;L750,"WINSORIZED HIGH","OK")))))</x:f>
      </x:c>
      <x:c r="K750" s="34" t="n">
        <x:v>-300.75</x:v>
      </x:c>
      <x:c r="L750" s="34" t="n">
        <x:v>42.6920305469</x:v>
      </x:c>
      <x:c r="M750" s="34" t="n">
        <x:v>0.08333333333333333</x:v>
      </x:c>
      <x:c r="N750" s="34" t="str">
        <x:v>no</x:v>
      </x:c>
    </x:row>
    <x:row r="751">
      <x:c r="A751" s="34" t="n">
        <x:v>75</x:v>
      </x:c>
      <x:c r="B751" s="34" t="str">
        <x:f>IF('01_INPUT_COMPANIES'!$A$81="","",'01_INPUT_COMPANIES'!$A$81)</x:f>
      </x:c>
      <x:c r="C751" s="34" t="str">
        <x:f>IF(B751="","",'01_INPUT_COMPANIES'!$B$81)</x:f>
      </x:c>
      <x:c r="D751" s="34" t="str">
        <x:v>funding_cost_spread</x:v>
      </x:c>
      <x:c r="E751" s="42" t="str">
        <x:f>IF(OR(B751="",COUNT('01_INPUT_COMPANIES'!$X$81)=0),"",'01_INPUT_COMPANIES'!$X$81)</x:f>
      </x:c>
      <x:c r="F751" s="42" t="n">
        <x:v>1</x:v>
      </x:c>
      <x:c r="G751" s="42" t="str">
        <x:f>IF(NOT(ISNUMBER(E751)),"",MAX(K751,MIN(L751,E751*F751)))</x:f>
      </x:c>
      <x:c r="H751" s="42" t="n">
        <x:v>58</x:v>
      </x:c>
      <x:c r="I751" s="42" t="str">
        <x:f>IF(COUNT(G751)=0,"",(COUNTIFS('93_REF_ANCHORS'!$A$7:$A$766,D751,'93_REF_ANCHORS'!$C$7:$C$766,"&lt;"&amp;G751)+COUNTIFS('93_REF_ANCHORS'!$A$7:$A$766,D751,'93_REF_ANCHORS'!$C$7:$C$766,"&lt;="&amp;G751)-1)/(2*(H751-1)))</x:f>
      </x:c>
      <x:c r="J751" s="34" t="str">
        <x:f>IF(B751="","",IF(COUNT(E751)=0,"MISSING",IF(NOT(ISNUMBER(E751)),"INVALID",IF(E751*F751&lt;K751,"WINSORIZED LOW",IF(E751*F751&gt;L751,"WINSORIZED HIGH","OK")))))</x:f>
      </x:c>
      <x:c r="K751" s="34" t="n">
        <x:v>-0.4430292903</x:v>
      </x:c>
      <x:c r="L751" s="34" t="n">
        <x:v>0.5068913103</x:v>
      </x:c>
      <x:c r="M751" s="34" t="n">
        <x:v>0.08333333333333333</x:v>
      </x:c>
      <x:c r="N751" s="34" t="str">
        <x:v>no</x:v>
      </x:c>
    </x:row>
    <x:row r="752">
      <x:c r="A752" s="34" t="n">
        <x:v>75</x:v>
      </x:c>
      <x:c r="B752" s="34" t="str">
        <x:f>IF('01_INPUT_COMPANIES'!$A$81="","",'01_INPUT_COMPANIES'!$A$81)</x:f>
      </x:c>
      <x:c r="C752" s="34" t="str">
        <x:f>IF(B752="","",'01_INPUT_COMPANIES'!$B$81)</x:f>
      </x:c>
      <x:c r="D752" s="34" t="str">
        <x:v>investment_recovery_ratio</x:v>
      </x:c>
      <x:c r="E752" s="42" t="str">
        <x:f>IF(OR(B752="",COUNT('01_INPUT_COMPANIES'!$Y$81)=0),"",'01_INPUT_COMPANIES'!$Y$81)</x:f>
      </x:c>
      <x:c r="F752" s="42" t="n">
        <x:v>-1</x:v>
      </x:c>
      <x:c r="G752" s="42" t="str">
        <x:f>IF(NOT(ISNUMBER(E752)),"",MAX(K752,MIN(L752,E752*F752)))</x:f>
      </x:c>
      <x:c r="H752" s="42" t="n">
        <x:v>95</x:v>
      </x:c>
      <x:c r="I752" s="42" t="str">
        <x:f>IF(COUNT(G752)=0,"",(COUNTIFS('93_REF_ANCHORS'!$A$7:$A$766,D752,'93_REF_ANCHORS'!$C$7:$C$766,"&lt;"&amp;G752)+COUNTIFS('93_REF_ANCHORS'!$A$7:$A$766,D752,'93_REF_ANCHORS'!$C$7:$C$766,"&lt;="&amp;G752)-1)/(2*(H752-1)))</x:f>
      </x:c>
      <x:c r="J752" s="34" t="str">
        <x:f>IF(B752="","",IF(COUNT(E752)=0,"MISSING",IF(NOT(ISNUMBER(E752)),"INVALID",IF(E752*F752&lt;K752,"WINSORIZED LOW",IF(E752*F752&gt;L752,"WINSORIZED HIGH","OK")))))</x:f>
      </x:c>
      <x:c r="K752" s="34" t="n">
        <x:v>-3163.7500000000014</x:v>
      </x:c>
      <x:c r="L752" s="34" t="n">
        <x:v>189.68191301719997</x:v>
      </x:c>
      <x:c r="M752" s="34" t="n">
        <x:v>0.08333333333333333</x:v>
      </x:c>
      <x:c r="N752" s="34" t="str">
        <x:v>no</x:v>
      </x:c>
    </x:row>
    <x:row r="753">
      <x:c r="A753" s="34" t="n">
        <x:v>75</x:v>
      </x:c>
      <x:c r="B753" s="34" t="str">
        <x:f>IF('01_INPUT_COMPANIES'!$A$81="","",'01_INPUT_COMPANIES'!$A$81)</x:f>
      </x:c>
      <x:c r="C753" s="34" t="str">
        <x:f>IF(B753="","",'01_INPUT_COMPANIES'!$B$81)</x:f>
      </x:c>
      <x:c r="D753" s="34" t="str">
        <x:v>ip_assetization_gap</x:v>
      </x:c>
      <x:c r="E753" s="42" t="str">
        <x:f>IF(OR(B753="",COUNT('01_INPUT_COMPANIES'!$Z$81)=0),"",'01_INPUT_COMPANIES'!$Z$81)</x:f>
      </x:c>
      <x:c r="F753" s="42" t="n">
        <x:v>1</x:v>
      </x:c>
      <x:c r="G753" s="42" t="str">
        <x:f>IF(NOT(ISNUMBER(E753)),"",MAX(K753,MIN(L753,E753*F753)))</x:f>
      </x:c>
      <x:c r="H753" s="42" t="n">
        <x:v>92</x:v>
      </x:c>
      <x:c r="I753" s="42" t="str">
        <x:f>IF(COUNT(G753)=0,"",(COUNTIFS('93_REF_ANCHORS'!$A$7:$A$766,D753,'93_REF_ANCHORS'!$C$7:$C$766,"&lt;"&amp;G753)+COUNTIFS('93_REF_ANCHORS'!$A$7:$A$766,D753,'93_REF_ANCHORS'!$C$7:$C$766,"&lt;="&amp;G753)-1)/(2*(H753-1)))</x:f>
      </x:c>
      <x:c r="J753" s="34" t="str">
        <x:f>IF(B753="","",IF(COUNT(E753)=0,"MISSING",IF(NOT(ISNUMBER(E753)),"INVALID",IF(E753*F753&lt;K753,"WINSORIZED LOW",IF(E753*F753&gt;L753,"WINSORIZED HIGH","OK")))))</x:f>
      </x:c>
      <x:c r="K753" s="34" t="n">
        <x:v>-1.6707152386</x:v>
      </x:c>
      <x:c r="L753" s="34" t="n">
        <x:v>0.7716332556000001</x:v>
      </x:c>
      <x:c r="M753" s="34" t="n">
        <x:v>0.08333333333333333</x:v>
      </x:c>
      <x:c r="N753" s="34" t="str">
        <x:v>no</x:v>
      </x:c>
    </x:row>
    <x:row r="754">
      <x:c r="A754" s="34" t="n">
        <x:v>75</x:v>
      </x:c>
      <x:c r="B754" s="34" t="str">
        <x:f>IF('01_INPUT_COMPANIES'!$A$81="","",'01_INPUT_COMPANIES'!$A$81)</x:f>
      </x:c>
      <x:c r="C754" s="34" t="str">
        <x:f>IF(B754="","",'01_INPUT_COMPANIES'!$B$81)</x:f>
      </x:c>
      <x:c r="D754" s="34" t="str">
        <x:v>cross_market_transfer_index</x:v>
      </x:c>
      <x:c r="E754" s="42" t="str">
        <x:f>IF(OR(B754="",COUNT('01_INPUT_COMPANIES'!$AA$81)=0),"",'01_INPUT_COMPANIES'!$AA$81)</x:f>
      </x:c>
      <x:c r="F754" s="42" t="n">
        <x:v>1</x:v>
      </x:c>
      <x:c r="G754" s="42" t="str">
        <x:f>IF(NOT(ISNUMBER(E754)),"",MAX(K754,MIN(L754,E754*F754)))</x:f>
      </x:c>
      <x:c r="H754" s="42" t="n">
        <x:v>4</x:v>
      </x:c>
      <x:c r="I754" s="42" t="str">
        <x:f>IF(COUNT(G754)=0,"",(COUNTIFS('93_REF_ANCHORS'!$A$7:$A$766,D754,'93_REF_ANCHORS'!$C$7:$C$766,"&lt;"&amp;G754)+COUNTIFS('93_REF_ANCHORS'!$A$7:$A$766,D754,'93_REF_ANCHORS'!$C$7:$C$766,"&lt;="&amp;G754)-1)/(2*(H754-1)))</x:f>
      </x:c>
      <x:c r="J754" s="34" t="str">
        <x:f>IF(B754="","",IF(COUNT(E754)=0,"MISSING",IF(NOT(ISNUMBER(E754)),"INVALID",IF(E754*F754&lt;K754,"WINSORIZED LOW",IF(E754*F754&gt;L754,"WINSORIZED HIGH","OK")))))</x:f>
      </x:c>
      <x:c r="K754" s="34" t="n">
        <x:v>0</x:v>
      </x:c>
      <x:c r="L754" s="34" t="n">
        <x:v>0.7587051325360435</x:v>
      </x:c>
      <x:c r="M754" s="34" t="n">
        <x:v>0.1111111111111111</x:v>
      </x:c>
      <x:c r="N754" s="34" t="str">
        <x:v>yes</x:v>
      </x:c>
    </x:row>
    <x:row r="755">
      <x:c r="A755" s="34" t="n">
        <x:v>75</x:v>
      </x:c>
      <x:c r="B755" s="34" t="str">
        <x:f>IF('01_INPUT_COMPANIES'!$A$81="","",'01_INPUT_COMPANIES'!$A$81)</x:f>
      </x:c>
      <x:c r="C755" s="34" t="str">
        <x:f>IF(B755="","",'01_INPUT_COMPANIES'!$B$81)</x:f>
      </x:c>
      <x:c r="D755" s="34" t="str">
        <x:v>foreign_dependency_ratio</x:v>
      </x:c>
      <x:c r="E755" s="42" t="str">
        <x:f>IF(OR(B755="",COUNT('01_INPUT_COMPANIES'!$AB$81)=0),"",'01_INPUT_COMPANIES'!$AB$81)</x:f>
      </x:c>
      <x:c r="F755" s="42" t="n">
        <x:v>1</x:v>
      </x:c>
      <x:c r="G755" s="42" t="str">
        <x:f>IF(NOT(ISNUMBER(E755)),"",MAX(K755,MIN(L755,E755*F755)))</x:f>
      </x:c>
      <x:c r="H755" s="42" t="n">
        <x:v>84</x:v>
      </x:c>
      <x:c r="I755" s="42" t="str">
        <x:f>IF(COUNT(G755)=0,"",(COUNTIFS('93_REF_ANCHORS'!$A$7:$A$766,D755,'93_REF_ANCHORS'!$C$7:$C$766,"&lt;"&amp;G755)+COUNTIFS('93_REF_ANCHORS'!$A$7:$A$766,D755,'93_REF_ANCHORS'!$C$7:$C$766,"&lt;="&amp;G755)-1)/(2*(H755-1)))</x:f>
      </x:c>
      <x:c r="J755" s="34" t="str">
        <x:f>IF(B755="","",IF(COUNT(E755)=0,"MISSING",IF(NOT(ISNUMBER(E755)),"INVALID",IF(E755*F755&lt;K755,"WINSORIZED LOW",IF(E755*F755&gt;L755,"WINSORIZED HIGH","OK")))))</x:f>
      </x:c>
      <x:c r="K755" s="34" t="n">
        <x:v>0.728196</x:v>
      </x:c>
      <x:c r="L755" s="34" t="n">
        <x:v>0.94</x:v>
      </x:c>
      <x:c r="M755" s="34" t="n">
        <x:v>0.1111111111111111</x:v>
      </x:c>
      <x:c r="N755" s="34" t="str">
        <x:v>yes</x:v>
      </x:c>
    </x:row>
    <x:row r="756">
      <x:c r="A756" s="34" t="n">
        <x:v>75</x:v>
      </x:c>
      <x:c r="B756" s="34" t="str">
        <x:f>IF('01_INPUT_COMPANIES'!$A$81="","",'01_INPUT_COMPANIES'!$A$81)</x:f>
      </x:c>
      <x:c r="C756" s="34" t="str">
        <x:f>IF(B756="","",'01_INPUT_COMPANIES'!$B$81)</x:f>
      </x:c>
      <x:c r="D756" s="34" t="str">
        <x:v>outflow_to_capex_ratio</x:v>
      </x:c>
      <x:c r="E756" s="42" t="str">
        <x:f>IF(OR(B756="",COUNT('01_INPUT_COMPANIES'!$AC$81)=0),"",'01_INPUT_COMPANIES'!$AC$81)</x:f>
      </x:c>
      <x:c r="F756" s="42" t="n">
        <x:v>1</x:v>
      </x:c>
      <x:c r="G756" s="42" t="str">
        <x:f>IF(NOT(ISNUMBER(E756)),"",MAX(K756,MIN(L756,E756*F756)))</x:f>
      </x:c>
      <x:c r="H756" s="42" t="n">
        <x:v>97</x:v>
      </x:c>
      <x:c r="I756" s="42" t="str">
        <x:f>IF(COUNT(G756)=0,"",(COUNTIFS('93_REF_ANCHORS'!$A$7:$A$766,D756,'93_REF_ANCHORS'!$C$7:$C$766,"&lt;"&amp;G756)+COUNTIFS('93_REF_ANCHORS'!$A$7:$A$766,D756,'93_REF_ANCHORS'!$C$7:$C$766,"&lt;="&amp;G756)-1)/(2*(H756-1)))</x:f>
      </x:c>
      <x:c r="J756" s="34" t="str">
        <x:f>IF(B756="","",IF(COUNT(E756)=0,"MISSING",IF(NOT(ISNUMBER(E756)),"INVALID",IF(E756*F756&lt;K756,"WINSORIZED LOW",IF(E756*F756&gt;L756,"WINSORIZED HIGH","OK")))))</x:f>
      </x:c>
      <x:c r="K756" s="34" t="n">
        <x:v>-123.5385890408</x:v>
      </x:c>
      <x:c r="L756" s="34" t="n">
        <x:v>974.1666666666999</x:v>
      </x:c>
      <x:c r="M756" s="34" t="n">
        <x:v>0.1111111111111111</x:v>
      </x:c>
      <x:c r="N756" s="34" t="str">
        <x:v>no</x:v>
      </x:c>
    </x:row>
    <x:row r="757">
      <x:c r="A757" s="34" t="n">
        <x:v>76</x:v>
      </x:c>
      <x:c r="B757" s="34" t="str">
        <x:f>IF('01_INPUT_COMPANIES'!$A$82="","",'01_INPUT_COMPANIES'!$A$82)</x:f>
      </x:c>
      <x:c r="C757" s="34" t="str">
        <x:f>IF(B757="","",'01_INPUT_COMPANIES'!$B$82)</x:f>
      </x:c>
      <x:c r="D757" s="34" t="str">
        <x:v>effective_tax_rate_gap</x:v>
      </x:c>
      <x:c r="E757" s="42" t="str">
        <x:f>IF(OR(B757="",COUNT('01_INPUT_COMPANIES'!$T$82)=0),"",'01_INPUT_COMPANIES'!$T$82)</x:f>
      </x:c>
      <x:c r="F757" s="42" t="n">
        <x:v>1</x:v>
      </x:c>
      <x:c r="G757" s="42" t="str">
        <x:f>IF(NOT(ISNUMBER(E757)),"",MAX(K757,MIN(L757,E757*F757)))</x:f>
      </x:c>
      <x:c r="H757" s="42" t="n">
        <x:v>74</x:v>
      </x:c>
      <x:c r="I757" s="42" t="str">
        <x:f>IF(COUNT(G757)=0,"",(COUNTIFS('93_REF_ANCHORS'!$A$7:$A$766,D757,'93_REF_ANCHORS'!$C$7:$C$766,"&lt;"&amp;G757)+COUNTIFS('93_REF_ANCHORS'!$A$7:$A$766,D757,'93_REF_ANCHORS'!$C$7:$C$766,"&lt;="&amp;G757)-1)/(2*(H757-1)))</x:f>
      </x:c>
      <x:c r="J757" s="34" t="str">
        <x:f>IF(B757="","",IF(COUNT(E757)=0,"MISSING",IF(NOT(ISNUMBER(E757)),"INVALID",IF(E757*F757&lt;K757,"WINSORIZED LOW",IF(E757*F757&gt;L757,"WINSORIZED HIGH","OK")))))</x:f>
      </x:c>
      <x:c r="K757" s="34" t="n">
        <x:v>-0.1416111014</x:v>
      </x:c>
      <x:c r="L757" s="34" t="n">
        <x:v>0.2683650488</x:v>
      </x:c>
      <x:c r="M757" s="34" t="n">
        <x:v>0.1111111111111111</x:v>
      </x:c>
      <x:c r="N757" s="34" t="str">
        <x:v>no</x:v>
      </x:c>
    </x:row>
    <x:row r="758">
      <x:c r="A758" s="34" t="n">
        <x:v>76</x:v>
      </x:c>
      <x:c r="B758" s="34" t="str">
        <x:f>IF('01_INPUT_COMPANIES'!$A$82="","",'01_INPUT_COMPANIES'!$A$82)</x:f>
      </x:c>
      <x:c r="C758" s="34" t="str">
        <x:f>IF(B758="","",'01_INPUT_COMPANIES'!$B$82)</x:f>
      </x:c>
      <x:c r="D758" s="34" t="str">
        <x:v>infra_dependency_ratio</x:v>
      </x:c>
      <x:c r="E758" s="42" t="str">
        <x:f>IF(OR(B758="",COUNT('01_INPUT_COMPANIES'!$U$82)=0),"",'01_INPUT_COMPANIES'!$U$82)</x:f>
      </x:c>
      <x:c r="F758" s="42" t="n">
        <x:v>1</x:v>
      </x:c>
      <x:c r="G758" s="42" t="str">
        <x:f>IF(NOT(ISNUMBER(E758)),"",MAX(K758,MIN(L758,E758*F758)))</x:f>
      </x:c>
      <x:c r="H758" s="42" t="n">
        <x:v>64</x:v>
      </x:c>
      <x:c r="I758" s="42" t="str">
        <x:f>IF(COUNT(G758)=0,"",(COUNTIFS('93_REF_ANCHORS'!$A$7:$A$766,D758,'93_REF_ANCHORS'!$C$7:$C$766,"&lt;"&amp;G758)+COUNTIFS('93_REF_ANCHORS'!$A$7:$A$766,D758,'93_REF_ANCHORS'!$C$7:$C$766,"&lt;="&amp;G758)-1)/(2*(H758-1)))</x:f>
      </x:c>
      <x:c r="J758" s="34" t="str">
        <x:f>IF(B758="","",IF(COUNT(E758)=0,"MISSING",IF(NOT(ISNUMBER(E758)),"INVALID",IF(E758*F758&lt;K758,"WINSORIZED LOW",IF(E758*F758&gt;L758,"WINSORIZED HIGH","OK")))))</x:f>
      </x:c>
      <x:c r="K758" s="34" t="n">
        <x:v>-0.10705024705171803</x:v>
      </x:c>
      <x:c r="L758" s="34" t="n">
        <x:v>0.8008753865408955</x:v>
      </x:c>
      <x:c r="M758" s="34" t="n">
        <x:v>0.1111111111111111</x:v>
      </x:c>
      <x:c r="N758" s="34" t="str">
        <x:v>no</x:v>
      </x:c>
    </x:row>
    <x:row r="759">
      <x:c r="A759" s="34" t="n">
        <x:v>76</x:v>
      </x:c>
      <x:c r="B759" s="34" t="str">
        <x:f>IF('01_INPUT_COMPANIES'!$A$82="","",'01_INPUT_COMPANIES'!$A$82)</x:f>
      </x:c>
      <x:c r="C759" s="34" t="str">
        <x:f>IF(B759="","",'01_INPUT_COMPANIES'!$B$82)</x:f>
      </x:c>
      <x:c r="D759" s="34" t="str">
        <x:v>network_cost_ratio</x:v>
      </x:c>
      <x:c r="E759" s="42" t="str">
        <x:f>IF(OR(B759="",COUNT('01_INPUT_COMPANIES'!$V$82)=0),"",'01_INPUT_COMPANIES'!$V$82)</x:f>
      </x:c>
      <x:c r="F759" s="42" t="n">
        <x:v>1</x:v>
      </x:c>
      <x:c r="G759" s="42" t="str">
        <x:f>IF(NOT(ISNUMBER(E759)),"",MAX(K759,MIN(L759,E759*F759)))</x:f>
      </x:c>
      <x:c r="H759" s="42" t="n">
        <x:v>97</x:v>
      </x:c>
      <x:c r="I759" s="42" t="str">
        <x:f>IF(COUNT(G759)=0,"",(COUNTIFS('93_REF_ANCHORS'!$A$7:$A$766,D759,'93_REF_ANCHORS'!$C$7:$C$766,"&lt;"&amp;G759)+COUNTIFS('93_REF_ANCHORS'!$A$7:$A$766,D759,'93_REF_ANCHORS'!$C$7:$C$766,"&lt;="&amp;G759)-1)/(2*(H759-1)))</x:f>
      </x:c>
      <x:c r="J759" s="34" t="str">
        <x:f>IF(B759="","",IF(COUNT(E759)=0,"MISSING",IF(NOT(ISNUMBER(E759)),"INVALID",IF(E759*F759&lt;K759,"WINSORIZED LOW",IF(E759*F759&gt;L759,"WINSORIZED HIGH","OK")))))</x:f>
      </x:c>
      <x:c r="K759" s="34" t="n">
        <x:v>-0.1395374353</x:v>
      </x:c>
      <x:c r="L759" s="34" t="n">
        <x:v>0.9274274845000001</x:v>
      </x:c>
      <x:c r="M759" s="34" t="n">
        <x:v>0.1111111111111111</x:v>
      </x:c>
      <x:c r="N759" s="34" t="str">
        <x:v>no</x:v>
      </x:c>
    </x:row>
    <x:row r="760">
      <x:c r="A760" s="34" t="n">
        <x:v>76</x:v>
      </x:c>
      <x:c r="B760" s="34" t="str">
        <x:f>IF('01_INPUT_COMPANIES'!$A$82="","",'01_INPUT_COMPANIES'!$A$82)</x:f>
      </x:c>
      <x:c r="C760" s="34" t="str">
        <x:f>IF(B760="","",'01_INPUT_COMPANIES'!$B$82)</x:f>
      </x:c>
      <x:c r="D760" s="34" t="str">
        <x:v>cashflow_recovery_ratio</x:v>
      </x:c>
      <x:c r="E760" s="42" t="str">
        <x:f>IF(OR(B760="",COUNT('01_INPUT_COMPANIES'!$W$82)=0),"",'01_INPUT_COMPANIES'!$W$82)</x:f>
      </x:c>
      <x:c r="F760" s="42" t="n">
        <x:v>-1</x:v>
      </x:c>
      <x:c r="G760" s="42" t="str">
        <x:f>IF(NOT(ISNUMBER(E760)),"",MAX(K760,MIN(L760,E760*F760)))</x:f>
      </x:c>
      <x:c r="H760" s="42" t="n">
        <x:v>95</x:v>
      </x:c>
      <x:c r="I760" s="42" t="str">
        <x:f>IF(COUNT(G760)=0,"",(COUNTIFS('93_REF_ANCHORS'!$A$7:$A$766,D760,'93_REF_ANCHORS'!$C$7:$C$766,"&lt;"&amp;G760)+COUNTIFS('93_REF_ANCHORS'!$A$7:$A$766,D760,'93_REF_ANCHORS'!$C$7:$C$766,"&lt;="&amp;G760)-1)/(2*(H760-1)))</x:f>
      </x:c>
      <x:c r="J760" s="34" t="str">
        <x:f>IF(B760="","",IF(COUNT(E760)=0,"MISSING",IF(NOT(ISNUMBER(E760)),"INVALID",IF(E760*F760&lt;K760,"WINSORIZED LOW",IF(E760*F760&gt;L760,"WINSORIZED HIGH","OK")))))</x:f>
      </x:c>
      <x:c r="K760" s="34" t="n">
        <x:v>-300.75</x:v>
      </x:c>
      <x:c r="L760" s="34" t="n">
        <x:v>42.6920305469</x:v>
      </x:c>
      <x:c r="M760" s="34" t="n">
        <x:v>0.08333333333333333</x:v>
      </x:c>
      <x:c r="N760" s="34" t="str">
        <x:v>no</x:v>
      </x:c>
    </x:row>
    <x:row r="761">
      <x:c r="A761" s="34" t="n">
        <x:v>76</x:v>
      </x:c>
      <x:c r="B761" s="34" t="str">
        <x:f>IF('01_INPUT_COMPANIES'!$A$82="","",'01_INPUT_COMPANIES'!$A$82)</x:f>
      </x:c>
      <x:c r="C761" s="34" t="str">
        <x:f>IF(B761="","",'01_INPUT_COMPANIES'!$B$82)</x:f>
      </x:c>
      <x:c r="D761" s="34" t="str">
        <x:v>funding_cost_spread</x:v>
      </x:c>
      <x:c r="E761" s="42" t="str">
        <x:f>IF(OR(B761="",COUNT('01_INPUT_COMPANIES'!$X$82)=0),"",'01_INPUT_COMPANIES'!$X$82)</x:f>
      </x:c>
      <x:c r="F761" s="42" t="n">
        <x:v>1</x:v>
      </x:c>
      <x:c r="G761" s="42" t="str">
        <x:f>IF(NOT(ISNUMBER(E761)),"",MAX(K761,MIN(L761,E761*F761)))</x:f>
      </x:c>
      <x:c r="H761" s="42" t="n">
        <x:v>58</x:v>
      </x:c>
      <x:c r="I761" s="42" t="str">
        <x:f>IF(COUNT(G761)=0,"",(COUNTIFS('93_REF_ANCHORS'!$A$7:$A$766,D761,'93_REF_ANCHORS'!$C$7:$C$766,"&lt;"&amp;G761)+COUNTIFS('93_REF_ANCHORS'!$A$7:$A$766,D761,'93_REF_ANCHORS'!$C$7:$C$766,"&lt;="&amp;G761)-1)/(2*(H761-1)))</x:f>
      </x:c>
      <x:c r="J761" s="34" t="str">
        <x:f>IF(B761="","",IF(COUNT(E761)=0,"MISSING",IF(NOT(ISNUMBER(E761)),"INVALID",IF(E761*F761&lt;K761,"WINSORIZED LOW",IF(E761*F761&gt;L761,"WINSORIZED HIGH","OK")))))</x:f>
      </x:c>
      <x:c r="K761" s="34" t="n">
        <x:v>-0.4430292903</x:v>
      </x:c>
      <x:c r="L761" s="34" t="n">
        <x:v>0.5068913103</x:v>
      </x:c>
      <x:c r="M761" s="34" t="n">
        <x:v>0.08333333333333333</x:v>
      </x:c>
      <x:c r="N761" s="34" t="str">
        <x:v>no</x:v>
      </x:c>
    </x:row>
    <x:row r="762">
      <x:c r="A762" s="34" t="n">
        <x:v>76</x:v>
      </x:c>
      <x:c r="B762" s="34" t="str">
        <x:f>IF('01_INPUT_COMPANIES'!$A$82="","",'01_INPUT_COMPANIES'!$A$82)</x:f>
      </x:c>
      <x:c r="C762" s="34" t="str">
        <x:f>IF(B762="","",'01_INPUT_COMPANIES'!$B$82)</x:f>
      </x:c>
      <x:c r="D762" s="34" t="str">
        <x:v>investment_recovery_ratio</x:v>
      </x:c>
      <x:c r="E762" s="42" t="str">
        <x:f>IF(OR(B762="",COUNT('01_INPUT_COMPANIES'!$Y$82)=0),"",'01_INPUT_COMPANIES'!$Y$82)</x:f>
      </x:c>
      <x:c r="F762" s="42" t="n">
        <x:v>-1</x:v>
      </x:c>
      <x:c r="G762" s="42" t="str">
        <x:f>IF(NOT(ISNUMBER(E762)),"",MAX(K762,MIN(L762,E762*F762)))</x:f>
      </x:c>
      <x:c r="H762" s="42" t="n">
        <x:v>95</x:v>
      </x:c>
      <x:c r="I762" s="42" t="str">
        <x:f>IF(COUNT(G762)=0,"",(COUNTIFS('93_REF_ANCHORS'!$A$7:$A$766,D762,'93_REF_ANCHORS'!$C$7:$C$766,"&lt;"&amp;G762)+COUNTIFS('93_REF_ANCHORS'!$A$7:$A$766,D762,'93_REF_ANCHORS'!$C$7:$C$766,"&lt;="&amp;G762)-1)/(2*(H762-1)))</x:f>
      </x:c>
      <x:c r="J762" s="34" t="str">
        <x:f>IF(B762="","",IF(COUNT(E762)=0,"MISSING",IF(NOT(ISNUMBER(E762)),"INVALID",IF(E762*F762&lt;K762,"WINSORIZED LOW",IF(E762*F762&gt;L762,"WINSORIZED HIGH","OK")))))</x:f>
      </x:c>
      <x:c r="K762" s="34" t="n">
        <x:v>-3163.7500000000014</x:v>
      </x:c>
      <x:c r="L762" s="34" t="n">
        <x:v>189.68191301719997</x:v>
      </x:c>
      <x:c r="M762" s="34" t="n">
        <x:v>0.08333333333333333</x:v>
      </x:c>
      <x:c r="N762" s="34" t="str">
        <x:v>no</x:v>
      </x:c>
    </x:row>
    <x:row r="763">
      <x:c r="A763" s="34" t="n">
        <x:v>76</x:v>
      </x:c>
      <x:c r="B763" s="34" t="str">
        <x:f>IF('01_INPUT_COMPANIES'!$A$82="","",'01_INPUT_COMPANIES'!$A$82)</x:f>
      </x:c>
      <x:c r="C763" s="34" t="str">
        <x:f>IF(B763="","",'01_INPUT_COMPANIES'!$B$82)</x:f>
      </x:c>
      <x:c r="D763" s="34" t="str">
        <x:v>ip_assetization_gap</x:v>
      </x:c>
      <x:c r="E763" s="42" t="str">
        <x:f>IF(OR(B763="",COUNT('01_INPUT_COMPANIES'!$Z$82)=0),"",'01_INPUT_COMPANIES'!$Z$82)</x:f>
      </x:c>
      <x:c r="F763" s="42" t="n">
        <x:v>1</x:v>
      </x:c>
      <x:c r="G763" s="42" t="str">
        <x:f>IF(NOT(ISNUMBER(E763)),"",MAX(K763,MIN(L763,E763*F763)))</x:f>
      </x:c>
      <x:c r="H763" s="42" t="n">
        <x:v>92</x:v>
      </x:c>
      <x:c r="I763" s="42" t="str">
        <x:f>IF(COUNT(G763)=0,"",(COUNTIFS('93_REF_ANCHORS'!$A$7:$A$766,D763,'93_REF_ANCHORS'!$C$7:$C$766,"&lt;"&amp;G763)+COUNTIFS('93_REF_ANCHORS'!$A$7:$A$766,D763,'93_REF_ANCHORS'!$C$7:$C$766,"&lt;="&amp;G763)-1)/(2*(H763-1)))</x:f>
      </x:c>
      <x:c r="J763" s="34" t="str">
        <x:f>IF(B763="","",IF(COUNT(E763)=0,"MISSING",IF(NOT(ISNUMBER(E763)),"INVALID",IF(E763*F763&lt;K763,"WINSORIZED LOW",IF(E763*F763&gt;L763,"WINSORIZED HIGH","OK")))))</x:f>
      </x:c>
      <x:c r="K763" s="34" t="n">
        <x:v>-1.6707152386</x:v>
      </x:c>
      <x:c r="L763" s="34" t="n">
        <x:v>0.7716332556000001</x:v>
      </x:c>
      <x:c r="M763" s="34" t="n">
        <x:v>0.08333333333333333</x:v>
      </x:c>
      <x:c r="N763" s="34" t="str">
        <x:v>no</x:v>
      </x:c>
    </x:row>
    <x:row r="764">
      <x:c r="A764" s="34" t="n">
        <x:v>76</x:v>
      </x:c>
      <x:c r="B764" s="34" t="str">
        <x:f>IF('01_INPUT_COMPANIES'!$A$82="","",'01_INPUT_COMPANIES'!$A$82)</x:f>
      </x:c>
      <x:c r="C764" s="34" t="str">
        <x:f>IF(B764="","",'01_INPUT_COMPANIES'!$B$82)</x:f>
      </x:c>
      <x:c r="D764" s="34" t="str">
        <x:v>cross_market_transfer_index</x:v>
      </x:c>
      <x:c r="E764" s="42" t="str">
        <x:f>IF(OR(B764="",COUNT('01_INPUT_COMPANIES'!$AA$82)=0),"",'01_INPUT_COMPANIES'!$AA$82)</x:f>
      </x:c>
      <x:c r="F764" s="42" t="n">
        <x:v>1</x:v>
      </x:c>
      <x:c r="G764" s="42" t="str">
        <x:f>IF(NOT(ISNUMBER(E764)),"",MAX(K764,MIN(L764,E764*F764)))</x:f>
      </x:c>
      <x:c r="H764" s="42" t="n">
        <x:v>4</x:v>
      </x:c>
      <x:c r="I764" s="42" t="str">
        <x:f>IF(COUNT(G764)=0,"",(COUNTIFS('93_REF_ANCHORS'!$A$7:$A$766,D764,'93_REF_ANCHORS'!$C$7:$C$766,"&lt;"&amp;G764)+COUNTIFS('93_REF_ANCHORS'!$A$7:$A$766,D764,'93_REF_ANCHORS'!$C$7:$C$766,"&lt;="&amp;G764)-1)/(2*(H764-1)))</x:f>
      </x:c>
      <x:c r="J764" s="34" t="str">
        <x:f>IF(B764="","",IF(COUNT(E764)=0,"MISSING",IF(NOT(ISNUMBER(E764)),"INVALID",IF(E764*F764&lt;K764,"WINSORIZED LOW",IF(E764*F764&gt;L764,"WINSORIZED HIGH","OK")))))</x:f>
      </x:c>
      <x:c r="K764" s="34" t="n">
        <x:v>0</x:v>
      </x:c>
      <x:c r="L764" s="34" t="n">
        <x:v>0.7587051325360435</x:v>
      </x:c>
      <x:c r="M764" s="34" t="n">
        <x:v>0.1111111111111111</x:v>
      </x:c>
      <x:c r="N764" s="34" t="str">
        <x:v>yes</x:v>
      </x:c>
    </x:row>
    <x:row r="765">
      <x:c r="A765" s="34" t="n">
        <x:v>76</x:v>
      </x:c>
      <x:c r="B765" s="34" t="str">
        <x:f>IF('01_INPUT_COMPANIES'!$A$82="","",'01_INPUT_COMPANIES'!$A$82)</x:f>
      </x:c>
      <x:c r="C765" s="34" t="str">
        <x:f>IF(B765="","",'01_INPUT_COMPANIES'!$B$82)</x:f>
      </x:c>
      <x:c r="D765" s="34" t="str">
        <x:v>foreign_dependency_ratio</x:v>
      </x:c>
      <x:c r="E765" s="42" t="str">
        <x:f>IF(OR(B765="",COUNT('01_INPUT_COMPANIES'!$AB$82)=0),"",'01_INPUT_COMPANIES'!$AB$82)</x:f>
      </x:c>
      <x:c r="F765" s="42" t="n">
        <x:v>1</x:v>
      </x:c>
      <x:c r="G765" s="42" t="str">
        <x:f>IF(NOT(ISNUMBER(E765)),"",MAX(K765,MIN(L765,E765*F765)))</x:f>
      </x:c>
      <x:c r="H765" s="42" t="n">
        <x:v>84</x:v>
      </x:c>
      <x:c r="I765" s="42" t="str">
        <x:f>IF(COUNT(G765)=0,"",(COUNTIFS('93_REF_ANCHORS'!$A$7:$A$766,D765,'93_REF_ANCHORS'!$C$7:$C$766,"&lt;"&amp;G765)+COUNTIFS('93_REF_ANCHORS'!$A$7:$A$766,D765,'93_REF_ANCHORS'!$C$7:$C$766,"&lt;="&amp;G765)-1)/(2*(H765-1)))</x:f>
      </x:c>
      <x:c r="J765" s="34" t="str">
        <x:f>IF(B765="","",IF(COUNT(E765)=0,"MISSING",IF(NOT(ISNUMBER(E765)),"INVALID",IF(E765*F765&lt;K765,"WINSORIZED LOW",IF(E765*F765&gt;L765,"WINSORIZED HIGH","OK")))))</x:f>
      </x:c>
      <x:c r="K765" s="34" t="n">
        <x:v>0.728196</x:v>
      </x:c>
      <x:c r="L765" s="34" t="n">
        <x:v>0.94</x:v>
      </x:c>
      <x:c r="M765" s="34" t="n">
        <x:v>0.1111111111111111</x:v>
      </x:c>
      <x:c r="N765" s="34" t="str">
        <x:v>yes</x:v>
      </x:c>
    </x:row>
    <x:row r="766">
      <x:c r="A766" s="34" t="n">
        <x:v>76</x:v>
      </x:c>
      <x:c r="B766" s="34" t="str">
        <x:f>IF('01_INPUT_COMPANIES'!$A$82="","",'01_INPUT_COMPANIES'!$A$82)</x:f>
      </x:c>
      <x:c r="C766" s="34" t="str">
        <x:f>IF(B766="","",'01_INPUT_COMPANIES'!$B$82)</x:f>
      </x:c>
      <x:c r="D766" s="34" t="str">
        <x:v>outflow_to_capex_ratio</x:v>
      </x:c>
      <x:c r="E766" s="42" t="str">
        <x:f>IF(OR(B766="",COUNT('01_INPUT_COMPANIES'!$AC$82)=0),"",'01_INPUT_COMPANIES'!$AC$82)</x:f>
      </x:c>
      <x:c r="F766" s="42" t="n">
        <x:v>1</x:v>
      </x:c>
      <x:c r="G766" s="42" t="str">
        <x:f>IF(NOT(ISNUMBER(E766)),"",MAX(K766,MIN(L766,E766*F766)))</x:f>
      </x:c>
      <x:c r="H766" s="42" t="n">
        <x:v>97</x:v>
      </x:c>
      <x:c r="I766" s="42" t="str">
        <x:f>IF(COUNT(G766)=0,"",(COUNTIFS('93_REF_ANCHORS'!$A$7:$A$766,D766,'93_REF_ANCHORS'!$C$7:$C$766,"&lt;"&amp;G766)+COUNTIFS('93_REF_ANCHORS'!$A$7:$A$766,D766,'93_REF_ANCHORS'!$C$7:$C$766,"&lt;="&amp;G766)-1)/(2*(H766-1)))</x:f>
      </x:c>
      <x:c r="J766" s="34" t="str">
        <x:f>IF(B766="","",IF(COUNT(E766)=0,"MISSING",IF(NOT(ISNUMBER(E766)),"INVALID",IF(E766*F766&lt;K766,"WINSORIZED LOW",IF(E766*F766&gt;L766,"WINSORIZED HIGH","OK")))))</x:f>
      </x:c>
      <x:c r="K766" s="34" t="n">
        <x:v>-123.5385890408</x:v>
      </x:c>
      <x:c r="L766" s="34" t="n">
        <x:v>974.1666666666999</x:v>
      </x:c>
      <x:c r="M766" s="34" t="n">
        <x:v>0.1111111111111111</x:v>
      </x:c>
      <x:c r="N766" s="34" t="str">
        <x:v>no</x:v>
      </x:c>
    </x:row>
    <x:row r="767">
      <x:c r="A767" s="34" t="n">
        <x:v>77</x:v>
      </x:c>
      <x:c r="B767" s="34" t="str">
        <x:f>IF('01_INPUT_COMPANIES'!$A$83="","",'01_INPUT_COMPANIES'!$A$83)</x:f>
      </x:c>
      <x:c r="C767" s="34" t="str">
        <x:f>IF(B767="","",'01_INPUT_COMPANIES'!$B$83)</x:f>
      </x:c>
      <x:c r="D767" s="34" t="str">
        <x:v>effective_tax_rate_gap</x:v>
      </x:c>
      <x:c r="E767" s="42" t="str">
        <x:f>IF(OR(B767="",COUNT('01_INPUT_COMPANIES'!$T$83)=0),"",'01_INPUT_COMPANIES'!$T$83)</x:f>
      </x:c>
      <x:c r="F767" s="42" t="n">
        <x:v>1</x:v>
      </x:c>
      <x:c r="G767" s="42" t="str">
        <x:f>IF(NOT(ISNUMBER(E767)),"",MAX(K767,MIN(L767,E767*F767)))</x:f>
      </x:c>
      <x:c r="H767" s="42" t="n">
        <x:v>74</x:v>
      </x:c>
      <x:c r="I767" s="42" t="str">
        <x:f>IF(COUNT(G767)=0,"",(COUNTIFS('93_REF_ANCHORS'!$A$7:$A$766,D767,'93_REF_ANCHORS'!$C$7:$C$766,"&lt;"&amp;G767)+COUNTIFS('93_REF_ANCHORS'!$A$7:$A$766,D767,'93_REF_ANCHORS'!$C$7:$C$766,"&lt;="&amp;G767)-1)/(2*(H767-1)))</x:f>
      </x:c>
      <x:c r="J767" s="34" t="str">
        <x:f>IF(B767="","",IF(COUNT(E767)=0,"MISSING",IF(NOT(ISNUMBER(E767)),"INVALID",IF(E767*F767&lt;K767,"WINSORIZED LOW",IF(E767*F767&gt;L767,"WINSORIZED HIGH","OK")))))</x:f>
      </x:c>
      <x:c r="K767" s="34" t="n">
        <x:v>-0.1416111014</x:v>
      </x:c>
      <x:c r="L767" s="34" t="n">
        <x:v>0.2683650488</x:v>
      </x:c>
      <x:c r="M767" s="34" t="n">
        <x:v>0.1111111111111111</x:v>
      </x:c>
      <x:c r="N767" s="34" t="str">
        <x:v>no</x:v>
      </x:c>
    </x:row>
    <x:row r="768">
      <x:c r="A768" s="34" t="n">
        <x:v>77</x:v>
      </x:c>
      <x:c r="B768" s="34" t="str">
        <x:f>IF('01_INPUT_COMPANIES'!$A$83="","",'01_INPUT_COMPANIES'!$A$83)</x:f>
      </x:c>
      <x:c r="C768" s="34" t="str">
        <x:f>IF(B768="","",'01_INPUT_COMPANIES'!$B$83)</x:f>
      </x:c>
      <x:c r="D768" s="34" t="str">
        <x:v>infra_dependency_ratio</x:v>
      </x:c>
      <x:c r="E768" s="42" t="str">
        <x:f>IF(OR(B768="",COUNT('01_INPUT_COMPANIES'!$U$83)=0),"",'01_INPUT_COMPANIES'!$U$83)</x:f>
      </x:c>
      <x:c r="F768" s="42" t="n">
        <x:v>1</x:v>
      </x:c>
      <x:c r="G768" s="42" t="str">
        <x:f>IF(NOT(ISNUMBER(E768)),"",MAX(K768,MIN(L768,E768*F768)))</x:f>
      </x:c>
      <x:c r="H768" s="42" t="n">
        <x:v>64</x:v>
      </x:c>
      <x:c r="I768" s="42" t="str">
        <x:f>IF(COUNT(G768)=0,"",(COUNTIFS('93_REF_ANCHORS'!$A$7:$A$766,D768,'93_REF_ANCHORS'!$C$7:$C$766,"&lt;"&amp;G768)+COUNTIFS('93_REF_ANCHORS'!$A$7:$A$766,D768,'93_REF_ANCHORS'!$C$7:$C$766,"&lt;="&amp;G768)-1)/(2*(H768-1)))</x:f>
      </x:c>
      <x:c r="J768" s="34" t="str">
        <x:f>IF(B768="","",IF(COUNT(E768)=0,"MISSING",IF(NOT(ISNUMBER(E768)),"INVALID",IF(E768*F768&lt;K768,"WINSORIZED LOW",IF(E768*F768&gt;L768,"WINSORIZED HIGH","OK")))))</x:f>
      </x:c>
      <x:c r="K768" s="34" t="n">
        <x:v>-0.10705024705171803</x:v>
      </x:c>
      <x:c r="L768" s="34" t="n">
        <x:v>0.8008753865408955</x:v>
      </x:c>
      <x:c r="M768" s="34" t="n">
        <x:v>0.1111111111111111</x:v>
      </x:c>
      <x:c r="N768" s="34" t="str">
        <x:v>no</x:v>
      </x:c>
    </x:row>
    <x:row r="769">
      <x:c r="A769" s="34" t="n">
        <x:v>77</x:v>
      </x:c>
      <x:c r="B769" s="34" t="str">
        <x:f>IF('01_INPUT_COMPANIES'!$A$83="","",'01_INPUT_COMPANIES'!$A$83)</x:f>
      </x:c>
      <x:c r="C769" s="34" t="str">
        <x:f>IF(B769="","",'01_INPUT_COMPANIES'!$B$83)</x:f>
      </x:c>
      <x:c r="D769" s="34" t="str">
        <x:v>network_cost_ratio</x:v>
      </x:c>
      <x:c r="E769" s="42" t="str">
        <x:f>IF(OR(B769="",COUNT('01_INPUT_COMPANIES'!$V$83)=0),"",'01_INPUT_COMPANIES'!$V$83)</x:f>
      </x:c>
      <x:c r="F769" s="42" t="n">
        <x:v>1</x:v>
      </x:c>
      <x:c r="G769" s="42" t="str">
        <x:f>IF(NOT(ISNUMBER(E769)),"",MAX(K769,MIN(L769,E769*F769)))</x:f>
      </x:c>
      <x:c r="H769" s="42" t="n">
        <x:v>97</x:v>
      </x:c>
      <x:c r="I769" s="42" t="str">
        <x:f>IF(COUNT(G769)=0,"",(COUNTIFS('93_REF_ANCHORS'!$A$7:$A$766,D769,'93_REF_ANCHORS'!$C$7:$C$766,"&lt;"&amp;G769)+COUNTIFS('93_REF_ANCHORS'!$A$7:$A$766,D769,'93_REF_ANCHORS'!$C$7:$C$766,"&lt;="&amp;G769)-1)/(2*(H769-1)))</x:f>
      </x:c>
      <x:c r="J769" s="34" t="str">
        <x:f>IF(B769="","",IF(COUNT(E769)=0,"MISSING",IF(NOT(ISNUMBER(E769)),"INVALID",IF(E769*F769&lt;K769,"WINSORIZED LOW",IF(E769*F769&gt;L769,"WINSORIZED HIGH","OK")))))</x:f>
      </x:c>
      <x:c r="K769" s="34" t="n">
        <x:v>-0.1395374353</x:v>
      </x:c>
      <x:c r="L769" s="34" t="n">
        <x:v>0.9274274845000001</x:v>
      </x:c>
      <x:c r="M769" s="34" t="n">
        <x:v>0.1111111111111111</x:v>
      </x:c>
      <x:c r="N769" s="34" t="str">
        <x:v>no</x:v>
      </x:c>
    </x:row>
    <x:row r="770">
      <x:c r="A770" s="34" t="n">
        <x:v>77</x:v>
      </x:c>
      <x:c r="B770" s="34" t="str">
        <x:f>IF('01_INPUT_COMPANIES'!$A$83="","",'01_INPUT_COMPANIES'!$A$83)</x:f>
      </x:c>
      <x:c r="C770" s="34" t="str">
        <x:f>IF(B770="","",'01_INPUT_COMPANIES'!$B$83)</x:f>
      </x:c>
      <x:c r="D770" s="34" t="str">
        <x:v>cashflow_recovery_ratio</x:v>
      </x:c>
      <x:c r="E770" s="42" t="str">
        <x:f>IF(OR(B770="",COUNT('01_INPUT_COMPANIES'!$W$83)=0),"",'01_INPUT_COMPANIES'!$W$83)</x:f>
      </x:c>
      <x:c r="F770" s="42" t="n">
        <x:v>-1</x:v>
      </x:c>
      <x:c r="G770" s="42" t="str">
        <x:f>IF(NOT(ISNUMBER(E770)),"",MAX(K770,MIN(L770,E770*F770)))</x:f>
      </x:c>
      <x:c r="H770" s="42" t="n">
        <x:v>95</x:v>
      </x:c>
      <x:c r="I770" s="42" t="str">
        <x:f>IF(COUNT(G770)=0,"",(COUNTIFS('93_REF_ANCHORS'!$A$7:$A$766,D770,'93_REF_ANCHORS'!$C$7:$C$766,"&lt;"&amp;G770)+COUNTIFS('93_REF_ANCHORS'!$A$7:$A$766,D770,'93_REF_ANCHORS'!$C$7:$C$766,"&lt;="&amp;G770)-1)/(2*(H770-1)))</x:f>
      </x:c>
      <x:c r="J770" s="34" t="str">
        <x:f>IF(B770="","",IF(COUNT(E770)=0,"MISSING",IF(NOT(ISNUMBER(E770)),"INVALID",IF(E770*F770&lt;K770,"WINSORIZED LOW",IF(E770*F770&gt;L770,"WINSORIZED HIGH","OK")))))</x:f>
      </x:c>
      <x:c r="K770" s="34" t="n">
        <x:v>-300.75</x:v>
      </x:c>
      <x:c r="L770" s="34" t="n">
        <x:v>42.6920305469</x:v>
      </x:c>
      <x:c r="M770" s="34" t="n">
        <x:v>0.08333333333333333</x:v>
      </x:c>
      <x:c r="N770" s="34" t="str">
        <x:v>no</x:v>
      </x:c>
    </x:row>
    <x:row r="771">
      <x:c r="A771" s="34" t="n">
        <x:v>77</x:v>
      </x:c>
      <x:c r="B771" s="34" t="str">
        <x:f>IF('01_INPUT_COMPANIES'!$A$83="","",'01_INPUT_COMPANIES'!$A$83)</x:f>
      </x:c>
      <x:c r="C771" s="34" t="str">
        <x:f>IF(B771="","",'01_INPUT_COMPANIES'!$B$83)</x:f>
      </x:c>
      <x:c r="D771" s="34" t="str">
        <x:v>funding_cost_spread</x:v>
      </x:c>
      <x:c r="E771" s="42" t="str">
        <x:f>IF(OR(B771="",COUNT('01_INPUT_COMPANIES'!$X$83)=0),"",'01_INPUT_COMPANIES'!$X$83)</x:f>
      </x:c>
      <x:c r="F771" s="42" t="n">
        <x:v>1</x:v>
      </x:c>
      <x:c r="G771" s="42" t="str">
        <x:f>IF(NOT(ISNUMBER(E771)),"",MAX(K771,MIN(L771,E771*F771)))</x:f>
      </x:c>
      <x:c r="H771" s="42" t="n">
        <x:v>58</x:v>
      </x:c>
      <x:c r="I771" s="42" t="str">
        <x:f>IF(COUNT(G771)=0,"",(COUNTIFS('93_REF_ANCHORS'!$A$7:$A$766,D771,'93_REF_ANCHORS'!$C$7:$C$766,"&lt;"&amp;G771)+COUNTIFS('93_REF_ANCHORS'!$A$7:$A$766,D771,'93_REF_ANCHORS'!$C$7:$C$766,"&lt;="&amp;G771)-1)/(2*(H771-1)))</x:f>
      </x:c>
      <x:c r="J771" s="34" t="str">
        <x:f>IF(B771="","",IF(COUNT(E771)=0,"MISSING",IF(NOT(ISNUMBER(E771)),"INVALID",IF(E771*F771&lt;K771,"WINSORIZED LOW",IF(E771*F771&gt;L771,"WINSORIZED HIGH","OK")))))</x:f>
      </x:c>
      <x:c r="K771" s="34" t="n">
        <x:v>-0.4430292903</x:v>
      </x:c>
      <x:c r="L771" s="34" t="n">
        <x:v>0.5068913103</x:v>
      </x:c>
      <x:c r="M771" s="34" t="n">
        <x:v>0.08333333333333333</x:v>
      </x:c>
      <x:c r="N771" s="34" t="str">
        <x:v>no</x:v>
      </x:c>
    </x:row>
    <x:row r="772">
      <x:c r="A772" s="34" t="n">
        <x:v>77</x:v>
      </x:c>
      <x:c r="B772" s="34" t="str">
        <x:f>IF('01_INPUT_COMPANIES'!$A$83="","",'01_INPUT_COMPANIES'!$A$83)</x:f>
      </x:c>
      <x:c r="C772" s="34" t="str">
        <x:f>IF(B772="","",'01_INPUT_COMPANIES'!$B$83)</x:f>
      </x:c>
      <x:c r="D772" s="34" t="str">
        <x:v>investment_recovery_ratio</x:v>
      </x:c>
      <x:c r="E772" s="42" t="str">
        <x:f>IF(OR(B772="",COUNT('01_INPUT_COMPANIES'!$Y$83)=0),"",'01_INPUT_COMPANIES'!$Y$83)</x:f>
      </x:c>
      <x:c r="F772" s="42" t="n">
        <x:v>-1</x:v>
      </x:c>
      <x:c r="G772" s="42" t="str">
        <x:f>IF(NOT(ISNUMBER(E772)),"",MAX(K772,MIN(L772,E772*F772)))</x:f>
      </x:c>
      <x:c r="H772" s="42" t="n">
        <x:v>95</x:v>
      </x:c>
      <x:c r="I772" s="42" t="str">
        <x:f>IF(COUNT(G772)=0,"",(COUNTIFS('93_REF_ANCHORS'!$A$7:$A$766,D772,'93_REF_ANCHORS'!$C$7:$C$766,"&lt;"&amp;G772)+COUNTIFS('93_REF_ANCHORS'!$A$7:$A$766,D772,'93_REF_ANCHORS'!$C$7:$C$766,"&lt;="&amp;G772)-1)/(2*(H772-1)))</x:f>
      </x:c>
      <x:c r="J772" s="34" t="str">
        <x:f>IF(B772="","",IF(COUNT(E772)=0,"MISSING",IF(NOT(ISNUMBER(E772)),"INVALID",IF(E772*F772&lt;K772,"WINSORIZED LOW",IF(E772*F772&gt;L772,"WINSORIZED HIGH","OK")))))</x:f>
      </x:c>
      <x:c r="K772" s="34" t="n">
        <x:v>-3163.7500000000014</x:v>
      </x:c>
      <x:c r="L772" s="34" t="n">
        <x:v>189.68191301719997</x:v>
      </x:c>
      <x:c r="M772" s="34" t="n">
        <x:v>0.08333333333333333</x:v>
      </x:c>
      <x:c r="N772" s="34" t="str">
        <x:v>no</x:v>
      </x:c>
    </x:row>
    <x:row r="773">
      <x:c r="A773" s="34" t="n">
        <x:v>77</x:v>
      </x:c>
      <x:c r="B773" s="34" t="str">
        <x:f>IF('01_INPUT_COMPANIES'!$A$83="","",'01_INPUT_COMPANIES'!$A$83)</x:f>
      </x:c>
      <x:c r="C773" s="34" t="str">
        <x:f>IF(B773="","",'01_INPUT_COMPANIES'!$B$83)</x:f>
      </x:c>
      <x:c r="D773" s="34" t="str">
        <x:v>ip_assetization_gap</x:v>
      </x:c>
      <x:c r="E773" s="42" t="str">
        <x:f>IF(OR(B773="",COUNT('01_INPUT_COMPANIES'!$Z$83)=0),"",'01_INPUT_COMPANIES'!$Z$83)</x:f>
      </x:c>
      <x:c r="F773" s="42" t="n">
        <x:v>1</x:v>
      </x:c>
      <x:c r="G773" s="42" t="str">
        <x:f>IF(NOT(ISNUMBER(E773)),"",MAX(K773,MIN(L773,E773*F773)))</x:f>
      </x:c>
      <x:c r="H773" s="42" t="n">
        <x:v>92</x:v>
      </x:c>
      <x:c r="I773" s="42" t="str">
        <x:f>IF(COUNT(G773)=0,"",(COUNTIFS('93_REF_ANCHORS'!$A$7:$A$766,D773,'93_REF_ANCHORS'!$C$7:$C$766,"&lt;"&amp;G773)+COUNTIFS('93_REF_ANCHORS'!$A$7:$A$766,D773,'93_REF_ANCHORS'!$C$7:$C$766,"&lt;="&amp;G773)-1)/(2*(H773-1)))</x:f>
      </x:c>
      <x:c r="J773" s="34" t="str">
        <x:f>IF(B773="","",IF(COUNT(E773)=0,"MISSING",IF(NOT(ISNUMBER(E773)),"INVALID",IF(E773*F773&lt;K773,"WINSORIZED LOW",IF(E773*F773&gt;L773,"WINSORIZED HIGH","OK")))))</x:f>
      </x:c>
      <x:c r="K773" s="34" t="n">
        <x:v>-1.6707152386</x:v>
      </x:c>
      <x:c r="L773" s="34" t="n">
        <x:v>0.7716332556000001</x:v>
      </x:c>
      <x:c r="M773" s="34" t="n">
        <x:v>0.08333333333333333</x:v>
      </x:c>
      <x:c r="N773" s="34" t="str">
        <x:v>no</x:v>
      </x:c>
    </x:row>
    <x:row r="774">
      <x:c r="A774" s="34" t="n">
        <x:v>77</x:v>
      </x:c>
      <x:c r="B774" s="34" t="str">
        <x:f>IF('01_INPUT_COMPANIES'!$A$83="","",'01_INPUT_COMPANIES'!$A$83)</x:f>
      </x:c>
      <x:c r="C774" s="34" t="str">
        <x:f>IF(B774="","",'01_INPUT_COMPANIES'!$B$83)</x:f>
      </x:c>
      <x:c r="D774" s="34" t="str">
        <x:v>cross_market_transfer_index</x:v>
      </x:c>
      <x:c r="E774" s="42" t="str">
        <x:f>IF(OR(B774="",COUNT('01_INPUT_COMPANIES'!$AA$83)=0),"",'01_INPUT_COMPANIES'!$AA$83)</x:f>
      </x:c>
      <x:c r="F774" s="42" t="n">
        <x:v>1</x:v>
      </x:c>
      <x:c r="G774" s="42" t="str">
        <x:f>IF(NOT(ISNUMBER(E774)),"",MAX(K774,MIN(L774,E774*F774)))</x:f>
      </x:c>
      <x:c r="H774" s="42" t="n">
        <x:v>4</x:v>
      </x:c>
      <x:c r="I774" s="42" t="str">
        <x:f>IF(COUNT(G774)=0,"",(COUNTIFS('93_REF_ANCHORS'!$A$7:$A$766,D774,'93_REF_ANCHORS'!$C$7:$C$766,"&lt;"&amp;G774)+COUNTIFS('93_REF_ANCHORS'!$A$7:$A$766,D774,'93_REF_ANCHORS'!$C$7:$C$766,"&lt;="&amp;G774)-1)/(2*(H774-1)))</x:f>
      </x:c>
      <x:c r="J774" s="34" t="str">
        <x:f>IF(B774="","",IF(COUNT(E774)=0,"MISSING",IF(NOT(ISNUMBER(E774)),"INVALID",IF(E774*F774&lt;K774,"WINSORIZED LOW",IF(E774*F774&gt;L774,"WINSORIZED HIGH","OK")))))</x:f>
      </x:c>
      <x:c r="K774" s="34" t="n">
        <x:v>0</x:v>
      </x:c>
      <x:c r="L774" s="34" t="n">
        <x:v>0.7587051325360435</x:v>
      </x:c>
      <x:c r="M774" s="34" t="n">
        <x:v>0.1111111111111111</x:v>
      </x:c>
      <x:c r="N774" s="34" t="str">
        <x:v>yes</x:v>
      </x:c>
    </x:row>
    <x:row r="775">
      <x:c r="A775" s="34" t="n">
        <x:v>77</x:v>
      </x:c>
      <x:c r="B775" s="34" t="str">
        <x:f>IF('01_INPUT_COMPANIES'!$A$83="","",'01_INPUT_COMPANIES'!$A$83)</x:f>
      </x:c>
      <x:c r="C775" s="34" t="str">
        <x:f>IF(B775="","",'01_INPUT_COMPANIES'!$B$83)</x:f>
      </x:c>
      <x:c r="D775" s="34" t="str">
        <x:v>foreign_dependency_ratio</x:v>
      </x:c>
      <x:c r="E775" s="42" t="str">
        <x:f>IF(OR(B775="",COUNT('01_INPUT_COMPANIES'!$AB$83)=0),"",'01_INPUT_COMPANIES'!$AB$83)</x:f>
      </x:c>
      <x:c r="F775" s="42" t="n">
        <x:v>1</x:v>
      </x:c>
      <x:c r="G775" s="42" t="str">
        <x:f>IF(NOT(ISNUMBER(E775)),"",MAX(K775,MIN(L775,E775*F775)))</x:f>
      </x:c>
      <x:c r="H775" s="42" t="n">
        <x:v>84</x:v>
      </x:c>
      <x:c r="I775" s="42" t="str">
        <x:f>IF(COUNT(G775)=0,"",(COUNTIFS('93_REF_ANCHORS'!$A$7:$A$766,D775,'93_REF_ANCHORS'!$C$7:$C$766,"&lt;"&amp;G775)+COUNTIFS('93_REF_ANCHORS'!$A$7:$A$766,D775,'93_REF_ANCHORS'!$C$7:$C$766,"&lt;="&amp;G775)-1)/(2*(H775-1)))</x:f>
      </x:c>
      <x:c r="J775" s="34" t="str">
        <x:f>IF(B775="","",IF(COUNT(E775)=0,"MISSING",IF(NOT(ISNUMBER(E775)),"INVALID",IF(E775*F775&lt;K775,"WINSORIZED LOW",IF(E775*F775&gt;L775,"WINSORIZED HIGH","OK")))))</x:f>
      </x:c>
      <x:c r="K775" s="34" t="n">
        <x:v>0.728196</x:v>
      </x:c>
      <x:c r="L775" s="34" t="n">
        <x:v>0.94</x:v>
      </x:c>
      <x:c r="M775" s="34" t="n">
        <x:v>0.1111111111111111</x:v>
      </x:c>
      <x:c r="N775" s="34" t="str">
        <x:v>yes</x:v>
      </x:c>
    </x:row>
    <x:row r="776">
      <x:c r="A776" s="34" t="n">
        <x:v>77</x:v>
      </x:c>
      <x:c r="B776" s="34" t="str">
        <x:f>IF('01_INPUT_COMPANIES'!$A$83="","",'01_INPUT_COMPANIES'!$A$83)</x:f>
      </x:c>
      <x:c r="C776" s="34" t="str">
        <x:f>IF(B776="","",'01_INPUT_COMPANIES'!$B$83)</x:f>
      </x:c>
      <x:c r="D776" s="34" t="str">
        <x:v>outflow_to_capex_ratio</x:v>
      </x:c>
      <x:c r="E776" s="42" t="str">
        <x:f>IF(OR(B776="",COUNT('01_INPUT_COMPANIES'!$AC$83)=0),"",'01_INPUT_COMPANIES'!$AC$83)</x:f>
      </x:c>
      <x:c r="F776" s="42" t="n">
        <x:v>1</x:v>
      </x:c>
      <x:c r="G776" s="42" t="str">
        <x:f>IF(NOT(ISNUMBER(E776)),"",MAX(K776,MIN(L776,E776*F776)))</x:f>
      </x:c>
      <x:c r="H776" s="42" t="n">
        <x:v>97</x:v>
      </x:c>
      <x:c r="I776" s="42" t="str">
        <x:f>IF(COUNT(G776)=0,"",(COUNTIFS('93_REF_ANCHORS'!$A$7:$A$766,D776,'93_REF_ANCHORS'!$C$7:$C$766,"&lt;"&amp;G776)+COUNTIFS('93_REF_ANCHORS'!$A$7:$A$766,D776,'93_REF_ANCHORS'!$C$7:$C$766,"&lt;="&amp;G776)-1)/(2*(H776-1)))</x:f>
      </x:c>
      <x:c r="J776" s="34" t="str">
        <x:f>IF(B776="","",IF(COUNT(E776)=0,"MISSING",IF(NOT(ISNUMBER(E776)),"INVALID",IF(E776*F776&lt;K776,"WINSORIZED LOW",IF(E776*F776&gt;L776,"WINSORIZED HIGH","OK")))))</x:f>
      </x:c>
      <x:c r="K776" s="34" t="n">
        <x:v>-123.5385890408</x:v>
      </x:c>
      <x:c r="L776" s="34" t="n">
        <x:v>974.1666666666999</x:v>
      </x:c>
      <x:c r="M776" s="34" t="n">
        <x:v>0.1111111111111111</x:v>
      </x:c>
      <x:c r="N776" s="34" t="str">
        <x:v>no</x:v>
      </x:c>
    </x:row>
    <x:row r="777">
      <x:c r="A777" s="34" t="n">
        <x:v>78</x:v>
      </x:c>
      <x:c r="B777" s="34" t="str">
        <x:f>IF('01_INPUT_COMPANIES'!$A$84="","",'01_INPUT_COMPANIES'!$A$84)</x:f>
      </x:c>
      <x:c r="C777" s="34" t="str">
        <x:f>IF(B777="","",'01_INPUT_COMPANIES'!$B$84)</x:f>
      </x:c>
      <x:c r="D777" s="34" t="str">
        <x:v>effective_tax_rate_gap</x:v>
      </x:c>
      <x:c r="E777" s="42" t="str">
        <x:f>IF(OR(B777="",COUNT('01_INPUT_COMPANIES'!$T$84)=0),"",'01_INPUT_COMPANIES'!$T$84)</x:f>
      </x:c>
      <x:c r="F777" s="42" t="n">
        <x:v>1</x:v>
      </x:c>
      <x:c r="G777" s="42" t="str">
        <x:f>IF(NOT(ISNUMBER(E777)),"",MAX(K777,MIN(L777,E777*F777)))</x:f>
      </x:c>
      <x:c r="H777" s="42" t="n">
        <x:v>74</x:v>
      </x:c>
      <x:c r="I777" s="42" t="str">
        <x:f>IF(COUNT(G777)=0,"",(COUNTIFS('93_REF_ANCHORS'!$A$7:$A$766,D777,'93_REF_ANCHORS'!$C$7:$C$766,"&lt;"&amp;G777)+COUNTIFS('93_REF_ANCHORS'!$A$7:$A$766,D777,'93_REF_ANCHORS'!$C$7:$C$766,"&lt;="&amp;G777)-1)/(2*(H777-1)))</x:f>
      </x:c>
      <x:c r="J777" s="34" t="str">
        <x:f>IF(B777="","",IF(COUNT(E777)=0,"MISSING",IF(NOT(ISNUMBER(E777)),"INVALID",IF(E777*F777&lt;K777,"WINSORIZED LOW",IF(E777*F777&gt;L777,"WINSORIZED HIGH","OK")))))</x:f>
      </x:c>
      <x:c r="K777" s="34" t="n">
        <x:v>-0.1416111014</x:v>
      </x:c>
      <x:c r="L777" s="34" t="n">
        <x:v>0.2683650488</x:v>
      </x:c>
      <x:c r="M777" s="34" t="n">
        <x:v>0.1111111111111111</x:v>
      </x:c>
      <x:c r="N777" s="34" t="str">
        <x:v>no</x:v>
      </x:c>
    </x:row>
    <x:row r="778">
      <x:c r="A778" s="34" t="n">
        <x:v>78</x:v>
      </x:c>
      <x:c r="B778" s="34" t="str">
        <x:f>IF('01_INPUT_COMPANIES'!$A$84="","",'01_INPUT_COMPANIES'!$A$84)</x:f>
      </x:c>
      <x:c r="C778" s="34" t="str">
        <x:f>IF(B778="","",'01_INPUT_COMPANIES'!$B$84)</x:f>
      </x:c>
      <x:c r="D778" s="34" t="str">
        <x:v>infra_dependency_ratio</x:v>
      </x:c>
      <x:c r="E778" s="42" t="str">
        <x:f>IF(OR(B778="",COUNT('01_INPUT_COMPANIES'!$U$84)=0),"",'01_INPUT_COMPANIES'!$U$84)</x:f>
      </x:c>
      <x:c r="F778" s="42" t="n">
        <x:v>1</x:v>
      </x:c>
      <x:c r="G778" s="42" t="str">
        <x:f>IF(NOT(ISNUMBER(E778)),"",MAX(K778,MIN(L778,E778*F778)))</x:f>
      </x:c>
      <x:c r="H778" s="42" t="n">
        <x:v>64</x:v>
      </x:c>
      <x:c r="I778" s="42" t="str">
        <x:f>IF(COUNT(G778)=0,"",(COUNTIFS('93_REF_ANCHORS'!$A$7:$A$766,D778,'93_REF_ANCHORS'!$C$7:$C$766,"&lt;"&amp;G778)+COUNTIFS('93_REF_ANCHORS'!$A$7:$A$766,D778,'93_REF_ANCHORS'!$C$7:$C$766,"&lt;="&amp;G778)-1)/(2*(H778-1)))</x:f>
      </x:c>
      <x:c r="J778" s="34" t="str">
        <x:f>IF(B778="","",IF(COUNT(E778)=0,"MISSING",IF(NOT(ISNUMBER(E778)),"INVALID",IF(E778*F778&lt;K778,"WINSORIZED LOW",IF(E778*F778&gt;L778,"WINSORIZED HIGH","OK")))))</x:f>
      </x:c>
      <x:c r="K778" s="34" t="n">
        <x:v>-0.10705024705171803</x:v>
      </x:c>
      <x:c r="L778" s="34" t="n">
        <x:v>0.8008753865408955</x:v>
      </x:c>
      <x:c r="M778" s="34" t="n">
        <x:v>0.1111111111111111</x:v>
      </x:c>
      <x:c r="N778" s="34" t="str">
        <x:v>no</x:v>
      </x:c>
    </x:row>
    <x:row r="779">
      <x:c r="A779" s="34" t="n">
        <x:v>78</x:v>
      </x:c>
      <x:c r="B779" s="34" t="str">
        <x:f>IF('01_INPUT_COMPANIES'!$A$84="","",'01_INPUT_COMPANIES'!$A$84)</x:f>
      </x:c>
      <x:c r="C779" s="34" t="str">
        <x:f>IF(B779="","",'01_INPUT_COMPANIES'!$B$84)</x:f>
      </x:c>
      <x:c r="D779" s="34" t="str">
        <x:v>network_cost_ratio</x:v>
      </x:c>
      <x:c r="E779" s="42" t="str">
        <x:f>IF(OR(B779="",COUNT('01_INPUT_COMPANIES'!$V$84)=0),"",'01_INPUT_COMPANIES'!$V$84)</x:f>
      </x:c>
      <x:c r="F779" s="42" t="n">
        <x:v>1</x:v>
      </x:c>
      <x:c r="G779" s="42" t="str">
        <x:f>IF(NOT(ISNUMBER(E779)),"",MAX(K779,MIN(L779,E779*F779)))</x:f>
      </x:c>
      <x:c r="H779" s="42" t="n">
        <x:v>97</x:v>
      </x:c>
      <x:c r="I779" s="42" t="str">
        <x:f>IF(COUNT(G779)=0,"",(COUNTIFS('93_REF_ANCHORS'!$A$7:$A$766,D779,'93_REF_ANCHORS'!$C$7:$C$766,"&lt;"&amp;G779)+COUNTIFS('93_REF_ANCHORS'!$A$7:$A$766,D779,'93_REF_ANCHORS'!$C$7:$C$766,"&lt;="&amp;G779)-1)/(2*(H779-1)))</x:f>
      </x:c>
      <x:c r="J779" s="34" t="str">
        <x:f>IF(B779="","",IF(COUNT(E779)=0,"MISSING",IF(NOT(ISNUMBER(E779)),"INVALID",IF(E779*F779&lt;K779,"WINSORIZED LOW",IF(E779*F779&gt;L779,"WINSORIZED HIGH","OK")))))</x:f>
      </x:c>
      <x:c r="K779" s="34" t="n">
        <x:v>-0.1395374353</x:v>
      </x:c>
      <x:c r="L779" s="34" t="n">
        <x:v>0.9274274845000001</x:v>
      </x:c>
      <x:c r="M779" s="34" t="n">
        <x:v>0.1111111111111111</x:v>
      </x:c>
      <x:c r="N779" s="34" t="str">
        <x:v>no</x:v>
      </x:c>
    </x:row>
    <x:row r="780">
      <x:c r="A780" s="34" t="n">
        <x:v>78</x:v>
      </x:c>
      <x:c r="B780" s="34" t="str">
        <x:f>IF('01_INPUT_COMPANIES'!$A$84="","",'01_INPUT_COMPANIES'!$A$84)</x:f>
      </x:c>
      <x:c r="C780" s="34" t="str">
        <x:f>IF(B780="","",'01_INPUT_COMPANIES'!$B$84)</x:f>
      </x:c>
      <x:c r="D780" s="34" t="str">
        <x:v>cashflow_recovery_ratio</x:v>
      </x:c>
      <x:c r="E780" s="42" t="str">
        <x:f>IF(OR(B780="",COUNT('01_INPUT_COMPANIES'!$W$84)=0),"",'01_INPUT_COMPANIES'!$W$84)</x:f>
      </x:c>
      <x:c r="F780" s="42" t="n">
        <x:v>-1</x:v>
      </x:c>
      <x:c r="G780" s="42" t="str">
        <x:f>IF(NOT(ISNUMBER(E780)),"",MAX(K780,MIN(L780,E780*F780)))</x:f>
      </x:c>
      <x:c r="H780" s="42" t="n">
        <x:v>95</x:v>
      </x:c>
      <x:c r="I780" s="42" t="str">
        <x:f>IF(COUNT(G780)=0,"",(COUNTIFS('93_REF_ANCHORS'!$A$7:$A$766,D780,'93_REF_ANCHORS'!$C$7:$C$766,"&lt;"&amp;G780)+COUNTIFS('93_REF_ANCHORS'!$A$7:$A$766,D780,'93_REF_ANCHORS'!$C$7:$C$766,"&lt;="&amp;G780)-1)/(2*(H780-1)))</x:f>
      </x:c>
      <x:c r="J780" s="34" t="str">
        <x:f>IF(B780="","",IF(COUNT(E780)=0,"MISSING",IF(NOT(ISNUMBER(E780)),"INVALID",IF(E780*F780&lt;K780,"WINSORIZED LOW",IF(E780*F780&gt;L780,"WINSORIZED HIGH","OK")))))</x:f>
      </x:c>
      <x:c r="K780" s="34" t="n">
        <x:v>-300.75</x:v>
      </x:c>
      <x:c r="L780" s="34" t="n">
        <x:v>42.6920305469</x:v>
      </x:c>
      <x:c r="M780" s="34" t="n">
        <x:v>0.08333333333333333</x:v>
      </x:c>
      <x:c r="N780" s="34" t="str">
        <x:v>no</x:v>
      </x:c>
    </x:row>
    <x:row r="781">
      <x:c r="A781" s="34" t="n">
        <x:v>78</x:v>
      </x:c>
      <x:c r="B781" s="34" t="str">
        <x:f>IF('01_INPUT_COMPANIES'!$A$84="","",'01_INPUT_COMPANIES'!$A$84)</x:f>
      </x:c>
      <x:c r="C781" s="34" t="str">
        <x:f>IF(B781="","",'01_INPUT_COMPANIES'!$B$84)</x:f>
      </x:c>
      <x:c r="D781" s="34" t="str">
        <x:v>funding_cost_spread</x:v>
      </x:c>
      <x:c r="E781" s="42" t="str">
        <x:f>IF(OR(B781="",COUNT('01_INPUT_COMPANIES'!$X$84)=0),"",'01_INPUT_COMPANIES'!$X$84)</x:f>
      </x:c>
      <x:c r="F781" s="42" t="n">
        <x:v>1</x:v>
      </x:c>
      <x:c r="G781" s="42" t="str">
        <x:f>IF(NOT(ISNUMBER(E781)),"",MAX(K781,MIN(L781,E781*F781)))</x:f>
      </x:c>
      <x:c r="H781" s="42" t="n">
        <x:v>58</x:v>
      </x:c>
      <x:c r="I781" s="42" t="str">
        <x:f>IF(COUNT(G781)=0,"",(COUNTIFS('93_REF_ANCHORS'!$A$7:$A$766,D781,'93_REF_ANCHORS'!$C$7:$C$766,"&lt;"&amp;G781)+COUNTIFS('93_REF_ANCHORS'!$A$7:$A$766,D781,'93_REF_ANCHORS'!$C$7:$C$766,"&lt;="&amp;G781)-1)/(2*(H781-1)))</x:f>
      </x:c>
      <x:c r="J781" s="34" t="str">
        <x:f>IF(B781="","",IF(COUNT(E781)=0,"MISSING",IF(NOT(ISNUMBER(E781)),"INVALID",IF(E781*F781&lt;K781,"WINSORIZED LOW",IF(E781*F781&gt;L781,"WINSORIZED HIGH","OK")))))</x:f>
      </x:c>
      <x:c r="K781" s="34" t="n">
        <x:v>-0.4430292903</x:v>
      </x:c>
      <x:c r="L781" s="34" t="n">
        <x:v>0.5068913103</x:v>
      </x:c>
      <x:c r="M781" s="34" t="n">
        <x:v>0.08333333333333333</x:v>
      </x:c>
      <x:c r="N781" s="34" t="str">
        <x:v>no</x:v>
      </x:c>
    </x:row>
    <x:row r="782">
      <x:c r="A782" s="34" t="n">
        <x:v>78</x:v>
      </x:c>
      <x:c r="B782" s="34" t="str">
        <x:f>IF('01_INPUT_COMPANIES'!$A$84="","",'01_INPUT_COMPANIES'!$A$84)</x:f>
      </x:c>
      <x:c r="C782" s="34" t="str">
        <x:f>IF(B782="","",'01_INPUT_COMPANIES'!$B$84)</x:f>
      </x:c>
      <x:c r="D782" s="34" t="str">
        <x:v>investment_recovery_ratio</x:v>
      </x:c>
      <x:c r="E782" s="42" t="str">
        <x:f>IF(OR(B782="",COUNT('01_INPUT_COMPANIES'!$Y$84)=0),"",'01_INPUT_COMPANIES'!$Y$84)</x:f>
      </x:c>
      <x:c r="F782" s="42" t="n">
        <x:v>-1</x:v>
      </x:c>
      <x:c r="G782" s="42" t="str">
        <x:f>IF(NOT(ISNUMBER(E782)),"",MAX(K782,MIN(L782,E782*F782)))</x:f>
      </x:c>
      <x:c r="H782" s="42" t="n">
        <x:v>95</x:v>
      </x:c>
      <x:c r="I782" s="42" t="str">
        <x:f>IF(COUNT(G782)=0,"",(COUNTIFS('93_REF_ANCHORS'!$A$7:$A$766,D782,'93_REF_ANCHORS'!$C$7:$C$766,"&lt;"&amp;G782)+COUNTIFS('93_REF_ANCHORS'!$A$7:$A$766,D782,'93_REF_ANCHORS'!$C$7:$C$766,"&lt;="&amp;G782)-1)/(2*(H782-1)))</x:f>
      </x:c>
      <x:c r="J782" s="34" t="str">
        <x:f>IF(B782="","",IF(COUNT(E782)=0,"MISSING",IF(NOT(ISNUMBER(E782)),"INVALID",IF(E782*F782&lt;K782,"WINSORIZED LOW",IF(E782*F782&gt;L782,"WINSORIZED HIGH","OK")))))</x:f>
      </x:c>
      <x:c r="K782" s="34" t="n">
        <x:v>-3163.7500000000014</x:v>
      </x:c>
      <x:c r="L782" s="34" t="n">
        <x:v>189.68191301719997</x:v>
      </x:c>
      <x:c r="M782" s="34" t="n">
        <x:v>0.08333333333333333</x:v>
      </x:c>
      <x:c r="N782" s="34" t="str">
        <x:v>no</x:v>
      </x:c>
    </x:row>
    <x:row r="783">
      <x:c r="A783" s="34" t="n">
        <x:v>78</x:v>
      </x:c>
      <x:c r="B783" s="34" t="str">
        <x:f>IF('01_INPUT_COMPANIES'!$A$84="","",'01_INPUT_COMPANIES'!$A$84)</x:f>
      </x:c>
      <x:c r="C783" s="34" t="str">
        <x:f>IF(B783="","",'01_INPUT_COMPANIES'!$B$84)</x:f>
      </x:c>
      <x:c r="D783" s="34" t="str">
        <x:v>ip_assetization_gap</x:v>
      </x:c>
      <x:c r="E783" s="42" t="str">
        <x:f>IF(OR(B783="",COUNT('01_INPUT_COMPANIES'!$Z$84)=0),"",'01_INPUT_COMPANIES'!$Z$84)</x:f>
      </x:c>
      <x:c r="F783" s="42" t="n">
        <x:v>1</x:v>
      </x:c>
      <x:c r="G783" s="42" t="str">
        <x:f>IF(NOT(ISNUMBER(E783)),"",MAX(K783,MIN(L783,E783*F783)))</x:f>
      </x:c>
      <x:c r="H783" s="42" t="n">
        <x:v>92</x:v>
      </x:c>
      <x:c r="I783" s="42" t="str">
        <x:f>IF(COUNT(G783)=0,"",(COUNTIFS('93_REF_ANCHORS'!$A$7:$A$766,D783,'93_REF_ANCHORS'!$C$7:$C$766,"&lt;"&amp;G783)+COUNTIFS('93_REF_ANCHORS'!$A$7:$A$766,D783,'93_REF_ANCHORS'!$C$7:$C$766,"&lt;="&amp;G783)-1)/(2*(H783-1)))</x:f>
      </x:c>
      <x:c r="J783" s="34" t="str">
        <x:f>IF(B783="","",IF(COUNT(E783)=0,"MISSING",IF(NOT(ISNUMBER(E783)),"INVALID",IF(E783*F783&lt;K783,"WINSORIZED LOW",IF(E783*F783&gt;L783,"WINSORIZED HIGH","OK")))))</x:f>
      </x:c>
      <x:c r="K783" s="34" t="n">
        <x:v>-1.6707152386</x:v>
      </x:c>
      <x:c r="L783" s="34" t="n">
        <x:v>0.7716332556000001</x:v>
      </x:c>
      <x:c r="M783" s="34" t="n">
        <x:v>0.08333333333333333</x:v>
      </x:c>
      <x:c r="N783" s="34" t="str">
        <x:v>no</x:v>
      </x:c>
    </x:row>
    <x:row r="784">
      <x:c r="A784" s="34" t="n">
        <x:v>78</x:v>
      </x:c>
      <x:c r="B784" s="34" t="str">
        <x:f>IF('01_INPUT_COMPANIES'!$A$84="","",'01_INPUT_COMPANIES'!$A$84)</x:f>
      </x:c>
      <x:c r="C784" s="34" t="str">
        <x:f>IF(B784="","",'01_INPUT_COMPANIES'!$B$84)</x:f>
      </x:c>
      <x:c r="D784" s="34" t="str">
        <x:v>cross_market_transfer_index</x:v>
      </x:c>
      <x:c r="E784" s="42" t="str">
        <x:f>IF(OR(B784="",COUNT('01_INPUT_COMPANIES'!$AA$84)=0),"",'01_INPUT_COMPANIES'!$AA$84)</x:f>
      </x:c>
      <x:c r="F784" s="42" t="n">
        <x:v>1</x:v>
      </x:c>
      <x:c r="G784" s="42" t="str">
        <x:f>IF(NOT(ISNUMBER(E784)),"",MAX(K784,MIN(L784,E784*F784)))</x:f>
      </x:c>
      <x:c r="H784" s="42" t="n">
        <x:v>4</x:v>
      </x:c>
      <x:c r="I784" s="42" t="str">
        <x:f>IF(COUNT(G784)=0,"",(COUNTIFS('93_REF_ANCHORS'!$A$7:$A$766,D784,'93_REF_ANCHORS'!$C$7:$C$766,"&lt;"&amp;G784)+COUNTIFS('93_REF_ANCHORS'!$A$7:$A$766,D784,'93_REF_ANCHORS'!$C$7:$C$766,"&lt;="&amp;G784)-1)/(2*(H784-1)))</x:f>
      </x:c>
      <x:c r="J784" s="34" t="str">
        <x:f>IF(B784="","",IF(COUNT(E784)=0,"MISSING",IF(NOT(ISNUMBER(E784)),"INVALID",IF(E784*F784&lt;K784,"WINSORIZED LOW",IF(E784*F784&gt;L784,"WINSORIZED HIGH","OK")))))</x:f>
      </x:c>
      <x:c r="K784" s="34" t="n">
        <x:v>0</x:v>
      </x:c>
      <x:c r="L784" s="34" t="n">
        <x:v>0.7587051325360435</x:v>
      </x:c>
      <x:c r="M784" s="34" t="n">
        <x:v>0.1111111111111111</x:v>
      </x:c>
      <x:c r="N784" s="34" t="str">
        <x:v>yes</x:v>
      </x:c>
    </x:row>
    <x:row r="785">
      <x:c r="A785" s="34" t="n">
        <x:v>78</x:v>
      </x:c>
      <x:c r="B785" s="34" t="str">
        <x:f>IF('01_INPUT_COMPANIES'!$A$84="","",'01_INPUT_COMPANIES'!$A$84)</x:f>
      </x:c>
      <x:c r="C785" s="34" t="str">
        <x:f>IF(B785="","",'01_INPUT_COMPANIES'!$B$84)</x:f>
      </x:c>
      <x:c r="D785" s="34" t="str">
        <x:v>foreign_dependency_ratio</x:v>
      </x:c>
      <x:c r="E785" s="42" t="str">
        <x:f>IF(OR(B785="",COUNT('01_INPUT_COMPANIES'!$AB$84)=0),"",'01_INPUT_COMPANIES'!$AB$84)</x:f>
      </x:c>
      <x:c r="F785" s="42" t="n">
        <x:v>1</x:v>
      </x:c>
      <x:c r="G785" s="42" t="str">
        <x:f>IF(NOT(ISNUMBER(E785)),"",MAX(K785,MIN(L785,E785*F785)))</x:f>
      </x:c>
      <x:c r="H785" s="42" t="n">
        <x:v>84</x:v>
      </x:c>
      <x:c r="I785" s="42" t="str">
        <x:f>IF(COUNT(G785)=0,"",(COUNTIFS('93_REF_ANCHORS'!$A$7:$A$766,D785,'93_REF_ANCHORS'!$C$7:$C$766,"&lt;"&amp;G785)+COUNTIFS('93_REF_ANCHORS'!$A$7:$A$766,D785,'93_REF_ANCHORS'!$C$7:$C$766,"&lt;="&amp;G785)-1)/(2*(H785-1)))</x:f>
      </x:c>
      <x:c r="J785" s="34" t="str">
        <x:f>IF(B785="","",IF(COUNT(E785)=0,"MISSING",IF(NOT(ISNUMBER(E785)),"INVALID",IF(E785*F785&lt;K785,"WINSORIZED LOW",IF(E785*F785&gt;L785,"WINSORIZED HIGH","OK")))))</x:f>
      </x:c>
      <x:c r="K785" s="34" t="n">
        <x:v>0.728196</x:v>
      </x:c>
      <x:c r="L785" s="34" t="n">
        <x:v>0.94</x:v>
      </x:c>
      <x:c r="M785" s="34" t="n">
        <x:v>0.1111111111111111</x:v>
      </x:c>
      <x:c r="N785" s="34" t="str">
        <x:v>yes</x:v>
      </x:c>
    </x:row>
    <x:row r="786">
      <x:c r="A786" s="34" t="n">
        <x:v>78</x:v>
      </x:c>
      <x:c r="B786" s="34" t="str">
        <x:f>IF('01_INPUT_COMPANIES'!$A$84="","",'01_INPUT_COMPANIES'!$A$84)</x:f>
      </x:c>
      <x:c r="C786" s="34" t="str">
        <x:f>IF(B786="","",'01_INPUT_COMPANIES'!$B$84)</x:f>
      </x:c>
      <x:c r="D786" s="34" t="str">
        <x:v>outflow_to_capex_ratio</x:v>
      </x:c>
      <x:c r="E786" s="42" t="str">
        <x:f>IF(OR(B786="",COUNT('01_INPUT_COMPANIES'!$AC$84)=0),"",'01_INPUT_COMPANIES'!$AC$84)</x:f>
      </x:c>
      <x:c r="F786" s="42" t="n">
        <x:v>1</x:v>
      </x:c>
      <x:c r="G786" s="42" t="str">
        <x:f>IF(NOT(ISNUMBER(E786)),"",MAX(K786,MIN(L786,E786*F786)))</x:f>
      </x:c>
      <x:c r="H786" s="42" t="n">
        <x:v>97</x:v>
      </x:c>
      <x:c r="I786" s="42" t="str">
        <x:f>IF(COUNT(G786)=0,"",(COUNTIFS('93_REF_ANCHORS'!$A$7:$A$766,D786,'93_REF_ANCHORS'!$C$7:$C$766,"&lt;"&amp;G786)+COUNTIFS('93_REF_ANCHORS'!$A$7:$A$766,D786,'93_REF_ANCHORS'!$C$7:$C$766,"&lt;="&amp;G786)-1)/(2*(H786-1)))</x:f>
      </x:c>
      <x:c r="J786" s="34" t="str">
        <x:f>IF(B786="","",IF(COUNT(E786)=0,"MISSING",IF(NOT(ISNUMBER(E786)),"INVALID",IF(E786*F786&lt;K786,"WINSORIZED LOW",IF(E786*F786&gt;L786,"WINSORIZED HIGH","OK")))))</x:f>
      </x:c>
      <x:c r="K786" s="34" t="n">
        <x:v>-123.5385890408</x:v>
      </x:c>
      <x:c r="L786" s="34" t="n">
        <x:v>974.1666666666999</x:v>
      </x:c>
      <x:c r="M786" s="34" t="n">
        <x:v>0.1111111111111111</x:v>
      </x:c>
      <x:c r="N786" s="34" t="str">
        <x:v>no</x:v>
      </x:c>
    </x:row>
    <x:row r="787">
      <x:c r="A787" s="34" t="n">
        <x:v>79</x:v>
      </x:c>
      <x:c r="B787" s="34" t="str">
        <x:f>IF('01_INPUT_COMPANIES'!$A$85="","",'01_INPUT_COMPANIES'!$A$85)</x:f>
      </x:c>
      <x:c r="C787" s="34" t="str">
        <x:f>IF(B787="","",'01_INPUT_COMPANIES'!$B$85)</x:f>
      </x:c>
      <x:c r="D787" s="34" t="str">
        <x:v>effective_tax_rate_gap</x:v>
      </x:c>
      <x:c r="E787" s="42" t="str">
        <x:f>IF(OR(B787="",COUNT('01_INPUT_COMPANIES'!$T$85)=0),"",'01_INPUT_COMPANIES'!$T$85)</x:f>
      </x:c>
      <x:c r="F787" s="42" t="n">
        <x:v>1</x:v>
      </x:c>
      <x:c r="G787" s="42" t="str">
        <x:f>IF(NOT(ISNUMBER(E787)),"",MAX(K787,MIN(L787,E787*F787)))</x:f>
      </x:c>
      <x:c r="H787" s="42" t="n">
        <x:v>74</x:v>
      </x:c>
      <x:c r="I787" s="42" t="str">
        <x:f>IF(COUNT(G787)=0,"",(COUNTIFS('93_REF_ANCHORS'!$A$7:$A$766,D787,'93_REF_ANCHORS'!$C$7:$C$766,"&lt;"&amp;G787)+COUNTIFS('93_REF_ANCHORS'!$A$7:$A$766,D787,'93_REF_ANCHORS'!$C$7:$C$766,"&lt;="&amp;G787)-1)/(2*(H787-1)))</x:f>
      </x:c>
      <x:c r="J787" s="34" t="str">
        <x:f>IF(B787="","",IF(COUNT(E787)=0,"MISSING",IF(NOT(ISNUMBER(E787)),"INVALID",IF(E787*F787&lt;K787,"WINSORIZED LOW",IF(E787*F787&gt;L787,"WINSORIZED HIGH","OK")))))</x:f>
      </x:c>
      <x:c r="K787" s="34" t="n">
        <x:v>-0.1416111014</x:v>
      </x:c>
      <x:c r="L787" s="34" t="n">
        <x:v>0.2683650488</x:v>
      </x:c>
      <x:c r="M787" s="34" t="n">
        <x:v>0.1111111111111111</x:v>
      </x:c>
      <x:c r="N787" s="34" t="str">
        <x:v>no</x:v>
      </x:c>
    </x:row>
    <x:row r="788">
      <x:c r="A788" s="34" t="n">
        <x:v>79</x:v>
      </x:c>
      <x:c r="B788" s="34" t="str">
        <x:f>IF('01_INPUT_COMPANIES'!$A$85="","",'01_INPUT_COMPANIES'!$A$85)</x:f>
      </x:c>
      <x:c r="C788" s="34" t="str">
        <x:f>IF(B788="","",'01_INPUT_COMPANIES'!$B$85)</x:f>
      </x:c>
      <x:c r="D788" s="34" t="str">
        <x:v>infra_dependency_ratio</x:v>
      </x:c>
      <x:c r="E788" s="42" t="str">
        <x:f>IF(OR(B788="",COUNT('01_INPUT_COMPANIES'!$U$85)=0),"",'01_INPUT_COMPANIES'!$U$85)</x:f>
      </x:c>
      <x:c r="F788" s="42" t="n">
        <x:v>1</x:v>
      </x:c>
      <x:c r="G788" s="42" t="str">
        <x:f>IF(NOT(ISNUMBER(E788)),"",MAX(K788,MIN(L788,E788*F788)))</x:f>
      </x:c>
      <x:c r="H788" s="42" t="n">
        <x:v>64</x:v>
      </x:c>
      <x:c r="I788" s="42" t="str">
        <x:f>IF(COUNT(G788)=0,"",(COUNTIFS('93_REF_ANCHORS'!$A$7:$A$766,D788,'93_REF_ANCHORS'!$C$7:$C$766,"&lt;"&amp;G788)+COUNTIFS('93_REF_ANCHORS'!$A$7:$A$766,D788,'93_REF_ANCHORS'!$C$7:$C$766,"&lt;="&amp;G788)-1)/(2*(H788-1)))</x:f>
      </x:c>
      <x:c r="J788" s="34" t="str">
        <x:f>IF(B788="","",IF(COUNT(E788)=0,"MISSING",IF(NOT(ISNUMBER(E788)),"INVALID",IF(E788*F788&lt;K788,"WINSORIZED LOW",IF(E788*F788&gt;L788,"WINSORIZED HIGH","OK")))))</x:f>
      </x:c>
      <x:c r="K788" s="34" t="n">
        <x:v>-0.10705024705171803</x:v>
      </x:c>
      <x:c r="L788" s="34" t="n">
        <x:v>0.8008753865408955</x:v>
      </x:c>
      <x:c r="M788" s="34" t="n">
        <x:v>0.1111111111111111</x:v>
      </x:c>
      <x:c r="N788" s="34" t="str">
        <x:v>no</x:v>
      </x:c>
    </x:row>
    <x:row r="789">
      <x:c r="A789" s="34" t="n">
        <x:v>79</x:v>
      </x:c>
      <x:c r="B789" s="34" t="str">
        <x:f>IF('01_INPUT_COMPANIES'!$A$85="","",'01_INPUT_COMPANIES'!$A$85)</x:f>
      </x:c>
      <x:c r="C789" s="34" t="str">
        <x:f>IF(B789="","",'01_INPUT_COMPANIES'!$B$85)</x:f>
      </x:c>
      <x:c r="D789" s="34" t="str">
        <x:v>network_cost_ratio</x:v>
      </x:c>
      <x:c r="E789" s="42" t="str">
        <x:f>IF(OR(B789="",COUNT('01_INPUT_COMPANIES'!$V$85)=0),"",'01_INPUT_COMPANIES'!$V$85)</x:f>
      </x:c>
      <x:c r="F789" s="42" t="n">
        <x:v>1</x:v>
      </x:c>
      <x:c r="G789" s="42" t="str">
        <x:f>IF(NOT(ISNUMBER(E789)),"",MAX(K789,MIN(L789,E789*F789)))</x:f>
      </x:c>
      <x:c r="H789" s="42" t="n">
        <x:v>97</x:v>
      </x:c>
      <x:c r="I789" s="42" t="str">
        <x:f>IF(COUNT(G789)=0,"",(COUNTIFS('93_REF_ANCHORS'!$A$7:$A$766,D789,'93_REF_ANCHORS'!$C$7:$C$766,"&lt;"&amp;G789)+COUNTIFS('93_REF_ANCHORS'!$A$7:$A$766,D789,'93_REF_ANCHORS'!$C$7:$C$766,"&lt;="&amp;G789)-1)/(2*(H789-1)))</x:f>
      </x:c>
      <x:c r="J789" s="34" t="str">
        <x:f>IF(B789="","",IF(COUNT(E789)=0,"MISSING",IF(NOT(ISNUMBER(E789)),"INVALID",IF(E789*F789&lt;K789,"WINSORIZED LOW",IF(E789*F789&gt;L789,"WINSORIZED HIGH","OK")))))</x:f>
      </x:c>
      <x:c r="K789" s="34" t="n">
        <x:v>-0.1395374353</x:v>
      </x:c>
      <x:c r="L789" s="34" t="n">
        <x:v>0.9274274845000001</x:v>
      </x:c>
      <x:c r="M789" s="34" t="n">
        <x:v>0.1111111111111111</x:v>
      </x:c>
      <x:c r="N789" s="34" t="str">
        <x:v>no</x:v>
      </x:c>
    </x:row>
    <x:row r="790">
      <x:c r="A790" s="34" t="n">
        <x:v>79</x:v>
      </x:c>
      <x:c r="B790" s="34" t="str">
        <x:f>IF('01_INPUT_COMPANIES'!$A$85="","",'01_INPUT_COMPANIES'!$A$85)</x:f>
      </x:c>
      <x:c r="C790" s="34" t="str">
        <x:f>IF(B790="","",'01_INPUT_COMPANIES'!$B$85)</x:f>
      </x:c>
      <x:c r="D790" s="34" t="str">
        <x:v>cashflow_recovery_ratio</x:v>
      </x:c>
      <x:c r="E790" s="42" t="str">
        <x:f>IF(OR(B790="",COUNT('01_INPUT_COMPANIES'!$W$85)=0),"",'01_INPUT_COMPANIES'!$W$85)</x:f>
      </x:c>
      <x:c r="F790" s="42" t="n">
        <x:v>-1</x:v>
      </x:c>
      <x:c r="G790" s="42" t="str">
        <x:f>IF(NOT(ISNUMBER(E790)),"",MAX(K790,MIN(L790,E790*F790)))</x:f>
      </x:c>
      <x:c r="H790" s="42" t="n">
        <x:v>95</x:v>
      </x:c>
      <x:c r="I790" s="42" t="str">
        <x:f>IF(COUNT(G790)=0,"",(COUNTIFS('93_REF_ANCHORS'!$A$7:$A$766,D790,'93_REF_ANCHORS'!$C$7:$C$766,"&lt;"&amp;G790)+COUNTIFS('93_REF_ANCHORS'!$A$7:$A$766,D790,'93_REF_ANCHORS'!$C$7:$C$766,"&lt;="&amp;G790)-1)/(2*(H790-1)))</x:f>
      </x:c>
      <x:c r="J790" s="34" t="str">
        <x:f>IF(B790="","",IF(COUNT(E790)=0,"MISSING",IF(NOT(ISNUMBER(E790)),"INVALID",IF(E790*F790&lt;K790,"WINSORIZED LOW",IF(E790*F790&gt;L790,"WINSORIZED HIGH","OK")))))</x:f>
      </x:c>
      <x:c r="K790" s="34" t="n">
        <x:v>-300.75</x:v>
      </x:c>
      <x:c r="L790" s="34" t="n">
        <x:v>42.6920305469</x:v>
      </x:c>
      <x:c r="M790" s="34" t="n">
        <x:v>0.08333333333333333</x:v>
      </x:c>
      <x:c r="N790" s="34" t="str">
        <x:v>no</x:v>
      </x:c>
    </x:row>
    <x:row r="791">
      <x:c r="A791" s="34" t="n">
        <x:v>79</x:v>
      </x:c>
      <x:c r="B791" s="34" t="str">
        <x:f>IF('01_INPUT_COMPANIES'!$A$85="","",'01_INPUT_COMPANIES'!$A$85)</x:f>
      </x:c>
      <x:c r="C791" s="34" t="str">
        <x:f>IF(B791="","",'01_INPUT_COMPANIES'!$B$85)</x:f>
      </x:c>
      <x:c r="D791" s="34" t="str">
        <x:v>funding_cost_spread</x:v>
      </x:c>
      <x:c r="E791" s="42" t="str">
        <x:f>IF(OR(B791="",COUNT('01_INPUT_COMPANIES'!$X$85)=0),"",'01_INPUT_COMPANIES'!$X$85)</x:f>
      </x:c>
      <x:c r="F791" s="42" t="n">
        <x:v>1</x:v>
      </x:c>
      <x:c r="G791" s="42" t="str">
        <x:f>IF(NOT(ISNUMBER(E791)),"",MAX(K791,MIN(L791,E791*F791)))</x:f>
      </x:c>
      <x:c r="H791" s="42" t="n">
        <x:v>58</x:v>
      </x:c>
      <x:c r="I791" s="42" t="str">
        <x:f>IF(COUNT(G791)=0,"",(COUNTIFS('93_REF_ANCHORS'!$A$7:$A$766,D791,'93_REF_ANCHORS'!$C$7:$C$766,"&lt;"&amp;G791)+COUNTIFS('93_REF_ANCHORS'!$A$7:$A$766,D791,'93_REF_ANCHORS'!$C$7:$C$766,"&lt;="&amp;G791)-1)/(2*(H791-1)))</x:f>
      </x:c>
      <x:c r="J791" s="34" t="str">
        <x:f>IF(B791="","",IF(COUNT(E791)=0,"MISSING",IF(NOT(ISNUMBER(E791)),"INVALID",IF(E791*F791&lt;K791,"WINSORIZED LOW",IF(E791*F791&gt;L791,"WINSORIZED HIGH","OK")))))</x:f>
      </x:c>
      <x:c r="K791" s="34" t="n">
        <x:v>-0.4430292903</x:v>
      </x:c>
      <x:c r="L791" s="34" t="n">
        <x:v>0.5068913103</x:v>
      </x:c>
      <x:c r="M791" s="34" t="n">
        <x:v>0.08333333333333333</x:v>
      </x:c>
      <x:c r="N791" s="34" t="str">
        <x:v>no</x:v>
      </x:c>
    </x:row>
    <x:row r="792">
      <x:c r="A792" s="34" t="n">
        <x:v>79</x:v>
      </x:c>
      <x:c r="B792" s="34" t="str">
        <x:f>IF('01_INPUT_COMPANIES'!$A$85="","",'01_INPUT_COMPANIES'!$A$85)</x:f>
      </x:c>
      <x:c r="C792" s="34" t="str">
        <x:f>IF(B792="","",'01_INPUT_COMPANIES'!$B$85)</x:f>
      </x:c>
      <x:c r="D792" s="34" t="str">
        <x:v>investment_recovery_ratio</x:v>
      </x:c>
      <x:c r="E792" s="42" t="str">
        <x:f>IF(OR(B792="",COUNT('01_INPUT_COMPANIES'!$Y$85)=0),"",'01_INPUT_COMPANIES'!$Y$85)</x:f>
      </x:c>
      <x:c r="F792" s="42" t="n">
        <x:v>-1</x:v>
      </x:c>
      <x:c r="G792" s="42" t="str">
        <x:f>IF(NOT(ISNUMBER(E792)),"",MAX(K792,MIN(L792,E792*F792)))</x:f>
      </x:c>
      <x:c r="H792" s="42" t="n">
        <x:v>95</x:v>
      </x:c>
      <x:c r="I792" s="42" t="str">
        <x:f>IF(COUNT(G792)=0,"",(COUNTIFS('93_REF_ANCHORS'!$A$7:$A$766,D792,'93_REF_ANCHORS'!$C$7:$C$766,"&lt;"&amp;G792)+COUNTIFS('93_REF_ANCHORS'!$A$7:$A$766,D792,'93_REF_ANCHORS'!$C$7:$C$766,"&lt;="&amp;G792)-1)/(2*(H792-1)))</x:f>
      </x:c>
      <x:c r="J792" s="34" t="str">
        <x:f>IF(B792="","",IF(COUNT(E792)=0,"MISSING",IF(NOT(ISNUMBER(E792)),"INVALID",IF(E792*F792&lt;K792,"WINSORIZED LOW",IF(E792*F792&gt;L792,"WINSORIZED HIGH","OK")))))</x:f>
      </x:c>
      <x:c r="K792" s="34" t="n">
        <x:v>-3163.7500000000014</x:v>
      </x:c>
      <x:c r="L792" s="34" t="n">
        <x:v>189.68191301719997</x:v>
      </x:c>
      <x:c r="M792" s="34" t="n">
        <x:v>0.08333333333333333</x:v>
      </x:c>
      <x:c r="N792" s="34" t="str">
        <x:v>no</x:v>
      </x:c>
    </x:row>
    <x:row r="793">
      <x:c r="A793" s="34" t="n">
        <x:v>79</x:v>
      </x:c>
      <x:c r="B793" s="34" t="str">
        <x:f>IF('01_INPUT_COMPANIES'!$A$85="","",'01_INPUT_COMPANIES'!$A$85)</x:f>
      </x:c>
      <x:c r="C793" s="34" t="str">
        <x:f>IF(B793="","",'01_INPUT_COMPANIES'!$B$85)</x:f>
      </x:c>
      <x:c r="D793" s="34" t="str">
        <x:v>ip_assetization_gap</x:v>
      </x:c>
      <x:c r="E793" s="42" t="str">
        <x:f>IF(OR(B793="",COUNT('01_INPUT_COMPANIES'!$Z$85)=0),"",'01_INPUT_COMPANIES'!$Z$85)</x:f>
      </x:c>
      <x:c r="F793" s="42" t="n">
        <x:v>1</x:v>
      </x:c>
      <x:c r="G793" s="42" t="str">
        <x:f>IF(NOT(ISNUMBER(E793)),"",MAX(K793,MIN(L793,E793*F793)))</x:f>
      </x:c>
      <x:c r="H793" s="42" t="n">
        <x:v>92</x:v>
      </x:c>
      <x:c r="I793" s="42" t="str">
        <x:f>IF(COUNT(G793)=0,"",(COUNTIFS('93_REF_ANCHORS'!$A$7:$A$766,D793,'93_REF_ANCHORS'!$C$7:$C$766,"&lt;"&amp;G793)+COUNTIFS('93_REF_ANCHORS'!$A$7:$A$766,D793,'93_REF_ANCHORS'!$C$7:$C$766,"&lt;="&amp;G793)-1)/(2*(H793-1)))</x:f>
      </x:c>
      <x:c r="J793" s="34" t="str">
        <x:f>IF(B793="","",IF(COUNT(E793)=0,"MISSING",IF(NOT(ISNUMBER(E793)),"INVALID",IF(E793*F793&lt;K793,"WINSORIZED LOW",IF(E793*F793&gt;L793,"WINSORIZED HIGH","OK")))))</x:f>
      </x:c>
      <x:c r="K793" s="34" t="n">
        <x:v>-1.6707152386</x:v>
      </x:c>
      <x:c r="L793" s="34" t="n">
        <x:v>0.7716332556000001</x:v>
      </x:c>
      <x:c r="M793" s="34" t="n">
        <x:v>0.08333333333333333</x:v>
      </x:c>
      <x:c r="N793" s="34" t="str">
        <x:v>no</x:v>
      </x:c>
    </x:row>
    <x:row r="794">
      <x:c r="A794" s="34" t="n">
        <x:v>79</x:v>
      </x:c>
      <x:c r="B794" s="34" t="str">
        <x:f>IF('01_INPUT_COMPANIES'!$A$85="","",'01_INPUT_COMPANIES'!$A$85)</x:f>
      </x:c>
      <x:c r="C794" s="34" t="str">
        <x:f>IF(B794="","",'01_INPUT_COMPANIES'!$B$85)</x:f>
      </x:c>
      <x:c r="D794" s="34" t="str">
        <x:v>cross_market_transfer_index</x:v>
      </x:c>
      <x:c r="E794" s="42" t="str">
        <x:f>IF(OR(B794="",COUNT('01_INPUT_COMPANIES'!$AA$85)=0),"",'01_INPUT_COMPANIES'!$AA$85)</x:f>
      </x:c>
      <x:c r="F794" s="42" t="n">
        <x:v>1</x:v>
      </x:c>
      <x:c r="G794" s="42" t="str">
        <x:f>IF(NOT(ISNUMBER(E794)),"",MAX(K794,MIN(L794,E794*F794)))</x:f>
      </x:c>
      <x:c r="H794" s="42" t="n">
        <x:v>4</x:v>
      </x:c>
      <x:c r="I794" s="42" t="str">
        <x:f>IF(COUNT(G794)=0,"",(COUNTIFS('93_REF_ANCHORS'!$A$7:$A$766,D794,'93_REF_ANCHORS'!$C$7:$C$766,"&lt;"&amp;G794)+COUNTIFS('93_REF_ANCHORS'!$A$7:$A$766,D794,'93_REF_ANCHORS'!$C$7:$C$766,"&lt;="&amp;G794)-1)/(2*(H794-1)))</x:f>
      </x:c>
      <x:c r="J794" s="34" t="str">
        <x:f>IF(B794="","",IF(COUNT(E794)=0,"MISSING",IF(NOT(ISNUMBER(E794)),"INVALID",IF(E794*F794&lt;K794,"WINSORIZED LOW",IF(E794*F794&gt;L794,"WINSORIZED HIGH","OK")))))</x:f>
      </x:c>
      <x:c r="K794" s="34" t="n">
        <x:v>0</x:v>
      </x:c>
      <x:c r="L794" s="34" t="n">
        <x:v>0.7587051325360435</x:v>
      </x:c>
      <x:c r="M794" s="34" t="n">
        <x:v>0.1111111111111111</x:v>
      </x:c>
      <x:c r="N794" s="34" t="str">
        <x:v>yes</x:v>
      </x:c>
    </x:row>
    <x:row r="795">
      <x:c r="A795" s="34" t="n">
        <x:v>79</x:v>
      </x:c>
      <x:c r="B795" s="34" t="str">
        <x:f>IF('01_INPUT_COMPANIES'!$A$85="","",'01_INPUT_COMPANIES'!$A$85)</x:f>
      </x:c>
      <x:c r="C795" s="34" t="str">
        <x:f>IF(B795="","",'01_INPUT_COMPANIES'!$B$85)</x:f>
      </x:c>
      <x:c r="D795" s="34" t="str">
        <x:v>foreign_dependency_ratio</x:v>
      </x:c>
      <x:c r="E795" s="42" t="str">
        <x:f>IF(OR(B795="",COUNT('01_INPUT_COMPANIES'!$AB$85)=0),"",'01_INPUT_COMPANIES'!$AB$85)</x:f>
      </x:c>
      <x:c r="F795" s="42" t="n">
        <x:v>1</x:v>
      </x:c>
      <x:c r="G795" s="42" t="str">
        <x:f>IF(NOT(ISNUMBER(E795)),"",MAX(K795,MIN(L795,E795*F795)))</x:f>
      </x:c>
      <x:c r="H795" s="42" t="n">
        <x:v>84</x:v>
      </x:c>
      <x:c r="I795" s="42" t="str">
        <x:f>IF(COUNT(G795)=0,"",(COUNTIFS('93_REF_ANCHORS'!$A$7:$A$766,D795,'93_REF_ANCHORS'!$C$7:$C$766,"&lt;"&amp;G795)+COUNTIFS('93_REF_ANCHORS'!$A$7:$A$766,D795,'93_REF_ANCHORS'!$C$7:$C$766,"&lt;="&amp;G795)-1)/(2*(H795-1)))</x:f>
      </x:c>
      <x:c r="J795" s="34" t="str">
        <x:f>IF(B795="","",IF(COUNT(E795)=0,"MISSING",IF(NOT(ISNUMBER(E795)),"INVALID",IF(E795*F795&lt;K795,"WINSORIZED LOW",IF(E795*F795&gt;L795,"WINSORIZED HIGH","OK")))))</x:f>
      </x:c>
      <x:c r="K795" s="34" t="n">
        <x:v>0.728196</x:v>
      </x:c>
      <x:c r="L795" s="34" t="n">
        <x:v>0.94</x:v>
      </x:c>
      <x:c r="M795" s="34" t="n">
        <x:v>0.1111111111111111</x:v>
      </x:c>
      <x:c r="N795" s="34" t="str">
        <x:v>yes</x:v>
      </x:c>
    </x:row>
    <x:row r="796">
      <x:c r="A796" s="34" t="n">
        <x:v>79</x:v>
      </x:c>
      <x:c r="B796" s="34" t="str">
        <x:f>IF('01_INPUT_COMPANIES'!$A$85="","",'01_INPUT_COMPANIES'!$A$85)</x:f>
      </x:c>
      <x:c r="C796" s="34" t="str">
        <x:f>IF(B796="","",'01_INPUT_COMPANIES'!$B$85)</x:f>
      </x:c>
      <x:c r="D796" s="34" t="str">
        <x:v>outflow_to_capex_ratio</x:v>
      </x:c>
      <x:c r="E796" s="42" t="str">
        <x:f>IF(OR(B796="",COUNT('01_INPUT_COMPANIES'!$AC$85)=0),"",'01_INPUT_COMPANIES'!$AC$85)</x:f>
      </x:c>
      <x:c r="F796" s="42" t="n">
        <x:v>1</x:v>
      </x:c>
      <x:c r="G796" s="42" t="str">
        <x:f>IF(NOT(ISNUMBER(E796)),"",MAX(K796,MIN(L796,E796*F796)))</x:f>
      </x:c>
      <x:c r="H796" s="42" t="n">
        <x:v>97</x:v>
      </x:c>
      <x:c r="I796" s="42" t="str">
        <x:f>IF(COUNT(G796)=0,"",(COUNTIFS('93_REF_ANCHORS'!$A$7:$A$766,D796,'93_REF_ANCHORS'!$C$7:$C$766,"&lt;"&amp;G796)+COUNTIFS('93_REF_ANCHORS'!$A$7:$A$766,D796,'93_REF_ANCHORS'!$C$7:$C$766,"&lt;="&amp;G796)-1)/(2*(H796-1)))</x:f>
      </x:c>
      <x:c r="J796" s="34" t="str">
        <x:f>IF(B796="","",IF(COUNT(E796)=0,"MISSING",IF(NOT(ISNUMBER(E796)),"INVALID",IF(E796*F796&lt;K796,"WINSORIZED LOW",IF(E796*F796&gt;L796,"WINSORIZED HIGH","OK")))))</x:f>
      </x:c>
      <x:c r="K796" s="34" t="n">
        <x:v>-123.5385890408</x:v>
      </x:c>
      <x:c r="L796" s="34" t="n">
        <x:v>974.1666666666999</x:v>
      </x:c>
      <x:c r="M796" s="34" t="n">
        <x:v>0.1111111111111111</x:v>
      </x:c>
      <x:c r="N796" s="34" t="str">
        <x:v>no</x:v>
      </x:c>
    </x:row>
    <x:row r="797">
      <x:c r="A797" s="34" t="n">
        <x:v>80</x:v>
      </x:c>
      <x:c r="B797" s="34" t="str">
        <x:f>IF('01_INPUT_COMPANIES'!$A$86="","",'01_INPUT_COMPANIES'!$A$86)</x:f>
      </x:c>
      <x:c r="C797" s="34" t="str">
        <x:f>IF(B797="","",'01_INPUT_COMPANIES'!$B$86)</x:f>
      </x:c>
      <x:c r="D797" s="34" t="str">
        <x:v>effective_tax_rate_gap</x:v>
      </x:c>
      <x:c r="E797" s="42" t="str">
        <x:f>IF(OR(B797="",COUNT('01_INPUT_COMPANIES'!$T$86)=0),"",'01_INPUT_COMPANIES'!$T$86)</x:f>
      </x:c>
      <x:c r="F797" s="42" t="n">
        <x:v>1</x:v>
      </x:c>
      <x:c r="G797" s="42" t="str">
        <x:f>IF(NOT(ISNUMBER(E797)),"",MAX(K797,MIN(L797,E797*F797)))</x:f>
      </x:c>
      <x:c r="H797" s="42" t="n">
        <x:v>74</x:v>
      </x:c>
      <x:c r="I797" s="42" t="str">
        <x:f>IF(COUNT(G797)=0,"",(COUNTIFS('93_REF_ANCHORS'!$A$7:$A$766,D797,'93_REF_ANCHORS'!$C$7:$C$766,"&lt;"&amp;G797)+COUNTIFS('93_REF_ANCHORS'!$A$7:$A$766,D797,'93_REF_ANCHORS'!$C$7:$C$766,"&lt;="&amp;G797)-1)/(2*(H797-1)))</x:f>
      </x:c>
      <x:c r="J797" s="34" t="str">
        <x:f>IF(B797="","",IF(COUNT(E797)=0,"MISSING",IF(NOT(ISNUMBER(E797)),"INVALID",IF(E797*F797&lt;K797,"WINSORIZED LOW",IF(E797*F797&gt;L797,"WINSORIZED HIGH","OK")))))</x:f>
      </x:c>
      <x:c r="K797" s="34" t="n">
        <x:v>-0.1416111014</x:v>
      </x:c>
      <x:c r="L797" s="34" t="n">
        <x:v>0.2683650488</x:v>
      </x:c>
      <x:c r="M797" s="34" t="n">
        <x:v>0.1111111111111111</x:v>
      </x:c>
      <x:c r="N797" s="34" t="str">
        <x:v>no</x:v>
      </x:c>
    </x:row>
    <x:row r="798">
      <x:c r="A798" s="34" t="n">
        <x:v>80</x:v>
      </x:c>
      <x:c r="B798" s="34" t="str">
        <x:f>IF('01_INPUT_COMPANIES'!$A$86="","",'01_INPUT_COMPANIES'!$A$86)</x:f>
      </x:c>
      <x:c r="C798" s="34" t="str">
        <x:f>IF(B798="","",'01_INPUT_COMPANIES'!$B$86)</x:f>
      </x:c>
      <x:c r="D798" s="34" t="str">
        <x:v>infra_dependency_ratio</x:v>
      </x:c>
      <x:c r="E798" s="42" t="str">
        <x:f>IF(OR(B798="",COUNT('01_INPUT_COMPANIES'!$U$86)=0),"",'01_INPUT_COMPANIES'!$U$86)</x:f>
      </x:c>
      <x:c r="F798" s="42" t="n">
        <x:v>1</x:v>
      </x:c>
      <x:c r="G798" s="42" t="str">
        <x:f>IF(NOT(ISNUMBER(E798)),"",MAX(K798,MIN(L798,E798*F798)))</x:f>
      </x:c>
      <x:c r="H798" s="42" t="n">
        <x:v>64</x:v>
      </x:c>
      <x:c r="I798" s="42" t="str">
        <x:f>IF(COUNT(G798)=0,"",(COUNTIFS('93_REF_ANCHORS'!$A$7:$A$766,D798,'93_REF_ANCHORS'!$C$7:$C$766,"&lt;"&amp;G798)+COUNTIFS('93_REF_ANCHORS'!$A$7:$A$766,D798,'93_REF_ANCHORS'!$C$7:$C$766,"&lt;="&amp;G798)-1)/(2*(H798-1)))</x:f>
      </x:c>
      <x:c r="J798" s="34" t="str">
        <x:f>IF(B798="","",IF(COUNT(E798)=0,"MISSING",IF(NOT(ISNUMBER(E798)),"INVALID",IF(E798*F798&lt;K798,"WINSORIZED LOW",IF(E798*F798&gt;L798,"WINSORIZED HIGH","OK")))))</x:f>
      </x:c>
      <x:c r="K798" s="34" t="n">
        <x:v>-0.10705024705171803</x:v>
      </x:c>
      <x:c r="L798" s="34" t="n">
        <x:v>0.8008753865408955</x:v>
      </x:c>
      <x:c r="M798" s="34" t="n">
        <x:v>0.1111111111111111</x:v>
      </x:c>
      <x:c r="N798" s="34" t="str">
        <x:v>no</x:v>
      </x:c>
    </x:row>
    <x:row r="799">
      <x:c r="A799" s="34" t="n">
        <x:v>80</x:v>
      </x:c>
      <x:c r="B799" s="34" t="str">
        <x:f>IF('01_INPUT_COMPANIES'!$A$86="","",'01_INPUT_COMPANIES'!$A$86)</x:f>
      </x:c>
      <x:c r="C799" s="34" t="str">
        <x:f>IF(B799="","",'01_INPUT_COMPANIES'!$B$86)</x:f>
      </x:c>
      <x:c r="D799" s="34" t="str">
        <x:v>network_cost_ratio</x:v>
      </x:c>
      <x:c r="E799" s="42" t="str">
        <x:f>IF(OR(B799="",COUNT('01_INPUT_COMPANIES'!$V$86)=0),"",'01_INPUT_COMPANIES'!$V$86)</x:f>
      </x:c>
      <x:c r="F799" s="42" t="n">
        <x:v>1</x:v>
      </x:c>
      <x:c r="G799" s="42" t="str">
        <x:f>IF(NOT(ISNUMBER(E799)),"",MAX(K799,MIN(L799,E799*F799)))</x:f>
      </x:c>
      <x:c r="H799" s="42" t="n">
        <x:v>97</x:v>
      </x:c>
      <x:c r="I799" s="42" t="str">
        <x:f>IF(COUNT(G799)=0,"",(COUNTIFS('93_REF_ANCHORS'!$A$7:$A$766,D799,'93_REF_ANCHORS'!$C$7:$C$766,"&lt;"&amp;G799)+COUNTIFS('93_REF_ANCHORS'!$A$7:$A$766,D799,'93_REF_ANCHORS'!$C$7:$C$766,"&lt;="&amp;G799)-1)/(2*(H799-1)))</x:f>
      </x:c>
      <x:c r="J799" s="34" t="str">
        <x:f>IF(B799="","",IF(COUNT(E799)=0,"MISSING",IF(NOT(ISNUMBER(E799)),"INVALID",IF(E799*F799&lt;K799,"WINSORIZED LOW",IF(E799*F799&gt;L799,"WINSORIZED HIGH","OK")))))</x:f>
      </x:c>
      <x:c r="K799" s="34" t="n">
        <x:v>-0.1395374353</x:v>
      </x:c>
      <x:c r="L799" s="34" t="n">
        <x:v>0.9274274845000001</x:v>
      </x:c>
      <x:c r="M799" s="34" t="n">
        <x:v>0.1111111111111111</x:v>
      </x:c>
      <x:c r="N799" s="34" t="str">
        <x:v>no</x:v>
      </x:c>
    </x:row>
    <x:row r="800">
      <x:c r="A800" s="34" t="n">
        <x:v>80</x:v>
      </x:c>
      <x:c r="B800" s="34" t="str">
        <x:f>IF('01_INPUT_COMPANIES'!$A$86="","",'01_INPUT_COMPANIES'!$A$86)</x:f>
      </x:c>
      <x:c r="C800" s="34" t="str">
        <x:f>IF(B800="","",'01_INPUT_COMPANIES'!$B$86)</x:f>
      </x:c>
      <x:c r="D800" s="34" t="str">
        <x:v>cashflow_recovery_ratio</x:v>
      </x:c>
      <x:c r="E800" s="42" t="str">
        <x:f>IF(OR(B800="",COUNT('01_INPUT_COMPANIES'!$W$86)=0),"",'01_INPUT_COMPANIES'!$W$86)</x:f>
      </x:c>
      <x:c r="F800" s="42" t="n">
        <x:v>-1</x:v>
      </x:c>
      <x:c r="G800" s="42" t="str">
        <x:f>IF(NOT(ISNUMBER(E800)),"",MAX(K800,MIN(L800,E800*F800)))</x:f>
      </x:c>
      <x:c r="H800" s="42" t="n">
        <x:v>95</x:v>
      </x:c>
      <x:c r="I800" s="42" t="str">
        <x:f>IF(COUNT(G800)=0,"",(COUNTIFS('93_REF_ANCHORS'!$A$7:$A$766,D800,'93_REF_ANCHORS'!$C$7:$C$766,"&lt;"&amp;G800)+COUNTIFS('93_REF_ANCHORS'!$A$7:$A$766,D800,'93_REF_ANCHORS'!$C$7:$C$766,"&lt;="&amp;G800)-1)/(2*(H800-1)))</x:f>
      </x:c>
      <x:c r="J800" s="34" t="str">
        <x:f>IF(B800="","",IF(COUNT(E800)=0,"MISSING",IF(NOT(ISNUMBER(E800)),"INVALID",IF(E800*F800&lt;K800,"WINSORIZED LOW",IF(E800*F800&gt;L800,"WINSORIZED HIGH","OK")))))</x:f>
      </x:c>
      <x:c r="K800" s="34" t="n">
        <x:v>-300.75</x:v>
      </x:c>
      <x:c r="L800" s="34" t="n">
        <x:v>42.6920305469</x:v>
      </x:c>
      <x:c r="M800" s="34" t="n">
        <x:v>0.08333333333333333</x:v>
      </x:c>
      <x:c r="N800" s="34" t="str">
        <x:v>no</x:v>
      </x:c>
    </x:row>
    <x:row r="801">
      <x:c r="A801" s="34" t="n">
        <x:v>80</x:v>
      </x:c>
      <x:c r="B801" s="34" t="str">
        <x:f>IF('01_INPUT_COMPANIES'!$A$86="","",'01_INPUT_COMPANIES'!$A$86)</x:f>
      </x:c>
      <x:c r="C801" s="34" t="str">
        <x:f>IF(B801="","",'01_INPUT_COMPANIES'!$B$86)</x:f>
      </x:c>
      <x:c r="D801" s="34" t="str">
        <x:v>funding_cost_spread</x:v>
      </x:c>
      <x:c r="E801" s="42" t="str">
        <x:f>IF(OR(B801="",COUNT('01_INPUT_COMPANIES'!$X$86)=0),"",'01_INPUT_COMPANIES'!$X$86)</x:f>
      </x:c>
      <x:c r="F801" s="42" t="n">
        <x:v>1</x:v>
      </x:c>
      <x:c r="G801" s="42" t="str">
        <x:f>IF(NOT(ISNUMBER(E801)),"",MAX(K801,MIN(L801,E801*F801)))</x:f>
      </x:c>
      <x:c r="H801" s="42" t="n">
        <x:v>58</x:v>
      </x:c>
      <x:c r="I801" s="42" t="str">
        <x:f>IF(COUNT(G801)=0,"",(COUNTIFS('93_REF_ANCHORS'!$A$7:$A$766,D801,'93_REF_ANCHORS'!$C$7:$C$766,"&lt;"&amp;G801)+COUNTIFS('93_REF_ANCHORS'!$A$7:$A$766,D801,'93_REF_ANCHORS'!$C$7:$C$766,"&lt;="&amp;G801)-1)/(2*(H801-1)))</x:f>
      </x:c>
      <x:c r="J801" s="34" t="str">
        <x:f>IF(B801="","",IF(COUNT(E801)=0,"MISSING",IF(NOT(ISNUMBER(E801)),"INVALID",IF(E801*F801&lt;K801,"WINSORIZED LOW",IF(E801*F801&gt;L801,"WINSORIZED HIGH","OK")))))</x:f>
      </x:c>
      <x:c r="K801" s="34" t="n">
        <x:v>-0.4430292903</x:v>
      </x:c>
      <x:c r="L801" s="34" t="n">
        <x:v>0.5068913103</x:v>
      </x:c>
      <x:c r="M801" s="34" t="n">
        <x:v>0.08333333333333333</x:v>
      </x:c>
      <x:c r="N801" s="34" t="str">
        <x:v>no</x:v>
      </x:c>
    </x:row>
    <x:row r="802">
      <x:c r="A802" s="34" t="n">
        <x:v>80</x:v>
      </x:c>
      <x:c r="B802" s="34" t="str">
        <x:f>IF('01_INPUT_COMPANIES'!$A$86="","",'01_INPUT_COMPANIES'!$A$86)</x:f>
      </x:c>
      <x:c r="C802" s="34" t="str">
        <x:f>IF(B802="","",'01_INPUT_COMPANIES'!$B$86)</x:f>
      </x:c>
      <x:c r="D802" s="34" t="str">
        <x:v>investment_recovery_ratio</x:v>
      </x:c>
      <x:c r="E802" s="42" t="str">
        <x:f>IF(OR(B802="",COUNT('01_INPUT_COMPANIES'!$Y$86)=0),"",'01_INPUT_COMPANIES'!$Y$86)</x:f>
      </x:c>
      <x:c r="F802" s="42" t="n">
        <x:v>-1</x:v>
      </x:c>
      <x:c r="G802" s="42" t="str">
        <x:f>IF(NOT(ISNUMBER(E802)),"",MAX(K802,MIN(L802,E802*F802)))</x:f>
      </x:c>
      <x:c r="H802" s="42" t="n">
        <x:v>95</x:v>
      </x:c>
      <x:c r="I802" s="42" t="str">
        <x:f>IF(COUNT(G802)=0,"",(COUNTIFS('93_REF_ANCHORS'!$A$7:$A$766,D802,'93_REF_ANCHORS'!$C$7:$C$766,"&lt;"&amp;G802)+COUNTIFS('93_REF_ANCHORS'!$A$7:$A$766,D802,'93_REF_ANCHORS'!$C$7:$C$766,"&lt;="&amp;G802)-1)/(2*(H802-1)))</x:f>
      </x:c>
      <x:c r="J802" s="34" t="str">
        <x:f>IF(B802="","",IF(COUNT(E802)=0,"MISSING",IF(NOT(ISNUMBER(E802)),"INVALID",IF(E802*F802&lt;K802,"WINSORIZED LOW",IF(E802*F802&gt;L802,"WINSORIZED HIGH","OK")))))</x:f>
      </x:c>
      <x:c r="K802" s="34" t="n">
        <x:v>-3163.7500000000014</x:v>
      </x:c>
      <x:c r="L802" s="34" t="n">
        <x:v>189.68191301719997</x:v>
      </x:c>
      <x:c r="M802" s="34" t="n">
        <x:v>0.08333333333333333</x:v>
      </x:c>
      <x:c r="N802" s="34" t="str">
        <x:v>no</x:v>
      </x:c>
    </x:row>
    <x:row r="803">
      <x:c r="A803" s="34" t="n">
        <x:v>80</x:v>
      </x:c>
      <x:c r="B803" s="34" t="str">
        <x:f>IF('01_INPUT_COMPANIES'!$A$86="","",'01_INPUT_COMPANIES'!$A$86)</x:f>
      </x:c>
      <x:c r="C803" s="34" t="str">
        <x:f>IF(B803="","",'01_INPUT_COMPANIES'!$B$86)</x:f>
      </x:c>
      <x:c r="D803" s="34" t="str">
        <x:v>ip_assetization_gap</x:v>
      </x:c>
      <x:c r="E803" s="42" t="str">
        <x:f>IF(OR(B803="",COUNT('01_INPUT_COMPANIES'!$Z$86)=0),"",'01_INPUT_COMPANIES'!$Z$86)</x:f>
      </x:c>
      <x:c r="F803" s="42" t="n">
        <x:v>1</x:v>
      </x:c>
      <x:c r="G803" s="42" t="str">
        <x:f>IF(NOT(ISNUMBER(E803)),"",MAX(K803,MIN(L803,E803*F803)))</x:f>
      </x:c>
      <x:c r="H803" s="42" t="n">
        <x:v>92</x:v>
      </x:c>
      <x:c r="I803" s="42" t="str">
        <x:f>IF(COUNT(G803)=0,"",(COUNTIFS('93_REF_ANCHORS'!$A$7:$A$766,D803,'93_REF_ANCHORS'!$C$7:$C$766,"&lt;"&amp;G803)+COUNTIFS('93_REF_ANCHORS'!$A$7:$A$766,D803,'93_REF_ANCHORS'!$C$7:$C$766,"&lt;="&amp;G803)-1)/(2*(H803-1)))</x:f>
      </x:c>
      <x:c r="J803" s="34" t="str">
        <x:f>IF(B803="","",IF(COUNT(E803)=0,"MISSING",IF(NOT(ISNUMBER(E803)),"INVALID",IF(E803*F803&lt;K803,"WINSORIZED LOW",IF(E803*F803&gt;L803,"WINSORIZED HIGH","OK")))))</x:f>
      </x:c>
      <x:c r="K803" s="34" t="n">
        <x:v>-1.6707152386</x:v>
      </x:c>
      <x:c r="L803" s="34" t="n">
        <x:v>0.7716332556000001</x:v>
      </x:c>
      <x:c r="M803" s="34" t="n">
        <x:v>0.08333333333333333</x:v>
      </x:c>
      <x:c r="N803" s="34" t="str">
        <x:v>no</x:v>
      </x:c>
    </x:row>
    <x:row r="804">
      <x:c r="A804" s="34" t="n">
        <x:v>80</x:v>
      </x:c>
      <x:c r="B804" s="34" t="str">
        <x:f>IF('01_INPUT_COMPANIES'!$A$86="","",'01_INPUT_COMPANIES'!$A$86)</x:f>
      </x:c>
      <x:c r="C804" s="34" t="str">
        <x:f>IF(B804="","",'01_INPUT_COMPANIES'!$B$86)</x:f>
      </x:c>
      <x:c r="D804" s="34" t="str">
        <x:v>cross_market_transfer_index</x:v>
      </x:c>
      <x:c r="E804" s="42" t="str">
        <x:f>IF(OR(B804="",COUNT('01_INPUT_COMPANIES'!$AA$86)=0),"",'01_INPUT_COMPANIES'!$AA$86)</x:f>
      </x:c>
      <x:c r="F804" s="42" t="n">
        <x:v>1</x:v>
      </x:c>
      <x:c r="G804" s="42" t="str">
        <x:f>IF(NOT(ISNUMBER(E804)),"",MAX(K804,MIN(L804,E804*F804)))</x:f>
      </x:c>
      <x:c r="H804" s="42" t="n">
        <x:v>4</x:v>
      </x:c>
      <x:c r="I804" s="42" t="str">
        <x:f>IF(COUNT(G804)=0,"",(COUNTIFS('93_REF_ANCHORS'!$A$7:$A$766,D804,'93_REF_ANCHORS'!$C$7:$C$766,"&lt;"&amp;G804)+COUNTIFS('93_REF_ANCHORS'!$A$7:$A$766,D804,'93_REF_ANCHORS'!$C$7:$C$766,"&lt;="&amp;G804)-1)/(2*(H804-1)))</x:f>
      </x:c>
      <x:c r="J804" s="34" t="str">
        <x:f>IF(B804="","",IF(COUNT(E804)=0,"MISSING",IF(NOT(ISNUMBER(E804)),"INVALID",IF(E804*F804&lt;K804,"WINSORIZED LOW",IF(E804*F804&gt;L804,"WINSORIZED HIGH","OK")))))</x:f>
      </x:c>
      <x:c r="K804" s="34" t="n">
        <x:v>0</x:v>
      </x:c>
      <x:c r="L804" s="34" t="n">
        <x:v>0.7587051325360435</x:v>
      </x:c>
      <x:c r="M804" s="34" t="n">
        <x:v>0.1111111111111111</x:v>
      </x:c>
      <x:c r="N804" s="34" t="str">
        <x:v>yes</x:v>
      </x:c>
    </x:row>
    <x:row r="805">
      <x:c r="A805" s="34" t="n">
        <x:v>80</x:v>
      </x:c>
      <x:c r="B805" s="34" t="str">
        <x:f>IF('01_INPUT_COMPANIES'!$A$86="","",'01_INPUT_COMPANIES'!$A$86)</x:f>
      </x:c>
      <x:c r="C805" s="34" t="str">
        <x:f>IF(B805="","",'01_INPUT_COMPANIES'!$B$86)</x:f>
      </x:c>
      <x:c r="D805" s="34" t="str">
        <x:v>foreign_dependency_ratio</x:v>
      </x:c>
      <x:c r="E805" s="42" t="str">
        <x:f>IF(OR(B805="",COUNT('01_INPUT_COMPANIES'!$AB$86)=0),"",'01_INPUT_COMPANIES'!$AB$86)</x:f>
      </x:c>
      <x:c r="F805" s="42" t="n">
        <x:v>1</x:v>
      </x:c>
      <x:c r="G805" s="42" t="str">
        <x:f>IF(NOT(ISNUMBER(E805)),"",MAX(K805,MIN(L805,E805*F805)))</x:f>
      </x:c>
      <x:c r="H805" s="42" t="n">
        <x:v>84</x:v>
      </x:c>
      <x:c r="I805" s="42" t="str">
        <x:f>IF(COUNT(G805)=0,"",(COUNTIFS('93_REF_ANCHORS'!$A$7:$A$766,D805,'93_REF_ANCHORS'!$C$7:$C$766,"&lt;"&amp;G805)+COUNTIFS('93_REF_ANCHORS'!$A$7:$A$766,D805,'93_REF_ANCHORS'!$C$7:$C$766,"&lt;="&amp;G805)-1)/(2*(H805-1)))</x:f>
      </x:c>
      <x:c r="J805" s="34" t="str">
        <x:f>IF(B805="","",IF(COUNT(E805)=0,"MISSING",IF(NOT(ISNUMBER(E805)),"INVALID",IF(E805*F805&lt;K805,"WINSORIZED LOW",IF(E805*F805&gt;L805,"WINSORIZED HIGH","OK")))))</x:f>
      </x:c>
      <x:c r="K805" s="34" t="n">
        <x:v>0.728196</x:v>
      </x:c>
      <x:c r="L805" s="34" t="n">
        <x:v>0.94</x:v>
      </x:c>
      <x:c r="M805" s="34" t="n">
        <x:v>0.1111111111111111</x:v>
      </x:c>
      <x:c r="N805" s="34" t="str">
        <x:v>yes</x:v>
      </x:c>
    </x:row>
    <x:row r="806">
      <x:c r="A806" s="34" t="n">
        <x:v>80</x:v>
      </x:c>
      <x:c r="B806" s="34" t="str">
        <x:f>IF('01_INPUT_COMPANIES'!$A$86="","",'01_INPUT_COMPANIES'!$A$86)</x:f>
      </x:c>
      <x:c r="C806" s="34" t="str">
        <x:f>IF(B806="","",'01_INPUT_COMPANIES'!$B$86)</x:f>
      </x:c>
      <x:c r="D806" s="34" t="str">
        <x:v>outflow_to_capex_ratio</x:v>
      </x:c>
      <x:c r="E806" s="42" t="str">
        <x:f>IF(OR(B806="",COUNT('01_INPUT_COMPANIES'!$AC$86)=0),"",'01_INPUT_COMPANIES'!$AC$86)</x:f>
      </x:c>
      <x:c r="F806" s="42" t="n">
        <x:v>1</x:v>
      </x:c>
      <x:c r="G806" s="42" t="str">
        <x:f>IF(NOT(ISNUMBER(E806)),"",MAX(K806,MIN(L806,E806*F806)))</x:f>
      </x:c>
      <x:c r="H806" s="42" t="n">
        <x:v>97</x:v>
      </x:c>
      <x:c r="I806" s="42" t="str">
        <x:f>IF(COUNT(G806)=0,"",(COUNTIFS('93_REF_ANCHORS'!$A$7:$A$766,D806,'93_REF_ANCHORS'!$C$7:$C$766,"&lt;"&amp;G806)+COUNTIFS('93_REF_ANCHORS'!$A$7:$A$766,D806,'93_REF_ANCHORS'!$C$7:$C$766,"&lt;="&amp;G806)-1)/(2*(H806-1)))</x:f>
      </x:c>
      <x:c r="J806" s="34" t="str">
        <x:f>IF(B806="","",IF(COUNT(E806)=0,"MISSING",IF(NOT(ISNUMBER(E806)),"INVALID",IF(E806*F806&lt;K806,"WINSORIZED LOW",IF(E806*F806&gt;L806,"WINSORIZED HIGH","OK")))))</x:f>
      </x:c>
      <x:c r="K806" s="34" t="n">
        <x:v>-123.5385890408</x:v>
      </x:c>
      <x:c r="L806" s="34" t="n">
        <x:v>974.1666666666999</x:v>
      </x:c>
      <x:c r="M806" s="34" t="n">
        <x:v>0.1111111111111111</x:v>
      </x:c>
      <x:c r="N806" s="34" t="str">
        <x:v>no</x:v>
      </x:c>
    </x:row>
    <x:row r="807">
      <x:c r="A807" s="34" t="n">
        <x:v>81</x:v>
      </x:c>
      <x:c r="B807" s="34" t="str">
        <x:f>IF('01_INPUT_COMPANIES'!$A$87="","",'01_INPUT_COMPANIES'!$A$87)</x:f>
      </x:c>
      <x:c r="C807" s="34" t="str">
        <x:f>IF(B807="","",'01_INPUT_COMPANIES'!$B$87)</x:f>
      </x:c>
      <x:c r="D807" s="34" t="str">
        <x:v>effective_tax_rate_gap</x:v>
      </x:c>
      <x:c r="E807" s="42" t="str">
        <x:f>IF(OR(B807="",COUNT('01_INPUT_COMPANIES'!$T$87)=0),"",'01_INPUT_COMPANIES'!$T$87)</x:f>
      </x:c>
      <x:c r="F807" s="42" t="n">
        <x:v>1</x:v>
      </x:c>
      <x:c r="G807" s="42" t="str">
        <x:f>IF(NOT(ISNUMBER(E807)),"",MAX(K807,MIN(L807,E807*F807)))</x:f>
      </x:c>
      <x:c r="H807" s="42" t="n">
        <x:v>74</x:v>
      </x:c>
      <x:c r="I807" s="42" t="str">
        <x:f>IF(COUNT(G807)=0,"",(COUNTIFS('93_REF_ANCHORS'!$A$7:$A$766,D807,'93_REF_ANCHORS'!$C$7:$C$766,"&lt;"&amp;G807)+COUNTIFS('93_REF_ANCHORS'!$A$7:$A$766,D807,'93_REF_ANCHORS'!$C$7:$C$766,"&lt;="&amp;G807)-1)/(2*(H807-1)))</x:f>
      </x:c>
      <x:c r="J807" s="34" t="str">
        <x:f>IF(B807="","",IF(COUNT(E807)=0,"MISSING",IF(NOT(ISNUMBER(E807)),"INVALID",IF(E807*F807&lt;K807,"WINSORIZED LOW",IF(E807*F807&gt;L807,"WINSORIZED HIGH","OK")))))</x:f>
      </x:c>
      <x:c r="K807" s="34" t="n">
        <x:v>-0.1416111014</x:v>
      </x:c>
      <x:c r="L807" s="34" t="n">
        <x:v>0.2683650488</x:v>
      </x:c>
      <x:c r="M807" s="34" t="n">
        <x:v>0.1111111111111111</x:v>
      </x:c>
      <x:c r="N807" s="34" t="str">
        <x:v>no</x:v>
      </x:c>
    </x:row>
    <x:row r="808">
      <x:c r="A808" s="34" t="n">
        <x:v>81</x:v>
      </x:c>
      <x:c r="B808" s="34" t="str">
        <x:f>IF('01_INPUT_COMPANIES'!$A$87="","",'01_INPUT_COMPANIES'!$A$87)</x:f>
      </x:c>
      <x:c r="C808" s="34" t="str">
        <x:f>IF(B808="","",'01_INPUT_COMPANIES'!$B$87)</x:f>
      </x:c>
      <x:c r="D808" s="34" t="str">
        <x:v>infra_dependency_ratio</x:v>
      </x:c>
      <x:c r="E808" s="42" t="str">
        <x:f>IF(OR(B808="",COUNT('01_INPUT_COMPANIES'!$U$87)=0),"",'01_INPUT_COMPANIES'!$U$87)</x:f>
      </x:c>
      <x:c r="F808" s="42" t="n">
        <x:v>1</x:v>
      </x:c>
      <x:c r="G808" s="42" t="str">
        <x:f>IF(NOT(ISNUMBER(E808)),"",MAX(K808,MIN(L808,E808*F808)))</x:f>
      </x:c>
      <x:c r="H808" s="42" t="n">
        <x:v>64</x:v>
      </x:c>
      <x:c r="I808" s="42" t="str">
        <x:f>IF(COUNT(G808)=0,"",(COUNTIFS('93_REF_ANCHORS'!$A$7:$A$766,D808,'93_REF_ANCHORS'!$C$7:$C$766,"&lt;"&amp;G808)+COUNTIFS('93_REF_ANCHORS'!$A$7:$A$766,D808,'93_REF_ANCHORS'!$C$7:$C$766,"&lt;="&amp;G808)-1)/(2*(H808-1)))</x:f>
      </x:c>
      <x:c r="J808" s="34" t="str">
        <x:f>IF(B808="","",IF(COUNT(E808)=0,"MISSING",IF(NOT(ISNUMBER(E808)),"INVALID",IF(E808*F808&lt;K808,"WINSORIZED LOW",IF(E808*F808&gt;L808,"WINSORIZED HIGH","OK")))))</x:f>
      </x:c>
      <x:c r="K808" s="34" t="n">
        <x:v>-0.10705024705171803</x:v>
      </x:c>
      <x:c r="L808" s="34" t="n">
        <x:v>0.8008753865408955</x:v>
      </x:c>
      <x:c r="M808" s="34" t="n">
        <x:v>0.1111111111111111</x:v>
      </x:c>
      <x:c r="N808" s="34" t="str">
        <x:v>no</x:v>
      </x:c>
    </x:row>
    <x:row r="809">
      <x:c r="A809" s="34" t="n">
        <x:v>81</x:v>
      </x:c>
      <x:c r="B809" s="34" t="str">
        <x:f>IF('01_INPUT_COMPANIES'!$A$87="","",'01_INPUT_COMPANIES'!$A$87)</x:f>
      </x:c>
      <x:c r="C809" s="34" t="str">
        <x:f>IF(B809="","",'01_INPUT_COMPANIES'!$B$87)</x:f>
      </x:c>
      <x:c r="D809" s="34" t="str">
        <x:v>network_cost_ratio</x:v>
      </x:c>
      <x:c r="E809" s="42" t="str">
        <x:f>IF(OR(B809="",COUNT('01_INPUT_COMPANIES'!$V$87)=0),"",'01_INPUT_COMPANIES'!$V$87)</x:f>
      </x:c>
      <x:c r="F809" s="42" t="n">
        <x:v>1</x:v>
      </x:c>
      <x:c r="G809" s="42" t="str">
        <x:f>IF(NOT(ISNUMBER(E809)),"",MAX(K809,MIN(L809,E809*F809)))</x:f>
      </x:c>
      <x:c r="H809" s="42" t="n">
        <x:v>97</x:v>
      </x:c>
      <x:c r="I809" s="42" t="str">
        <x:f>IF(COUNT(G809)=0,"",(COUNTIFS('93_REF_ANCHORS'!$A$7:$A$766,D809,'93_REF_ANCHORS'!$C$7:$C$766,"&lt;"&amp;G809)+COUNTIFS('93_REF_ANCHORS'!$A$7:$A$766,D809,'93_REF_ANCHORS'!$C$7:$C$766,"&lt;="&amp;G809)-1)/(2*(H809-1)))</x:f>
      </x:c>
      <x:c r="J809" s="34" t="str">
        <x:f>IF(B809="","",IF(COUNT(E809)=0,"MISSING",IF(NOT(ISNUMBER(E809)),"INVALID",IF(E809*F809&lt;K809,"WINSORIZED LOW",IF(E809*F809&gt;L809,"WINSORIZED HIGH","OK")))))</x:f>
      </x:c>
      <x:c r="K809" s="34" t="n">
        <x:v>-0.1395374353</x:v>
      </x:c>
      <x:c r="L809" s="34" t="n">
        <x:v>0.9274274845000001</x:v>
      </x:c>
      <x:c r="M809" s="34" t="n">
        <x:v>0.1111111111111111</x:v>
      </x:c>
      <x:c r="N809" s="34" t="str">
        <x:v>no</x:v>
      </x:c>
    </x:row>
    <x:row r="810">
      <x:c r="A810" s="34" t="n">
        <x:v>81</x:v>
      </x:c>
      <x:c r="B810" s="34" t="str">
        <x:f>IF('01_INPUT_COMPANIES'!$A$87="","",'01_INPUT_COMPANIES'!$A$87)</x:f>
      </x:c>
      <x:c r="C810" s="34" t="str">
        <x:f>IF(B810="","",'01_INPUT_COMPANIES'!$B$87)</x:f>
      </x:c>
      <x:c r="D810" s="34" t="str">
        <x:v>cashflow_recovery_ratio</x:v>
      </x:c>
      <x:c r="E810" s="42" t="str">
        <x:f>IF(OR(B810="",COUNT('01_INPUT_COMPANIES'!$W$87)=0),"",'01_INPUT_COMPANIES'!$W$87)</x:f>
      </x:c>
      <x:c r="F810" s="42" t="n">
        <x:v>-1</x:v>
      </x:c>
      <x:c r="G810" s="42" t="str">
        <x:f>IF(NOT(ISNUMBER(E810)),"",MAX(K810,MIN(L810,E810*F810)))</x:f>
      </x:c>
      <x:c r="H810" s="42" t="n">
        <x:v>95</x:v>
      </x:c>
      <x:c r="I810" s="42" t="str">
        <x:f>IF(COUNT(G810)=0,"",(COUNTIFS('93_REF_ANCHORS'!$A$7:$A$766,D810,'93_REF_ANCHORS'!$C$7:$C$766,"&lt;"&amp;G810)+COUNTIFS('93_REF_ANCHORS'!$A$7:$A$766,D810,'93_REF_ANCHORS'!$C$7:$C$766,"&lt;="&amp;G810)-1)/(2*(H810-1)))</x:f>
      </x:c>
      <x:c r="J810" s="34" t="str">
        <x:f>IF(B810="","",IF(COUNT(E810)=0,"MISSING",IF(NOT(ISNUMBER(E810)),"INVALID",IF(E810*F810&lt;K810,"WINSORIZED LOW",IF(E810*F810&gt;L810,"WINSORIZED HIGH","OK")))))</x:f>
      </x:c>
      <x:c r="K810" s="34" t="n">
        <x:v>-300.75</x:v>
      </x:c>
      <x:c r="L810" s="34" t="n">
        <x:v>42.6920305469</x:v>
      </x:c>
      <x:c r="M810" s="34" t="n">
        <x:v>0.08333333333333333</x:v>
      </x:c>
      <x:c r="N810" s="34" t="str">
        <x:v>no</x:v>
      </x:c>
    </x:row>
    <x:row r="811">
      <x:c r="A811" s="34" t="n">
        <x:v>81</x:v>
      </x:c>
      <x:c r="B811" s="34" t="str">
        <x:f>IF('01_INPUT_COMPANIES'!$A$87="","",'01_INPUT_COMPANIES'!$A$87)</x:f>
      </x:c>
      <x:c r="C811" s="34" t="str">
        <x:f>IF(B811="","",'01_INPUT_COMPANIES'!$B$87)</x:f>
      </x:c>
      <x:c r="D811" s="34" t="str">
        <x:v>funding_cost_spread</x:v>
      </x:c>
      <x:c r="E811" s="42" t="str">
        <x:f>IF(OR(B811="",COUNT('01_INPUT_COMPANIES'!$X$87)=0),"",'01_INPUT_COMPANIES'!$X$87)</x:f>
      </x:c>
      <x:c r="F811" s="42" t="n">
        <x:v>1</x:v>
      </x:c>
      <x:c r="G811" s="42" t="str">
        <x:f>IF(NOT(ISNUMBER(E811)),"",MAX(K811,MIN(L811,E811*F811)))</x:f>
      </x:c>
      <x:c r="H811" s="42" t="n">
        <x:v>58</x:v>
      </x:c>
      <x:c r="I811" s="42" t="str">
        <x:f>IF(COUNT(G811)=0,"",(COUNTIFS('93_REF_ANCHORS'!$A$7:$A$766,D811,'93_REF_ANCHORS'!$C$7:$C$766,"&lt;"&amp;G811)+COUNTIFS('93_REF_ANCHORS'!$A$7:$A$766,D811,'93_REF_ANCHORS'!$C$7:$C$766,"&lt;="&amp;G811)-1)/(2*(H811-1)))</x:f>
      </x:c>
      <x:c r="J811" s="34" t="str">
        <x:f>IF(B811="","",IF(COUNT(E811)=0,"MISSING",IF(NOT(ISNUMBER(E811)),"INVALID",IF(E811*F811&lt;K811,"WINSORIZED LOW",IF(E811*F811&gt;L811,"WINSORIZED HIGH","OK")))))</x:f>
      </x:c>
      <x:c r="K811" s="34" t="n">
        <x:v>-0.4430292903</x:v>
      </x:c>
      <x:c r="L811" s="34" t="n">
        <x:v>0.5068913103</x:v>
      </x:c>
      <x:c r="M811" s="34" t="n">
        <x:v>0.08333333333333333</x:v>
      </x:c>
      <x:c r="N811" s="34" t="str">
        <x:v>no</x:v>
      </x:c>
    </x:row>
    <x:row r="812">
      <x:c r="A812" s="34" t="n">
        <x:v>81</x:v>
      </x:c>
      <x:c r="B812" s="34" t="str">
        <x:f>IF('01_INPUT_COMPANIES'!$A$87="","",'01_INPUT_COMPANIES'!$A$87)</x:f>
      </x:c>
      <x:c r="C812" s="34" t="str">
        <x:f>IF(B812="","",'01_INPUT_COMPANIES'!$B$87)</x:f>
      </x:c>
      <x:c r="D812" s="34" t="str">
        <x:v>investment_recovery_ratio</x:v>
      </x:c>
      <x:c r="E812" s="42" t="str">
        <x:f>IF(OR(B812="",COUNT('01_INPUT_COMPANIES'!$Y$87)=0),"",'01_INPUT_COMPANIES'!$Y$87)</x:f>
      </x:c>
      <x:c r="F812" s="42" t="n">
        <x:v>-1</x:v>
      </x:c>
      <x:c r="G812" s="42" t="str">
        <x:f>IF(NOT(ISNUMBER(E812)),"",MAX(K812,MIN(L812,E812*F812)))</x:f>
      </x:c>
      <x:c r="H812" s="42" t="n">
        <x:v>95</x:v>
      </x:c>
      <x:c r="I812" s="42" t="str">
        <x:f>IF(COUNT(G812)=0,"",(COUNTIFS('93_REF_ANCHORS'!$A$7:$A$766,D812,'93_REF_ANCHORS'!$C$7:$C$766,"&lt;"&amp;G812)+COUNTIFS('93_REF_ANCHORS'!$A$7:$A$766,D812,'93_REF_ANCHORS'!$C$7:$C$766,"&lt;="&amp;G812)-1)/(2*(H812-1)))</x:f>
      </x:c>
      <x:c r="J812" s="34" t="str">
        <x:f>IF(B812="","",IF(COUNT(E812)=0,"MISSING",IF(NOT(ISNUMBER(E812)),"INVALID",IF(E812*F812&lt;K812,"WINSORIZED LOW",IF(E812*F812&gt;L812,"WINSORIZED HIGH","OK")))))</x:f>
      </x:c>
      <x:c r="K812" s="34" t="n">
        <x:v>-3163.7500000000014</x:v>
      </x:c>
      <x:c r="L812" s="34" t="n">
        <x:v>189.68191301719997</x:v>
      </x:c>
      <x:c r="M812" s="34" t="n">
        <x:v>0.08333333333333333</x:v>
      </x:c>
      <x:c r="N812" s="34" t="str">
        <x:v>no</x:v>
      </x:c>
    </x:row>
    <x:row r="813">
      <x:c r="A813" s="34" t="n">
        <x:v>81</x:v>
      </x:c>
      <x:c r="B813" s="34" t="str">
        <x:f>IF('01_INPUT_COMPANIES'!$A$87="","",'01_INPUT_COMPANIES'!$A$87)</x:f>
      </x:c>
      <x:c r="C813" s="34" t="str">
        <x:f>IF(B813="","",'01_INPUT_COMPANIES'!$B$87)</x:f>
      </x:c>
      <x:c r="D813" s="34" t="str">
        <x:v>ip_assetization_gap</x:v>
      </x:c>
      <x:c r="E813" s="42" t="str">
        <x:f>IF(OR(B813="",COUNT('01_INPUT_COMPANIES'!$Z$87)=0),"",'01_INPUT_COMPANIES'!$Z$87)</x:f>
      </x:c>
      <x:c r="F813" s="42" t="n">
        <x:v>1</x:v>
      </x:c>
      <x:c r="G813" s="42" t="str">
        <x:f>IF(NOT(ISNUMBER(E813)),"",MAX(K813,MIN(L813,E813*F813)))</x:f>
      </x:c>
      <x:c r="H813" s="42" t="n">
        <x:v>92</x:v>
      </x:c>
      <x:c r="I813" s="42" t="str">
        <x:f>IF(COUNT(G813)=0,"",(COUNTIFS('93_REF_ANCHORS'!$A$7:$A$766,D813,'93_REF_ANCHORS'!$C$7:$C$766,"&lt;"&amp;G813)+COUNTIFS('93_REF_ANCHORS'!$A$7:$A$766,D813,'93_REF_ANCHORS'!$C$7:$C$766,"&lt;="&amp;G813)-1)/(2*(H813-1)))</x:f>
      </x:c>
      <x:c r="J813" s="34" t="str">
        <x:f>IF(B813="","",IF(COUNT(E813)=0,"MISSING",IF(NOT(ISNUMBER(E813)),"INVALID",IF(E813*F813&lt;K813,"WINSORIZED LOW",IF(E813*F813&gt;L813,"WINSORIZED HIGH","OK")))))</x:f>
      </x:c>
      <x:c r="K813" s="34" t="n">
        <x:v>-1.6707152386</x:v>
      </x:c>
      <x:c r="L813" s="34" t="n">
        <x:v>0.7716332556000001</x:v>
      </x:c>
      <x:c r="M813" s="34" t="n">
        <x:v>0.08333333333333333</x:v>
      </x:c>
      <x:c r="N813" s="34" t="str">
        <x:v>no</x:v>
      </x:c>
    </x:row>
    <x:row r="814">
      <x:c r="A814" s="34" t="n">
        <x:v>81</x:v>
      </x:c>
      <x:c r="B814" s="34" t="str">
        <x:f>IF('01_INPUT_COMPANIES'!$A$87="","",'01_INPUT_COMPANIES'!$A$87)</x:f>
      </x:c>
      <x:c r="C814" s="34" t="str">
        <x:f>IF(B814="","",'01_INPUT_COMPANIES'!$B$87)</x:f>
      </x:c>
      <x:c r="D814" s="34" t="str">
        <x:v>cross_market_transfer_index</x:v>
      </x:c>
      <x:c r="E814" s="42" t="str">
        <x:f>IF(OR(B814="",COUNT('01_INPUT_COMPANIES'!$AA$87)=0),"",'01_INPUT_COMPANIES'!$AA$87)</x:f>
      </x:c>
      <x:c r="F814" s="42" t="n">
        <x:v>1</x:v>
      </x:c>
      <x:c r="G814" s="42" t="str">
        <x:f>IF(NOT(ISNUMBER(E814)),"",MAX(K814,MIN(L814,E814*F814)))</x:f>
      </x:c>
      <x:c r="H814" s="42" t="n">
        <x:v>4</x:v>
      </x:c>
      <x:c r="I814" s="42" t="str">
        <x:f>IF(COUNT(G814)=0,"",(COUNTIFS('93_REF_ANCHORS'!$A$7:$A$766,D814,'93_REF_ANCHORS'!$C$7:$C$766,"&lt;"&amp;G814)+COUNTIFS('93_REF_ANCHORS'!$A$7:$A$766,D814,'93_REF_ANCHORS'!$C$7:$C$766,"&lt;="&amp;G814)-1)/(2*(H814-1)))</x:f>
      </x:c>
      <x:c r="J814" s="34" t="str">
        <x:f>IF(B814="","",IF(COUNT(E814)=0,"MISSING",IF(NOT(ISNUMBER(E814)),"INVALID",IF(E814*F814&lt;K814,"WINSORIZED LOW",IF(E814*F814&gt;L814,"WINSORIZED HIGH","OK")))))</x:f>
      </x:c>
      <x:c r="K814" s="34" t="n">
        <x:v>0</x:v>
      </x:c>
      <x:c r="L814" s="34" t="n">
        <x:v>0.7587051325360435</x:v>
      </x:c>
      <x:c r="M814" s="34" t="n">
        <x:v>0.1111111111111111</x:v>
      </x:c>
      <x:c r="N814" s="34" t="str">
        <x:v>yes</x:v>
      </x:c>
    </x:row>
    <x:row r="815">
      <x:c r="A815" s="34" t="n">
        <x:v>81</x:v>
      </x:c>
      <x:c r="B815" s="34" t="str">
        <x:f>IF('01_INPUT_COMPANIES'!$A$87="","",'01_INPUT_COMPANIES'!$A$87)</x:f>
      </x:c>
      <x:c r="C815" s="34" t="str">
        <x:f>IF(B815="","",'01_INPUT_COMPANIES'!$B$87)</x:f>
      </x:c>
      <x:c r="D815" s="34" t="str">
        <x:v>foreign_dependency_ratio</x:v>
      </x:c>
      <x:c r="E815" s="42" t="str">
        <x:f>IF(OR(B815="",COUNT('01_INPUT_COMPANIES'!$AB$87)=0),"",'01_INPUT_COMPANIES'!$AB$87)</x:f>
      </x:c>
      <x:c r="F815" s="42" t="n">
        <x:v>1</x:v>
      </x:c>
      <x:c r="G815" s="42" t="str">
        <x:f>IF(NOT(ISNUMBER(E815)),"",MAX(K815,MIN(L815,E815*F815)))</x:f>
      </x:c>
      <x:c r="H815" s="42" t="n">
        <x:v>84</x:v>
      </x:c>
      <x:c r="I815" s="42" t="str">
        <x:f>IF(COUNT(G815)=0,"",(COUNTIFS('93_REF_ANCHORS'!$A$7:$A$766,D815,'93_REF_ANCHORS'!$C$7:$C$766,"&lt;"&amp;G815)+COUNTIFS('93_REF_ANCHORS'!$A$7:$A$766,D815,'93_REF_ANCHORS'!$C$7:$C$766,"&lt;="&amp;G815)-1)/(2*(H815-1)))</x:f>
      </x:c>
      <x:c r="J815" s="34" t="str">
        <x:f>IF(B815="","",IF(COUNT(E815)=0,"MISSING",IF(NOT(ISNUMBER(E815)),"INVALID",IF(E815*F815&lt;K815,"WINSORIZED LOW",IF(E815*F815&gt;L815,"WINSORIZED HIGH","OK")))))</x:f>
      </x:c>
      <x:c r="K815" s="34" t="n">
        <x:v>0.728196</x:v>
      </x:c>
      <x:c r="L815" s="34" t="n">
        <x:v>0.94</x:v>
      </x:c>
      <x:c r="M815" s="34" t="n">
        <x:v>0.1111111111111111</x:v>
      </x:c>
      <x:c r="N815" s="34" t="str">
        <x:v>yes</x:v>
      </x:c>
    </x:row>
    <x:row r="816">
      <x:c r="A816" s="34" t="n">
        <x:v>81</x:v>
      </x:c>
      <x:c r="B816" s="34" t="str">
        <x:f>IF('01_INPUT_COMPANIES'!$A$87="","",'01_INPUT_COMPANIES'!$A$87)</x:f>
      </x:c>
      <x:c r="C816" s="34" t="str">
        <x:f>IF(B816="","",'01_INPUT_COMPANIES'!$B$87)</x:f>
      </x:c>
      <x:c r="D816" s="34" t="str">
        <x:v>outflow_to_capex_ratio</x:v>
      </x:c>
      <x:c r="E816" s="42" t="str">
        <x:f>IF(OR(B816="",COUNT('01_INPUT_COMPANIES'!$AC$87)=0),"",'01_INPUT_COMPANIES'!$AC$87)</x:f>
      </x:c>
      <x:c r="F816" s="42" t="n">
        <x:v>1</x:v>
      </x:c>
      <x:c r="G816" s="42" t="str">
        <x:f>IF(NOT(ISNUMBER(E816)),"",MAX(K816,MIN(L816,E816*F816)))</x:f>
      </x:c>
      <x:c r="H816" s="42" t="n">
        <x:v>97</x:v>
      </x:c>
      <x:c r="I816" s="42" t="str">
        <x:f>IF(COUNT(G816)=0,"",(COUNTIFS('93_REF_ANCHORS'!$A$7:$A$766,D816,'93_REF_ANCHORS'!$C$7:$C$766,"&lt;"&amp;G816)+COUNTIFS('93_REF_ANCHORS'!$A$7:$A$766,D816,'93_REF_ANCHORS'!$C$7:$C$766,"&lt;="&amp;G816)-1)/(2*(H816-1)))</x:f>
      </x:c>
      <x:c r="J816" s="34" t="str">
        <x:f>IF(B816="","",IF(COUNT(E816)=0,"MISSING",IF(NOT(ISNUMBER(E816)),"INVALID",IF(E816*F816&lt;K816,"WINSORIZED LOW",IF(E816*F816&gt;L816,"WINSORIZED HIGH","OK")))))</x:f>
      </x:c>
      <x:c r="K816" s="34" t="n">
        <x:v>-123.5385890408</x:v>
      </x:c>
      <x:c r="L816" s="34" t="n">
        <x:v>974.1666666666999</x:v>
      </x:c>
      <x:c r="M816" s="34" t="n">
        <x:v>0.1111111111111111</x:v>
      </x:c>
      <x:c r="N816" s="34" t="str">
        <x:v>no</x:v>
      </x:c>
    </x:row>
    <x:row r="817">
      <x:c r="A817" s="34" t="n">
        <x:v>82</x:v>
      </x:c>
      <x:c r="B817" s="34" t="str">
        <x:f>IF('01_INPUT_COMPANIES'!$A$88="","",'01_INPUT_COMPANIES'!$A$88)</x:f>
      </x:c>
      <x:c r="C817" s="34" t="str">
        <x:f>IF(B817="","",'01_INPUT_COMPANIES'!$B$88)</x:f>
      </x:c>
      <x:c r="D817" s="34" t="str">
        <x:v>effective_tax_rate_gap</x:v>
      </x:c>
      <x:c r="E817" s="42" t="str">
        <x:f>IF(OR(B817="",COUNT('01_INPUT_COMPANIES'!$T$88)=0),"",'01_INPUT_COMPANIES'!$T$88)</x:f>
      </x:c>
      <x:c r="F817" s="42" t="n">
        <x:v>1</x:v>
      </x:c>
      <x:c r="G817" s="42" t="str">
        <x:f>IF(NOT(ISNUMBER(E817)),"",MAX(K817,MIN(L817,E817*F817)))</x:f>
      </x:c>
      <x:c r="H817" s="42" t="n">
        <x:v>74</x:v>
      </x:c>
      <x:c r="I817" s="42" t="str">
        <x:f>IF(COUNT(G817)=0,"",(COUNTIFS('93_REF_ANCHORS'!$A$7:$A$766,D817,'93_REF_ANCHORS'!$C$7:$C$766,"&lt;"&amp;G817)+COUNTIFS('93_REF_ANCHORS'!$A$7:$A$766,D817,'93_REF_ANCHORS'!$C$7:$C$766,"&lt;="&amp;G817)-1)/(2*(H817-1)))</x:f>
      </x:c>
      <x:c r="J817" s="34" t="str">
        <x:f>IF(B817="","",IF(COUNT(E817)=0,"MISSING",IF(NOT(ISNUMBER(E817)),"INVALID",IF(E817*F817&lt;K817,"WINSORIZED LOW",IF(E817*F817&gt;L817,"WINSORIZED HIGH","OK")))))</x:f>
      </x:c>
      <x:c r="K817" s="34" t="n">
        <x:v>-0.1416111014</x:v>
      </x:c>
      <x:c r="L817" s="34" t="n">
        <x:v>0.2683650488</x:v>
      </x:c>
      <x:c r="M817" s="34" t="n">
        <x:v>0.1111111111111111</x:v>
      </x:c>
      <x:c r="N817" s="34" t="str">
        <x:v>no</x:v>
      </x:c>
    </x:row>
    <x:row r="818">
      <x:c r="A818" s="34" t="n">
        <x:v>82</x:v>
      </x:c>
      <x:c r="B818" s="34" t="str">
        <x:f>IF('01_INPUT_COMPANIES'!$A$88="","",'01_INPUT_COMPANIES'!$A$88)</x:f>
      </x:c>
      <x:c r="C818" s="34" t="str">
        <x:f>IF(B818="","",'01_INPUT_COMPANIES'!$B$88)</x:f>
      </x:c>
      <x:c r="D818" s="34" t="str">
        <x:v>infra_dependency_ratio</x:v>
      </x:c>
      <x:c r="E818" s="42" t="str">
        <x:f>IF(OR(B818="",COUNT('01_INPUT_COMPANIES'!$U$88)=0),"",'01_INPUT_COMPANIES'!$U$88)</x:f>
      </x:c>
      <x:c r="F818" s="42" t="n">
        <x:v>1</x:v>
      </x:c>
      <x:c r="G818" s="42" t="str">
        <x:f>IF(NOT(ISNUMBER(E818)),"",MAX(K818,MIN(L818,E818*F818)))</x:f>
      </x:c>
      <x:c r="H818" s="42" t="n">
        <x:v>64</x:v>
      </x:c>
      <x:c r="I818" s="42" t="str">
        <x:f>IF(COUNT(G818)=0,"",(COUNTIFS('93_REF_ANCHORS'!$A$7:$A$766,D818,'93_REF_ANCHORS'!$C$7:$C$766,"&lt;"&amp;G818)+COUNTIFS('93_REF_ANCHORS'!$A$7:$A$766,D818,'93_REF_ANCHORS'!$C$7:$C$766,"&lt;="&amp;G818)-1)/(2*(H818-1)))</x:f>
      </x:c>
      <x:c r="J818" s="34" t="str">
        <x:f>IF(B818="","",IF(COUNT(E818)=0,"MISSING",IF(NOT(ISNUMBER(E818)),"INVALID",IF(E818*F818&lt;K818,"WINSORIZED LOW",IF(E818*F818&gt;L818,"WINSORIZED HIGH","OK")))))</x:f>
      </x:c>
      <x:c r="K818" s="34" t="n">
        <x:v>-0.10705024705171803</x:v>
      </x:c>
      <x:c r="L818" s="34" t="n">
        <x:v>0.8008753865408955</x:v>
      </x:c>
      <x:c r="M818" s="34" t="n">
        <x:v>0.1111111111111111</x:v>
      </x:c>
      <x:c r="N818" s="34" t="str">
        <x:v>no</x:v>
      </x:c>
    </x:row>
    <x:row r="819">
      <x:c r="A819" s="34" t="n">
        <x:v>82</x:v>
      </x:c>
      <x:c r="B819" s="34" t="str">
        <x:f>IF('01_INPUT_COMPANIES'!$A$88="","",'01_INPUT_COMPANIES'!$A$88)</x:f>
      </x:c>
      <x:c r="C819" s="34" t="str">
        <x:f>IF(B819="","",'01_INPUT_COMPANIES'!$B$88)</x:f>
      </x:c>
      <x:c r="D819" s="34" t="str">
        <x:v>network_cost_ratio</x:v>
      </x:c>
      <x:c r="E819" s="42" t="str">
        <x:f>IF(OR(B819="",COUNT('01_INPUT_COMPANIES'!$V$88)=0),"",'01_INPUT_COMPANIES'!$V$88)</x:f>
      </x:c>
      <x:c r="F819" s="42" t="n">
        <x:v>1</x:v>
      </x:c>
      <x:c r="G819" s="42" t="str">
        <x:f>IF(NOT(ISNUMBER(E819)),"",MAX(K819,MIN(L819,E819*F819)))</x:f>
      </x:c>
      <x:c r="H819" s="42" t="n">
        <x:v>97</x:v>
      </x:c>
      <x:c r="I819" s="42" t="str">
        <x:f>IF(COUNT(G819)=0,"",(COUNTIFS('93_REF_ANCHORS'!$A$7:$A$766,D819,'93_REF_ANCHORS'!$C$7:$C$766,"&lt;"&amp;G819)+COUNTIFS('93_REF_ANCHORS'!$A$7:$A$766,D819,'93_REF_ANCHORS'!$C$7:$C$766,"&lt;="&amp;G819)-1)/(2*(H819-1)))</x:f>
      </x:c>
      <x:c r="J819" s="34" t="str">
        <x:f>IF(B819="","",IF(COUNT(E819)=0,"MISSING",IF(NOT(ISNUMBER(E819)),"INVALID",IF(E819*F819&lt;K819,"WINSORIZED LOW",IF(E819*F819&gt;L819,"WINSORIZED HIGH","OK")))))</x:f>
      </x:c>
      <x:c r="K819" s="34" t="n">
        <x:v>-0.1395374353</x:v>
      </x:c>
      <x:c r="L819" s="34" t="n">
        <x:v>0.9274274845000001</x:v>
      </x:c>
      <x:c r="M819" s="34" t="n">
        <x:v>0.1111111111111111</x:v>
      </x:c>
      <x:c r="N819" s="34" t="str">
        <x:v>no</x:v>
      </x:c>
    </x:row>
    <x:row r="820">
      <x:c r="A820" s="34" t="n">
        <x:v>82</x:v>
      </x:c>
      <x:c r="B820" s="34" t="str">
        <x:f>IF('01_INPUT_COMPANIES'!$A$88="","",'01_INPUT_COMPANIES'!$A$88)</x:f>
      </x:c>
      <x:c r="C820" s="34" t="str">
        <x:f>IF(B820="","",'01_INPUT_COMPANIES'!$B$88)</x:f>
      </x:c>
      <x:c r="D820" s="34" t="str">
        <x:v>cashflow_recovery_ratio</x:v>
      </x:c>
      <x:c r="E820" s="42" t="str">
        <x:f>IF(OR(B820="",COUNT('01_INPUT_COMPANIES'!$W$88)=0),"",'01_INPUT_COMPANIES'!$W$88)</x:f>
      </x:c>
      <x:c r="F820" s="42" t="n">
        <x:v>-1</x:v>
      </x:c>
      <x:c r="G820" s="42" t="str">
        <x:f>IF(NOT(ISNUMBER(E820)),"",MAX(K820,MIN(L820,E820*F820)))</x:f>
      </x:c>
      <x:c r="H820" s="42" t="n">
        <x:v>95</x:v>
      </x:c>
      <x:c r="I820" s="42" t="str">
        <x:f>IF(COUNT(G820)=0,"",(COUNTIFS('93_REF_ANCHORS'!$A$7:$A$766,D820,'93_REF_ANCHORS'!$C$7:$C$766,"&lt;"&amp;G820)+COUNTIFS('93_REF_ANCHORS'!$A$7:$A$766,D820,'93_REF_ANCHORS'!$C$7:$C$766,"&lt;="&amp;G820)-1)/(2*(H820-1)))</x:f>
      </x:c>
      <x:c r="J820" s="34" t="str">
        <x:f>IF(B820="","",IF(COUNT(E820)=0,"MISSING",IF(NOT(ISNUMBER(E820)),"INVALID",IF(E820*F820&lt;K820,"WINSORIZED LOW",IF(E820*F820&gt;L820,"WINSORIZED HIGH","OK")))))</x:f>
      </x:c>
      <x:c r="K820" s="34" t="n">
        <x:v>-300.75</x:v>
      </x:c>
      <x:c r="L820" s="34" t="n">
        <x:v>42.6920305469</x:v>
      </x:c>
      <x:c r="M820" s="34" t="n">
        <x:v>0.08333333333333333</x:v>
      </x:c>
      <x:c r="N820" s="34" t="str">
        <x:v>no</x:v>
      </x:c>
    </x:row>
    <x:row r="821">
      <x:c r="A821" s="34" t="n">
        <x:v>82</x:v>
      </x:c>
      <x:c r="B821" s="34" t="str">
        <x:f>IF('01_INPUT_COMPANIES'!$A$88="","",'01_INPUT_COMPANIES'!$A$88)</x:f>
      </x:c>
      <x:c r="C821" s="34" t="str">
        <x:f>IF(B821="","",'01_INPUT_COMPANIES'!$B$88)</x:f>
      </x:c>
      <x:c r="D821" s="34" t="str">
        <x:v>funding_cost_spread</x:v>
      </x:c>
      <x:c r="E821" s="42" t="str">
        <x:f>IF(OR(B821="",COUNT('01_INPUT_COMPANIES'!$X$88)=0),"",'01_INPUT_COMPANIES'!$X$88)</x:f>
      </x:c>
      <x:c r="F821" s="42" t="n">
        <x:v>1</x:v>
      </x:c>
      <x:c r="G821" s="42" t="str">
        <x:f>IF(NOT(ISNUMBER(E821)),"",MAX(K821,MIN(L821,E821*F821)))</x:f>
      </x:c>
      <x:c r="H821" s="42" t="n">
        <x:v>58</x:v>
      </x:c>
      <x:c r="I821" s="42" t="str">
        <x:f>IF(COUNT(G821)=0,"",(COUNTIFS('93_REF_ANCHORS'!$A$7:$A$766,D821,'93_REF_ANCHORS'!$C$7:$C$766,"&lt;"&amp;G821)+COUNTIFS('93_REF_ANCHORS'!$A$7:$A$766,D821,'93_REF_ANCHORS'!$C$7:$C$766,"&lt;="&amp;G821)-1)/(2*(H821-1)))</x:f>
      </x:c>
      <x:c r="J821" s="34" t="str">
        <x:f>IF(B821="","",IF(COUNT(E821)=0,"MISSING",IF(NOT(ISNUMBER(E821)),"INVALID",IF(E821*F821&lt;K821,"WINSORIZED LOW",IF(E821*F821&gt;L821,"WINSORIZED HIGH","OK")))))</x:f>
      </x:c>
      <x:c r="K821" s="34" t="n">
        <x:v>-0.4430292903</x:v>
      </x:c>
      <x:c r="L821" s="34" t="n">
        <x:v>0.5068913103</x:v>
      </x:c>
      <x:c r="M821" s="34" t="n">
        <x:v>0.08333333333333333</x:v>
      </x:c>
      <x:c r="N821" s="34" t="str">
        <x:v>no</x:v>
      </x:c>
    </x:row>
    <x:row r="822">
      <x:c r="A822" s="34" t="n">
        <x:v>82</x:v>
      </x:c>
      <x:c r="B822" s="34" t="str">
        <x:f>IF('01_INPUT_COMPANIES'!$A$88="","",'01_INPUT_COMPANIES'!$A$88)</x:f>
      </x:c>
      <x:c r="C822" s="34" t="str">
        <x:f>IF(B822="","",'01_INPUT_COMPANIES'!$B$88)</x:f>
      </x:c>
      <x:c r="D822" s="34" t="str">
        <x:v>investment_recovery_ratio</x:v>
      </x:c>
      <x:c r="E822" s="42" t="str">
        <x:f>IF(OR(B822="",COUNT('01_INPUT_COMPANIES'!$Y$88)=0),"",'01_INPUT_COMPANIES'!$Y$88)</x:f>
      </x:c>
      <x:c r="F822" s="42" t="n">
        <x:v>-1</x:v>
      </x:c>
      <x:c r="G822" s="42" t="str">
        <x:f>IF(NOT(ISNUMBER(E822)),"",MAX(K822,MIN(L822,E822*F822)))</x:f>
      </x:c>
      <x:c r="H822" s="42" t="n">
        <x:v>95</x:v>
      </x:c>
      <x:c r="I822" s="42" t="str">
        <x:f>IF(COUNT(G822)=0,"",(COUNTIFS('93_REF_ANCHORS'!$A$7:$A$766,D822,'93_REF_ANCHORS'!$C$7:$C$766,"&lt;"&amp;G822)+COUNTIFS('93_REF_ANCHORS'!$A$7:$A$766,D822,'93_REF_ANCHORS'!$C$7:$C$766,"&lt;="&amp;G822)-1)/(2*(H822-1)))</x:f>
      </x:c>
      <x:c r="J822" s="34" t="str">
        <x:f>IF(B822="","",IF(COUNT(E822)=0,"MISSING",IF(NOT(ISNUMBER(E822)),"INVALID",IF(E822*F822&lt;K822,"WINSORIZED LOW",IF(E822*F822&gt;L822,"WINSORIZED HIGH","OK")))))</x:f>
      </x:c>
      <x:c r="K822" s="34" t="n">
        <x:v>-3163.7500000000014</x:v>
      </x:c>
      <x:c r="L822" s="34" t="n">
        <x:v>189.68191301719997</x:v>
      </x:c>
      <x:c r="M822" s="34" t="n">
        <x:v>0.08333333333333333</x:v>
      </x:c>
      <x:c r="N822" s="34" t="str">
        <x:v>no</x:v>
      </x:c>
    </x:row>
    <x:row r="823">
      <x:c r="A823" s="34" t="n">
        <x:v>82</x:v>
      </x:c>
      <x:c r="B823" s="34" t="str">
        <x:f>IF('01_INPUT_COMPANIES'!$A$88="","",'01_INPUT_COMPANIES'!$A$88)</x:f>
      </x:c>
      <x:c r="C823" s="34" t="str">
        <x:f>IF(B823="","",'01_INPUT_COMPANIES'!$B$88)</x:f>
      </x:c>
      <x:c r="D823" s="34" t="str">
        <x:v>ip_assetization_gap</x:v>
      </x:c>
      <x:c r="E823" s="42" t="str">
        <x:f>IF(OR(B823="",COUNT('01_INPUT_COMPANIES'!$Z$88)=0),"",'01_INPUT_COMPANIES'!$Z$88)</x:f>
      </x:c>
      <x:c r="F823" s="42" t="n">
        <x:v>1</x:v>
      </x:c>
      <x:c r="G823" s="42" t="str">
        <x:f>IF(NOT(ISNUMBER(E823)),"",MAX(K823,MIN(L823,E823*F823)))</x:f>
      </x:c>
      <x:c r="H823" s="42" t="n">
        <x:v>92</x:v>
      </x:c>
      <x:c r="I823" s="42" t="str">
        <x:f>IF(COUNT(G823)=0,"",(COUNTIFS('93_REF_ANCHORS'!$A$7:$A$766,D823,'93_REF_ANCHORS'!$C$7:$C$766,"&lt;"&amp;G823)+COUNTIFS('93_REF_ANCHORS'!$A$7:$A$766,D823,'93_REF_ANCHORS'!$C$7:$C$766,"&lt;="&amp;G823)-1)/(2*(H823-1)))</x:f>
      </x:c>
      <x:c r="J823" s="34" t="str">
        <x:f>IF(B823="","",IF(COUNT(E823)=0,"MISSING",IF(NOT(ISNUMBER(E823)),"INVALID",IF(E823*F823&lt;K823,"WINSORIZED LOW",IF(E823*F823&gt;L823,"WINSORIZED HIGH","OK")))))</x:f>
      </x:c>
      <x:c r="K823" s="34" t="n">
        <x:v>-1.6707152386</x:v>
      </x:c>
      <x:c r="L823" s="34" t="n">
        <x:v>0.7716332556000001</x:v>
      </x:c>
      <x:c r="M823" s="34" t="n">
        <x:v>0.08333333333333333</x:v>
      </x:c>
      <x:c r="N823" s="34" t="str">
        <x:v>no</x:v>
      </x:c>
    </x:row>
    <x:row r="824">
      <x:c r="A824" s="34" t="n">
        <x:v>82</x:v>
      </x:c>
      <x:c r="B824" s="34" t="str">
        <x:f>IF('01_INPUT_COMPANIES'!$A$88="","",'01_INPUT_COMPANIES'!$A$88)</x:f>
      </x:c>
      <x:c r="C824" s="34" t="str">
        <x:f>IF(B824="","",'01_INPUT_COMPANIES'!$B$88)</x:f>
      </x:c>
      <x:c r="D824" s="34" t="str">
        <x:v>cross_market_transfer_index</x:v>
      </x:c>
      <x:c r="E824" s="42" t="str">
        <x:f>IF(OR(B824="",COUNT('01_INPUT_COMPANIES'!$AA$88)=0),"",'01_INPUT_COMPANIES'!$AA$88)</x:f>
      </x:c>
      <x:c r="F824" s="42" t="n">
        <x:v>1</x:v>
      </x:c>
      <x:c r="G824" s="42" t="str">
        <x:f>IF(NOT(ISNUMBER(E824)),"",MAX(K824,MIN(L824,E824*F824)))</x:f>
      </x:c>
      <x:c r="H824" s="42" t="n">
        <x:v>4</x:v>
      </x:c>
      <x:c r="I824" s="42" t="str">
        <x:f>IF(COUNT(G824)=0,"",(COUNTIFS('93_REF_ANCHORS'!$A$7:$A$766,D824,'93_REF_ANCHORS'!$C$7:$C$766,"&lt;"&amp;G824)+COUNTIFS('93_REF_ANCHORS'!$A$7:$A$766,D824,'93_REF_ANCHORS'!$C$7:$C$766,"&lt;="&amp;G824)-1)/(2*(H824-1)))</x:f>
      </x:c>
      <x:c r="J824" s="34" t="str">
        <x:f>IF(B824="","",IF(COUNT(E824)=0,"MISSING",IF(NOT(ISNUMBER(E824)),"INVALID",IF(E824*F824&lt;K824,"WINSORIZED LOW",IF(E824*F824&gt;L824,"WINSORIZED HIGH","OK")))))</x:f>
      </x:c>
      <x:c r="K824" s="34" t="n">
        <x:v>0</x:v>
      </x:c>
      <x:c r="L824" s="34" t="n">
        <x:v>0.7587051325360435</x:v>
      </x:c>
      <x:c r="M824" s="34" t="n">
        <x:v>0.1111111111111111</x:v>
      </x:c>
      <x:c r="N824" s="34" t="str">
        <x:v>yes</x:v>
      </x:c>
    </x:row>
    <x:row r="825">
      <x:c r="A825" s="34" t="n">
        <x:v>82</x:v>
      </x:c>
      <x:c r="B825" s="34" t="str">
        <x:f>IF('01_INPUT_COMPANIES'!$A$88="","",'01_INPUT_COMPANIES'!$A$88)</x:f>
      </x:c>
      <x:c r="C825" s="34" t="str">
        <x:f>IF(B825="","",'01_INPUT_COMPANIES'!$B$88)</x:f>
      </x:c>
      <x:c r="D825" s="34" t="str">
        <x:v>foreign_dependency_ratio</x:v>
      </x:c>
      <x:c r="E825" s="42" t="str">
        <x:f>IF(OR(B825="",COUNT('01_INPUT_COMPANIES'!$AB$88)=0),"",'01_INPUT_COMPANIES'!$AB$88)</x:f>
      </x:c>
      <x:c r="F825" s="42" t="n">
        <x:v>1</x:v>
      </x:c>
      <x:c r="G825" s="42" t="str">
        <x:f>IF(NOT(ISNUMBER(E825)),"",MAX(K825,MIN(L825,E825*F825)))</x:f>
      </x:c>
      <x:c r="H825" s="42" t="n">
        <x:v>84</x:v>
      </x:c>
      <x:c r="I825" s="42" t="str">
        <x:f>IF(COUNT(G825)=0,"",(COUNTIFS('93_REF_ANCHORS'!$A$7:$A$766,D825,'93_REF_ANCHORS'!$C$7:$C$766,"&lt;"&amp;G825)+COUNTIFS('93_REF_ANCHORS'!$A$7:$A$766,D825,'93_REF_ANCHORS'!$C$7:$C$766,"&lt;="&amp;G825)-1)/(2*(H825-1)))</x:f>
      </x:c>
      <x:c r="J825" s="34" t="str">
        <x:f>IF(B825="","",IF(COUNT(E825)=0,"MISSING",IF(NOT(ISNUMBER(E825)),"INVALID",IF(E825*F825&lt;K825,"WINSORIZED LOW",IF(E825*F825&gt;L825,"WINSORIZED HIGH","OK")))))</x:f>
      </x:c>
      <x:c r="K825" s="34" t="n">
        <x:v>0.728196</x:v>
      </x:c>
      <x:c r="L825" s="34" t="n">
        <x:v>0.94</x:v>
      </x:c>
      <x:c r="M825" s="34" t="n">
        <x:v>0.1111111111111111</x:v>
      </x:c>
      <x:c r="N825" s="34" t="str">
        <x:v>yes</x:v>
      </x:c>
    </x:row>
    <x:row r="826">
      <x:c r="A826" s="34" t="n">
        <x:v>82</x:v>
      </x:c>
      <x:c r="B826" s="34" t="str">
        <x:f>IF('01_INPUT_COMPANIES'!$A$88="","",'01_INPUT_COMPANIES'!$A$88)</x:f>
      </x:c>
      <x:c r="C826" s="34" t="str">
        <x:f>IF(B826="","",'01_INPUT_COMPANIES'!$B$88)</x:f>
      </x:c>
      <x:c r="D826" s="34" t="str">
        <x:v>outflow_to_capex_ratio</x:v>
      </x:c>
      <x:c r="E826" s="42" t="str">
        <x:f>IF(OR(B826="",COUNT('01_INPUT_COMPANIES'!$AC$88)=0),"",'01_INPUT_COMPANIES'!$AC$88)</x:f>
      </x:c>
      <x:c r="F826" s="42" t="n">
        <x:v>1</x:v>
      </x:c>
      <x:c r="G826" s="42" t="str">
        <x:f>IF(NOT(ISNUMBER(E826)),"",MAX(K826,MIN(L826,E826*F826)))</x:f>
      </x:c>
      <x:c r="H826" s="42" t="n">
        <x:v>97</x:v>
      </x:c>
      <x:c r="I826" s="42" t="str">
        <x:f>IF(COUNT(G826)=0,"",(COUNTIFS('93_REF_ANCHORS'!$A$7:$A$766,D826,'93_REF_ANCHORS'!$C$7:$C$766,"&lt;"&amp;G826)+COUNTIFS('93_REF_ANCHORS'!$A$7:$A$766,D826,'93_REF_ANCHORS'!$C$7:$C$766,"&lt;="&amp;G826)-1)/(2*(H826-1)))</x:f>
      </x:c>
      <x:c r="J826" s="34" t="str">
        <x:f>IF(B826="","",IF(COUNT(E826)=0,"MISSING",IF(NOT(ISNUMBER(E826)),"INVALID",IF(E826*F826&lt;K826,"WINSORIZED LOW",IF(E826*F826&gt;L826,"WINSORIZED HIGH","OK")))))</x:f>
      </x:c>
      <x:c r="K826" s="34" t="n">
        <x:v>-123.5385890408</x:v>
      </x:c>
      <x:c r="L826" s="34" t="n">
        <x:v>974.1666666666999</x:v>
      </x:c>
      <x:c r="M826" s="34" t="n">
        <x:v>0.1111111111111111</x:v>
      </x:c>
      <x:c r="N826" s="34" t="str">
        <x:v>no</x:v>
      </x:c>
    </x:row>
    <x:row r="827">
      <x:c r="A827" s="34" t="n">
        <x:v>83</x:v>
      </x:c>
      <x:c r="B827" s="34" t="str">
        <x:f>IF('01_INPUT_COMPANIES'!$A$89="","",'01_INPUT_COMPANIES'!$A$89)</x:f>
      </x:c>
      <x:c r="C827" s="34" t="str">
        <x:f>IF(B827="","",'01_INPUT_COMPANIES'!$B$89)</x:f>
      </x:c>
      <x:c r="D827" s="34" t="str">
        <x:v>effective_tax_rate_gap</x:v>
      </x:c>
      <x:c r="E827" s="42" t="str">
        <x:f>IF(OR(B827="",COUNT('01_INPUT_COMPANIES'!$T$89)=0),"",'01_INPUT_COMPANIES'!$T$89)</x:f>
      </x:c>
      <x:c r="F827" s="42" t="n">
        <x:v>1</x:v>
      </x:c>
      <x:c r="G827" s="42" t="str">
        <x:f>IF(NOT(ISNUMBER(E827)),"",MAX(K827,MIN(L827,E827*F827)))</x:f>
      </x:c>
      <x:c r="H827" s="42" t="n">
        <x:v>74</x:v>
      </x:c>
      <x:c r="I827" s="42" t="str">
        <x:f>IF(COUNT(G827)=0,"",(COUNTIFS('93_REF_ANCHORS'!$A$7:$A$766,D827,'93_REF_ANCHORS'!$C$7:$C$766,"&lt;"&amp;G827)+COUNTIFS('93_REF_ANCHORS'!$A$7:$A$766,D827,'93_REF_ANCHORS'!$C$7:$C$766,"&lt;="&amp;G827)-1)/(2*(H827-1)))</x:f>
      </x:c>
      <x:c r="J827" s="34" t="str">
        <x:f>IF(B827="","",IF(COUNT(E827)=0,"MISSING",IF(NOT(ISNUMBER(E827)),"INVALID",IF(E827*F827&lt;K827,"WINSORIZED LOW",IF(E827*F827&gt;L827,"WINSORIZED HIGH","OK")))))</x:f>
      </x:c>
      <x:c r="K827" s="34" t="n">
        <x:v>-0.1416111014</x:v>
      </x:c>
      <x:c r="L827" s="34" t="n">
        <x:v>0.2683650488</x:v>
      </x:c>
      <x:c r="M827" s="34" t="n">
        <x:v>0.1111111111111111</x:v>
      </x:c>
      <x:c r="N827" s="34" t="str">
        <x:v>no</x:v>
      </x:c>
    </x:row>
    <x:row r="828">
      <x:c r="A828" s="34" t="n">
        <x:v>83</x:v>
      </x:c>
      <x:c r="B828" s="34" t="str">
        <x:f>IF('01_INPUT_COMPANIES'!$A$89="","",'01_INPUT_COMPANIES'!$A$89)</x:f>
      </x:c>
      <x:c r="C828" s="34" t="str">
        <x:f>IF(B828="","",'01_INPUT_COMPANIES'!$B$89)</x:f>
      </x:c>
      <x:c r="D828" s="34" t="str">
        <x:v>infra_dependency_ratio</x:v>
      </x:c>
      <x:c r="E828" s="42" t="str">
        <x:f>IF(OR(B828="",COUNT('01_INPUT_COMPANIES'!$U$89)=0),"",'01_INPUT_COMPANIES'!$U$89)</x:f>
      </x:c>
      <x:c r="F828" s="42" t="n">
        <x:v>1</x:v>
      </x:c>
      <x:c r="G828" s="42" t="str">
        <x:f>IF(NOT(ISNUMBER(E828)),"",MAX(K828,MIN(L828,E828*F828)))</x:f>
      </x:c>
      <x:c r="H828" s="42" t="n">
        <x:v>64</x:v>
      </x:c>
      <x:c r="I828" s="42" t="str">
        <x:f>IF(COUNT(G828)=0,"",(COUNTIFS('93_REF_ANCHORS'!$A$7:$A$766,D828,'93_REF_ANCHORS'!$C$7:$C$766,"&lt;"&amp;G828)+COUNTIFS('93_REF_ANCHORS'!$A$7:$A$766,D828,'93_REF_ANCHORS'!$C$7:$C$766,"&lt;="&amp;G828)-1)/(2*(H828-1)))</x:f>
      </x:c>
      <x:c r="J828" s="34" t="str">
        <x:f>IF(B828="","",IF(COUNT(E828)=0,"MISSING",IF(NOT(ISNUMBER(E828)),"INVALID",IF(E828*F828&lt;K828,"WINSORIZED LOW",IF(E828*F828&gt;L828,"WINSORIZED HIGH","OK")))))</x:f>
      </x:c>
      <x:c r="K828" s="34" t="n">
        <x:v>-0.10705024705171803</x:v>
      </x:c>
      <x:c r="L828" s="34" t="n">
        <x:v>0.8008753865408955</x:v>
      </x:c>
      <x:c r="M828" s="34" t="n">
        <x:v>0.1111111111111111</x:v>
      </x:c>
      <x:c r="N828" s="34" t="str">
        <x:v>no</x:v>
      </x:c>
    </x:row>
    <x:row r="829">
      <x:c r="A829" s="34" t="n">
        <x:v>83</x:v>
      </x:c>
      <x:c r="B829" s="34" t="str">
        <x:f>IF('01_INPUT_COMPANIES'!$A$89="","",'01_INPUT_COMPANIES'!$A$89)</x:f>
      </x:c>
      <x:c r="C829" s="34" t="str">
        <x:f>IF(B829="","",'01_INPUT_COMPANIES'!$B$89)</x:f>
      </x:c>
      <x:c r="D829" s="34" t="str">
        <x:v>network_cost_ratio</x:v>
      </x:c>
      <x:c r="E829" s="42" t="str">
        <x:f>IF(OR(B829="",COUNT('01_INPUT_COMPANIES'!$V$89)=0),"",'01_INPUT_COMPANIES'!$V$89)</x:f>
      </x:c>
      <x:c r="F829" s="42" t="n">
        <x:v>1</x:v>
      </x:c>
      <x:c r="G829" s="42" t="str">
        <x:f>IF(NOT(ISNUMBER(E829)),"",MAX(K829,MIN(L829,E829*F829)))</x:f>
      </x:c>
      <x:c r="H829" s="42" t="n">
        <x:v>97</x:v>
      </x:c>
      <x:c r="I829" s="42" t="str">
        <x:f>IF(COUNT(G829)=0,"",(COUNTIFS('93_REF_ANCHORS'!$A$7:$A$766,D829,'93_REF_ANCHORS'!$C$7:$C$766,"&lt;"&amp;G829)+COUNTIFS('93_REF_ANCHORS'!$A$7:$A$766,D829,'93_REF_ANCHORS'!$C$7:$C$766,"&lt;="&amp;G829)-1)/(2*(H829-1)))</x:f>
      </x:c>
      <x:c r="J829" s="34" t="str">
        <x:f>IF(B829="","",IF(COUNT(E829)=0,"MISSING",IF(NOT(ISNUMBER(E829)),"INVALID",IF(E829*F829&lt;K829,"WINSORIZED LOW",IF(E829*F829&gt;L829,"WINSORIZED HIGH","OK")))))</x:f>
      </x:c>
      <x:c r="K829" s="34" t="n">
        <x:v>-0.1395374353</x:v>
      </x:c>
      <x:c r="L829" s="34" t="n">
        <x:v>0.9274274845000001</x:v>
      </x:c>
      <x:c r="M829" s="34" t="n">
        <x:v>0.1111111111111111</x:v>
      </x:c>
      <x:c r="N829" s="34" t="str">
        <x:v>no</x:v>
      </x:c>
    </x:row>
    <x:row r="830">
      <x:c r="A830" s="34" t="n">
        <x:v>83</x:v>
      </x:c>
      <x:c r="B830" s="34" t="str">
        <x:f>IF('01_INPUT_COMPANIES'!$A$89="","",'01_INPUT_COMPANIES'!$A$89)</x:f>
      </x:c>
      <x:c r="C830" s="34" t="str">
        <x:f>IF(B830="","",'01_INPUT_COMPANIES'!$B$89)</x:f>
      </x:c>
      <x:c r="D830" s="34" t="str">
        <x:v>cashflow_recovery_ratio</x:v>
      </x:c>
      <x:c r="E830" s="42" t="str">
        <x:f>IF(OR(B830="",COUNT('01_INPUT_COMPANIES'!$W$89)=0),"",'01_INPUT_COMPANIES'!$W$89)</x:f>
      </x:c>
      <x:c r="F830" s="42" t="n">
        <x:v>-1</x:v>
      </x:c>
      <x:c r="G830" s="42" t="str">
        <x:f>IF(NOT(ISNUMBER(E830)),"",MAX(K830,MIN(L830,E830*F830)))</x:f>
      </x:c>
      <x:c r="H830" s="42" t="n">
        <x:v>95</x:v>
      </x:c>
      <x:c r="I830" s="42" t="str">
        <x:f>IF(COUNT(G830)=0,"",(COUNTIFS('93_REF_ANCHORS'!$A$7:$A$766,D830,'93_REF_ANCHORS'!$C$7:$C$766,"&lt;"&amp;G830)+COUNTIFS('93_REF_ANCHORS'!$A$7:$A$766,D830,'93_REF_ANCHORS'!$C$7:$C$766,"&lt;="&amp;G830)-1)/(2*(H830-1)))</x:f>
      </x:c>
      <x:c r="J830" s="34" t="str">
        <x:f>IF(B830="","",IF(COUNT(E830)=0,"MISSING",IF(NOT(ISNUMBER(E830)),"INVALID",IF(E830*F830&lt;K830,"WINSORIZED LOW",IF(E830*F830&gt;L830,"WINSORIZED HIGH","OK")))))</x:f>
      </x:c>
      <x:c r="K830" s="34" t="n">
        <x:v>-300.75</x:v>
      </x:c>
      <x:c r="L830" s="34" t="n">
        <x:v>42.6920305469</x:v>
      </x:c>
      <x:c r="M830" s="34" t="n">
        <x:v>0.08333333333333333</x:v>
      </x:c>
      <x:c r="N830" s="34" t="str">
        <x:v>no</x:v>
      </x:c>
    </x:row>
    <x:row r="831">
      <x:c r="A831" s="34" t="n">
        <x:v>83</x:v>
      </x:c>
      <x:c r="B831" s="34" t="str">
        <x:f>IF('01_INPUT_COMPANIES'!$A$89="","",'01_INPUT_COMPANIES'!$A$89)</x:f>
      </x:c>
      <x:c r="C831" s="34" t="str">
        <x:f>IF(B831="","",'01_INPUT_COMPANIES'!$B$89)</x:f>
      </x:c>
      <x:c r="D831" s="34" t="str">
        <x:v>funding_cost_spread</x:v>
      </x:c>
      <x:c r="E831" s="42" t="str">
        <x:f>IF(OR(B831="",COUNT('01_INPUT_COMPANIES'!$X$89)=0),"",'01_INPUT_COMPANIES'!$X$89)</x:f>
      </x:c>
      <x:c r="F831" s="42" t="n">
        <x:v>1</x:v>
      </x:c>
      <x:c r="G831" s="42" t="str">
        <x:f>IF(NOT(ISNUMBER(E831)),"",MAX(K831,MIN(L831,E831*F831)))</x:f>
      </x:c>
      <x:c r="H831" s="42" t="n">
        <x:v>58</x:v>
      </x:c>
      <x:c r="I831" s="42" t="str">
        <x:f>IF(COUNT(G831)=0,"",(COUNTIFS('93_REF_ANCHORS'!$A$7:$A$766,D831,'93_REF_ANCHORS'!$C$7:$C$766,"&lt;"&amp;G831)+COUNTIFS('93_REF_ANCHORS'!$A$7:$A$766,D831,'93_REF_ANCHORS'!$C$7:$C$766,"&lt;="&amp;G831)-1)/(2*(H831-1)))</x:f>
      </x:c>
      <x:c r="J831" s="34" t="str">
        <x:f>IF(B831="","",IF(COUNT(E831)=0,"MISSING",IF(NOT(ISNUMBER(E831)),"INVALID",IF(E831*F831&lt;K831,"WINSORIZED LOW",IF(E831*F831&gt;L831,"WINSORIZED HIGH","OK")))))</x:f>
      </x:c>
      <x:c r="K831" s="34" t="n">
        <x:v>-0.4430292903</x:v>
      </x:c>
      <x:c r="L831" s="34" t="n">
        <x:v>0.5068913103</x:v>
      </x:c>
      <x:c r="M831" s="34" t="n">
        <x:v>0.08333333333333333</x:v>
      </x:c>
      <x:c r="N831" s="34" t="str">
        <x:v>no</x:v>
      </x:c>
    </x:row>
    <x:row r="832">
      <x:c r="A832" s="34" t="n">
        <x:v>83</x:v>
      </x:c>
      <x:c r="B832" s="34" t="str">
        <x:f>IF('01_INPUT_COMPANIES'!$A$89="","",'01_INPUT_COMPANIES'!$A$89)</x:f>
      </x:c>
      <x:c r="C832" s="34" t="str">
        <x:f>IF(B832="","",'01_INPUT_COMPANIES'!$B$89)</x:f>
      </x:c>
      <x:c r="D832" s="34" t="str">
        <x:v>investment_recovery_ratio</x:v>
      </x:c>
      <x:c r="E832" s="42" t="str">
        <x:f>IF(OR(B832="",COUNT('01_INPUT_COMPANIES'!$Y$89)=0),"",'01_INPUT_COMPANIES'!$Y$89)</x:f>
      </x:c>
      <x:c r="F832" s="42" t="n">
        <x:v>-1</x:v>
      </x:c>
      <x:c r="G832" s="42" t="str">
        <x:f>IF(NOT(ISNUMBER(E832)),"",MAX(K832,MIN(L832,E832*F832)))</x:f>
      </x:c>
      <x:c r="H832" s="42" t="n">
        <x:v>95</x:v>
      </x:c>
      <x:c r="I832" s="42" t="str">
        <x:f>IF(COUNT(G832)=0,"",(COUNTIFS('93_REF_ANCHORS'!$A$7:$A$766,D832,'93_REF_ANCHORS'!$C$7:$C$766,"&lt;"&amp;G832)+COUNTIFS('93_REF_ANCHORS'!$A$7:$A$766,D832,'93_REF_ANCHORS'!$C$7:$C$766,"&lt;="&amp;G832)-1)/(2*(H832-1)))</x:f>
      </x:c>
      <x:c r="J832" s="34" t="str">
        <x:f>IF(B832="","",IF(COUNT(E832)=0,"MISSING",IF(NOT(ISNUMBER(E832)),"INVALID",IF(E832*F832&lt;K832,"WINSORIZED LOW",IF(E832*F832&gt;L832,"WINSORIZED HIGH","OK")))))</x:f>
      </x:c>
      <x:c r="K832" s="34" t="n">
        <x:v>-3163.7500000000014</x:v>
      </x:c>
      <x:c r="L832" s="34" t="n">
        <x:v>189.68191301719997</x:v>
      </x:c>
      <x:c r="M832" s="34" t="n">
        <x:v>0.08333333333333333</x:v>
      </x:c>
      <x:c r="N832" s="34" t="str">
        <x:v>no</x:v>
      </x:c>
    </x:row>
    <x:row r="833">
      <x:c r="A833" s="34" t="n">
        <x:v>83</x:v>
      </x:c>
      <x:c r="B833" s="34" t="str">
        <x:f>IF('01_INPUT_COMPANIES'!$A$89="","",'01_INPUT_COMPANIES'!$A$89)</x:f>
      </x:c>
      <x:c r="C833" s="34" t="str">
        <x:f>IF(B833="","",'01_INPUT_COMPANIES'!$B$89)</x:f>
      </x:c>
      <x:c r="D833" s="34" t="str">
        <x:v>ip_assetization_gap</x:v>
      </x:c>
      <x:c r="E833" s="42" t="str">
        <x:f>IF(OR(B833="",COUNT('01_INPUT_COMPANIES'!$Z$89)=0),"",'01_INPUT_COMPANIES'!$Z$89)</x:f>
      </x:c>
      <x:c r="F833" s="42" t="n">
        <x:v>1</x:v>
      </x:c>
      <x:c r="G833" s="42" t="str">
        <x:f>IF(NOT(ISNUMBER(E833)),"",MAX(K833,MIN(L833,E833*F833)))</x:f>
      </x:c>
      <x:c r="H833" s="42" t="n">
        <x:v>92</x:v>
      </x:c>
      <x:c r="I833" s="42" t="str">
        <x:f>IF(COUNT(G833)=0,"",(COUNTIFS('93_REF_ANCHORS'!$A$7:$A$766,D833,'93_REF_ANCHORS'!$C$7:$C$766,"&lt;"&amp;G833)+COUNTIFS('93_REF_ANCHORS'!$A$7:$A$766,D833,'93_REF_ANCHORS'!$C$7:$C$766,"&lt;="&amp;G833)-1)/(2*(H833-1)))</x:f>
      </x:c>
      <x:c r="J833" s="34" t="str">
        <x:f>IF(B833="","",IF(COUNT(E833)=0,"MISSING",IF(NOT(ISNUMBER(E833)),"INVALID",IF(E833*F833&lt;K833,"WINSORIZED LOW",IF(E833*F833&gt;L833,"WINSORIZED HIGH","OK")))))</x:f>
      </x:c>
      <x:c r="K833" s="34" t="n">
        <x:v>-1.6707152386</x:v>
      </x:c>
      <x:c r="L833" s="34" t="n">
        <x:v>0.7716332556000001</x:v>
      </x:c>
      <x:c r="M833" s="34" t="n">
        <x:v>0.08333333333333333</x:v>
      </x:c>
      <x:c r="N833" s="34" t="str">
        <x:v>no</x:v>
      </x:c>
    </x:row>
    <x:row r="834">
      <x:c r="A834" s="34" t="n">
        <x:v>83</x:v>
      </x:c>
      <x:c r="B834" s="34" t="str">
        <x:f>IF('01_INPUT_COMPANIES'!$A$89="","",'01_INPUT_COMPANIES'!$A$89)</x:f>
      </x:c>
      <x:c r="C834" s="34" t="str">
        <x:f>IF(B834="","",'01_INPUT_COMPANIES'!$B$89)</x:f>
      </x:c>
      <x:c r="D834" s="34" t="str">
        <x:v>cross_market_transfer_index</x:v>
      </x:c>
      <x:c r="E834" s="42" t="str">
        <x:f>IF(OR(B834="",COUNT('01_INPUT_COMPANIES'!$AA$89)=0),"",'01_INPUT_COMPANIES'!$AA$89)</x:f>
      </x:c>
      <x:c r="F834" s="42" t="n">
        <x:v>1</x:v>
      </x:c>
      <x:c r="G834" s="42" t="str">
        <x:f>IF(NOT(ISNUMBER(E834)),"",MAX(K834,MIN(L834,E834*F834)))</x:f>
      </x:c>
      <x:c r="H834" s="42" t="n">
        <x:v>4</x:v>
      </x:c>
      <x:c r="I834" s="42" t="str">
        <x:f>IF(COUNT(G834)=0,"",(COUNTIFS('93_REF_ANCHORS'!$A$7:$A$766,D834,'93_REF_ANCHORS'!$C$7:$C$766,"&lt;"&amp;G834)+COUNTIFS('93_REF_ANCHORS'!$A$7:$A$766,D834,'93_REF_ANCHORS'!$C$7:$C$766,"&lt;="&amp;G834)-1)/(2*(H834-1)))</x:f>
      </x:c>
      <x:c r="J834" s="34" t="str">
        <x:f>IF(B834="","",IF(COUNT(E834)=0,"MISSING",IF(NOT(ISNUMBER(E834)),"INVALID",IF(E834*F834&lt;K834,"WINSORIZED LOW",IF(E834*F834&gt;L834,"WINSORIZED HIGH","OK")))))</x:f>
      </x:c>
      <x:c r="K834" s="34" t="n">
        <x:v>0</x:v>
      </x:c>
      <x:c r="L834" s="34" t="n">
        <x:v>0.7587051325360435</x:v>
      </x:c>
      <x:c r="M834" s="34" t="n">
        <x:v>0.1111111111111111</x:v>
      </x:c>
      <x:c r="N834" s="34" t="str">
        <x:v>yes</x:v>
      </x:c>
    </x:row>
    <x:row r="835">
      <x:c r="A835" s="34" t="n">
        <x:v>83</x:v>
      </x:c>
      <x:c r="B835" s="34" t="str">
        <x:f>IF('01_INPUT_COMPANIES'!$A$89="","",'01_INPUT_COMPANIES'!$A$89)</x:f>
      </x:c>
      <x:c r="C835" s="34" t="str">
        <x:f>IF(B835="","",'01_INPUT_COMPANIES'!$B$89)</x:f>
      </x:c>
      <x:c r="D835" s="34" t="str">
        <x:v>foreign_dependency_ratio</x:v>
      </x:c>
      <x:c r="E835" s="42" t="str">
        <x:f>IF(OR(B835="",COUNT('01_INPUT_COMPANIES'!$AB$89)=0),"",'01_INPUT_COMPANIES'!$AB$89)</x:f>
      </x:c>
      <x:c r="F835" s="42" t="n">
        <x:v>1</x:v>
      </x:c>
      <x:c r="G835" s="42" t="str">
        <x:f>IF(NOT(ISNUMBER(E835)),"",MAX(K835,MIN(L835,E835*F835)))</x:f>
      </x:c>
      <x:c r="H835" s="42" t="n">
        <x:v>84</x:v>
      </x:c>
      <x:c r="I835" s="42" t="str">
        <x:f>IF(COUNT(G835)=0,"",(COUNTIFS('93_REF_ANCHORS'!$A$7:$A$766,D835,'93_REF_ANCHORS'!$C$7:$C$766,"&lt;"&amp;G835)+COUNTIFS('93_REF_ANCHORS'!$A$7:$A$766,D835,'93_REF_ANCHORS'!$C$7:$C$766,"&lt;="&amp;G835)-1)/(2*(H835-1)))</x:f>
      </x:c>
      <x:c r="J835" s="34" t="str">
        <x:f>IF(B835="","",IF(COUNT(E835)=0,"MISSING",IF(NOT(ISNUMBER(E835)),"INVALID",IF(E835*F835&lt;K835,"WINSORIZED LOW",IF(E835*F835&gt;L835,"WINSORIZED HIGH","OK")))))</x:f>
      </x:c>
      <x:c r="K835" s="34" t="n">
        <x:v>0.728196</x:v>
      </x:c>
      <x:c r="L835" s="34" t="n">
        <x:v>0.94</x:v>
      </x:c>
      <x:c r="M835" s="34" t="n">
        <x:v>0.1111111111111111</x:v>
      </x:c>
      <x:c r="N835" s="34" t="str">
        <x:v>yes</x:v>
      </x:c>
    </x:row>
    <x:row r="836">
      <x:c r="A836" s="34" t="n">
        <x:v>83</x:v>
      </x:c>
      <x:c r="B836" s="34" t="str">
        <x:f>IF('01_INPUT_COMPANIES'!$A$89="","",'01_INPUT_COMPANIES'!$A$89)</x:f>
      </x:c>
      <x:c r="C836" s="34" t="str">
        <x:f>IF(B836="","",'01_INPUT_COMPANIES'!$B$89)</x:f>
      </x:c>
      <x:c r="D836" s="34" t="str">
        <x:v>outflow_to_capex_ratio</x:v>
      </x:c>
      <x:c r="E836" s="42" t="str">
        <x:f>IF(OR(B836="",COUNT('01_INPUT_COMPANIES'!$AC$89)=0),"",'01_INPUT_COMPANIES'!$AC$89)</x:f>
      </x:c>
      <x:c r="F836" s="42" t="n">
        <x:v>1</x:v>
      </x:c>
      <x:c r="G836" s="42" t="str">
        <x:f>IF(NOT(ISNUMBER(E836)),"",MAX(K836,MIN(L836,E836*F836)))</x:f>
      </x:c>
      <x:c r="H836" s="42" t="n">
        <x:v>97</x:v>
      </x:c>
      <x:c r="I836" s="42" t="str">
        <x:f>IF(COUNT(G836)=0,"",(COUNTIFS('93_REF_ANCHORS'!$A$7:$A$766,D836,'93_REF_ANCHORS'!$C$7:$C$766,"&lt;"&amp;G836)+COUNTIFS('93_REF_ANCHORS'!$A$7:$A$766,D836,'93_REF_ANCHORS'!$C$7:$C$766,"&lt;="&amp;G836)-1)/(2*(H836-1)))</x:f>
      </x:c>
      <x:c r="J836" s="34" t="str">
        <x:f>IF(B836="","",IF(COUNT(E836)=0,"MISSING",IF(NOT(ISNUMBER(E836)),"INVALID",IF(E836*F836&lt;K836,"WINSORIZED LOW",IF(E836*F836&gt;L836,"WINSORIZED HIGH","OK")))))</x:f>
      </x:c>
      <x:c r="K836" s="34" t="n">
        <x:v>-123.5385890408</x:v>
      </x:c>
      <x:c r="L836" s="34" t="n">
        <x:v>974.1666666666999</x:v>
      </x:c>
      <x:c r="M836" s="34" t="n">
        <x:v>0.1111111111111111</x:v>
      </x:c>
      <x:c r="N836" s="34" t="str">
        <x:v>no</x:v>
      </x:c>
    </x:row>
    <x:row r="837">
      <x:c r="A837" s="34" t="n">
        <x:v>84</x:v>
      </x:c>
      <x:c r="B837" s="34" t="str">
        <x:f>IF('01_INPUT_COMPANIES'!$A$90="","",'01_INPUT_COMPANIES'!$A$90)</x:f>
      </x:c>
      <x:c r="C837" s="34" t="str">
        <x:f>IF(B837="","",'01_INPUT_COMPANIES'!$B$90)</x:f>
      </x:c>
      <x:c r="D837" s="34" t="str">
        <x:v>effective_tax_rate_gap</x:v>
      </x:c>
      <x:c r="E837" s="42" t="str">
        <x:f>IF(OR(B837="",COUNT('01_INPUT_COMPANIES'!$T$90)=0),"",'01_INPUT_COMPANIES'!$T$90)</x:f>
      </x:c>
      <x:c r="F837" s="42" t="n">
        <x:v>1</x:v>
      </x:c>
      <x:c r="G837" s="42" t="str">
        <x:f>IF(NOT(ISNUMBER(E837)),"",MAX(K837,MIN(L837,E837*F837)))</x:f>
      </x:c>
      <x:c r="H837" s="42" t="n">
        <x:v>74</x:v>
      </x:c>
      <x:c r="I837" s="42" t="str">
        <x:f>IF(COUNT(G837)=0,"",(COUNTIFS('93_REF_ANCHORS'!$A$7:$A$766,D837,'93_REF_ANCHORS'!$C$7:$C$766,"&lt;"&amp;G837)+COUNTIFS('93_REF_ANCHORS'!$A$7:$A$766,D837,'93_REF_ANCHORS'!$C$7:$C$766,"&lt;="&amp;G837)-1)/(2*(H837-1)))</x:f>
      </x:c>
      <x:c r="J837" s="34" t="str">
        <x:f>IF(B837="","",IF(COUNT(E837)=0,"MISSING",IF(NOT(ISNUMBER(E837)),"INVALID",IF(E837*F837&lt;K837,"WINSORIZED LOW",IF(E837*F837&gt;L837,"WINSORIZED HIGH","OK")))))</x:f>
      </x:c>
      <x:c r="K837" s="34" t="n">
        <x:v>-0.1416111014</x:v>
      </x:c>
      <x:c r="L837" s="34" t="n">
        <x:v>0.2683650488</x:v>
      </x:c>
      <x:c r="M837" s="34" t="n">
        <x:v>0.1111111111111111</x:v>
      </x:c>
      <x:c r="N837" s="34" t="str">
        <x:v>no</x:v>
      </x:c>
    </x:row>
    <x:row r="838">
      <x:c r="A838" s="34" t="n">
        <x:v>84</x:v>
      </x:c>
      <x:c r="B838" s="34" t="str">
        <x:f>IF('01_INPUT_COMPANIES'!$A$90="","",'01_INPUT_COMPANIES'!$A$90)</x:f>
      </x:c>
      <x:c r="C838" s="34" t="str">
        <x:f>IF(B838="","",'01_INPUT_COMPANIES'!$B$90)</x:f>
      </x:c>
      <x:c r="D838" s="34" t="str">
        <x:v>infra_dependency_ratio</x:v>
      </x:c>
      <x:c r="E838" s="42" t="str">
        <x:f>IF(OR(B838="",COUNT('01_INPUT_COMPANIES'!$U$90)=0),"",'01_INPUT_COMPANIES'!$U$90)</x:f>
      </x:c>
      <x:c r="F838" s="42" t="n">
        <x:v>1</x:v>
      </x:c>
      <x:c r="G838" s="42" t="str">
        <x:f>IF(NOT(ISNUMBER(E838)),"",MAX(K838,MIN(L838,E838*F838)))</x:f>
      </x:c>
      <x:c r="H838" s="42" t="n">
        <x:v>64</x:v>
      </x:c>
      <x:c r="I838" s="42" t="str">
        <x:f>IF(COUNT(G838)=0,"",(COUNTIFS('93_REF_ANCHORS'!$A$7:$A$766,D838,'93_REF_ANCHORS'!$C$7:$C$766,"&lt;"&amp;G838)+COUNTIFS('93_REF_ANCHORS'!$A$7:$A$766,D838,'93_REF_ANCHORS'!$C$7:$C$766,"&lt;="&amp;G838)-1)/(2*(H838-1)))</x:f>
      </x:c>
      <x:c r="J838" s="34" t="str">
        <x:f>IF(B838="","",IF(COUNT(E838)=0,"MISSING",IF(NOT(ISNUMBER(E838)),"INVALID",IF(E838*F838&lt;K838,"WINSORIZED LOW",IF(E838*F838&gt;L838,"WINSORIZED HIGH","OK")))))</x:f>
      </x:c>
      <x:c r="K838" s="34" t="n">
        <x:v>-0.10705024705171803</x:v>
      </x:c>
      <x:c r="L838" s="34" t="n">
        <x:v>0.8008753865408955</x:v>
      </x:c>
      <x:c r="M838" s="34" t="n">
        <x:v>0.1111111111111111</x:v>
      </x:c>
      <x:c r="N838" s="34" t="str">
        <x:v>no</x:v>
      </x:c>
    </x:row>
    <x:row r="839">
      <x:c r="A839" s="34" t="n">
        <x:v>84</x:v>
      </x:c>
      <x:c r="B839" s="34" t="str">
        <x:f>IF('01_INPUT_COMPANIES'!$A$90="","",'01_INPUT_COMPANIES'!$A$90)</x:f>
      </x:c>
      <x:c r="C839" s="34" t="str">
        <x:f>IF(B839="","",'01_INPUT_COMPANIES'!$B$90)</x:f>
      </x:c>
      <x:c r="D839" s="34" t="str">
        <x:v>network_cost_ratio</x:v>
      </x:c>
      <x:c r="E839" s="42" t="str">
        <x:f>IF(OR(B839="",COUNT('01_INPUT_COMPANIES'!$V$90)=0),"",'01_INPUT_COMPANIES'!$V$90)</x:f>
      </x:c>
      <x:c r="F839" s="42" t="n">
        <x:v>1</x:v>
      </x:c>
      <x:c r="G839" s="42" t="str">
        <x:f>IF(NOT(ISNUMBER(E839)),"",MAX(K839,MIN(L839,E839*F839)))</x:f>
      </x:c>
      <x:c r="H839" s="42" t="n">
        <x:v>97</x:v>
      </x:c>
      <x:c r="I839" s="42" t="str">
        <x:f>IF(COUNT(G839)=0,"",(COUNTIFS('93_REF_ANCHORS'!$A$7:$A$766,D839,'93_REF_ANCHORS'!$C$7:$C$766,"&lt;"&amp;G839)+COUNTIFS('93_REF_ANCHORS'!$A$7:$A$766,D839,'93_REF_ANCHORS'!$C$7:$C$766,"&lt;="&amp;G839)-1)/(2*(H839-1)))</x:f>
      </x:c>
      <x:c r="J839" s="34" t="str">
        <x:f>IF(B839="","",IF(COUNT(E839)=0,"MISSING",IF(NOT(ISNUMBER(E839)),"INVALID",IF(E839*F839&lt;K839,"WINSORIZED LOW",IF(E839*F839&gt;L839,"WINSORIZED HIGH","OK")))))</x:f>
      </x:c>
      <x:c r="K839" s="34" t="n">
        <x:v>-0.1395374353</x:v>
      </x:c>
      <x:c r="L839" s="34" t="n">
        <x:v>0.9274274845000001</x:v>
      </x:c>
      <x:c r="M839" s="34" t="n">
        <x:v>0.1111111111111111</x:v>
      </x:c>
      <x:c r="N839" s="34" t="str">
        <x:v>no</x:v>
      </x:c>
    </x:row>
    <x:row r="840">
      <x:c r="A840" s="34" t="n">
        <x:v>84</x:v>
      </x:c>
      <x:c r="B840" s="34" t="str">
        <x:f>IF('01_INPUT_COMPANIES'!$A$90="","",'01_INPUT_COMPANIES'!$A$90)</x:f>
      </x:c>
      <x:c r="C840" s="34" t="str">
        <x:f>IF(B840="","",'01_INPUT_COMPANIES'!$B$90)</x:f>
      </x:c>
      <x:c r="D840" s="34" t="str">
        <x:v>cashflow_recovery_ratio</x:v>
      </x:c>
      <x:c r="E840" s="42" t="str">
        <x:f>IF(OR(B840="",COUNT('01_INPUT_COMPANIES'!$W$90)=0),"",'01_INPUT_COMPANIES'!$W$90)</x:f>
      </x:c>
      <x:c r="F840" s="42" t="n">
        <x:v>-1</x:v>
      </x:c>
      <x:c r="G840" s="42" t="str">
        <x:f>IF(NOT(ISNUMBER(E840)),"",MAX(K840,MIN(L840,E840*F840)))</x:f>
      </x:c>
      <x:c r="H840" s="42" t="n">
        <x:v>95</x:v>
      </x:c>
      <x:c r="I840" s="42" t="str">
        <x:f>IF(COUNT(G840)=0,"",(COUNTIFS('93_REF_ANCHORS'!$A$7:$A$766,D840,'93_REF_ANCHORS'!$C$7:$C$766,"&lt;"&amp;G840)+COUNTIFS('93_REF_ANCHORS'!$A$7:$A$766,D840,'93_REF_ANCHORS'!$C$7:$C$766,"&lt;="&amp;G840)-1)/(2*(H840-1)))</x:f>
      </x:c>
      <x:c r="J840" s="34" t="str">
        <x:f>IF(B840="","",IF(COUNT(E840)=0,"MISSING",IF(NOT(ISNUMBER(E840)),"INVALID",IF(E840*F840&lt;K840,"WINSORIZED LOW",IF(E840*F840&gt;L840,"WINSORIZED HIGH","OK")))))</x:f>
      </x:c>
      <x:c r="K840" s="34" t="n">
        <x:v>-300.75</x:v>
      </x:c>
      <x:c r="L840" s="34" t="n">
        <x:v>42.6920305469</x:v>
      </x:c>
      <x:c r="M840" s="34" t="n">
        <x:v>0.08333333333333333</x:v>
      </x:c>
      <x:c r="N840" s="34" t="str">
        <x:v>no</x:v>
      </x:c>
    </x:row>
    <x:row r="841">
      <x:c r="A841" s="34" t="n">
        <x:v>84</x:v>
      </x:c>
      <x:c r="B841" s="34" t="str">
        <x:f>IF('01_INPUT_COMPANIES'!$A$90="","",'01_INPUT_COMPANIES'!$A$90)</x:f>
      </x:c>
      <x:c r="C841" s="34" t="str">
        <x:f>IF(B841="","",'01_INPUT_COMPANIES'!$B$90)</x:f>
      </x:c>
      <x:c r="D841" s="34" t="str">
        <x:v>funding_cost_spread</x:v>
      </x:c>
      <x:c r="E841" s="42" t="str">
        <x:f>IF(OR(B841="",COUNT('01_INPUT_COMPANIES'!$X$90)=0),"",'01_INPUT_COMPANIES'!$X$90)</x:f>
      </x:c>
      <x:c r="F841" s="42" t="n">
        <x:v>1</x:v>
      </x:c>
      <x:c r="G841" s="42" t="str">
        <x:f>IF(NOT(ISNUMBER(E841)),"",MAX(K841,MIN(L841,E841*F841)))</x:f>
      </x:c>
      <x:c r="H841" s="42" t="n">
        <x:v>58</x:v>
      </x:c>
      <x:c r="I841" s="42" t="str">
        <x:f>IF(COUNT(G841)=0,"",(COUNTIFS('93_REF_ANCHORS'!$A$7:$A$766,D841,'93_REF_ANCHORS'!$C$7:$C$766,"&lt;"&amp;G841)+COUNTIFS('93_REF_ANCHORS'!$A$7:$A$766,D841,'93_REF_ANCHORS'!$C$7:$C$766,"&lt;="&amp;G841)-1)/(2*(H841-1)))</x:f>
      </x:c>
      <x:c r="J841" s="34" t="str">
        <x:f>IF(B841="","",IF(COUNT(E841)=0,"MISSING",IF(NOT(ISNUMBER(E841)),"INVALID",IF(E841*F841&lt;K841,"WINSORIZED LOW",IF(E841*F841&gt;L841,"WINSORIZED HIGH","OK")))))</x:f>
      </x:c>
      <x:c r="K841" s="34" t="n">
        <x:v>-0.4430292903</x:v>
      </x:c>
      <x:c r="L841" s="34" t="n">
        <x:v>0.5068913103</x:v>
      </x:c>
      <x:c r="M841" s="34" t="n">
        <x:v>0.08333333333333333</x:v>
      </x:c>
      <x:c r="N841" s="34" t="str">
        <x:v>no</x:v>
      </x:c>
    </x:row>
    <x:row r="842">
      <x:c r="A842" s="34" t="n">
        <x:v>84</x:v>
      </x:c>
      <x:c r="B842" s="34" t="str">
        <x:f>IF('01_INPUT_COMPANIES'!$A$90="","",'01_INPUT_COMPANIES'!$A$90)</x:f>
      </x:c>
      <x:c r="C842" s="34" t="str">
        <x:f>IF(B842="","",'01_INPUT_COMPANIES'!$B$90)</x:f>
      </x:c>
      <x:c r="D842" s="34" t="str">
        <x:v>investment_recovery_ratio</x:v>
      </x:c>
      <x:c r="E842" s="42" t="str">
        <x:f>IF(OR(B842="",COUNT('01_INPUT_COMPANIES'!$Y$90)=0),"",'01_INPUT_COMPANIES'!$Y$90)</x:f>
      </x:c>
      <x:c r="F842" s="42" t="n">
        <x:v>-1</x:v>
      </x:c>
      <x:c r="G842" s="42" t="str">
        <x:f>IF(NOT(ISNUMBER(E842)),"",MAX(K842,MIN(L842,E842*F842)))</x:f>
      </x:c>
      <x:c r="H842" s="42" t="n">
        <x:v>95</x:v>
      </x:c>
      <x:c r="I842" s="42" t="str">
        <x:f>IF(COUNT(G842)=0,"",(COUNTIFS('93_REF_ANCHORS'!$A$7:$A$766,D842,'93_REF_ANCHORS'!$C$7:$C$766,"&lt;"&amp;G842)+COUNTIFS('93_REF_ANCHORS'!$A$7:$A$766,D842,'93_REF_ANCHORS'!$C$7:$C$766,"&lt;="&amp;G842)-1)/(2*(H842-1)))</x:f>
      </x:c>
      <x:c r="J842" s="34" t="str">
        <x:f>IF(B842="","",IF(COUNT(E842)=0,"MISSING",IF(NOT(ISNUMBER(E842)),"INVALID",IF(E842*F842&lt;K842,"WINSORIZED LOW",IF(E842*F842&gt;L842,"WINSORIZED HIGH","OK")))))</x:f>
      </x:c>
      <x:c r="K842" s="34" t="n">
        <x:v>-3163.7500000000014</x:v>
      </x:c>
      <x:c r="L842" s="34" t="n">
        <x:v>189.68191301719997</x:v>
      </x:c>
      <x:c r="M842" s="34" t="n">
        <x:v>0.08333333333333333</x:v>
      </x:c>
      <x:c r="N842" s="34" t="str">
        <x:v>no</x:v>
      </x:c>
    </x:row>
    <x:row r="843">
      <x:c r="A843" s="34" t="n">
        <x:v>84</x:v>
      </x:c>
      <x:c r="B843" s="34" t="str">
        <x:f>IF('01_INPUT_COMPANIES'!$A$90="","",'01_INPUT_COMPANIES'!$A$90)</x:f>
      </x:c>
      <x:c r="C843" s="34" t="str">
        <x:f>IF(B843="","",'01_INPUT_COMPANIES'!$B$90)</x:f>
      </x:c>
      <x:c r="D843" s="34" t="str">
        <x:v>ip_assetization_gap</x:v>
      </x:c>
      <x:c r="E843" s="42" t="str">
        <x:f>IF(OR(B843="",COUNT('01_INPUT_COMPANIES'!$Z$90)=0),"",'01_INPUT_COMPANIES'!$Z$90)</x:f>
      </x:c>
      <x:c r="F843" s="42" t="n">
        <x:v>1</x:v>
      </x:c>
      <x:c r="G843" s="42" t="str">
        <x:f>IF(NOT(ISNUMBER(E843)),"",MAX(K843,MIN(L843,E843*F843)))</x:f>
      </x:c>
      <x:c r="H843" s="42" t="n">
        <x:v>92</x:v>
      </x:c>
      <x:c r="I843" s="42" t="str">
        <x:f>IF(COUNT(G843)=0,"",(COUNTIFS('93_REF_ANCHORS'!$A$7:$A$766,D843,'93_REF_ANCHORS'!$C$7:$C$766,"&lt;"&amp;G843)+COUNTIFS('93_REF_ANCHORS'!$A$7:$A$766,D843,'93_REF_ANCHORS'!$C$7:$C$766,"&lt;="&amp;G843)-1)/(2*(H843-1)))</x:f>
      </x:c>
      <x:c r="J843" s="34" t="str">
        <x:f>IF(B843="","",IF(COUNT(E843)=0,"MISSING",IF(NOT(ISNUMBER(E843)),"INVALID",IF(E843*F843&lt;K843,"WINSORIZED LOW",IF(E843*F843&gt;L843,"WINSORIZED HIGH","OK")))))</x:f>
      </x:c>
      <x:c r="K843" s="34" t="n">
        <x:v>-1.6707152386</x:v>
      </x:c>
      <x:c r="L843" s="34" t="n">
        <x:v>0.7716332556000001</x:v>
      </x:c>
      <x:c r="M843" s="34" t="n">
        <x:v>0.08333333333333333</x:v>
      </x:c>
      <x:c r="N843" s="34" t="str">
        <x:v>no</x:v>
      </x:c>
    </x:row>
    <x:row r="844">
      <x:c r="A844" s="34" t="n">
        <x:v>84</x:v>
      </x:c>
      <x:c r="B844" s="34" t="str">
        <x:f>IF('01_INPUT_COMPANIES'!$A$90="","",'01_INPUT_COMPANIES'!$A$90)</x:f>
      </x:c>
      <x:c r="C844" s="34" t="str">
        <x:f>IF(B844="","",'01_INPUT_COMPANIES'!$B$90)</x:f>
      </x:c>
      <x:c r="D844" s="34" t="str">
        <x:v>cross_market_transfer_index</x:v>
      </x:c>
      <x:c r="E844" s="42" t="str">
        <x:f>IF(OR(B844="",COUNT('01_INPUT_COMPANIES'!$AA$90)=0),"",'01_INPUT_COMPANIES'!$AA$90)</x:f>
      </x:c>
      <x:c r="F844" s="42" t="n">
        <x:v>1</x:v>
      </x:c>
      <x:c r="G844" s="42" t="str">
        <x:f>IF(NOT(ISNUMBER(E844)),"",MAX(K844,MIN(L844,E844*F844)))</x:f>
      </x:c>
      <x:c r="H844" s="42" t="n">
        <x:v>4</x:v>
      </x:c>
      <x:c r="I844" s="42" t="str">
        <x:f>IF(COUNT(G844)=0,"",(COUNTIFS('93_REF_ANCHORS'!$A$7:$A$766,D844,'93_REF_ANCHORS'!$C$7:$C$766,"&lt;"&amp;G844)+COUNTIFS('93_REF_ANCHORS'!$A$7:$A$766,D844,'93_REF_ANCHORS'!$C$7:$C$766,"&lt;="&amp;G844)-1)/(2*(H844-1)))</x:f>
      </x:c>
      <x:c r="J844" s="34" t="str">
        <x:f>IF(B844="","",IF(COUNT(E844)=0,"MISSING",IF(NOT(ISNUMBER(E844)),"INVALID",IF(E844*F844&lt;K844,"WINSORIZED LOW",IF(E844*F844&gt;L844,"WINSORIZED HIGH","OK")))))</x:f>
      </x:c>
      <x:c r="K844" s="34" t="n">
        <x:v>0</x:v>
      </x:c>
      <x:c r="L844" s="34" t="n">
        <x:v>0.7587051325360435</x:v>
      </x:c>
      <x:c r="M844" s="34" t="n">
        <x:v>0.1111111111111111</x:v>
      </x:c>
      <x:c r="N844" s="34" t="str">
        <x:v>yes</x:v>
      </x:c>
    </x:row>
    <x:row r="845">
      <x:c r="A845" s="34" t="n">
        <x:v>84</x:v>
      </x:c>
      <x:c r="B845" s="34" t="str">
        <x:f>IF('01_INPUT_COMPANIES'!$A$90="","",'01_INPUT_COMPANIES'!$A$90)</x:f>
      </x:c>
      <x:c r="C845" s="34" t="str">
        <x:f>IF(B845="","",'01_INPUT_COMPANIES'!$B$90)</x:f>
      </x:c>
      <x:c r="D845" s="34" t="str">
        <x:v>foreign_dependency_ratio</x:v>
      </x:c>
      <x:c r="E845" s="42" t="str">
        <x:f>IF(OR(B845="",COUNT('01_INPUT_COMPANIES'!$AB$90)=0),"",'01_INPUT_COMPANIES'!$AB$90)</x:f>
      </x:c>
      <x:c r="F845" s="42" t="n">
        <x:v>1</x:v>
      </x:c>
      <x:c r="G845" s="42" t="str">
        <x:f>IF(NOT(ISNUMBER(E845)),"",MAX(K845,MIN(L845,E845*F845)))</x:f>
      </x:c>
      <x:c r="H845" s="42" t="n">
        <x:v>84</x:v>
      </x:c>
      <x:c r="I845" s="42" t="str">
        <x:f>IF(COUNT(G845)=0,"",(COUNTIFS('93_REF_ANCHORS'!$A$7:$A$766,D845,'93_REF_ANCHORS'!$C$7:$C$766,"&lt;"&amp;G845)+COUNTIFS('93_REF_ANCHORS'!$A$7:$A$766,D845,'93_REF_ANCHORS'!$C$7:$C$766,"&lt;="&amp;G845)-1)/(2*(H845-1)))</x:f>
      </x:c>
      <x:c r="J845" s="34" t="str">
        <x:f>IF(B845="","",IF(COUNT(E845)=0,"MISSING",IF(NOT(ISNUMBER(E845)),"INVALID",IF(E845*F845&lt;K845,"WINSORIZED LOW",IF(E845*F845&gt;L845,"WINSORIZED HIGH","OK")))))</x:f>
      </x:c>
      <x:c r="K845" s="34" t="n">
        <x:v>0.728196</x:v>
      </x:c>
      <x:c r="L845" s="34" t="n">
        <x:v>0.94</x:v>
      </x:c>
      <x:c r="M845" s="34" t="n">
        <x:v>0.1111111111111111</x:v>
      </x:c>
      <x:c r="N845" s="34" t="str">
        <x:v>yes</x:v>
      </x:c>
    </x:row>
    <x:row r="846">
      <x:c r="A846" s="34" t="n">
        <x:v>84</x:v>
      </x:c>
      <x:c r="B846" s="34" t="str">
        <x:f>IF('01_INPUT_COMPANIES'!$A$90="","",'01_INPUT_COMPANIES'!$A$90)</x:f>
      </x:c>
      <x:c r="C846" s="34" t="str">
        <x:f>IF(B846="","",'01_INPUT_COMPANIES'!$B$90)</x:f>
      </x:c>
      <x:c r="D846" s="34" t="str">
        <x:v>outflow_to_capex_ratio</x:v>
      </x:c>
      <x:c r="E846" s="42" t="str">
        <x:f>IF(OR(B846="",COUNT('01_INPUT_COMPANIES'!$AC$90)=0),"",'01_INPUT_COMPANIES'!$AC$90)</x:f>
      </x:c>
      <x:c r="F846" s="42" t="n">
        <x:v>1</x:v>
      </x:c>
      <x:c r="G846" s="42" t="str">
        <x:f>IF(NOT(ISNUMBER(E846)),"",MAX(K846,MIN(L846,E846*F846)))</x:f>
      </x:c>
      <x:c r="H846" s="42" t="n">
        <x:v>97</x:v>
      </x:c>
      <x:c r="I846" s="42" t="str">
        <x:f>IF(COUNT(G846)=0,"",(COUNTIFS('93_REF_ANCHORS'!$A$7:$A$766,D846,'93_REF_ANCHORS'!$C$7:$C$766,"&lt;"&amp;G846)+COUNTIFS('93_REF_ANCHORS'!$A$7:$A$766,D846,'93_REF_ANCHORS'!$C$7:$C$766,"&lt;="&amp;G846)-1)/(2*(H846-1)))</x:f>
      </x:c>
      <x:c r="J846" s="34" t="str">
        <x:f>IF(B846="","",IF(COUNT(E846)=0,"MISSING",IF(NOT(ISNUMBER(E846)),"INVALID",IF(E846*F846&lt;K846,"WINSORIZED LOW",IF(E846*F846&gt;L846,"WINSORIZED HIGH","OK")))))</x:f>
      </x:c>
      <x:c r="K846" s="34" t="n">
        <x:v>-123.5385890408</x:v>
      </x:c>
      <x:c r="L846" s="34" t="n">
        <x:v>974.1666666666999</x:v>
      </x:c>
      <x:c r="M846" s="34" t="n">
        <x:v>0.1111111111111111</x:v>
      </x:c>
      <x:c r="N846" s="34" t="str">
        <x:v>no</x:v>
      </x:c>
    </x:row>
    <x:row r="847">
      <x:c r="A847" s="34" t="n">
        <x:v>85</x:v>
      </x:c>
      <x:c r="B847" s="34" t="str">
        <x:f>IF('01_INPUT_COMPANIES'!$A$91="","",'01_INPUT_COMPANIES'!$A$91)</x:f>
      </x:c>
      <x:c r="C847" s="34" t="str">
        <x:f>IF(B847="","",'01_INPUT_COMPANIES'!$B$91)</x:f>
      </x:c>
      <x:c r="D847" s="34" t="str">
        <x:v>effective_tax_rate_gap</x:v>
      </x:c>
      <x:c r="E847" s="42" t="str">
        <x:f>IF(OR(B847="",COUNT('01_INPUT_COMPANIES'!$T$91)=0),"",'01_INPUT_COMPANIES'!$T$91)</x:f>
      </x:c>
      <x:c r="F847" s="42" t="n">
        <x:v>1</x:v>
      </x:c>
      <x:c r="G847" s="42" t="str">
        <x:f>IF(NOT(ISNUMBER(E847)),"",MAX(K847,MIN(L847,E847*F847)))</x:f>
      </x:c>
      <x:c r="H847" s="42" t="n">
        <x:v>74</x:v>
      </x:c>
      <x:c r="I847" s="42" t="str">
        <x:f>IF(COUNT(G847)=0,"",(COUNTIFS('93_REF_ANCHORS'!$A$7:$A$766,D847,'93_REF_ANCHORS'!$C$7:$C$766,"&lt;"&amp;G847)+COUNTIFS('93_REF_ANCHORS'!$A$7:$A$766,D847,'93_REF_ANCHORS'!$C$7:$C$766,"&lt;="&amp;G847)-1)/(2*(H847-1)))</x:f>
      </x:c>
      <x:c r="J847" s="34" t="str">
        <x:f>IF(B847="","",IF(COUNT(E847)=0,"MISSING",IF(NOT(ISNUMBER(E847)),"INVALID",IF(E847*F847&lt;K847,"WINSORIZED LOW",IF(E847*F847&gt;L847,"WINSORIZED HIGH","OK")))))</x:f>
      </x:c>
      <x:c r="K847" s="34" t="n">
        <x:v>-0.1416111014</x:v>
      </x:c>
      <x:c r="L847" s="34" t="n">
        <x:v>0.2683650488</x:v>
      </x:c>
      <x:c r="M847" s="34" t="n">
        <x:v>0.1111111111111111</x:v>
      </x:c>
      <x:c r="N847" s="34" t="str">
        <x:v>no</x:v>
      </x:c>
    </x:row>
    <x:row r="848">
      <x:c r="A848" s="34" t="n">
        <x:v>85</x:v>
      </x:c>
      <x:c r="B848" s="34" t="str">
        <x:f>IF('01_INPUT_COMPANIES'!$A$91="","",'01_INPUT_COMPANIES'!$A$91)</x:f>
      </x:c>
      <x:c r="C848" s="34" t="str">
        <x:f>IF(B848="","",'01_INPUT_COMPANIES'!$B$91)</x:f>
      </x:c>
      <x:c r="D848" s="34" t="str">
        <x:v>infra_dependency_ratio</x:v>
      </x:c>
      <x:c r="E848" s="42" t="str">
        <x:f>IF(OR(B848="",COUNT('01_INPUT_COMPANIES'!$U$91)=0),"",'01_INPUT_COMPANIES'!$U$91)</x:f>
      </x:c>
      <x:c r="F848" s="42" t="n">
        <x:v>1</x:v>
      </x:c>
      <x:c r="G848" s="42" t="str">
        <x:f>IF(NOT(ISNUMBER(E848)),"",MAX(K848,MIN(L848,E848*F848)))</x:f>
      </x:c>
      <x:c r="H848" s="42" t="n">
        <x:v>64</x:v>
      </x:c>
      <x:c r="I848" s="42" t="str">
        <x:f>IF(COUNT(G848)=0,"",(COUNTIFS('93_REF_ANCHORS'!$A$7:$A$766,D848,'93_REF_ANCHORS'!$C$7:$C$766,"&lt;"&amp;G848)+COUNTIFS('93_REF_ANCHORS'!$A$7:$A$766,D848,'93_REF_ANCHORS'!$C$7:$C$766,"&lt;="&amp;G848)-1)/(2*(H848-1)))</x:f>
      </x:c>
      <x:c r="J848" s="34" t="str">
        <x:f>IF(B848="","",IF(COUNT(E848)=0,"MISSING",IF(NOT(ISNUMBER(E848)),"INVALID",IF(E848*F848&lt;K848,"WINSORIZED LOW",IF(E848*F848&gt;L848,"WINSORIZED HIGH","OK")))))</x:f>
      </x:c>
      <x:c r="K848" s="34" t="n">
        <x:v>-0.10705024705171803</x:v>
      </x:c>
      <x:c r="L848" s="34" t="n">
        <x:v>0.8008753865408955</x:v>
      </x:c>
      <x:c r="M848" s="34" t="n">
        <x:v>0.1111111111111111</x:v>
      </x:c>
      <x:c r="N848" s="34" t="str">
        <x:v>no</x:v>
      </x:c>
    </x:row>
    <x:row r="849">
      <x:c r="A849" s="34" t="n">
        <x:v>85</x:v>
      </x:c>
      <x:c r="B849" s="34" t="str">
        <x:f>IF('01_INPUT_COMPANIES'!$A$91="","",'01_INPUT_COMPANIES'!$A$91)</x:f>
      </x:c>
      <x:c r="C849" s="34" t="str">
        <x:f>IF(B849="","",'01_INPUT_COMPANIES'!$B$91)</x:f>
      </x:c>
      <x:c r="D849" s="34" t="str">
        <x:v>network_cost_ratio</x:v>
      </x:c>
      <x:c r="E849" s="42" t="str">
        <x:f>IF(OR(B849="",COUNT('01_INPUT_COMPANIES'!$V$91)=0),"",'01_INPUT_COMPANIES'!$V$91)</x:f>
      </x:c>
      <x:c r="F849" s="42" t="n">
        <x:v>1</x:v>
      </x:c>
      <x:c r="G849" s="42" t="str">
        <x:f>IF(NOT(ISNUMBER(E849)),"",MAX(K849,MIN(L849,E849*F849)))</x:f>
      </x:c>
      <x:c r="H849" s="42" t="n">
        <x:v>97</x:v>
      </x:c>
      <x:c r="I849" s="42" t="str">
        <x:f>IF(COUNT(G849)=0,"",(COUNTIFS('93_REF_ANCHORS'!$A$7:$A$766,D849,'93_REF_ANCHORS'!$C$7:$C$766,"&lt;"&amp;G849)+COUNTIFS('93_REF_ANCHORS'!$A$7:$A$766,D849,'93_REF_ANCHORS'!$C$7:$C$766,"&lt;="&amp;G849)-1)/(2*(H849-1)))</x:f>
      </x:c>
      <x:c r="J849" s="34" t="str">
        <x:f>IF(B849="","",IF(COUNT(E849)=0,"MISSING",IF(NOT(ISNUMBER(E849)),"INVALID",IF(E849*F849&lt;K849,"WINSORIZED LOW",IF(E849*F849&gt;L849,"WINSORIZED HIGH","OK")))))</x:f>
      </x:c>
      <x:c r="K849" s="34" t="n">
        <x:v>-0.1395374353</x:v>
      </x:c>
      <x:c r="L849" s="34" t="n">
        <x:v>0.9274274845000001</x:v>
      </x:c>
      <x:c r="M849" s="34" t="n">
        <x:v>0.1111111111111111</x:v>
      </x:c>
      <x:c r="N849" s="34" t="str">
        <x:v>no</x:v>
      </x:c>
    </x:row>
    <x:row r="850">
      <x:c r="A850" s="34" t="n">
        <x:v>85</x:v>
      </x:c>
      <x:c r="B850" s="34" t="str">
        <x:f>IF('01_INPUT_COMPANIES'!$A$91="","",'01_INPUT_COMPANIES'!$A$91)</x:f>
      </x:c>
      <x:c r="C850" s="34" t="str">
        <x:f>IF(B850="","",'01_INPUT_COMPANIES'!$B$91)</x:f>
      </x:c>
      <x:c r="D850" s="34" t="str">
        <x:v>cashflow_recovery_ratio</x:v>
      </x:c>
      <x:c r="E850" s="42" t="str">
        <x:f>IF(OR(B850="",COUNT('01_INPUT_COMPANIES'!$W$91)=0),"",'01_INPUT_COMPANIES'!$W$91)</x:f>
      </x:c>
      <x:c r="F850" s="42" t="n">
        <x:v>-1</x:v>
      </x:c>
      <x:c r="G850" s="42" t="str">
        <x:f>IF(NOT(ISNUMBER(E850)),"",MAX(K850,MIN(L850,E850*F850)))</x:f>
      </x:c>
      <x:c r="H850" s="42" t="n">
        <x:v>95</x:v>
      </x:c>
      <x:c r="I850" s="42" t="str">
        <x:f>IF(COUNT(G850)=0,"",(COUNTIFS('93_REF_ANCHORS'!$A$7:$A$766,D850,'93_REF_ANCHORS'!$C$7:$C$766,"&lt;"&amp;G850)+COUNTIFS('93_REF_ANCHORS'!$A$7:$A$766,D850,'93_REF_ANCHORS'!$C$7:$C$766,"&lt;="&amp;G850)-1)/(2*(H850-1)))</x:f>
      </x:c>
      <x:c r="J850" s="34" t="str">
        <x:f>IF(B850="","",IF(COUNT(E850)=0,"MISSING",IF(NOT(ISNUMBER(E850)),"INVALID",IF(E850*F850&lt;K850,"WINSORIZED LOW",IF(E850*F850&gt;L850,"WINSORIZED HIGH","OK")))))</x:f>
      </x:c>
      <x:c r="K850" s="34" t="n">
        <x:v>-300.75</x:v>
      </x:c>
      <x:c r="L850" s="34" t="n">
        <x:v>42.6920305469</x:v>
      </x:c>
      <x:c r="M850" s="34" t="n">
        <x:v>0.08333333333333333</x:v>
      </x:c>
      <x:c r="N850" s="34" t="str">
        <x:v>no</x:v>
      </x:c>
    </x:row>
    <x:row r="851">
      <x:c r="A851" s="34" t="n">
        <x:v>85</x:v>
      </x:c>
      <x:c r="B851" s="34" t="str">
        <x:f>IF('01_INPUT_COMPANIES'!$A$91="","",'01_INPUT_COMPANIES'!$A$91)</x:f>
      </x:c>
      <x:c r="C851" s="34" t="str">
        <x:f>IF(B851="","",'01_INPUT_COMPANIES'!$B$91)</x:f>
      </x:c>
      <x:c r="D851" s="34" t="str">
        <x:v>funding_cost_spread</x:v>
      </x:c>
      <x:c r="E851" s="42" t="str">
        <x:f>IF(OR(B851="",COUNT('01_INPUT_COMPANIES'!$X$91)=0),"",'01_INPUT_COMPANIES'!$X$91)</x:f>
      </x:c>
      <x:c r="F851" s="42" t="n">
        <x:v>1</x:v>
      </x:c>
      <x:c r="G851" s="42" t="str">
        <x:f>IF(NOT(ISNUMBER(E851)),"",MAX(K851,MIN(L851,E851*F851)))</x:f>
      </x:c>
      <x:c r="H851" s="42" t="n">
        <x:v>58</x:v>
      </x:c>
      <x:c r="I851" s="42" t="str">
        <x:f>IF(COUNT(G851)=0,"",(COUNTIFS('93_REF_ANCHORS'!$A$7:$A$766,D851,'93_REF_ANCHORS'!$C$7:$C$766,"&lt;"&amp;G851)+COUNTIFS('93_REF_ANCHORS'!$A$7:$A$766,D851,'93_REF_ANCHORS'!$C$7:$C$766,"&lt;="&amp;G851)-1)/(2*(H851-1)))</x:f>
      </x:c>
      <x:c r="J851" s="34" t="str">
        <x:f>IF(B851="","",IF(COUNT(E851)=0,"MISSING",IF(NOT(ISNUMBER(E851)),"INVALID",IF(E851*F851&lt;K851,"WINSORIZED LOW",IF(E851*F851&gt;L851,"WINSORIZED HIGH","OK")))))</x:f>
      </x:c>
      <x:c r="K851" s="34" t="n">
        <x:v>-0.4430292903</x:v>
      </x:c>
      <x:c r="L851" s="34" t="n">
        <x:v>0.5068913103</x:v>
      </x:c>
      <x:c r="M851" s="34" t="n">
        <x:v>0.08333333333333333</x:v>
      </x:c>
      <x:c r="N851" s="34" t="str">
        <x:v>no</x:v>
      </x:c>
    </x:row>
    <x:row r="852">
      <x:c r="A852" s="34" t="n">
        <x:v>85</x:v>
      </x:c>
      <x:c r="B852" s="34" t="str">
        <x:f>IF('01_INPUT_COMPANIES'!$A$91="","",'01_INPUT_COMPANIES'!$A$91)</x:f>
      </x:c>
      <x:c r="C852" s="34" t="str">
        <x:f>IF(B852="","",'01_INPUT_COMPANIES'!$B$91)</x:f>
      </x:c>
      <x:c r="D852" s="34" t="str">
        <x:v>investment_recovery_ratio</x:v>
      </x:c>
      <x:c r="E852" s="42" t="str">
        <x:f>IF(OR(B852="",COUNT('01_INPUT_COMPANIES'!$Y$91)=0),"",'01_INPUT_COMPANIES'!$Y$91)</x:f>
      </x:c>
      <x:c r="F852" s="42" t="n">
        <x:v>-1</x:v>
      </x:c>
      <x:c r="G852" s="42" t="str">
        <x:f>IF(NOT(ISNUMBER(E852)),"",MAX(K852,MIN(L852,E852*F852)))</x:f>
      </x:c>
      <x:c r="H852" s="42" t="n">
        <x:v>95</x:v>
      </x:c>
      <x:c r="I852" s="42" t="str">
        <x:f>IF(COUNT(G852)=0,"",(COUNTIFS('93_REF_ANCHORS'!$A$7:$A$766,D852,'93_REF_ANCHORS'!$C$7:$C$766,"&lt;"&amp;G852)+COUNTIFS('93_REF_ANCHORS'!$A$7:$A$766,D852,'93_REF_ANCHORS'!$C$7:$C$766,"&lt;="&amp;G852)-1)/(2*(H852-1)))</x:f>
      </x:c>
      <x:c r="J852" s="34" t="str">
        <x:f>IF(B852="","",IF(COUNT(E852)=0,"MISSING",IF(NOT(ISNUMBER(E852)),"INVALID",IF(E852*F852&lt;K852,"WINSORIZED LOW",IF(E852*F852&gt;L852,"WINSORIZED HIGH","OK")))))</x:f>
      </x:c>
      <x:c r="K852" s="34" t="n">
        <x:v>-3163.7500000000014</x:v>
      </x:c>
      <x:c r="L852" s="34" t="n">
        <x:v>189.68191301719997</x:v>
      </x:c>
      <x:c r="M852" s="34" t="n">
        <x:v>0.08333333333333333</x:v>
      </x:c>
      <x:c r="N852" s="34" t="str">
        <x:v>no</x:v>
      </x:c>
    </x:row>
    <x:row r="853">
      <x:c r="A853" s="34" t="n">
        <x:v>85</x:v>
      </x:c>
      <x:c r="B853" s="34" t="str">
        <x:f>IF('01_INPUT_COMPANIES'!$A$91="","",'01_INPUT_COMPANIES'!$A$91)</x:f>
      </x:c>
      <x:c r="C853" s="34" t="str">
        <x:f>IF(B853="","",'01_INPUT_COMPANIES'!$B$91)</x:f>
      </x:c>
      <x:c r="D853" s="34" t="str">
        <x:v>ip_assetization_gap</x:v>
      </x:c>
      <x:c r="E853" s="42" t="str">
        <x:f>IF(OR(B853="",COUNT('01_INPUT_COMPANIES'!$Z$91)=0),"",'01_INPUT_COMPANIES'!$Z$91)</x:f>
      </x:c>
      <x:c r="F853" s="42" t="n">
        <x:v>1</x:v>
      </x:c>
      <x:c r="G853" s="42" t="str">
        <x:f>IF(NOT(ISNUMBER(E853)),"",MAX(K853,MIN(L853,E853*F853)))</x:f>
      </x:c>
      <x:c r="H853" s="42" t="n">
        <x:v>92</x:v>
      </x:c>
      <x:c r="I853" s="42" t="str">
        <x:f>IF(COUNT(G853)=0,"",(COUNTIFS('93_REF_ANCHORS'!$A$7:$A$766,D853,'93_REF_ANCHORS'!$C$7:$C$766,"&lt;"&amp;G853)+COUNTIFS('93_REF_ANCHORS'!$A$7:$A$766,D853,'93_REF_ANCHORS'!$C$7:$C$766,"&lt;="&amp;G853)-1)/(2*(H853-1)))</x:f>
      </x:c>
      <x:c r="J853" s="34" t="str">
        <x:f>IF(B853="","",IF(COUNT(E853)=0,"MISSING",IF(NOT(ISNUMBER(E853)),"INVALID",IF(E853*F853&lt;K853,"WINSORIZED LOW",IF(E853*F853&gt;L853,"WINSORIZED HIGH","OK")))))</x:f>
      </x:c>
      <x:c r="K853" s="34" t="n">
        <x:v>-1.6707152386</x:v>
      </x:c>
      <x:c r="L853" s="34" t="n">
        <x:v>0.7716332556000001</x:v>
      </x:c>
      <x:c r="M853" s="34" t="n">
        <x:v>0.08333333333333333</x:v>
      </x:c>
      <x:c r="N853" s="34" t="str">
        <x:v>no</x:v>
      </x:c>
    </x:row>
    <x:row r="854">
      <x:c r="A854" s="34" t="n">
        <x:v>85</x:v>
      </x:c>
      <x:c r="B854" s="34" t="str">
        <x:f>IF('01_INPUT_COMPANIES'!$A$91="","",'01_INPUT_COMPANIES'!$A$91)</x:f>
      </x:c>
      <x:c r="C854" s="34" t="str">
        <x:f>IF(B854="","",'01_INPUT_COMPANIES'!$B$91)</x:f>
      </x:c>
      <x:c r="D854" s="34" t="str">
        <x:v>cross_market_transfer_index</x:v>
      </x:c>
      <x:c r="E854" s="42" t="str">
        <x:f>IF(OR(B854="",COUNT('01_INPUT_COMPANIES'!$AA$91)=0),"",'01_INPUT_COMPANIES'!$AA$91)</x:f>
      </x:c>
      <x:c r="F854" s="42" t="n">
        <x:v>1</x:v>
      </x:c>
      <x:c r="G854" s="42" t="str">
        <x:f>IF(NOT(ISNUMBER(E854)),"",MAX(K854,MIN(L854,E854*F854)))</x:f>
      </x:c>
      <x:c r="H854" s="42" t="n">
        <x:v>4</x:v>
      </x:c>
      <x:c r="I854" s="42" t="str">
        <x:f>IF(COUNT(G854)=0,"",(COUNTIFS('93_REF_ANCHORS'!$A$7:$A$766,D854,'93_REF_ANCHORS'!$C$7:$C$766,"&lt;"&amp;G854)+COUNTIFS('93_REF_ANCHORS'!$A$7:$A$766,D854,'93_REF_ANCHORS'!$C$7:$C$766,"&lt;="&amp;G854)-1)/(2*(H854-1)))</x:f>
      </x:c>
      <x:c r="J854" s="34" t="str">
        <x:f>IF(B854="","",IF(COUNT(E854)=0,"MISSING",IF(NOT(ISNUMBER(E854)),"INVALID",IF(E854*F854&lt;K854,"WINSORIZED LOW",IF(E854*F854&gt;L854,"WINSORIZED HIGH","OK")))))</x:f>
      </x:c>
      <x:c r="K854" s="34" t="n">
        <x:v>0</x:v>
      </x:c>
      <x:c r="L854" s="34" t="n">
        <x:v>0.7587051325360435</x:v>
      </x:c>
      <x:c r="M854" s="34" t="n">
        <x:v>0.1111111111111111</x:v>
      </x:c>
      <x:c r="N854" s="34" t="str">
        <x:v>yes</x:v>
      </x:c>
    </x:row>
    <x:row r="855">
      <x:c r="A855" s="34" t="n">
        <x:v>85</x:v>
      </x:c>
      <x:c r="B855" s="34" t="str">
        <x:f>IF('01_INPUT_COMPANIES'!$A$91="","",'01_INPUT_COMPANIES'!$A$91)</x:f>
      </x:c>
      <x:c r="C855" s="34" t="str">
        <x:f>IF(B855="","",'01_INPUT_COMPANIES'!$B$91)</x:f>
      </x:c>
      <x:c r="D855" s="34" t="str">
        <x:v>foreign_dependency_ratio</x:v>
      </x:c>
      <x:c r="E855" s="42" t="str">
        <x:f>IF(OR(B855="",COUNT('01_INPUT_COMPANIES'!$AB$91)=0),"",'01_INPUT_COMPANIES'!$AB$91)</x:f>
      </x:c>
      <x:c r="F855" s="42" t="n">
        <x:v>1</x:v>
      </x:c>
      <x:c r="G855" s="42" t="str">
        <x:f>IF(NOT(ISNUMBER(E855)),"",MAX(K855,MIN(L855,E855*F855)))</x:f>
      </x:c>
      <x:c r="H855" s="42" t="n">
        <x:v>84</x:v>
      </x:c>
      <x:c r="I855" s="42" t="str">
        <x:f>IF(COUNT(G855)=0,"",(COUNTIFS('93_REF_ANCHORS'!$A$7:$A$766,D855,'93_REF_ANCHORS'!$C$7:$C$766,"&lt;"&amp;G855)+COUNTIFS('93_REF_ANCHORS'!$A$7:$A$766,D855,'93_REF_ANCHORS'!$C$7:$C$766,"&lt;="&amp;G855)-1)/(2*(H855-1)))</x:f>
      </x:c>
      <x:c r="J855" s="34" t="str">
        <x:f>IF(B855="","",IF(COUNT(E855)=0,"MISSING",IF(NOT(ISNUMBER(E855)),"INVALID",IF(E855*F855&lt;K855,"WINSORIZED LOW",IF(E855*F855&gt;L855,"WINSORIZED HIGH","OK")))))</x:f>
      </x:c>
      <x:c r="K855" s="34" t="n">
        <x:v>0.728196</x:v>
      </x:c>
      <x:c r="L855" s="34" t="n">
        <x:v>0.94</x:v>
      </x:c>
      <x:c r="M855" s="34" t="n">
        <x:v>0.1111111111111111</x:v>
      </x:c>
      <x:c r="N855" s="34" t="str">
        <x:v>yes</x:v>
      </x:c>
    </x:row>
    <x:row r="856">
      <x:c r="A856" s="34" t="n">
        <x:v>85</x:v>
      </x:c>
      <x:c r="B856" s="34" t="str">
        <x:f>IF('01_INPUT_COMPANIES'!$A$91="","",'01_INPUT_COMPANIES'!$A$91)</x:f>
      </x:c>
      <x:c r="C856" s="34" t="str">
        <x:f>IF(B856="","",'01_INPUT_COMPANIES'!$B$91)</x:f>
      </x:c>
      <x:c r="D856" s="34" t="str">
        <x:v>outflow_to_capex_ratio</x:v>
      </x:c>
      <x:c r="E856" s="42" t="str">
        <x:f>IF(OR(B856="",COUNT('01_INPUT_COMPANIES'!$AC$91)=0),"",'01_INPUT_COMPANIES'!$AC$91)</x:f>
      </x:c>
      <x:c r="F856" s="42" t="n">
        <x:v>1</x:v>
      </x:c>
      <x:c r="G856" s="42" t="str">
        <x:f>IF(NOT(ISNUMBER(E856)),"",MAX(K856,MIN(L856,E856*F856)))</x:f>
      </x:c>
      <x:c r="H856" s="42" t="n">
        <x:v>97</x:v>
      </x:c>
      <x:c r="I856" s="42" t="str">
        <x:f>IF(COUNT(G856)=0,"",(COUNTIFS('93_REF_ANCHORS'!$A$7:$A$766,D856,'93_REF_ANCHORS'!$C$7:$C$766,"&lt;"&amp;G856)+COUNTIFS('93_REF_ANCHORS'!$A$7:$A$766,D856,'93_REF_ANCHORS'!$C$7:$C$766,"&lt;="&amp;G856)-1)/(2*(H856-1)))</x:f>
      </x:c>
      <x:c r="J856" s="34" t="str">
        <x:f>IF(B856="","",IF(COUNT(E856)=0,"MISSING",IF(NOT(ISNUMBER(E856)),"INVALID",IF(E856*F856&lt;K856,"WINSORIZED LOW",IF(E856*F856&gt;L856,"WINSORIZED HIGH","OK")))))</x:f>
      </x:c>
      <x:c r="K856" s="34" t="n">
        <x:v>-123.5385890408</x:v>
      </x:c>
      <x:c r="L856" s="34" t="n">
        <x:v>974.1666666666999</x:v>
      </x:c>
      <x:c r="M856" s="34" t="n">
        <x:v>0.1111111111111111</x:v>
      </x:c>
      <x:c r="N856" s="34" t="str">
        <x:v>no</x:v>
      </x:c>
    </x:row>
    <x:row r="857">
      <x:c r="A857" s="34" t="n">
        <x:v>86</x:v>
      </x:c>
      <x:c r="B857" s="34" t="str">
        <x:f>IF('01_INPUT_COMPANIES'!$A$92="","",'01_INPUT_COMPANIES'!$A$92)</x:f>
      </x:c>
      <x:c r="C857" s="34" t="str">
        <x:f>IF(B857="","",'01_INPUT_COMPANIES'!$B$92)</x:f>
      </x:c>
      <x:c r="D857" s="34" t="str">
        <x:v>effective_tax_rate_gap</x:v>
      </x:c>
      <x:c r="E857" s="42" t="str">
        <x:f>IF(OR(B857="",COUNT('01_INPUT_COMPANIES'!$T$92)=0),"",'01_INPUT_COMPANIES'!$T$92)</x:f>
      </x:c>
      <x:c r="F857" s="42" t="n">
        <x:v>1</x:v>
      </x:c>
      <x:c r="G857" s="42" t="str">
        <x:f>IF(NOT(ISNUMBER(E857)),"",MAX(K857,MIN(L857,E857*F857)))</x:f>
      </x:c>
      <x:c r="H857" s="42" t="n">
        <x:v>74</x:v>
      </x:c>
      <x:c r="I857" s="42" t="str">
        <x:f>IF(COUNT(G857)=0,"",(COUNTIFS('93_REF_ANCHORS'!$A$7:$A$766,D857,'93_REF_ANCHORS'!$C$7:$C$766,"&lt;"&amp;G857)+COUNTIFS('93_REF_ANCHORS'!$A$7:$A$766,D857,'93_REF_ANCHORS'!$C$7:$C$766,"&lt;="&amp;G857)-1)/(2*(H857-1)))</x:f>
      </x:c>
      <x:c r="J857" s="34" t="str">
        <x:f>IF(B857="","",IF(COUNT(E857)=0,"MISSING",IF(NOT(ISNUMBER(E857)),"INVALID",IF(E857*F857&lt;K857,"WINSORIZED LOW",IF(E857*F857&gt;L857,"WINSORIZED HIGH","OK")))))</x:f>
      </x:c>
      <x:c r="K857" s="34" t="n">
        <x:v>-0.1416111014</x:v>
      </x:c>
      <x:c r="L857" s="34" t="n">
        <x:v>0.2683650488</x:v>
      </x:c>
      <x:c r="M857" s="34" t="n">
        <x:v>0.1111111111111111</x:v>
      </x:c>
      <x:c r="N857" s="34" t="str">
        <x:v>no</x:v>
      </x:c>
    </x:row>
    <x:row r="858">
      <x:c r="A858" s="34" t="n">
        <x:v>86</x:v>
      </x:c>
      <x:c r="B858" s="34" t="str">
        <x:f>IF('01_INPUT_COMPANIES'!$A$92="","",'01_INPUT_COMPANIES'!$A$92)</x:f>
      </x:c>
      <x:c r="C858" s="34" t="str">
        <x:f>IF(B858="","",'01_INPUT_COMPANIES'!$B$92)</x:f>
      </x:c>
      <x:c r="D858" s="34" t="str">
        <x:v>infra_dependency_ratio</x:v>
      </x:c>
      <x:c r="E858" s="42" t="str">
        <x:f>IF(OR(B858="",COUNT('01_INPUT_COMPANIES'!$U$92)=0),"",'01_INPUT_COMPANIES'!$U$92)</x:f>
      </x:c>
      <x:c r="F858" s="42" t="n">
        <x:v>1</x:v>
      </x:c>
      <x:c r="G858" s="42" t="str">
        <x:f>IF(NOT(ISNUMBER(E858)),"",MAX(K858,MIN(L858,E858*F858)))</x:f>
      </x:c>
      <x:c r="H858" s="42" t="n">
        <x:v>64</x:v>
      </x:c>
      <x:c r="I858" s="42" t="str">
        <x:f>IF(COUNT(G858)=0,"",(COUNTIFS('93_REF_ANCHORS'!$A$7:$A$766,D858,'93_REF_ANCHORS'!$C$7:$C$766,"&lt;"&amp;G858)+COUNTIFS('93_REF_ANCHORS'!$A$7:$A$766,D858,'93_REF_ANCHORS'!$C$7:$C$766,"&lt;="&amp;G858)-1)/(2*(H858-1)))</x:f>
      </x:c>
      <x:c r="J858" s="34" t="str">
        <x:f>IF(B858="","",IF(COUNT(E858)=0,"MISSING",IF(NOT(ISNUMBER(E858)),"INVALID",IF(E858*F858&lt;K858,"WINSORIZED LOW",IF(E858*F858&gt;L858,"WINSORIZED HIGH","OK")))))</x:f>
      </x:c>
      <x:c r="K858" s="34" t="n">
        <x:v>-0.10705024705171803</x:v>
      </x:c>
      <x:c r="L858" s="34" t="n">
        <x:v>0.8008753865408955</x:v>
      </x:c>
      <x:c r="M858" s="34" t="n">
        <x:v>0.1111111111111111</x:v>
      </x:c>
      <x:c r="N858" s="34" t="str">
        <x:v>no</x:v>
      </x:c>
    </x:row>
    <x:row r="859">
      <x:c r="A859" s="34" t="n">
        <x:v>86</x:v>
      </x:c>
      <x:c r="B859" s="34" t="str">
        <x:f>IF('01_INPUT_COMPANIES'!$A$92="","",'01_INPUT_COMPANIES'!$A$92)</x:f>
      </x:c>
      <x:c r="C859" s="34" t="str">
        <x:f>IF(B859="","",'01_INPUT_COMPANIES'!$B$92)</x:f>
      </x:c>
      <x:c r="D859" s="34" t="str">
        <x:v>network_cost_ratio</x:v>
      </x:c>
      <x:c r="E859" s="42" t="str">
        <x:f>IF(OR(B859="",COUNT('01_INPUT_COMPANIES'!$V$92)=0),"",'01_INPUT_COMPANIES'!$V$92)</x:f>
      </x:c>
      <x:c r="F859" s="42" t="n">
        <x:v>1</x:v>
      </x:c>
      <x:c r="G859" s="42" t="str">
        <x:f>IF(NOT(ISNUMBER(E859)),"",MAX(K859,MIN(L859,E859*F859)))</x:f>
      </x:c>
      <x:c r="H859" s="42" t="n">
        <x:v>97</x:v>
      </x:c>
      <x:c r="I859" s="42" t="str">
        <x:f>IF(COUNT(G859)=0,"",(COUNTIFS('93_REF_ANCHORS'!$A$7:$A$766,D859,'93_REF_ANCHORS'!$C$7:$C$766,"&lt;"&amp;G859)+COUNTIFS('93_REF_ANCHORS'!$A$7:$A$766,D859,'93_REF_ANCHORS'!$C$7:$C$766,"&lt;="&amp;G859)-1)/(2*(H859-1)))</x:f>
      </x:c>
      <x:c r="J859" s="34" t="str">
        <x:f>IF(B859="","",IF(COUNT(E859)=0,"MISSING",IF(NOT(ISNUMBER(E859)),"INVALID",IF(E859*F859&lt;K859,"WINSORIZED LOW",IF(E859*F859&gt;L859,"WINSORIZED HIGH","OK")))))</x:f>
      </x:c>
      <x:c r="K859" s="34" t="n">
        <x:v>-0.1395374353</x:v>
      </x:c>
      <x:c r="L859" s="34" t="n">
        <x:v>0.9274274845000001</x:v>
      </x:c>
      <x:c r="M859" s="34" t="n">
        <x:v>0.1111111111111111</x:v>
      </x:c>
      <x:c r="N859" s="34" t="str">
        <x:v>no</x:v>
      </x:c>
    </x:row>
    <x:row r="860">
      <x:c r="A860" s="34" t="n">
        <x:v>86</x:v>
      </x:c>
      <x:c r="B860" s="34" t="str">
        <x:f>IF('01_INPUT_COMPANIES'!$A$92="","",'01_INPUT_COMPANIES'!$A$92)</x:f>
      </x:c>
      <x:c r="C860" s="34" t="str">
        <x:f>IF(B860="","",'01_INPUT_COMPANIES'!$B$92)</x:f>
      </x:c>
      <x:c r="D860" s="34" t="str">
        <x:v>cashflow_recovery_ratio</x:v>
      </x:c>
      <x:c r="E860" s="42" t="str">
        <x:f>IF(OR(B860="",COUNT('01_INPUT_COMPANIES'!$W$92)=0),"",'01_INPUT_COMPANIES'!$W$92)</x:f>
      </x:c>
      <x:c r="F860" s="42" t="n">
        <x:v>-1</x:v>
      </x:c>
      <x:c r="G860" s="42" t="str">
        <x:f>IF(NOT(ISNUMBER(E860)),"",MAX(K860,MIN(L860,E860*F860)))</x:f>
      </x:c>
      <x:c r="H860" s="42" t="n">
        <x:v>95</x:v>
      </x:c>
      <x:c r="I860" s="42" t="str">
        <x:f>IF(COUNT(G860)=0,"",(COUNTIFS('93_REF_ANCHORS'!$A$7:$A$766,D860,'93_REF_ANCHORS'!$C$7:$C$766,"&lt;"&amp;G860)+COUNTIFS('93_REF_ANCHORS'!$A$7:$A$766,D860,'93_REF_ANCHORS'!$C$7:$C$766,"&lt;="&amp;G860)-1)/(2*(H860-1)))</x:f>
      </x:c>
      <x:c r="J860" s="34" t="str">
        <x:f>IF(B860="","",IF(COUNT(E860)=0,"MISSING",IF(NOT(ISNUMBER(E860)),"INVALID",IF(E860*F860&lt;K860,"WINSORIZED LOW",IF(E860*F860&gt;L860,"WINSORIZED HIGH","OK")))))</x:f>
      </x:c>
      <x:c r="K860" s="34" t="n">
        <x:v>-300.75</x:v>
      </x:c>
      <x:c r="L860" s="34" t="n">
        <x:v>42.6920305469</x:v>
      </x:c>
      <x:c r="M860" s="34" t="n">
        <x:v>0.08333333333333333</x:v>
      </x:c>
      <x:c r="N860" s="34" t="str">
        <x:v>no</x:v>
      </x:c>
    </x:row>
    <x:row r="861">
      <x:c r="A861" s="34" t="n">
        <x:v>86</x:v>
      </x:c>
      <x:c r="B861" s="34" t="str">
        <x:f>IF('01_INPUT_COMPANIES'!$A$92="","",'01_INPUT_COMPANIES'!$A$92)</x:f>
      </x:c>
      <x:c r="C861" s="34" t="str">
        <x:f>IF(B861="","",'01_INPUT_COMPANIES'!$B$92)</x:f>
      </x:c>
      <x:c r="D861" s="34" t="str">
        <x:v>funding_cost_spread</x:v>
      </x:c>
      <x:c r="E861" s="42" t="str">
        <x:f>IF(OR(B861="",COUNT('01_INPUT_COMPANIES'!$X$92)=0),"",'01_INPUT_COMPANIES'!$X$92)</x:f>
      </x:c>
      <x:c r="F861" s="42" t="n">
        <x:v>1</x:v>
      </x:c>
      <x:c r="G861" s="42" t="str">
        <x:f>IF(NOT(ISNUMBER(E861)),"",MAX(K861,MIN(L861,E861*F861)))</x:f>
      </x:c>
      <x:c r="H861" s="42" t="n">
        <x:v>58</x:v>
      </x:c>
      <x:c r="I861" s="42" t="str">
        <x:f>IF(COUNT(G861)=0,"",(COUNTIFS('93_REF_ANCHORS'!$A$7:$A$766,D861,'93_REF_ANCHORS'!$C$7:$C$766,"&lt;"&amp;G861)+COUNTIFS('93_REF_ANCHORS'!$A$7:$A$766,D861,'93_REF_ANCHORS'!$C$7:$C$766,"&lt;="&amp;G861)-1)/(2*(H861-1)))</x:f>
      </x:c>
      <x:c r="J861" s="34" t="str">
        <x:f>IF(B861="","",IF(COUNT(E861)=0,"MISSING",IF(NOT(ISNUMBER(E861)),"INVALID",IF(E861*F861&lt;K861,"WINSORIZED LOW",IF(E861*F861&gt;L861,"WINSORIZED HIGH","OK")))))</x:f>
      </x:c>
      <x:c r="K861" s="34" t="n">
        <x:v>-0.4430292903</x:v>
      </x:c>
      <x:c r="L861" s="34" t="n">
        <x:v>0.5068913103</x:v>
      </x:c>
      <x:c r="M861" s="34" t="n">
        <x:v>0.08333333333333333</x:v>
      </x:c>
      <x:c r="N861" s="34" t="str">
        <x:v>no</x:v>
      </x:c>
    </x:row>
    <x:row r="862">
      <x:c r="A862" s="34" t="n">
        <x:v>86</x:v>
      </x:c>
      <x:c r="B862" s="34" t="str">
        <x:f>IF('01_INPUT_COMPANIES'!$A$92="","",'01_INPUT_COMPANIES'!$A$92)</x:f>
      </x:c>
      <x:c r="C862" s="34" t="str">
        <x:f>IF(B862="","",'01_INPUT_COMPANIES'!$B$92)</x:f>
      </x:c>
      <x:c r="D862" s="34" t="str">
        <x:v>investment_recovery_ratio</x:v>
      </x:c>
      <x:c r="E862" s="42" t="str">
        <x:f>IF(OR(B862="",COUNT('01_INPUT_COMPANIES'!$Y$92)=0),"",'01_INPUT_COMPANIES'!$Y$92)</x:f>
      </x:c>
      <x:c r="F862" s="42" t="n">
        <x:v>-1</x:v>
      </x:c>
      <x:c r="G862" s="42" t="str">
        <x:f>IF(NOT(ISNUMBER(E862)),"",MAX(K862,MIN(L862,E862*F862)))</x:f>
      </x:c>
      <x:c r="H862" s="42" t="n">
        <x:v>95</x:v>
      </x:c>
      <x:c r="I862" s="42" t="str">
        <x:f>IF(COUNT(G862)=0,"",(COUNTIFS('93_REF_ANCHORS'!$A$7:$A$766,D862,'93_REF_ANCHORS'!$C$7:$C$766,"&lt;"&amp;G862)+COUNTIFS('93_REF_ANCHORS'!$A$7:$A$766,D862,'93_REF_ANCHORS'!$C$7:$C$766,"&lt;="&amp;G862)-1)/(2*(H862-1)))</x:f>
      </x:c>
      <x:c r="J862" s="34" t="str">
        <x:f>IF(B862="","",IF(COUNT(E862)=0,"MISSING",IF(NOT(ISNUMBER(E862)),"INVALID",IF(E862*F862&lt;K862,"WINSORIZED LOW",IF(E862*F862&gt;L862,"WINSORIZED HIGH","OK")))))</x:f>
      </x:c>
      <x:c r="K862" s="34" t="n">
        <x:v>-3163.7500000000014</x:v>
      </x:c>
      <x:c r="L862" s="34" t="n">
        <x:v>189.68191301719997</x:v>
      </x:c>
      <x:c r="M862" s="34" t="n">
        <x:v>0.08333333333333333</x:v>
      </x:c>
      <x:c r="N862" s="34" t="str">
        <x:v>no</x:v>
      </x:c>
    </x:row>
    <x:row r="863">
      <x:c r="A863" s="34" t="n">
        <x:v>86</x:v>
      </x:c>
      <x:c r="B863" s="34" t="str">
        <x:f>IF('01_INPUT_COMPANIES'!$A$92="","",'01_INPUT_COMPANIES'!$A$92)</x:f>
      </x:c>
      <x:c r="C863" s="34" t="str">
        <x:f>IF(B863="","",'01_INPUT_COMPANIES'!$B$92)</x:f>
      </x:c>
      <x:c r="D863" s="34" t="str">
        <x:v>ip_assetization_gap</x:v>
      </x:c>
      <x:c r="E863" s="42" t="str">
        <x:f>IF(OR(B863="",COUNT('01_INPUT_COMPANIES'!$Z$92)=0),"",'01_INPUT_COMPANIES'!$Z$92)</x:f>
      </x:c>
      <x:c r="F863" s="42" t="n">
        <x:v>1</x:v>
      </x:c>
      <x:c r="G863" s="42" t="str">
        <x:f>IF(NOT(ISNUMBER(E863)),"",MAX(K863,MIN(L863,E863*F863)))</x:f>
      </x:c>
      <x:c r="H863" s="42" t="n">
        <x:v>92</x:v>
      </x:c>
      <x:c r="I863" s="42" t="str">
        <x:f>IF(COUNT(G863)=0,"",(COUNTIFS('93_REF_ANCHORS'!$A$7:$A$766,D863,'93_REF_ANCHORS'!$C$7:$C$766,"&lt;"&amp;G863)+COUNTIFS('93_REF_ANCHORS'!$A$7:$A$766,D863,'93_REF_ANCHORS'!$C$7:$C$766,"&lt;="&amp;G863)-1)/(2*(H863-1)))</x:f>
      </x:c>
      <x:c r="J863" s="34" t="str">
        <x:f>IF(B863="","",IF(COUNT(E863)=0,"MISSING",IF(NOT(ISNUMBER(E863)),"INVALID",IF(E863*F863&lt;K863,"WINSORIZED LOW",IF(E863*F863&gt;L863,"WINSORIZED HIGH","OK")))))</x:f>
      </x:c>
      <x:c r="K863" s="34" t="n">
        <x:v>-1.6707152386</x:v>
      </x:c>
      <x:c r="L863" s="34" t="n">
        <x:v>0.7716332556000001</x:v>
      </x:c>
      <x:c r="M863" s="34" t="n">
        <x:v>0.08333333333333333</x:v>
      </x:c>
      <x:c r="N863" s="34" t="str">
        <x:v>no</x:v>
      </x:c>
    </x:row>
    <x:row r="864">
      <x:c r="A864" s="34" t="n">
        <x:v>86</x:v>
      </x:c>
      <x:c r="B864" s="34" t="str">
        <x:f>IF('01_INPUT_COMPANIES'!$A$92="","",'01_INPUT_COMPANIES'!$A$92)</x:f>
      </x:c>
      <x:c r="C864" s="34" t="str">
        <x:f>IF(B864="","",'01_INPUT_COMPANIES'!$B$92)</x:f>
      </x:c>
      <x:c r="D864" s="34" t="str">
        <x:v>cross_market_transfer_index</x:v>
      </x:c>
      <x:c r="E864" s="42" t="str">
        <x:f>IF(OR(B864="",COUNT('01_INPUT_COMPANIES'!$AA$92)=0),"",'01_INPUT_COMPANIES'!$AA$92)</x:f>
      </x:c>
      <x:c r="F864" s="42" t="n">
        <x:v>1</x:v>
      </x:c>
      <x:c r="G864" s="42" t="str">
        <x:f>IF(NOT(ISNUMBER(E864)),"",MAX(K864,MIN(L864,E864*F864)))</x:f>
      </x:c>
      <x:c r="H864" s="42" t="n">
        <x:v>4</x:v>
      </x:c>
      <x:c r="I864" s="42" t="str">
        <x:f>IF(COUNT(G864)=0,"",(COUNTIFS('93_REF_ANCHORS'!$A$7:$A$766,D864,'93_REF_ANCHORS'!$C$7:$C$766,"&lt;"&amp;G864)+COUNTIFS('93_REF_ANCHORS'!$A$7:$A$766,D864,'93_REF_ANCHORS'!$C$7:$C$766,"&lt;="&amp;G864)-1)/(2*(H864-1)))</x:f>
      </x:c>
      <x:c r="J864" s="34" t="str">
        <x:f>IF(B864="","",IF(COUNT(E864)=0,"MISSING",IF(NOT(ISNUMBER(E864)),"INVALID",IF(E864*F864&lt;K864,"WINSORIZED LOW",IF(E864*F864&gt;L864,"WINSORIZED HIGH","OK")))))</x:f>
      </x:c>
      <x:c r="K864" s="34" t="n">
        <x:v>0</x:v>
      </x:c>
      <x:c r="L864" s="34" t="n">
        <x:v>0.7587051325360435</x:v>
      </x:c>
      <x:c r="M864" s="34" t="n">
        <x:v>0.1111111111111111</x:v>
      </x:c>
      <x:c r="N864" s="34" t="str">
        <x:v>yes</x:v>
      </x:c>
    </x:row>
    <x:row r="865">
      <x:c r="A865" s="34" t="n">
        <x:v>86</x:v>
      </x:c>
      <x:c r="B865" s="34" t="str">
        <x:f>IF('01_INPUT_COMPANIES'!$A$92="","",'01_INPUT_COMPANIES'!$A$92)</x:f>
      </x:c>
      <x:c r="C865" s="34" t="str">
        <x:f>IF(B865="","",'01_INPUT_COMPANIES'!$B$92)</x:f>
      </x:c>
      <x:c r="D865" s="34" t="str">
        <x:v>foreign_dependency_ratio</x:v>
      </x:c>
      <x:c r="E865" s="42" t="str">
        <x:f>IF(OR(B865="",COUNT('01_INPUT_COMPANIES'!$AB$92)=0),"",'01_INPUT_COMPANIES'!$AB$92)</x:f>
      </x:c>
      <x:c r="F865" s="42" t="n">
        <x:v>1</x:v>
      </x:c>
      <x:c r="G865" s="42" t="str">
        <x:f>IF(NOT(ISNUMBER(E865)),"",MAX(K865,MIN(L865,E865*F865)))</x:f>
      </x:c>
      <x:c r="H865" s="42" t="n">
        <x:v>84</x:v>
      </x:c>
      <x:c r="I865" s="42" t="str">
        <x:f>IF(COUNT(G865)=0,"",(COUNTIFS('93_REF_ANCHORS'!$A$7:$A$766,D865,'93_REF_ANCHORS'!$C$7:$C$766,"&lt;"&amp;G865)+COUNTIFS('93_REF_ANCHORS'!$A$7:$A$766,D865,'93_REF_ANCHORS'!$C$7:$C$766,"&lt;="&amp;G865)-1)/(2*(H865-1)))</x:f>
      </x:c>
      <x:c r="J865" s="34" t="str">
        <x:f>IF(B865="","",IF(COUNT(E865)=0,"MISSING",IF(NOT(ISNUMBER(E865)),"INVALID",IF(E865*F865&lt;K865,"WINSORIZED LOW",IF(E865*F865&gt;L865,"WINSORIZED HIGH","OK")))))</x:f>
      </x:c>
      <x:c r="K865" s="34" t="n">
        <x:v>0.728196</x:v>
      </x:c>
      <x:c r="L865" s="34" t="n">
        <x:v>0.94</x:v>
      </x:c>
      <x:c r="M865" s="34" t="n">
        <x:v>0.1111111111111111</x:v>
      </x:c>
      <x:c r="N865" s="34" t="str">
        <x:v>yes</x:v>
      </x:c>
    </x:row>
    <x:row r="866">
      <x:c r="A866" s="34" t="n">
        <x:v>86</x:v>
      </x:c>
      <x:c r="B866" s="34" t="str">
        <x:f>IF('01_INPUT_COMPANIES'!$A$92="","",'01_INPUT_COMPANIES'!$A$92)</x:f>
      </x:c>
      <x:c r="C866" s="34" t="str">
        <x:f>IF(B866="","",'01_INPUT_COMPANIES'!$B$92)</x:f>
      </x:c>
      <x:c r="D866" s="34" t="str">
        <x:v>outflow_to_capex_ratio</x:v>
      </x:c>
      <x:c r="E866" s="42" t="str">
        <x:f>IF(OR(B866="",COUNT('01_INPUT_COMPANIES'!$AC$92)=0),"",'01_INPUT_COMPANIES'!$AC$92)</x:f>
      </x:c>
      <x:c r="F866" s="42" t="n">
        <x:v>1</x:v>
      </x:c>
      <x:c r="G866" s="42" t="str">
        <x:f>IF(NOT(ISNUMBER(E866)),"",MAX(K866,MIN(L866,E866*F866)))</x:f>
      </x:c>
      <x:c r="H866" s="42" t="n">
        <x:v>97</x:v>
      </x:c>
      <x:c r="I866" s="42" t="str">
        <x:f>IF(COUNT(G866)=0,"",(COUNTIFS('93_REF_ANCHORS'!$A$7:$A$766,D866,'93_REF_ANCHORS'!$C$7:$C$766,"&lt;"&amp;G866)+COUNTIFS('93_REF_ANCHORS'!$A$7:$A$766,D866,'93_REF_ANCHORS'!$C$7:$C$766,"&lt;="&amp;G866)-1)/(2*(H866-1)))</x:f>
      </x:c>
      <x:c r="J866" s="34" t="str">
        <x:f>IF(B866="","",IF(COUNT(E866)=0,"MISSING",IF(NOT(ISNUMBER(E866)),"INVALID",IF(E866*F866&lt;K866,"WINSORIZED LOW",IF(E866*F866&gt;L866,"WINSORIZED HIGH","OK")))))</x:f>
      </x:c>
      <x:c r="K866" s="34" t="n">
        <x:v>-123.5385890408</x:v>
      </x:c>
      <x:c r="L866" s="34" t="n">
        <x:v>974.1666666666999</x:v>
      </x:c>
      <x:c r="M866" s="34" t="n">
        <x:v>0.1111111111111111</x:v>
      </x:c>
      <x:c r="N866" s="34" t="str">
        <x:v>no</x:v>
      </x:c>
    </x:row>
    <x:row r="867">
      <x:c r="A867" s="34" t="n">
        <x:v>87</x:v>
      </x:c>
      <x:c r="B867" s="34" t="str">
        <x:f>IF('01_INPUT_COMPANIES'!$A$93="","",'01_INPUT_COMPANIES'!$A$93)</x:f>
      </x:c>
      <x:c r="C867" s="34" t="str">
        <x:f>IF(B867="","",'01_INPUT_COMPANIES'!$B$93)</x:f>
      </x:c>
      <x:c r="D867" s="34" t="str">
        <x:v>effective_tax_rate_gap</x:v>
      </x:c>
      <x:c r="E867" s="42" t="str">
        <x:f>IF(OR(B867="",COUNT('01_INPUT_COMPANIES'!$T$93)=0),"",'01_INPUT_COMPANIES'!$T$93)</x:f>
      </x:c>
      <x:c r="F867" s="42" t="n">
        <x:v>1</x:v>
      </x:c>
      <x:c r="G867" s="42" t="str">
        <x:f>IF(NOT(ISNUMBER(E867)),"",MAX(K867,MIN(L867,E867*F867)))</x:f>
      </x:c>
      <x:c r="H867" s="42" t="n">
        <x:v>74</x:v>
      </x:c>
      <x:c r="I867" s="42" t="str">
        <x:f>IF(COUNT(G867)=0,"",(COUNTIFS('93_REF_ANCHORS'!$A$7:$A$766,D867,'93_REF_ANCHORS'!$C$7:$C$766,"&lt;"&amp;G867)+COUNTIFS('93_REF_ANCHORS'!$A$7:$A$766,D867,'93_REF_ANCHORS'!$C$7:$C$766,"&lt;="&amp;G867)-1)/(2*(H867-1)))</x:f>
      </x:c>
      <x:c r="J867" s="34" t="str">
        <x:f>IF(B867="","",IF(COUNT(E867)=0,"MISSING",IF(NOT(ISNUMBER(E867)),"INVALID",IF(E867*F867&lt;K867,"WINSORIZED LOW",IF(E867*F867&gt;L867,"WINSORIZED HIGH","OK")))))</x:f>
      </x:c>
      <x:c r="K867" s="34" t="n">
        <x:v>-0.1416111014</x:v>
      </x:c>
      <x:c r="L867" s="34" t="n">
        <x:v>0.2683650488</x:v>
      </x:c>
      <x:c r="M867" s="34" t="n">
        <x:v>0.1111111111111111</x:v>
      </x:c>
      <x:c r="N867" s="34" t="str">
        <x:v>no</x:v>
      </x:c>
    </x:row>
    <x:row r="868">
      <x:c r="A868" s="34" t="n">
        <x:v>87</x:v>
      </x:c>
      <x:c r="B868" s="34" t="str">
        <x:f>IF('01_INPUT_COMPANIES'!$A$93="","",'01_INPUT_COMPANIES'!$A$93)</x:f>
      </x:c>
      <x:c r="C868" s="34" t="str">
        <x:f>IF(B868="","",'01_INPUT_COMPANIES'!$B$93)</x:f>
      </x:c>
      <x:c r="D868" s="34" t="str">
        <x:v>infra_dependency_ratio</x:v>
      </x:c>
      <x:c r="E868" s="42" t="str">
        <x:f>IF(OR(B868="",COUNT('01_INPUT_COMPANIES'!$U$93)=0),"",'01_INPUT_COMPANIES'!$U$93)</x:f>
      </x:c>
      <x:c r="F868" s="42" t="n">
        <x:v>1</x:v>
      </x:c>
      <x:c r="G868" s="42" t="str">
        <x:f>IF(NOT(ISNUMBER(E868)),"",MAX(K868,MIN(L868,E868*F868)))</x:f>
      </x:c>
      <x:c r="H868" s="42" t="n">
        <x:v>64</x:v>
      </x:c>
      <x:c r="I868" s="42" t="str">
        <x:f>IF(COUNT(G868)=0,"",(COUNTIFS('93_REF_ANCHORS'!$A$7:$A$766,D868,'93_REF_ANCHORS'!$C$7:$C$766,"&lt;"&amp;G868)+COUNTIFS('93_REF_ANCHORS'!$A$7:$A$766,D868,'93_REF_ANCHORS'!$C$7:$C$766,"&lt;="&amp;G868)-1)/(2*(H868-1)))</x:f>
      </x:c>
      <x:c r="J868" s="34" t="str">
        <x:f>IF(B868="","",IF(COUNT(E868)=0,"MISSING",IF(NOT(ISNUMBER(E868)),"INVALID",IF(E868*F868&lt;K868,"WINSORIZED LOW",IF(E868*F868&gt;L868,"WINSORIZED HIGH","OK")))))</x:f>
      </x:c>
      <x:c r="K868" s="34" t="n">
        <x:v>-0.10705024705171803</x:v>
      </x:c>
      <x:c r="L868" s="34" t="n">
        <x:v>0.8008753865408955</x:v>
      </x:c>
      <x:c r="M868" s="34" t="n">
        <x:v>0.1111111111111111</x:v>
      </x:c>
      <x:c r="N868" s="34" t="str">
        <x:v>no</x:v>
      </x:c>
    </x:row>
    <x:row r="869">
      <x:c r="A869" s="34" t="n">
        <x:v>87</x:v>
      </x:c>
      <x:c r="B869" s="34" t="str">
        <x:f>IF('01_INPUT_COMPANIES'!$A$93="","",'01_INPUT_COMPANIES'!$A$93)</x:f>
      </x:c>
      <x:c r="C869" s="34" t="str">
        <x:f>IF(B869="","",'01_INPUT_COMPANIES'!$B$93)</x:f>
      </x:c>
      <x:c r="D869" s="34" t="str">
        <x:v>network_cost_ratio</x:v>
      </x:c>
      <x:c r="E869" s="42" t="str">
        <x:f>IF(OR(B869="",COUNT('01_INPUT_COMPANIES'!$V$93)=0),"",'01_INPUT_COMPANIES'!$V$93)</x:f>
      </x:c>
      <x:c r="F869" s="42" t="n">
        <x:v>1</x:v>
      </x:c>
      <x:c r="G869" s="42" t="str">
        <x:f>IF(NOT(ISNUMBER(E869)),"",MAX(K869,MIN(L869,E869*F869)))</x:f>
      </x:c>
      <x:c r="H869" s="42" t="n">
        <x:v>97</x:v>
      </x:c>
      <x:c r="I869" s="42" t="str">
        <x:f>IF(COUNT(G869)=0,"",(COUNTIFS('93_REF_ANCHORS'!$A$7:$A$766,D869,'93_REF_ANCHORS'!$C$7:$C$766,"&lt;"&amp;G869)+COUNTIFS('93_REF_ANCHORS'!$A$7:$A$766,D869,'93_REF_ANCHORS'!$C$7:$C$766,"&lt;="&amp;G869)-1)/(2*(H869-1)))</x:f>
      </x:c>
      <x:c r="J869" s="34" t="str">
        <x:f>IF(B869="","",IF(COUNT(E869)=0,"MISSING",IF(NOT(ISNUMBER(E869)),"INVALID",IF(E869*F869&lt;K869,"WINSORIZED LOW",IF(E869*F869&gt;L869,"WINSORIZED HIGH","OK")))))</x:f>
      </x:c>
      <x:c r="K869" s="34" t="n">
        <x:v>-0.1395374353</x:v>
      </x:c>
      <x:c r="L869" s="34" t="n">
        <x:v>0.9274274845000001</x:v>
      </x:c>
      <x:c r="M869" s="34" t="n">
        <x:v>0.1111111111111111</x:v>
      </x:c>
      <x:c r="N869" s="34" t="str">
        <x:v>no</x:v>
      </x:c>
    </x:row>
    <x:row r="870">
      <x:c r="A870" s="34" t="n">
        <x:v>87</x:v>
      </x:c>
      <x:c r="B870" s="34" t="str">
        <x:f>IF('01_INPUT_COMPANIES'!$A$93="","",'01_INPUT_COMPANIES'!$A$93)</x:f>
      </x:c>
      <x:c r="C870" s="34" t="str">
        <x:f>IF(B870="","",'01_INPUT_COMPANIES'!$B$93)</x:f>
      </x:c>
      <x:c r="D870" s="34" t="str">
        <x:v>cashflow_recovery_ratio</x:v>
      </x:c>
      <x:c r="E870" s="42" t="str">
        <x:f>IF(OR(B870="",COUNT('01_INPUT_COMPANIES'!$W$93)=0),"",'01_INPUT_COMPANIES'!$W$93)</x:f>
      </x:c>
      <x:c r="F870" s="42" t="n">
        <x:v>-1</x:v>
      </x:c>
      <x:c r="G870" s="42" t="str">
        <x:f>IF(NOT(ISNUMBER(E870)),"",MAX(K870,MIN(L870,E870*F870)))</x:f>
      </x:c>
      <x:c r="H870" s="42" t="n">
        <x:v>95</x:v>
      </x:c>
      <x:c r="I870" s="42" t="str">
        <x:f>IF(COUNT(G870)=0,"",(COUNTIFS('93_REF_ANCHORS'!$A$7:$A$766,D870,'93_REF_ANCHORS'!$C$7:$C$766,"&lt;"&amp;G870)+COUNTIFS('93_REF_ANCHORS'!$A$7:$A$766,D870,'93_REF_ANCHORS'!$C$7:$C$766,"&lt;="&amp;G870)-1)/(2*(H870-1)))</x:f>
      </x:c>
      <x:c r="J870" s="34" t="str">
        <x:f>IF(B870="","",IF(COUNT(E870)=0,"MISSING",IF(NOT(ISNUMBER(E870)),"INVALID",IF(E870*F870&lt;K870,"WINSORIZED LOW",IF(E870*F870&gt;L870,"WINSORIZED HIGH","OK")))))</x:f>
      </x:c>
      <x:c r="K870" s="34" t="n">
        <x:v>-300.75</x:v>
      </x:c>
      <x:c r="L870" s="34" t="n">
        <x:v>42.6920305469</x:v>
      </x:c>
      <x:c r="M870" s="34" t="n">
        <x:v>0.08333333333333333</x:v>
      </x:c>
      <x:c r="N870" s="34" t="str">
        <x:v>no</x:v>
      </x:c>
    </x:row>
    <x:row r="871">
      <x:c r="A871" s="34" t="n">
        <x:v>87</x:v>
      </x:c>
      <x:c r="B871" s="34" t="str">
        <x:f>IF('01_INPUT_COMPANIES'!$A$93="","",'01_INPUT_COMPANIES'!$A$93)</x:f>
      </x:c>
      <x:c r="C871" s="34" t="str">
        <x:f>IF(B871="","",'01_INPUT_COMPANIES'!$B$93)</x:f>
      </x:c>
      <x:c r="D871" s="34" t="str">
        <x:v>funding_cost_spread</x:v>
      </x:c>
      <x:c r="E871" s="42" t="str">
        <x:f>IF(OR(B871="",COUNT('01_INPUT_COMPANIES'!$X$93)=0),"",'01_INPUT_COMPANIES'!$X$93)</x:f>
      </x:c>
      <x:c r="F871" s="42" t="n">
        <x:v>1</x:v>
      </x:c>
      <x:c r="G871" s="42" t="str">
        <x:f>IF(NOT(ISNUMBER(E871)),"",MAX(K871,MIN(L871,E871*F871)))</x:f>
      </x:c>
      <x:c r="H871" s="42" t="n">
        <x:v>58</x:v>
      </x:c>
      <x:c r="I871" s="42" t="str">
        <x:f>IF(COUNT(G871)=0,"",(COUNTIFS('93_REF_ANCHORS'!$A$7:$A$766,D871,'93_REF_ANCHORS'!$C$7:$C$766,"&lt;"&amp;G871)+COUNTIFS('93_REF_ANCHORS'!$A$7:$A$766,D871,'93_REF_ANCHORS'!$C$7:$C$766,"&lt;="&amp;G871)-1)/(2*(H871-1)))</x:f>
      </x:c>
      <x:c r="J871" s="34" t="str">
        <x:f>IF(B871="","",IF(COUNT(E871)=0,"MISSING",IF(NOT(ISNUMBER(E871)),"INVALID",IF(E871*F871&lt;K871,"WINSORIZED LOW",IF(E871*F871&gt;L871,"WINSORIZED HIGH","OK")))))</x:f>
      </x:c>
      <x:c r="K871" s="34" t="n">
        <x:v>-0.4430292903</x:v>
      </x:c>
      <x:c r="L871" s="34" t="n">
        <x:v>0.5068913103</x:v>
      </x:c>
      <x:c r="M871" s="34" t="n">
        <x:v>0.08333333333333333</x:v>
      </x:c>
      <x:c r="N871" s="34" t="str">
        <x:v>no</x:v>
      </x:c>
    </x:row>
    <x:row r="872">
      <x:c r="A872" s="34" t="n">
        <x:v>87</x:v>
      </x:c>
      <x:c r="B872" s="34" t="str">
        <x:f>IF('01_INPUT_COMPANIES'!$A$93="","",'01_INPUT_COMPANIES'!$A$93)</x:f>
      </x:c>
      <x:c r="C872" s="34" t="str">
        <x:f>IF(B872="","",'01_INPUT_COMPANIES'!$B$93)</x:f>
      </x:c>
      <x:c r="D872" s="34" t="str">
        <x:v>investment_recovery_ratio</x:v>
      </x:c>
      <x:c r="E872" s="42" t="str">
        <x:f>IF(OR(B872="",COUNT('01_INPUT_COMPANIES'!$Y$93)=0),"",'01_INPUT_COMPANIES'!$Y$93)</x:f>
      </x:c>
      <x:c r="F872" s="42" t="n">
        <x:v>-1</x:v>
      </x:c>
      <x:c r="G872" s="42" t="str">
        <x:f>IF(NOT(ISNUMBER(E872)),"",MAX(K872,MIN(L872,E872*F872)))</x:f>
      </x:c>
      <x:c r="H872" s="42" t="n">
        <x:v>95</x:v>
      </x:c>
      <x:c r="I872" s="42" t="str">
        <x:f>IF(COUNT(G872)=0,"",(COUNTIFS('93_REF_ANCHORS'!$A$7:$A$766,D872,'93_REF_ANCHORS'!$C$7:$C$766,"&lt;"&amp;G872)+COUNTIFS('93_REF_ANCHORS'!$A$7:$A$766,D872,'93_REF_ANCHORS'!$C$7:$C$766,"&lt;="&amp;G872)-1)/(2*(H872-1)))</x:f>
      </x:c>
      <x:c r="J872" s="34" t="str">
        <x:f>IF(B872="","",IF(COUNT(E872)=0,"MISSING",IF(NOT(ISNUMBER(E872)),"INVALID",IF(E872*F872&lt;K872,"WINSORIZED LOW",IF(E872*F872&gt;L872,"WINSORIZED HIGH","OK")))))</x:f>
      </x:c>
      <x:c r="K872" s="34" t="n">
        <x:v>-3163.7500000000014</x:v>
      </x:c>
      <x:c r="L872" s="34" t="n">
        <x:v>189.68191301719997</x:v>
      </x:c>
      <x:c r="M872" s="34" t="n">
        <x:v>0.08333333333333333</x:v>
      </x:c>
      <x:c r="N872" s="34" t="str">
        <x:v>no</x:v>
      </x:c>
    </x:row>
    <x:row r="873">
      <x:c r="A873" s="34" t="n">
        <x:v>87</x:v>
      </x:c>
      <x:c r="B873" s="34" t="str">
        <x:f>IF('01_INPUT_COMPANIES'!$A$93="","",'01_INPUT_COMPANIES'!$A$93)</x:f>
      </x:c>
      <x:c r="C873" s="34" t="str">
        <x:f>IF(B873="","",'01_INPUT_COMPANIES'!$B$93)</x:f>
      </x:c>
      <x:c r="D873" s="34" t="str">
        <x:v>ip_assetization_gap</x:v>
      </x:c>
      <x:c r="E873" s="42" t="str">
        <x:f>IF(OR(B873="",COUNT('01_INPUT_COMPANIES'!$Z$93)=0),"",'01_INPUT_COMPANIES'!$Z$93)</x:f>
      </x:c>
      <x:c r="F873" s="42" t="n">
        <x:v>1</x:v>
      </x:c>
      <x:c r="G873" s="42" t="str">
        <x:f>IF(NOT(ISNUMBER(E873)),"",MAX(K873,MIN(L873,E873*F873)))</x:f>
      </x:c>
      <x:c r="H873" s="42" t="n">
        <x:v>92</x:v>
      </x:c>
      <x:c r="I873" s="42" t="str">
        <x:f>IF(COUNT(G873)=0,"",(COUNTIFS('93_REF_ANCHORS'!$A$7:$A$766,D873,'93_REF_ANCHORS'!$C$7:$C$766,"&lt;"&amp;G873)+COUNTIFS('93_REF_ANCHORS'!$A$7:$A$766,D873,'93_REF_ANCHORS'!$C$7:$C$766,"&lt;="&amp;G873)-1)/(2*(H873-1)))</x:f>
      </x:c>
      <x:c r="J873" s="34" t="str">
        <x:f>IF(B873="","",IF(COUNT(E873)=0,"MISSING",IF(NOT(ISNUMBER(E873)),"INVALID",IF(E873*F873&lt;K873,"WINSORIZED LOW",IF(E873*F873&gt;L873,"WINSORIZED HIGH","OK")))))</x:f>
      </x:c>
      <x:c r="K873" s="34" t="n">
        <x:v>-1.6707152386</x:v>
      </x:c>
      <x:c r="L873" s="34" t="n">
        <x:v>0.7716332556000001</x:v>
      </x:c>
      <x:c r="M873" s="34" t="n">
        <x:v>0.08333333333333333</x:v>
      </x:c>
      <x:c r="N873" s="34" t="str">
        <x:v>no</x:v>
      </x:c>
    </x:row>
    <x:row r="874">
      <x:c r="A874" s="34" t="n">
        <x:v>87</x:v>
      </x:c>
      <x:c r="B874" s="34" t="str">
        <x:f>IF('01_INPUT_COMPANIES'!$A$93="","",'01_INPUT_COMPANIES'!$A$93)</x:f>
      </x:c>
      <x:c r="C874" s="34" t="str">
        <x:f>IF(B874="","",'01_INPUT_COMPANIES'!$B$93)</x:f>
      </x:c>
      <x:c r="D874" s="34" t="str">
        <x:v>cross_market_transfer_index</x:v>
      </x:c>
      <x:c r="E874" s="42" t="str">
        <x:f>IF(OR(B874="",COUNT('01_INPUT_COMPANIES'!$AA$93)=0),"",'01_INPUT_COMPANIES'!$AA$93)</x:f>
      </x:c>
      <x:c r="F874" s="42" t="n">
        <x:v>1</x:v>
      </x:c>
      <x:c r="G874" s="42" t="str">
        <x:f>IF(NOT(ISNUMBER(E874)),"",MAX(K874,MIN(L874,E874*F874)))</x:f>
      </x:c>
      <x:c r="H874" s="42" t="n">
        <x:v>4</x:v>
      </x:c>
      <x:c r="I874" s="42" t="str">
        <x:f>IF(COUNT(G874)=0,"",(COUNTIFS('93_REF_ANCHORS'!$A$7:$A$766,D874,'93_REF_ANCHORS'!$C$7:$C$766,"&lt;"&amp;G874)+COUNTIFS('93_REF_ANCHORS'!$A$7:$A$766,D874,'93_REF_ANCHORS'!$C$7:$C$766,"&lt;="&amp;G874)-1)/(2*(H874-1)))</x:f>
      </x:c>
      <x:c r="J874" s="34" t="str">
        <x:f>IF(B874="","",IF(COUNT(E874)=0,"MISSING",IF(NOT(ISNUMBER(E874)),"INVALID",IF(E874*F874&lt;K874,"WINSORIZED LOW",IF(E874*F874&gt;L874,"WINSORIZED HIGH","OK")))))</x:f>
      </x:c>
      <x:c r="K874" s="34" t="n">
        <x:v>0</x:v>
      </x:c>
      <x:c r="L874" s="34" t="n">
        <x:v>0.7587051325360435</x:v>
      </x:c>
      <x:c r="M874" s="34" t="n">
        <x:v>0.1111111111111111</x:v>
      </x:c>
      <x:c r="N874" s="34" t="str">
        <x:v>yes</x:v>
      </x:c>
    </x:row>
    <x:row r="875">
      <x:c r="A875" s="34" t="n">
        <x:v>87</x:v>
      </x:c>
      <x:c r="B875" s="34" t="str">
        <x:f>IF('01_INPUT_COMPANIES'!$A$93="","",'01_INPUT_COMPANIES'!$A$93)</x:f>
      </x:c>
      <x:c r="C875" s="34" t="str">
        <x:f>IF(B875="","",'01_INPUT_COMPANIES'!$B$93)</x:f>
      </x:c>
      <x:c r="D875" s="34" t="str">
        <x:v>foreign_dependency_ratio</x:v>
      </x:c>
      <x:c r="E875" s="42" t="str">
        <x:f>IF(OR(B875="",COUNT('01_INPUT_COMPANIES'!$AB$93)=0),"",'01_INPUT_COMPANIES'!$AB$93)</x:f>
      </x:c>
      <x:c r="F875" s="42" t="n">
        <x:v>1</x:v>
      </x:c>
      <x:c r="G875" s="42" t="str">
        <x:f>IF(NOT(ISNUMBER(E875)),"",MAX(K875,MIN(L875,E875*F875)))</x:f>
      </x:c>
      <x:c r="H875" s="42" t="n">
        <x:v>84</x:v>
      </x:c>
      <x:c r="I875" s="42" t="str">
        <x:f>IF(COUNT(G875)=0,"",(COUNTIFS('93_REF_ANCHORS'!$A$7:$A$766,D875,'93_REF_ANCHORS'!$C$7:$C$766,"&lt;"&amp;G875)+COUNTIFS('93_REF_ANCHORS'!$A$7:$A$766,D875,'93_REF_ANCHORS'!$C$7:$C$766,"&lt;="&amp;G875)-1)/(2*(H875-1)))</x:f>
      </x:c>
      <x:c r="J875" s="34" t="str">
        <x:f>IF(B875="","",IF(COUNT(E875)=0,"MISSING",IF(NOT(ISNUMBER(E875)),"INVALID",IF(E875*F875&lt;K875,"WINSORIZED LOW",IF(E875*F875&gt;L875,"WINSORIZED HIGH","OK")))))</x:f>
      </x:c>
      <x:c r="K875" s="34" t="n">
        <x:v>0.728196</x:v>
      </x:c>
      <x:c r="L875" s="34" t="n">
        <x:v>0.94</x:v>
      </x:c>
      <x:c r="M875" s="34" t="n">
        <x:v>0.1111111111111111</x:v>
      </x:c>
      <x:c r="N875" s="34" t="str">
        <x:v>yes</x:v>
      </x:c>
    </x:row>
    <x:row r="876">
      <x:c r="A876" s="34" t="n">
        <x:v>87</x:v>
      </x:c>
      <x:c r="B876" s="34" t="str">
        <x:f>IF('01_INPUT_COMPANIES'!$A$93="","",'01_INPUT_COMPANIES'!$A$93)</x:f>
      </x:c>
      <x:c r="C876" s="34" t="str">
        <x:f>IF(B876="","",'01_INPUT_COMPANIES'!$B$93)</x:f>
      </x:c>
      <x:c r="D876" s="34" t="str">
        <x:v>outflow_to_capex_ratio</x:v>
      </x:c>
      <x:c r="E876" s="42" t="str">
        <x:f>IF(OR(B876="",COUNT('01_INPUT_COMPANIES'!$AC$93)=0),"",'01_INPUT_COMPANIES'!$AC$93)</x:f>
      </x:c>
      <x:c r="F876" s="42" t="n">
        <x:v>1</x:v>
      </x:c>
      <x:c r="G876" s="42" t="str">
        <x:f>IF(NOT(ISNUMBER(E876)),"",MAX(K876,MIN(L876,E876*F876)))</x:f>
      </x:c>
      <x:c r="H876" s="42" t="n">
        <x:v>97</x:v>
      </x:c>
      <x:c r="I876" s="42" t="str">
        <x:f>IF(COUNT(G876)=0,"",(COUNTIFS('93_REF_ANCHORS'!$A$7:$A$766,D876,'93_REF_ANCHORS'!$C$7:$C$766,"&lt;"&amp;G876)+COUNTIFS('93_REF_ANCHORS'!$A$7:$A$766,D876,'93_REF_ANCHORS'!$C$7:$C$766,"&lt;="&amp;G876)-1)/(2*(H876-1)))</x:f>
      </x:c>
      <x:c r="J876" s="34" t="str">
        <x:f>IF(B876="","",IF(COUNT(E876)=0,"MISSING",IF(NOT(ISNUMBER(E876)),"INVALID",IF(E876*F876&lt;K876,"WINSORIZED LOW",IF(E876*F876&gt;L876,"WINSORIZED HIGH","OK")))))</x:f>
      </x:c>
      <x:c r="K876" s="34" t="n">
        <x:v>-123.5385890408</x:v>
      </x:c>
      <x:c r="L876" s="34" t="n">
        <x:v>974.1666666666999</x:v>
      </x:c>
      <x:c r="M876" s="34" t="n">
        <x:v>0.1111111111111111</x:v>
      </x:c>
      <x:c r="N876" s="34" t="str">
        <x:v>no</x:v>
      </x:c>
    </x:row>
    <x:row r="877">
      <x:c r="A877" s="34" t="n">
        <x:v>88</x:v>
      </x:c>
      <x:c r="B877" s="34" t="str">
        <x:f>IF('01_INPUT_COMPANIES'!$A$94="","",'01_INPUT_COMPANIES'!$A$94)</x:f>
      </x:c>
      <x:c r="C877" s="34" t="str">
        <x:f>IF(B877="","",'01_INPUT_COMPANIES'!$B$94)</x:f>
      </x:c>
      <x:c r="D877" s="34" t="str">
        <x:v>effective_tax_rate_gap</x:v>
      </x:c>
      <x:c r="E877" s="42" t="str">
        <x:f>IF(OR(B877="",COUNT('01_INPUT_COMPANIES'!$T$94)=0),"",'01_INPUT_COMPANIES'!$T$94)</x:f>
      </x:c>
      <x:c r="F877" s="42" t="n">
        <x:v>1</x:v>
      </x:c>
      <x:c r="G877" s="42" t="str">
        <x:f>IF(NOT(ISNUMBER(E877)),"",MAX(K877,MIN(L877,E877*F877)))</x:f>
      </x:c>
      <x:c r="H877" s="42" t="n">
        <x:v>74</x:v>
      </x:c>
      <x:c r="I877" s="42" t="str">
        <x:f>IF(COUNT(G877)=0,"",(COUNTIFS('93_REF_ANCHORS'!$A$7:$A$766,D877,'93_REF_ANCHORS'!$C$7:$C$766,"&lt;"&amp;G877)+COUNTIFS('93_REF_ANCHORS'!$A$7:$A$766,D877,'93_REF_ANCHORS'!$C$7:$C$766,"&lt;="&amp;G877)-1)/(2*(H877-1)))</x:f>
      </x:c>
      <x:c r="J877" s="34" t="str">
        <x:f>IF(B877="","",IF(COUNT(E877)=0,"MISSING",IF(NOT(ISNUMBER(E877)),"INVALID",IF(E877*F877&lt;K877,"WINSORIZED LOW",IF(E877*F877&gt;L877,"WINSORIZED HIGH","OK")))))</x:f>
      </x:c>
      <x:c r="K877" s="34" t="n">
        <x:v>-0.1416111014</x:v>
      </x:c>
      <x:c r="L877" s="34" t="n">
        <x:v>0.2683650488</x:v>
      </x:c>
      <x:c r="M877" s="34" t="n">
        <x:v>0.1111111111111111</x:v>
      </x:c>
      <x:c r="N877" s="34" t="str">
        <x:v>no</x:v>
      </x:c>
    </x:row>
    <x:row r="878">
      <x:c r="A878" s="34" t="n">
        <x:v>88</x:v>
      </x:c>
      <x:c r="B878" s="34" t="str">
        <x:f>IF('01_INPUT_COMPANIES'!$A$94="","",'01_INPUT_COMPANIES'!$A$94)</x:f>
      </x:c>
      <x:c r="C878" s="34" t="str">
        <x:f>IF(B878="","",'01_INPUT_COMPANIES'!$B$94)</x:f>
      </x:c>
      <x:c r="D878" s="34" t="str">
        <x:v>infra_dependency_ratio</x:v>
      </x:c>
      <x:c r="E878" s="42" t="str">
        <x:f>IF(OR(B878="",COUNT('01_INPUT_COMPANIES'!$U$94)=0),"",'01_INPUT_COMPANIES'!$U$94)</x:f>
      </x:c>
      <x:c r="F878" s="42" t="n">
        <x:v>1</x:v>
      </x:c>
      <x:c r="G878" s="42" t="str">
        <x:f>IF(NOT(ISNUMBER(E878)),"",MAX(K878,MIN(L878,E878*F878)))</x:f>
      </x:c>
      <x:c r="H878" s="42" t="n">
        <x:v>64</x:v>
      </x:c>
      <x:c r="I878" s="42" t="str">
        <x:f>IF(COUNT(G878)=0,"",(COUNTIFS('93_REF_ANCHORS'!$A$7:$A$766,D878,'93_REF_ANCHORS'!$C$7:$C$766,"&lt;"&amp;G878)+COUNTIFS('93_REF_ANCHORS'!$A$7:$A$766,D878,'93_REF_ANCHORS'!$C$7:$C$766,"&lt;="&amp;G878)-1)/(2*(H878-1)))</x:f>
      </x:c>
      <x:c r="J878" s="34" t="str">
        <x:f>IF(B878="","",IF(COUNT(E878)=0,"MISSING",IF(NOT(ISNUMBER(E878)),"INVALID",IF(E878*F878&lt;K878,"WINSORIZED LOW",IF(E878*F878&gt;L878,"WINSORIZED HIGH","OK")))))</x:f>
      </x:c>
      <x:c r="K878" s="34" t="n">
        <x:v>-0.10705024705171803</x:v>
      </x:c>
      <x:c r="L878" s="34" t="n">
        <x:v>0.8008753865408955</x:v>
      </x:c>
      <x:c r="M878" s="34" t="n">
        <x:v>0.1111111111111111</x:v>
      </x:c>
      <x:c r="N878" s="34" t="str">
        <x:v>no</x:v>
      </x:c>
    </x:row>
    <x:row r="879">
      <x:c r="A879" s="34" t="n">
        <x:v>88</x:v>
      </x:c>
      <x:c r="B879" s="34" t="str">
        <x:f>IF('01_INPUT_COMPANIES'!$A$94="","",'01_INPUT_COMPANIES'!$A$94)</x:f>
      </x:c>
      <x:c r="C879" s="34" t="str">
        <x:f>IF(B879="","",'01_INPUT_COMPANIES'!$B$94)</x:f>
      </x:c>
      <x:c r="D879" s="34" t="str">
        <x:v>network_cost_ratio</x:v>
      </x:c>
      <x:c r="E879" s="42" t="str">
        <x:f>IF(OR(B879="",COUNT('01_INPUT_COMPANIES'!$V$94)=0),"",'01_INPUT_COMPANIES'!$V$94)</x:f>
      </x:c>
      <x:c r="F879" s="42" t="n">
        <x:v>1</x:v>
      </x:c>
      <x:c r="G879" s="42" t="str">
        <x:f>IF(NOT(ISNUMBER(E879)),"",MAX(K879,MIN(L879,E879*F879)))</x:f>
      </x:c>
      <x:c r="H879" s="42" t="n">
        <x:v>97</x:v>
      </x:c>
      <x:c r="I879" s="42" t="str">
        <x:f>IF(COUNT(G879)=0,"",(COUNTIFS('93_REF_ANCHORS'!$A$7:$A$766,D879,'93_REF_ANCHORS'!$C$7:$C$766,"&lt;"&amp;G879)+COUNTIFS('93_REF_ANCHORS'!$A$7:$A$766,D879,'93_REF_ANCHORS'!$C$7:$C$766,"&lt;="&amp;G879)-1)/(2*(H879-1)))</x:f>
      </x:c>
      <x:c r="J879" s="34" t="str">
        <x:f>IF(B879="","",IF(COUNT(E879)=0,"MISSING",IF(NOT(ISNUMBER(E879)),"INVALID",IF(E879*F879&lt;K879,"WINSORIZED LOW",IF(E879*F879&gt;L879,"WINSORIZED HIGH","OK")))))</x:f>
      </x:c>
      <x:c r="K879" s="34" t="n">
        <x:v>-0.1395374353</x:v>
      </x:c>
      <x:c r="L879" s="34" t="n">
        <x:v>0.9274274845000001</x:v>
      </x:c>
      <x:c r="M879" s="34" t="n">
        <x:v>0.1111111111111111</x:v>
      </x:c>
      <x:c r="N879" s="34" t="str">
        <x:v>no</x:v>
      </x:c>
    </x:row>
    <x:row r="880">
      <x:c r="A880" s="34" t="n">
        <x:v>88</x:v>
      </x:c>
      <x:c r="B880" s="34" t="str">
        <x:f>IF('01_INPUT_COMPANIES'!$A$94="","",'01_INPUT_COMPANIES'!$A$94)</x:f>
      </x:c>
      <x:c r="C880" s="34" t="str">
        <x:f>IF(B880="","",'01_INPUT_COMPANIES'!$B$94)</x:f>
      </x:c>
      <x:c r="D880" s="34" t="str">
        <x:v>cashflow_recovery_ratio</x:v>
      </x:c>
      <x:c r="E880" s="42" t="str">
        <x:f>IF(OR(B880="",COUNT('01_INPUT_COMPANIES'!$W$94)=0),"",'01_INPUT_COMPANIES'!$W$94)</x:f>
      </x:c>
      <x:c r="F880" s="42" t="n">
        <x:v>-1</x:v>
      </x:c>
      <x:c r="G880" s="42" t="str">
        <x:f>IF(NOT(ISNUMBER(E880)),"",MAX(K880,MIN(L880,E880*F880)))</x:f>
      </x:c>
      <x:c r="H880" s="42" t="n">
        <x:v>95</x:v>
      </x:c>
      <x:c r="I880" s="42" t="str">
        <x:f>IF(COUNT(G880)=0,"",(COUNTIFS('93_REF_ANCHORS'!$A$7:$A$766,D880,'93_REF_ANCHORS'!$C$7:$C$766,"&lt;"&amp;G880)+COUNTIFS('93_REF_ANCHORS'!$A$7:$A$766,D880,'93_REF_ANCHORS'!$C$7:$C$766,"&lt;="&amp;G880)-1)/(2*(H880-1)))</x:f>
      </x:c>
      <x:c r="J880" s="34" t="str">
        <x:f>IF(B880="","",IF(COUNT(E880)=0,"MISSING",IF(NOT(ISNUMBER(E880)),"INVALID",IF(E880*F880&lt;K880,"WINSORIZED LOW",IF(E880*F880&gt;L880,"WINSORIZED HIGH","OK")))))</x:f>
      </x:c>
      <x:c r="K880" s="34" t="n">
        <x:v>-300.75</x:v>
      </x:c>
      <x:c r="L880" s="34" t="n">
        <x:v>42.6920305469</x:v>
      </x:c>
      <x:c r="M880" s="34" t="n">
        <x:v>0.08333333333333333</x:v>
      </x:c>
      <x:c r="N880" s="34" t="str">
        <x:v>no</x:v>
      </x:c>
    </x:row>
    <x:row r="881">
      <x:c r="A881" s="34" t="n">
        <x:v>88</x:v>
      </x:c>
      <x:c r="B881" s="34" t="str">
        <x:f>IF('01_INPUT_COMPANIES'!$A$94="","",'01_INPUT_COMPANIES'!$A$94)</x:f>
      </x:c>
      <x:c r="C881" s="34" t="str">
        <x:f>IF(B881="","",'01_INPUT_COMPANIES'!$B$94)</x:f>
      </x:c>
      <x:c r="D881" s="34" t="str">
        <x:v>funding_cost_spread</x:v>
      </x:c>
      <x:c r="E881" s="42" t="str">
        <x:f>IF(OR(B881="",COUNT('01_INPUT_COMPANIES'!$X$94)=0),"",'01_INPUT_COMPANIES'!$X$94)</x:f>
      </x:c>
      <x:c r="F881" s="42" t="n">
        <x:v>1</x:v>
      </x:c>
      <x:c r="G881" s="42" t="str">
        <x:f>IF(NOT(ISNUMBER(E881)),"",MAX(K881,MIN(L881,E881*F881)))</x:f>
      </x:c>
      <x:c r="H881" s="42" t="n">
        <x:v>58</x:v>
      </x:c>
      <x:c r="I881" s="42" t="str">
        <x:f>IF(COUNT(G881)=0,"",(COUNTIFS('93_REF_ANCHORS'!$A$7:$A$766,D881,'93_REF_ANCHORS'!$C$7:$C$766,"&lt;"&amp;G881)+COUNTIFS('93_REF_ANCHORS'!$A$7:$A$766,D881,'93_REF_ANCHORS'!$C$7:$C$766,"&lt;="&amp;G881)-1)/(2*(H881-1)))</x:f>
      </x:c>
      <x:c r="J881" s="34" t="str">
        <x:f>IF(B881="","",IF(COUNT(E881)=0,"MISSING",IF(NOT(ISNUMBER(E881)),"INVALID",IF(E881*F881&lt;K881,"WINSORIZED LOW",IF(E881*F881&gt;L881,"WINSORIZED HIGH","OK")))))</x:f>
      </x:c>
      <x:c r="K881" s="34" t="n">
        <x:v>-0.4430292903</x:v>
      </x:c>
      <x:c r="L881" s="34" t="n">
        <x:v>0.5068913103</x:v>
      </x:c>
      <x:c r="M881" s="34" t="n">
        <x:v>0.08333333333333333</x:v>
      </x:c>
      <x:c r="N881" s="34" t="str">
        <x:v>no</x:v>
      </x:c>
    </x:row>
    <x:row r="882">
      <x:c r="A882" s="34" t="n">
        <x:v>88</x:v>
      </x:c>
      <x:c r="B882" s="34" t="str">
        <x:f>IF('01_INPUT_COMPANIES'!$A$94="","",'01_INPUT_COMPANIES'!$A$94)</x:f>
      </x:c>
      <x:c r="C882" s="34" t="str">
        <x:f>IF(B882="","",'01_INPUT_COMPANIES'!$B$94)</x:f>
      </x:c>
      <x:c r="D882" s="34" t="str">
        <x:v>investment_recovery_ratio</x:v>
      </x:c>
      <x:c r="E882" s="42" t="str">
        <x:f>IF(OR(B882="",COUNT('01_INPUT_COMPANIES'!$Y$94)=0),"",'01_INPUT_COMPANIES'!$Y$94)</x:f>
      </x:c>
      <x:c r="F882" s="42" t="n">
        <x:v>-1</x:v>
      </x:c>
      <x:c r="G882" s="42" t="str">
        <x:f>IF(NOT(ISNUMBER(E882)),"",MAX(K882,MIN(L882,E882*F882)))</x:f>
      </x:c>
      <x:c r="H882" s="42" t="n">
        <x:v>95</x:v>
      </x:c>
      <x:c r="I882" s="42" t="str">
        <x:f>IF(COUNT(G882)=0,"",(COUNTIFS('93_REF_ANCHORS'!$A$7:$A$766,D882,'93_REF_ANCHORS'!$C$7:$C$766,"&lt;"&amp;G882)+COUNTIFS('93_REF_ANCHORS'!$A$7:$A$766,D882,'93_REF_ANCHORS'!$C$7:$C$766,"&lt;="&amp;G882)-1)/(2*(H882-1)))</x:f>
      </x:c>
      <x:c r="J882" s="34" t="str">
        <x:f>IF(B882="","",IF(COUNT(E882)=0,"MISSING",IF(NOT(ISNUMBER(E882)),"INVALID",IF(E882*F882&lt;K882,"WINSORIZED LOW",IF(E882*F882&gt;L882,"WINSORIZED HIGH","OK")))))</x:f>
      </x:c>
      <x:c r="K882" s="34" t="n">
        <x:v>-3163.7500000000014</x:v>
      </x:c>
      <x:c r="L882" s="34" t="n">
        <x:v>189.68191301719997</x:v>
      </x:c>
      <x:c r="M882" s="34" t="n">
        <x:v>0.08333333333333333</x:v>
      </x:c>
      <x:c r="N882" s="34" t="str">
        <x:v>no</x:v>
      </x:c>
    </x:row>
    <x:row r="883">
      <x:c r="A883" s="34" t="n">
        <x:v>88</x:v>
      </x:c>
      <x:c r="B883" s="34" t="str">
        <x:f>IF('01_INPUT_COMPANIES'!$A$94="","",'01_INPUT_COMPANIES'!$A$94)</x:f>
      </x:c>
      <x:c r="C883" s="34" t="str">
        <x:f>IF(B883="","",'01_INPUT_COMPANIES'!$B$94)</x:f>
      </x:c>
      <x:c r="D883" s="34" t="str">
        <x:v>ip_assetization_gap</x:v>
      </x:c>
      <x:c r="E883" s="42" t="str">
        <x:f>IF(OR(B883="",COUNT('01_INPUT_COMPANIES'!$Z$94)=0),"",'01_INPUT_COMPANIES'!$Z$94)</x:f>
      </x:c>
      <x:c r="F883" s="42" t="n">
        <x:v>1</x:v>
      </x:c>
      <x:c r="G883" s="42" t="str">
        <x:f>IF(NOT(ISNUMBER(E883)),"",MAX(K883,MIN(L883,E883*F883)))</x:f>
      </x:c>
      <x:c r="H883" s="42" t="n">
        <x:v>92</x:v>
      </x:c>
      <x:c r="I883" s="42" t="str">
        <x:f>IF(COUNT(G883)=0,"",(COUNTIFS('93_REF_ANCHORS'!$A$7:$A$766,D883,'93_REF_ANCHORS'!$C$7:$C$766,"&lt;"&amp;G883)+COUNTIFS('93_REF_ANCHORS'!$A$7:$A$766,D883,'93_REF_ANCHORS'!$C$7:$C$766,"&lt;="&amp;G883)-1)/(2*(H883-1)))</x:f>
      </x:c>
      <x:c r="J883" s="34" t="str">
        <x:f>IF(B883="","",IF(COUNT(E883)=0,"MISSING",IF(NOT(ISNUMBER(E883)),"INVALID",IF(E883*F883&lt;K883,"WINSORIZED LOW",IF(E883*F883&gt;L883,"WINSORIZED HIGH","OK")))))</x:f>
      </x:c>
      <x:c r="K883" s="34" t="n">
        <x:v>-1.6707152386</x:v>
      </x:c>
      <x:c r="L883" s="34" t="n">
        <x:v>0.7716332556000001</x:v>
      </x:c>
      <x:c r="M883" s="34" t="n">
        <x:v>0.08333333333333333</x:v>
      </x:c>
      <x:c r="N883" s="34" t="str">
        <x:v>no</x:v>
      </x:c>
    </x:row>
    <x:row r="884">
      <x:c r="A884" s="34" t="n">
        <x:v>88</x:v>
      </x:c>
      <x:c r="B884" s="34" t="str">
        <x:f>IF('01_INPUT_COMPANIES'!$A$94="","",'01_INPUT_COMPANIES'!$A$94)</x:f>
      </x:c>
      <x:c r="C884" s="34" t="str">
        <x:f>IF(B884="","",'01_INPUT_COMPANIES'!$B$94)</x:f>
      </x:c>
      <x:c r="D884" s="34" t="str">
        <x:v>cross_market_transfer_index</x:v>
      </x:c>
      <x:c r="E884" s="42" t="str">
        <x:f>IF(OR(B884="",COUNT('01_INPUT_COMPANIES'!$AA$94)=0),"",'01_INPUT_COMPANIES'!$AA$94)</x:f>
      </x:c>
      <x:c r="F884" s="42" t="n">
        <x:v>1</x:v>
      </x:c>
      <x:c r="G884" s="42" t="str">
        <x:f>IF(NOT(ISNUMBER(E884)),"",MAX(K884,MIN(L884,E884*F884)))</x:f>
      </x:c>
      <x:c r="H884" s="42" t="n">
        <x:v>4</x:v>
      </x:c>
      <x:c r="I884" s="42" t="str">
        <x:f>IF(COUNT(G884)=0,"",(COUNTIFS('93_REF_ANCHORS'!$A$7:$A$766,D884,'93_REF_ANCHORS'!$C$7:$C$766,"&lt;"&amp;G884)+COUNTIFS('93_REF_ANCHORS'!$A$7:$A$766,D884,'93_REF_ANCHORS'!$C$7:$C$766,"&lt;="&amp;G884)-1)/(2*(H884-1)))</x:f>
      </x:c>
      <x:c r="J884" s="34" t="str">
        <x:f>IF(B884="","",IF(COUNT(E884)=0,"MISSING",IF(NOT(ISNUMBER(E884)),"INVALID",IF(E884*F884&lt;K884,"WINSORIZED LOW",IF(E884*F884&gt;L884,"WINSORIZED HIGH","OK")))))</x:f>
      </x:c>
      <x:c r="K884" s="34" t="n">
        <x:v>0</x:v>
      </x:c>
      <x:c r="L884" s="34" t="n">
        <x:v>0.7587051325360435</x:v>
      </x:c>
      <x:c r="M884" s="34" t="n">
        <x:v>0.1111111111111111</x:v>
      </x:c>
      <x:c r="N884" s="34" t="str">
        <x:v>yes</x:v>
      </x:c>
    </x:row>
    <x:row r="885">
      <x:c r="A885" s="34" t="n">
        <x:v>88</x:v>
      </x:c>
      <x:c r="B885" s="34" t="str">
        <x:f>IF('01_INPUT_COMPANIES'!$A$94="","",'01_INPUT_COMPANIES'!$A$94)</x:f>
      </x:c>
      <x:c r="C885" s="34" t="str">
        <x:f>IF(B885="","",'01_INPUT_COMPANIES'!$B$94)</x:f>
      </x:c>
      <x:c r="D885" s="34" t="str">
        <x:v>foreign_dependency_ratio</x:v>
      </x:c>
      <x:c r="E885" s="42" t="str">
        <x:f>IF(OR(B885="",COUNT('01_INPUT_COMPANIES'!$AB$94)=0),"",'01_INPUT_COMPANIES'!$AB$94)</x:f>
      </x:c>
      <x:c r="F885" s="42" t="n">
        <x:v>1</x:v>
      </x:c>
      <x:c r="G885" s="42" t="str">
        <x:f>IF(NOT(ISNUMBER(E885)),"",MAX(K885,MIN(L885,E885*F885)))</x:f>
      </x:c>
      <x:c r="H885" s="42" t="n">
        <x:v>84</x:v>
      </x:c>
      <x:c r="I885" s="42" t="str">
        <x:f>IF(COUNT(G885)=0,"",(COUNTIFS('93_REF_ANCHORS'!$A$7:$A$766,D885,'93_REF_ANCHORS'!$C$7:$C$766,"&lt;"&amp;G885)+COUNTIFS('93_REF_ANCHORS'!$A$7:$A$766,D885,'93_REF_ANCHORS'!$C$7:$C$766,"&lt;="&amp;G885)-1)/(2*(H885-1)))</x:f>
      </x:c>
      <x:c r="J885" s="34" t="str">
        <x:f>IF(B885="","",IF(COUNT(E885)=0,"MISSING",IF(NOT(ISNUMBER(E885)),"INVALID",IF(E885*F885&lt;K885,"WINSORIZED LOW",IF(E885*F885&gt;L885,"WINSORIZED HIGH","OK")))))</x:f>
      </x:c>
      <x:c r="K885" s="34" t="n">
        <x:v>0.728196</x:v>
      </x:c>
      <x:c r="L885" s="34" t="n">
        <x:v>0.94</x:v>
      </x:c>
      <x:c r="M885" s="34" t="n">
        <x:v>0.1111111111111111</x:v>
      </x:c>
      <x:c r="N885" s="34" t="str">
        <x:v>yes</x:v>
      </x:c>
    </x:row>
    <x:row r="886">
      <x:c r="A886" s="34" t="n">
        <x:v>88</x:v>
      </x:c>
      <x:c r="B886" s="34" t="str">
        <x:f>IF('01_INPUT_COMPANIES'!$A$94="","",'01_INPUT_COMPANIES'!$A$94)</x:f>
      </x:c>
      <x:c r="C886" s="34" t="str">
        <x:f>IF(B886="","",'01_INPUT_COMPANIES'!$B$94)</x:f>
      </x:c>
      <x:c r="D886" s="34" t="str">
        <x:v>outflow_to_capex_ratio</x:v>
      </x:c>
      <x:c r="E886" s="42" t="str">
        <x:f>IF(OR(B886="",COUNT('01_INPUT_COMPANIES'!$AC$94)=0),"",'01_INPUT_COMPANIES'!$AC$94)</x:f>
      </x:c>
      <x:c r="F886" s="42" t="n">
        <x:v>1</x:v>
      </x:c>
      <x:c r="G886" s="42" t="str">
        <x:f>IF(NOT(ISNUMBER(E886)),"",MAX(K886,MIN(L886,E886*F886)))</x:f>
      </x:c>
      <x:c r="H886" s="42" t="n">
        <x:v>97</x:v>
      </x:c>
      <x:c r="I886" s="42" t="str">
        <x:f>IF(COUNT(G886)=0,"",(COUNTIFS('93_REF_ANCHORS'!$A$7:$A$766,D886,'93_REF_ANCHORS'!$C$7:$C$766,"&lt;"&amp;G886)+COUNTIFS('93_REF_ANCHORS'!$A$7:$A$766,D886,'93_REF_ANCHORS'!$C$7:$C$766,"&lt;="&amp;G886)-1)/(2*(H886-1)))</x:f>
      </x:c>
      <x:c r="J886" s="34" t="str">
        <x:f>IF(B886="","",IF(COUNT(E886)=0,"MISSING",IF(NOT(ISNUMBER(E886)),"INVALID",IF(E886*F886&lt;K886,"WINSORIZED LOW",IF(E886*F886&gt;L886,"WINSORIZED HIGH","OK")))))</x:f>
      </x:c>
      <x:c r="K886" s="34" t="n">
        <x:v>-123.5385890408</x:v>
      </x:c>
      <x:c r="L886" s="34" t="n">
        <x:v>974.1666666666999</x:v>
      </x:c>
      <x:c r="M886" s="34" t="n">
        <x:v>0.1111111111111111</x:v>
      </x:c>
      <x:c r="N886" s="34" t="str">
        <x:v>no</x:v>
      </x:c>
    </x:row>
    <x:row r="887">
      <x:c r="A887" s="34" t="n">
        <x:v>89</x:v>
      </x:c>
      <x:c r="B887" s="34" t="str">
        <x:f>IF('01_INPUT_COMPANIES'!$A$95="","",'01_INPUT_COMPANIES'!$A$95)</x:f>
      </x:c>
      <x:c r="C887" s="34" t="str">
        <x:f>IF(B887="","",'01_INPUT_COMPANIES'!$B$95)</x:f>
      </x:c>
      <x:c r="D887" s="34" t="str">
        <x:v>effective_tax_rate_gap</x:v>
      </x:c>
      <x:c r="E887" s="42" t="str">
        <x:f>IF(OR(B887="",COUNT('01_INPUT_COMPANIES'!$T$95)=0),"",'01_INPUT_COMPANIES'!$T$95)</x:f>
      </x:c>
      <x:c r="F887" s="42" t="n">
        <x:v>1</x:v>
      </x:c>
      <x:c r="G887" s="42" t="str">
        <x:f>IF(NOT(ISNUMBER(E887)),"",MAX(K887,MIN(L887,E887*F887)))</x:f>
      </x:c>
      <x:c r="H887" s="42" t="n">
        <x:v>74</x:v>
      </x:c>
      <x:c r="I887" s="42" t="str">
        <x:f>IF(COUNT(G887)=0,"",(COUNTIFS('93_REF_ANCHORS'!$A$7:$A$766,D887,'93_REF_ANCHORS'!$C$7:$C$766,"&lt;"&amp;G887)+COUNTIFS('93_REF_ANCHORS'!$A$7:$A$766,D887,'93_REF_ANCHORS'!$C$7:$C$766,"&lt;="&amp;G887)-1)/(2*(H887-1)))</x:f>
      </x:c>
      <x:c r="J887" s="34" t="str">
        <x:f>IF(B887="","",IF(COUNT(E887)=0,"MISSING",IF(NOT(ISNUMBER(E887)),"INVALID",IF(E887*F887&lt;K887,"WINSORIZED LOW",IF(E887*F887&gt;L887,"WINSORIZED HIGH","OK")))))</x:f>
      </x:c>
      <x:c r="K887" s="34" t="n">
        <x:v>-0.1416111014</x:v>
      </x:c>
      <x:c r="L887" s="34" t="n">
        <x:v>0.2683650488</x:v>
      </x:c>
      <x:c r="M887" s="34" t="n">
        <x:v>0.1111111111111111</x:v>
      </x:c>
      <x:c r="N887" s="34" t="str">
        <x:v>no</x:v>
      </x:c>
    </x:row>
    <x:row r="888">
      <x:c r="A888" s="34" t="n">
        <x:v>89</x:v>
      </x:c>
      <x:c r="B888" s="34" t="str">
        <x:f>IF('01_INPUT_COMPANIES'!$A$95="","",'01_INPUT_COMPANIES'!$A$95)</x:f>
      </x:c>
      <x:c r="C888" s="34" t="str">
        <x:f>IF(B888="","",'01_INPUT_COMPANIES'!$B$95)</x:f>
      </x:c>
      <x:c r="D888" s="34" t="str">
        <x:v>infra_dependency_ratio</x:v>
      </x:c>
      <x:c r="E888" s="42" t="str">
        <x:f>IF(OR(B888="",COUNT('01_INPUT_COMPANIES'!$U$95)=0),"",'01_INPUT_COMPANIES'!$U$95)</x:f>
      </x:c>
      <x:c r="F888" s="42" t="n">
        <x:v>1</x:v>
      </x:c>
      <x:c r="G888" s="42" t="str">
        <x:f>IF(NOT(ISNUMBER(E888)),"",MAX(K888,MIN(L888,E888*F888)))</x:f>
      </x:c>
      <x:c r="H888" s="42" t="n">
        <x:v>64</x:v>
      </x:c>
      <x:c r="I888" s="42" t="str">
        <x:f>IF(COUNT(G888)=0,"",(COUNTIFS('93_REF_ANCHORS'!$A$7:$A$766,D888,'93_REF_ANCHORS'!$C$7:$C$766,"&lt;"&amp;G888)+COUNTIFS('93_REF_ANCHORS'!$A$7:$A$766,D888,'93_REF_ANCHORS'!$C$7:$C$766,"&lt;="&amp;G888)-1)/(2*(H888-1)))</x:f>
      </x:c>
      <x:c r="J888" s="34" t="str">
        <x:f>IF(B888="","",IF(COUNT(E888)=0,"MISSING",IF(NOT(ISNUMBER(E888)),"INVALID",IF(E888*F888&lt;K888,"WINSORIZED LOW",IF(E888*F888&gt;L888,"WINSORIZED HIGH","OK")))))</x:f>
      </x:c>
      <x:c r="K888" s="34" t="n">
        <x:v>-0.10705024705171803</x:v>
      </x:c>
      <x:c r="L888" s="34" t="n">
        <x:v>0.8008753865408955</x:v>
      </x:c>
      <x:c r="M888" s="34" t="n">
        <x:v>0.1111111111111111</x:v>
      </x:c>
      <x:c r="N888" s="34" t="str">
        <x:v>no</x:v>
      </x:c>
    </x:row>
    <x:row r="889">
      <x:c r="A889" s="34" t="n">
        <x:v>89</x:v>
      </x:c>
      <x:c r="B889" s="34" t="str">
        <x:f>IF('01_INPUT_COMPANIES'!$A$95="","",'01_INPUT_COMPANIES'!$A$95)</x:f>
      </x:c>
      <x:c r="C889" s="34" t="str">
        <x:f>IF(B889="","",'01_INPUT_COMPANIES'!$B$95)</x:f>
      </x:c>
      <x:c r="D889" s="34" t="str">
        <x:v>network_cost_ratio</x:v>
      </x:c>
      <x:c r="E889" s="42" t="str">
        <x:f>IF(OR(B889="",COUNT('01_INPUT_COMPANIES'!$V$95)=0),"",'01_INPUT_COMPANIES'!$V$95)</x:f>
      </x:c>
      <x:c r="F889" s="42" t="n">
        <x:v>1</x:v>
      </x:c>
      <x:c r="G889" s="42" t="str">
        <x:f>IF(NOT(ISNUMBER(E889)),"",MAX(K889,MIN(L889,E889*F889)))</x:f>
      </x:c>
      <x:c r="H889" s="42" t="n">
        <x:v>97</x:v>
      </x:c>
      <x:c r="I889" s="42" t="str">
        <x:f>IF(COUNT(G889)=0,"",(COUNTIFS('93_REF_ANCHORS'!$A$7:$A$766,D889,'93_REF_ANCHORS'!$C$7:$C$766,"&lt;"&amp;G889)+COUNTIFS('93_REF_ANCHORS'!$A$7:$A$766,D889,'93_REF_ANCHORS'!$C$7:$C$766,"&lt;="&amp;G889)-1)/(2*(H889-1)))</x:f>
      </x:c>
      <x:c r="J889" s="34" t="str">
        <x:f>IF(B889="","",IF(COUNT(E889)=0,"MISSING",IF(NOT(ISNUMBER(E889)),"INVALID",IF(E889*F889&lt;K889,"WINSORIZED LOW",IF(E889*F889&gt;L889,"WINSORIZED HIGH","OK")))))</x:f>
      </x:c>
      <x:c r="K889" s="34" t="n">
        <x:v>-0.1395374353</x:v>
      </x:c>
      <x:c r="L889" s="34" t="n">
        <x:v>0.9274274845000001</x:v>
      </x:c>
      <x:c r="M889" s="34" t="n">
        <x:v>0.1111111111111111</x:v>
      </x:c>
      <x:c r="N889" s="34" t="str">
        <x:v>no</x:v>
      </x:c>
    </x:row>
    <x:row r="890">
      <x:c r="A890" s="34" t="n">
        <x:v>89</x:v>
      </x:c>
      <x:c r="B890" s="34" t="str">
        <x:f>IF('01_INPUT_COMPANIES'!$A$95="","",'01_INPUT_COMPANIES'!$A$95)</x:f>
      </x:c>
      <x:c r="C890" s="34" t="str">
        <x:f>IF(B890="","",'01_INPUT_COMPANIES'!$B$95)</x:f>
      </x:c>
      <x:c r="D890" s="34" t="str">
        <x:v>cashflow_recovery_ratio</x:v>
      </x:c>
      <x:c r="E890" s="42" t="str">
        <x:f>IF(OR(B890="",COUNT('01_INPUT_COMPANIES'!$W$95)=0),"",'01_INPUT_COMPANIES'!$W$95)</x:f>
      </x:c>
      <x:c r="F890" s="42" t="n">
        <x:v>-1</x:v>
      </x:c>
      <x:c r="G890" s="42" t="str">
        <x:f>IF(NOT(ISNUMBER(E890)),"",MAX(K890,MIN(L890,E890*F890)))</x:f>
      </x:c>
      <x:c r="H890" s="42" t="n">
        <x:v>95</x:v>
      </x:c>
      <x:c r="I890" s="42" t="str">
        <x:f>IF(COUNT(G890)=0,"",(COUNTIFS('93_REF_ANCHORS'!$A$7:$A$766,D890,'93_REF_ANCHORS'!$C$7:$C$766,"&lt;"&amp;G890)+COUNTIFS('93_REF_ANCHORS'!$A$7:$A$766,D890,'93_REF_ANCHORS'!$C$7:$C$766,"&lt;="&amp;G890)-1)/(2*(H890-1)))</x:f>
      </x:c>
      <x:c r="J890" s="34" t="str">
        <x:f>IF(B890="","",IF(COUNT(E890)=0,"MISSING",IF(NOT(ISNUMBER(E890)),"INVALID",IF(E890*F890&lt;K890,"WINSORIZED LOW",IF(E890*F890&gt;L890,"WINSORIZED HIGH","OK")))))</x:f>
      </x:c>
      <x:c r="K890" s="34" t="n">
        <x:v>-300.75</x:v>
      </x:c>
      <x:c r="L890" s="34" t="n">
        <x:v>42.6920305469</x:v>
      </x:c>
      <x:c r="M890" s="34" t="n">
        <x:v>0.08333333333333333</x:v>
      </x:c>
      <x:c r="N890" s="34" t="str">
        <x:v>no</x:v>
      </x:c>
    </x:row>
    <x:row r="891">
      <x:c r="A891" s="34" t="n">
        <x:v>89</x:v>
      </x:c>
      <x:c r="B891" s="34" t="str">
        <x:f>IF('01_INPUT_COMPANIES'!$A$95="","",'01_INPUT_COMPANIES'!$A$95)</x:f>
      </x:c>
      <x:c r="C891" s="34" t="str">
        <x:f>IF(B891="","",'01_INPUT_COMPANIES'!$B$95)</x:f>
      </x:c>
      <x:c r="D891" s="34" t="str">
        <x:v>funding_cost_spread</x:v>
      </x:c>
      <x:c r="E891" s="42" t="str">
        <x:f>IF(OR(B891="",COUNT('01_INPUT_COMPANIES'!$X$95)=0),"",'01_INPUT_COMPANIES'!$X$95)</x:f>
      </x:c>
      <x:c r="F891" s="42" t="n">
        <x:v>1</x:v>
      </x:c>
      <x:c r="G891" s="42" t="str">
        <x:f>IF(NOT(ISNUMBER(E891)),"",MAX(K891,MIN(L891,E891*F891)))</x:f>
      </x:c>
      <x:c r="H891" s="42" t="n">
        <x:v>58</x:v>
      </x:c>
      <x:c r="I891" s="42" t="str">
        <x:f>IF(COUNT(G891)=0,"",(COUNTIFS('93_REF_ANCHORS'!$A$7:$A$766,D891,'93_REF_ANCHORS'!$C$7:$C$766,"&lt;"&amp;G891)+COUNTIFS('93_REF_ANCHORS'!$A$7:$A$766,D891,'93_REF_ANCHORS'!$C$7:$C$766,"&lt;="&amp;G891)-1)/(2*(H891-1)))</x:f>
      </x:c>
      <x:c r="J891" s="34" t="str">
        <x:f>IF(B891="","",IF(COUNT(E891)=0,"MISSING",IF(NOT(ISNUMBER(E891)),"INVALID",IF(E891*F891&lt;K891,"WINSORIZED LOW",IF(E891*F891&gt;L891,"WINSORIZED HIGH","OK")))))</x:f>
      </x:c>
      <x:c r="K891" s="34" t="n">
        <x:v>-0.4430292903</x:v>
      </x:c>
      <x:c r="L891" s="34" t="n">
        <x:v>0.5068913103</x:v>
      </x:c>
      <x:c r="M891" s="34" t="n">
        <x:v>0.08333333333333333</x:v>
      </x:c>
      <x:c r="N891" s="34" t="str">
        <x:v>no</x:v>
      </x:c>
    </x:row>
    <x:row r="892">
      <x:c r="A892" s="34" t="n">
        <x:v>89</x:v>
      </x:c>
      <x:c r="B892" s="34" t="str">
        <x:f>IF('01_INPUT_COMPANIES'!$A$95="","",'01_INPUT_COMPANIES'!$A$95)</x:f>
      </x:c>
      <x:c r="C892" s="34" t="str">
        <x:f>IF(B892="","",'01_INPUT_COMPANIES'!$B$95)</x:f>
      </x:c>
      <x:c r="D892" s="34" t="str">
        <x:v>investment_recovery_ratio</x:v>
      </x:c>
      <x:c r="E892" s="42" t="str">
        <x:f>IF(OR(B892="",COUNT('01_INPUT_COMPANIES'!$Y$95)=0),"",'01_INPUT_COMPANIES'!$Y$95)</x:f>
      </x:c>
      <x:c r="F892" s="42" t="n">
        <x:v>-1</x:v>
      </x:c>
      <x:c r="G892" s="42" t="str">
        <x:f>IF(NOT(ISNUMBER(E892)),"",MAX(K892,MIN(L892,E892*F892)))</x:f>
      </x:c>
      <x:c r="H892" s="42" t="n">
        <x:v>95</x:v>
      </x:c>
      <x:c r="I892" s="42" t="str">
        <x:f>IF(COUNT(G892)=0,"",(COUNTIFS('93_REF_ANCHORS'!$A$7:$A$766,D892,'93_REF_ANCHORS'!$C$7:$C$766,"&lt;"&amp;G892)+COUNTIFS('93_REF_ANCHORS'!$A$7:$A$766,D892,'93_REF_ANCHORS'!$C$7:$C$766,"&lt;="&amp;G892)-1)/(2*(H892-1)))</x:f>
      </x:c>
      <x:c r="J892" s="34" t="str">
        <x:f>IF(B892="","",IF(COUNT(E892)=0,"MISSING",IF(NOT(ISNUMBER(E892)),"INVALID",IF(E892*F892&lt;K892,"WINSORIZED LOW",IF(E892*F892&gt;L892,"WINSORIZED HIGH","OK")))))</x:f>
      </x:c>
      <x:c r="K892" s="34" t="n">
        <x:v>-3163.7500000000014</x:v>
      </x:c>
      <x:c r="L892" s="34" t="n">
        <x:v>189.68191301719997</x:v>
      </x:c>
      <x:c r="M892" s="34" t="n">
        <x:v>0.08333333333333333</x:v>
      </x:c>
      <x:c r="N892" s="34" t="str">
        <x:v>no</x:v>
      </x:c>
    </x:row>
    <x:row r="893">
      <x:c r="A893" s="34" t="n">
        <x:v>89</x:v>
      </x:c>
      <x:c r="B893" s="34" t="str">
        <x:f>IF('01_INPUT_COMPANIES'!$A$95="","",'01_INPUT_COMPANIES'!$A$95)</x:f>
      </x:c>
      <x:c r="C893" s="34" t="str">
        <x:f>IF(B893="","",'01_INPUT_COMPANIES'!$B$95)</x:f>
      </x:c>
      <x:c r="D893" s="34" t="str">
        <x:v>ip_assetization_gap</x:v>
      </x:c>
      <x:c r="E893" s="42" t="str">
        <x:f>IF(OR(B893="",COUNT('01_INPUT_COMPANIES'!$Z$95)=0),"",'01_INPUT_COMPANIES'!$Z$95)</x:f>
      </x:c>
      <x:c r="F893" s="42" t="n">
        <x:v>1</x:v>
      </x:c>
      <x:c r="G893" s="42" t="str">
        <x:f>IF(NOT(ISNUMBER(E893)),"",MAX(K893,MIN(L893,E893*F893)))</x:f>
      </x:c>
      <x:c r="H893" s="42" t="n">
        <x:v>92</x:v>
      </x:c>
      <x:c r="I893" s="42" t="str">
        <x:f>IF(COUNT(G893)=0,"",(COUNTIFS('93_REF_ANCHORS'!$A$7:$A$766,D893,'93_REF_ANCHORS'!$C$7:$C$766,"&lt;"&amp;G893)+COUNTIFS('93_REF_ANCHORS'!$A$7:$A$766,D893,'93_REF_ANCHORS'!$C$7:$C$766,"&lt;="&amp;G893)-1)/(2*(H893-1)))</x:f>
      </x:c>
      <x:c r="J893" s="34" t="str">
        <x:f>IF(B893="","",IF(COUNT(E893)=0,"MISSING",IF(NOT(ISNUMBER(E893)),"INVALID",IF(E893*F893&lt;K893,"WINSORIZED LOW",IF(E893*F893&gt;L893,"WINSORIZED HIGH","OK")))))</x:f>
      </x:c>
      <x:c r="K893" s="34" t="n">
        <x:v>-1.6707152386</x:v>
      </x:c>
      <x:c r="L893" s="34" t="n">
        <x:v>0.7716332556000001</x:v>
      </x:c>
      <x:c r="M893" s="34" t="n">
        <x:v>0.08333333333333333</x:v>
      </x:c>
      <x:c r="N893" s="34" t="str">
        <x:v>no</x:v>
      </x:c>
    </x:row>
    <x:row r="894">
      <x:c r="A894" s="34" t="n">
        <x:v>89</x:v>
      </x:c>
      <x:c r="B894" s="34" t="str">
        <x:f>IF('01_INPUT_COMPANIES'!$A$95="","",'01_INPUT_COMPANIES'!$A$95)</x:f>
      </x:c>
      <x:c r="C894" s="34" t="str">
        <x:f>IF(B894="","",'01_INPUT_COMPANIES'!$B$95)</x:f>
      </x:c>
      <x:c r="D894" s="34" t="str">
        <x:v>cross_market_transfer_index</x:v>
      </x:c>
      <x:c r="E894" s="42" t="str">
        <x:f>IF(OR(B894="",COUNT('01_INPUT_COMPANIES'!$AA$95)=0),"",'01_INPUT_COMPANIES'!$AA$95)</x:f>
      </x:c>
      <x:c r="F894" s="42" t="n">
        <x:v>1</x:v>
      </x:c>
      <x:c r="G894" s="42" t="str">
        <x:f>IF(NOT(ISNUMBER(E894)),"",MAX(K894,MIN(L894,E894*F894)))</x:f>
      </x:c>
      <x:c r="H894" s="42" t="n">
        <x:v>4</x:v>
      </x:c>
      <x:c r="I894" s="42" t="str">
        <x:f>IF(COUNT(G894)=0,"",(COUNTIFS('93_REF_ANCHORS'!$A$7:$A$766,D894,'93_REF_ANCHORS'!$C$7:$C$766,"&lt;"&amp;G894)+COUNTIFS('93_REF_ANCHORS'!$A$7:$A$766,D894,'93_REF_ANCHORS'!$C$7:$C$766,"&lt;="&amp;G894)-1)/(2*(H894-1)))</x:f>
      </x:c>
      <x:c r="J894" s="34" t="str">
        <x:f>IF(B894="","",IF(COUNT(E894)=0,"MISSING",IF(NOT(ISNUMBER(E894)),"INVALID",IF(E894*F894&lt;K894,"WINSORIZED LOW",IF(E894*F894&gt;L894,"WINSORIZED HIGH","OK")))))</x:f>
      </x:c>
      <x:c r="K894" s="34" t="n">
        <x:v>0</x:v>
      </x:c>
      <x:c r="L894" s="34" t="n">
        <x:v>0.7587051325360435</x:v>
      </x:c>
      <x:c r="M894" s="34" t="n">
        <x:v>0.1111111111111111</x:v>
      </x:c>
      <x:c r="N894" s="34" t="str">
        <x:v>yes</x:v>
      </x:c>
    </x:row>
    <x:row r="895">
      <x:c r="A895" s="34" t="n">
        <x:v>89</x:v>
      </x:c>
      <x:c r="B895" s="34" t="str">
        <x:f>IF('01_INPUT_COMPANIES'!$A$95="","",'01_INPUT_COMPANIES'!$A$95)</x:f>
      </x:c>
      <x:c r="C895" s="34" t="str">
        <x:f>IF(B895="","",'01_INPUT_COMPANIES'!$B$95)</x:f>
      </x:c>
      <x:c r="D895" s="34" t="str">
        <x:v>foreign_dependency_ratio</x:v>
      </x:c>
      <x:c r="E895" s="42" t="str">
        <x:f>IF(OR(B895="",COUNT('01_INPUT_COMPANIES'!$AB$95)=0),"",'01_INPUT_COMPANIES'!$AB$95)</x:f>
      </x:c>
      <x:c r="F895" s="42" t="n">
        <x:v>1</x:v>
      </x:c>
      <x:c r="G895" s="42" t="str">
        <x:f>IF(NOT(ISNUMBER(E895)),"",MAX(K895,MIN(L895,E895*F895)))</x:f>
      </x:c>
      <x:c r="H895" s="42" t="n">
        <x:v>84</x:v>
      </x:c>
      <x:c r="I895" s="42" t="str">
        <x:f>IF(COUNT(G895)=0,"",(COUNTIFS('93_REF_ANCHORS'!$A$7:$A$766,D895,'93_REF_ANCHORS'!$C$7:$C$766,"&lt;"&amp;G895)+COUNTIFS('93_REF_ANCHORS'!$A$7:$A$766,D895,'93_REF_ANCHORS'!$C$7:$C$766,"&lt;="&amp;G895)-1)/(2*(H895-1)))</x:f>
      </x:c>
      <x:c r="J895" s="34" t="str">
        <x:f>IF(B895="","",IF(COUNT(E895)=0,"MISSING",IF(NOT(ISNUMBER(E895)),"INVALID",IF(E895*F895&lt;K895,"WINSORIZED LOW",IF(E895*F895&gt;L895,"WINSORIZED HIGH","OK")))))</x:f>
      </x:c>
      <x:c r="K895" s="34" t="n">
        <x:v>0.728196</x:v>
      </x:c>
      <x:c r="L895" s="34" t="n">
        <x:v>0.94</x:v>
      </x:c>
      <x:c r="M895" s="34" t="n">
        <x:v>0.1111111111111111</x:v>
      </x:c>
      <x:c r="N895" s="34" t="str">
        <x:v>yes</x:v>
      </x:c>
    </x:row>
    <x:row r="896">
      <x:c r="A896" s="34" t="n">
        <x:v>89</x:v>
      </x:c>
      <x:c r="B896" s="34" t="str">
        <x:f>IF('01_INPUT_COMPANIES'!$A$95="","",'01_INPUT_COMPANIES'!$A$95)</x:f>
      </x:c>
      <x:c r="C896" s="34" t="str">
        <x:f>IF(B896="","",'01_INPUT_COMPANIES'!$B$95)</x:f>
      </x:c>
      <x:c r="D896" s="34" t="str">
        <x:v>outflow_to_capex_ratio</x:v>
      </x:c>
      <x:c r="E896" s="42" t="str">
        <x:f>IF(OR(B896="",COUNT('01_INPUT_COMPANIES'!$AC$95)=0),"",'01_INPUT_COMPANIES'!$AC$95)</x:f>
      </x:c>
      <x:c r="F896" s="42" t="n">
        <x:v>1</x:v>
      </x:c>
      <x:c r="G896" s="42" t="str">
        <x:f>IF(NOT(ISNUMBER(E896)),"",MAX(K896,MIN(L896,E896*F896)))</x:f>
      </x:c>
      <x:c r="H896" s="42" t="n">
        <x:v>97</x:v>
      </x:c>
      <x:c r="I896" s="42" t="str">
        <x:f>IF(COUNT(G896)=0,"",(COUNTIFS('93_REF_ANCHORS'!$A$7:$A$766,D896,'93_REF_ANCHORS'!$C$7:$C$766,"&lt;"&amp;G896)+COUNTIFS('93_REF_ANCHORS'!$A$7:$A$766,D896,'93_REF_ANCHORS'!$C$7:$C$766,"&lt;="&amp;G896)-1)/(2*(H896-1)))</x:f>
      </x:c>
      <x:c r="J896" s="34" t="str">
        <x:f>IF(B896="","",IF(COUNT(E896)=0,"MISSING",IF(NOT(ISNUMBER(E896)),"INVALID",IF(E896*F896&lt;K896,"WINSORIZED LOW",IF(E896*F896&gt;L896,"WINSORIZED HIGH","OK")))))</x:f>
      </x:c>
      <x:c r="K896" s="34" t="n">
        <x:v>-123.5385890408</x:v>
      </x:c>
      <x:c r="L896" s="34" t="n">
        <x:v>974.1666666666999</x:v>
      </x:c>
      <x:c r="M896" s="34" t="n">
        <x:v>0.1111111111111111</x:v>
      </x:c>
      <x:c r="N896" s="34" t="str">
        <x:v>no</x:v>
      </x:c>
    </x:row>
    <x:row r="897">
      <x:c r="A897" s="34" t="n">
        <x:v>90</x:v>
      </x:c>
      <x:c r="B897" s="34" t="str">
        <x:f>IF('01_INPUT_COMPANIES'!$A$96="","",'01_INPUT_COMPANIES'!$A$96)</x:f>
      </x:c>
      <x:c r="C897" s="34" t="str">
        <x:f>IF(B897="","",'01_INPUT_COMPANIES'!$B$96)</x:f>
      </x:c>
      <x:c r="D897" s="34" t="str">
        <x:v>effective_tax_rate_gap</x:v>
      </x:c>
      <x:c r="E897" s="42" t="str">
        <x:f>IF(OR(B897="",COUNT('01_INPUT_COMPANIES'!$T$96)=0),"",'01_INPUT_COMPANIES'!$T$96)</x:f>
      </x:c>
      <x:c r="F897" s="42" t="n">
        <x:v>1</x:v>
      </x:c>
      <x:c r="G897" s="42" t="str">
        <x:f>IF(NOT(ISNUMBER(E897)),"",MAX(K897,MIN(L897,E897*F897)))</x:f>
      </x:c>
      <x:c r="H897" s="42" t="n">
        <x:v>74</x:v>
      </x:c>
      <x:c r="I897" s="42" t="str">
        <x:f>IF(COUNT(G897)=0,"",(COUNTIFS('93_REF_ANCHORS'!$A$7:$A$766,D897,'93_REF_ANCHORS'!$C$7:$C$766,"&lt;"&amp;G897)+COUNTIFS('93_REF_ANCHORS'!$A$7:$A$766,D897,'93_REF_ANCHORS'!$C$7:$C$766,"&lt;="&amp;G897)-1)/(2*(H897-1)))</x:f>
      </x:c>
      <x:c r="J897" s="34" t="str">
        <x:f>IF(B897="","",IF(COUNT(E897)=0,"MISSING",IF(NOT(ISNUMBER(E897)),"INVALID",IF(E897*F897&lt;K897,"WINSORIZED LOW",IF(E897*F897&gt;L897,"WINSORIZED HIGH","OK")))))</x:f>
      </x:c>
      <x:c r="K897" s="34" t="n">
        <x:v>-0.1416111014</x:v>
      </x:c>
      <x:c r="L897" s="34" t="n">
        <x:v>0.2683650488</x:v>
      </x:c>
      <x:c r="M897" s="34" t="n">
        <x:v>0.1111111111111111</x:v>
      </x:c>
      <x:c r="N897" s="34" t="str">
        <x:v>no</x:v>
      </x:c>
    </x:row>
    <x:row r="898">
      <x:c r="A898" s="34" t="n">
        <x:v>90</x:v>
      </x:c>
      <x:c r="B898" s="34" t="str">
        <x:f>IF('01_INPUT_COMPANIES'!$A$96="","",'01_INPUT_COMPANIES'!$A$96)</x:f>
      </x:c>
      <x:c r="C898" s="34" t="str">
        <x:f>IF(B898="","",'01_INPUT_COMPANIES'!$B$96)</x:f>
      </x:c>
      <x:c r="D898" s="34" t="str">
        <x:v>infra_dependency_ratio</x:v>
      </x:c>
      <x:c r="E898" s="42" t="str">
        <x:f>IF(OR(B898="",COUNT('01_INPUT_COMPANIES'!$U$96)=0),"",'01_INPUT_COMPANIES'!$U$96)</x:f>
      </x:c>
      <x:c r="F898" s="42" t="n">
        <x:v>1</x:v>
      </x:c>
      <x:c r="G898" s="42" t="str">
        <x:f>IF(NOT(ISNUMBER(E898)),"",MAX(K898,MIN(L898,E898*F898)))</x:f>
      </x:c>
      <x:c r="H898" s="42" t="n">
        <x:v>64</x:v>
      </x:c>
      <x:c r="I898" s="42" t="str">
        <x:f>IF(COUNT(G898)=0,"",(COUNTIFS('93_REF_ANCHORS'!$A$7:$A$766,D898,'93_REF_ANCHORS'!$C$7:$C$766,"&lt;"&amp;G898)+COUNTIFS('93_REF_ANCHORS'!$A$7:$A$766,D898,'93_REF_ANCHORS'!$C$7:$C$766,"&lt;="&amp;G898)-1)/(2*(H898-1)))</x:f>
      </x:c>
      <x:c r="J898" s="34" t="str">
        <x:f>IF(B898="","",IF(COUNT(E898)=0,"MISSING",IF(NOT(ISNUMBER(E898)),"INVALID",IF(E898*F898&lt;K898,"WINSORIZED LOW",IF(E898*F898&gt;L898,"WINSORIZED HIGH","OK")))))</x:f>
      </x:c>
      <x:c r="K898" s="34" t="n">
        <x:v>-0.10705024705171803</x:v>
      </x:c>
      <x:c r="L898" s="34" t="n">
        <x:v>0.8008753865408955</x:v>
      </x:c>
      <x:c r="M898" s="34" t="n">
        <x:v>0.1111111111111111</x:v>
      </x:c>
      <x:c r="N898" s="34" t="str">
        <x:v>no</x:v>
      </x:c>
    </x:row>
    <x:row r="899">
      <x:c r="A899" s="34" t="n">
        <x:v>90</x:v>
      </x:c>
      <x:c r="B899" s="34" t="str">
        <x:f>IF('01_INPUT_COMPANIES'!$A$96="","",'01_INPUT_COMPANIES'!$A$96)</x:f>
      </x:c>
      <x:c r="C899" s="34" t="str">
        <x:f>IF(B899="","",'01_INPUT_COMPANIES'!$B$96)</x:f>
      </x:c>
      <x:c r="D899" s="34" t="str">
        <x:v>network_cost_ratio</x:v>
      </x:c>
      <x:c r="E899" s="42" t="str">
        <x:f>IF(OR(B899="",COUNT('01_INPUT_COMPANIES'!$V$96)=0),"",'01_INPUT_COMPANIES'!$V$96)</x:f>
      </x:c>
      <x:c r="F899" s="42" t="n">
        <x:v>1</x:v>
      </x:c>
      <x:c r="G899" s="42" t="str">
        <x:f>IF(NOT(ISNUMBER(E899)),"",MAX(K899,MIN(L899,E899*F899)))</x:f>
      </x:c>
      <x:c r="H899" s="42" t="n">
        <x:v>97</x:v>
      </x:c>
      <x:c r="I899" s="42" t="str">
        <x:f>IF(COUNT(G899)=0,"",(COUNTIFS('93_REF_ANCHORS'!$A$7:$A$766,D899,'93_REF_ANCHORS'!$C$7:$C$766,"&lt;"&amp;G899)+COUNTIFS('93_REF_ANCHORS'!$A$7:$A$766,D899,'93_REF_ANCHORS'!$C$7:$C$766,"&lt;="&amp;G899)-1)/(2*(H899-1)))</x:f>
      </x:c>
      <x:c r="J899" s="34" t="str">
        <x:f>IF(B899="","",IF(COUNT(E899)=0,"MISSING",IF(NOT(ISNUMBER(E899)),"INVALID",IF(E899*F899&lt;K899,"WINSORIZED LOW",IF(E899*F899&gt;L899,"WINSORIZED HIGH","OK")))))</x:f>
      </x:c>
      <x:c r="K899" s="34" t="n">
        <x:v>-0.1395374353</x:v>
      </x:c>
      <x:c r="L899" s="34" t="n">
        <x:v>0.9274274845000001</x:v>
      </x:c>
      <x:c r="M899" s="34" t="n">
        <x:v>0.1111111111111111</x:v>
      </x:c>
      <x:c r="N899" s="34" t="str">
        <x:v>no</x:v>
      </x:c>
    </x:row>
    <x:row r="900">
      <x:c r="A900" s="34" t="n">
        <x:v>90</x:v>
      </x:c>
      <x:c r="B900" s="34" t="str">
        <x:f>IF('01_INPUT_COMPANIES'!$A$96="","",'01_INPUT_COMPANIES'!$A$96)</x:f>
      </x:c>
      <x:c r="C900" s="34" t="str">
        <x:f>IF(B900="","",'01_INPUT_COMPANIES'!$B$96)</x:f>
      </x:c>
      <x:c r="D900" s="34" t="str">
        <x:v>cashflow_recovery_ratio</x:v>
      </x:c>
      <x:c r="E900" s="42" t="str">
        <x:f>IF(OR(B900="",COUNT('01_INPUT_COMPANIES'!$W$96)=0),"",'01_INPUT_COMPANIES'!$W$96)</x:f>
      </x:c>
      <x:c r="F900" s="42" t="n">
        <x:v>-1</x:v>
      </x:c>
      <x:c r="G900" s="42" t="str">
        <x:f>IF(NOT(ISNUMBER(E900)),"",MAX(K900,MIN(L900,E900*F900)))</x:f>
      </x:c>
      <x:c r="H900" s="42" t="n">
        <x:v>95</x:v>
      </x:c>
      <x:c r="I900" s="42" t="str">
        <x:f>IF(COUNT(G900)=0,"",(COUNTIFS('93_REF_ANCHORS'!$A$7:$A$766,D900,'93_REF_ANCHORS'!$C$7:$C$766,"&lt;"&amp;G900)+COUNTIFS('93_REF_ANCHORS'!$A$7:$A$766,D900,'93_REF_ANCHORS'!$C$7:$C$766,"&lt;="&amp;G900)-1)/(2*(H900-1)))</x:f>
      </x:c>
      <x:c r="J900" s="34" t="str">
        <x:f>IF(B900="","",IF(COUNT(E900)=0,"MISSING",IF(NOT(ISNUMBER(E900)),"INVALID",IF(E900*F900&lt;K900,"WINSORIZED LOW",IF(E900*F900&gt;L900,"WINSORIZED HIGH","OK")))))</x:f>
      </x:c>
      <x:c r="K900" s="34" t="n">
        <x:v>-300.75</x:v>
      </x:c>
      <x:c r="L900" s="34" t="n">
        <x:v>42.6920305469</x:v>
      </x:c>
      <x:c r="M900" s="34" t="n">
        <x:v>0.08333333333333333</x:v>
      </x:c>
      <x:c r="N900" s="34" t="str">
        <x:v>no</x:v>
      </x:c>
    </x:row>
    <x:row r="901">
      <x:c r="A901" s="34" t="n">
        <x:v>90</x:v>
      </x:c>
      <x:c r="B901" s="34" t="str">
        <x:f>IF('01_INPUT_COMPANIES'!$A$96="","",'01_INPUT_COMPANIES'!$A$96)</x:f>
      </x:c>
      <x:c r="C901" s="34" t="str">
        <x:f>IF(B901="","",'01_INPUT_COMPANIES'!$B$96)</x:f>
      </x:c>
      <x:c r="D901" s="34" t="str">
        <x:v>funding_cost_spread</x:v>
      </x:c>
      <x:c r="E901" s="42" t="str">
        <x:f>IF(OR(B901="",COUNT('01_INPUT_COMPANIES'!$X$96)=0),"",'01_INPUT_COMPANIES'!$X$96)</x:f>
      </x:c>
      <x:c r="F901" s="42" t="n">
        <x:v>1</x:v>
      </x:c>
      <x:c r="G901" s="42" t="str">
        <x:f>IF(NOT(ISNUMBER(E901)),"",MAX(K901,MIN(L901,E901*F901)))</x:f>
      </x:c>
      <x:c r="H901" s="42" t="n">
        <x:v>58</x:v>
      </x:c>
      <x:c r="I901" s="42" t="str">
        <x:f>IF(COUNT(G901)=0,"",(COUNTIFS('93_REF_ANCHORS'!$A$7:$A$766,D901,'93_REF_ANCHORS'!$C$7:$C$766,"&lt;"&amp;G901)+COUNTIFS('93_REF_ANCHORS'!$A$7:$A$766,D901,'93_REF_ANCHORS'!$C$7:$C$766,"&lt;="&amp;G901)-1)/(2*(H901-1)))</x:f>
      </x:c>
      <x:c r="J901" s="34" t="str">
        <x:f>IF(B901="","",IF(COUNT(E901)=0,"MISSING",IF(NOT(ISNUMBER(E901)),"INVALID",IF(E901*F901&lt;K901,"WINSORIZED LOW",IF(E901*F901&gt;L901,"WINSORIZED HIGH","OK")))))</x:f>
      </x:c>
      <x:c r="K901" s="34" t="n">
        <x:v>-0.4430292903</x:v>
      </x:c>
      <x:c r="L901" s="34" t="n">
        <x:v>0.5068913103</x:v>
      </x:c>
      <x:c r="M901" s="34" t="n">
        <x:v>0.08333333333333333</x:v>
      </x:c>
      <x:c r="N901" s="34" t="str">
        <x:v>no</x:v>
      </x:c>
    </x:row>
    <x:row r="902">
      <x:c r="A902" s="34" t="n">
        <x:v>90</x:v>
      </x:c>
      <x:c r="B902" s="34" t="str">
        <x:f>IF('01_INPUT_COMPANIES'!$A$96="","",'01_INPUT_COMPANIES'!$A$96)</x:f>
      </x:c>
      <x:c r="C902" s="34" t="str">
        <x:f>IF(B902="","",'01_INPUT_COMPANIES'!$B$96)</x:f>
      </x:c>
      <x:c r="D902" s="34" t="str">
        <x:v>investment_recovery_ratio</x:v>
      </x:c>
      <x:c r="E902" s="42" t="str">
        <x:f>IF(OR(B902="",COUNT('01_INPUT_COMPANIES'!$Y$96)=0),"",'01_INPUT_COMPANIES'!$Y$96)</x:f>
      </x:c>
      <x:c r="F902" s="42" t="n">
        <x:v>-1</x:v>
      </x:c>
      <x:c r="G902" s="42" t="str">
        <x:f>IF(NOT(ISNUMBER(E902)),"",MAX(K902,MIN(L902,E902*F902)))</x:f>
      </x:c>
      <x:c r="H902" s="42" t="n">
        <x:v>95</x:v>
      </x:c>
      <x:c r="I902" s="42" t="str">
        <x:f>IF(COUNT(G902)=0,"",(COUNTIFS('93_REF_ANCHORS'!$A$7:$A$766,D902,'93_REF_ANCHORS'!$C$7:$C$766,"&lt;"&amp;G902)+COUNTIFS('93_REF_ANCHORS'!$A$7:$A$766,D902,'93_REF_ANCHORS'!$C$7:$C$766,"&lt;="&amp;G902)-1)/(2*(H902-1)))</x:f>
      </x:c>
      <x:c r="J902" s="34" t="str">
        <x:f>IF(B902="","",IF(COUNT(E902)=0,"MISSING",IF(NOT(ISNUMBER(E902)),"INVALID",IF(E902*F902&lt;K902,"WINSORIZED LOW",IF(E902*F902&gt;L902,"WINSORIZED HIGH","OK")))))</x:f>
      </x:c>
      <x:c r="K902" s="34" t="n">
        <x:v>-3163.7500000000014</x:v>
      </x:c>
      <x:c r="L902" s="34" t="n">
        <x:v>189.68191301719997</x:v>
      </x:c>
      <x:c r="M902" s="34" t="n">
        <x:v>0.08333333333333333</x:v>
      </x:c>
      <x:c r="N902" s="34" t="str">
        <x:v>no</x:v>
      </x:c>
    </x:row>
    <x:row r="903">
      <x:c r="A903" s="34" t="n">
        <x:v>90</x:v>
      </x:c>
      <x:c r="B903" s="34" t="str">
        <x:f>IF('01_INPUT_COMPANIES'!$A$96="","",'01_INPUT_COMPANIES'!$A$96)</x:f>
      </x:c>
      <x:c r="C903" s="34" t="str">
        <x:f>IF(B903="","",'01_INPUT_COMPANIES'!$B$96)</x:f>
      </x:c>
      <x:c r="D903" s="34" t="str">
        <x:v>ip_assetization_gap</x:v>
      </x:c>
      <x:c r="E903" s="42" t="str">
        <x:f>IF(OR(B903="",COUNT('01_INPUT_COMPANIES'!$Z$96)=0),"",'01_INPUT_COMPANIES'!$Z$96)</x:f>
      </x:c>
      <x:c r="F903" s="42" t="n">
        <x:v>1</x:v>
      </x:c>
      <x:c r="G903" s="42" t="str">
        <x:f>IF(NOT(ISNUMBER(E903)),"",MAX(K903,MIN(L903,E903*F903)))</x:f>
      </x:c>
      <x:c r="H903" s="42" t="n">
        <x:v>92</x:v>
      </x:c>
      <x:c r="I903" s="42" t="str">
        <x:f>IF(COUNT(G903)=0,"",(COUNTIFS('93_REF_ANCHORS'!$A$7:$A$766,D903,'93_REF_ANCHORS'!$C$7:$C$766,"&lt;"&amp;G903)+COUNTIFS('93_REF_ANCHORS'!$A$7:$A$766,D903,'93_REF_ANCHORS'!$C$7:$C$766,"&lt;="&amp;G903)-1)/(2*(H903-1)))</x:f>
      </x:c>
      <x:c r="J903" s="34" t="str">
        <x:f>IF(B903="","",IF(COUNT(E903)=0,"MISSING",IF(NOT(ISNUMBER(E903)),"INVALID",IF(E903*F903&lt;K903,"WINSORIZED LOW",IF(E903*F903&gt;L903,"WINSORIZED HIGH","OK")))))</x:f>
      </x:c>
      <x:c r="K903" s="34" t="n">
        <x:v>-1.6707152386</x:v>
      </x:c>
      <x:c r="L903" s="34" t="n">
        <x:v>0.7716332556000001</x:v>
      </x:c>
      <x:c r="M903" s="34" t="n">
        <x:v>0.08333333333333333</x:v>
      </x:c>
      <x:c r="N903" s="34" t="str">
        <x:v>no</x:v>
      </x:c>
    </x:row>
    <x:row r="904">
      <x:c r="A904" s="34" t="n">
        <x:v>90</x:v>
      </x:c>
      <x:c r="B904" s="34" t="str">
        <x:f>IF('01_INPUT_COMPANIES'!$A$96="","",'01_INPUT_COMPANIES'!$A$96)</x:f>
      </x:c>
      <x:c r="C904" s="34" t="str">
        <x:f>IF(B904="","",'01_INPUT_COMPANIES'!$B$96)</x:f>
      </x:c>
      <x:c r="D904" s="34" t="str">
        <x:v>cross_market_transfer_index</x:v>
      </x:c>
      <x:c r="E904" s="42" t="str">
        <x:f>IF(OR(B904="",COUNT('01_INPUT_COMPANIES'!$AA$96)=0),"",'01_INPUT_COMPANIES'!$AA$96)</x:f>
      </x:c>
      <x:c r="F904" s="42" t="n">
        <x:v>1</x:v>
      </x:c>
      <x:c r="G904" s="42" t="str">
        <x:f>IF(NOT(ISNUMBER(E904)),"",MAX(K904,MIN(L904,E904*F904)))</x:f>
      </x:c>
      <x:c r="H904" s="42" t="n">
        <x:v>4</x:v>
      </x:c>
      <x:c r="I904" s="42" t="str">
        <x:f>IF(COUNT(G904)=0,"",(COUNTIFS('93_REF_ANCHORS'!$A$7:$A$766,D904,'93_REF_ANCHORS'!$C$7:$C$766,"&lt;"&amp;G904)+COUNTIFS('93_REF_ANCHORS'!$A$7:$A$766,D904,'93_REF_ANCHORS'!$C$7:$C$766,"&lt;="&amp;G904)-1)/(2*(H904-1)))</x:f>
      </x:c>
      <x:c r="J904" s="34" t="str">
        <x:f>IF(B904="","",IF(COUNT(E904)=0,"MISSING",IF(NOT(ISNUMBER(E904)),"INVALID",IF(E904*F904&lt;K904,"WINSORIZED LOW",IF(E904*F904&gt;L904,"WINSORIZED HIGH","OK")))))</x:f>
      </x:c>
      <x:c r="K904" s="34" t="n">
        <x:v>0</x:v>
      </x:c>
      <x:c r="L904" s="34" t="n">
        <x:v>0.7587051325360435</x:v>
      </x:c>
      <x:c r="M904" s="34" t="n">
        <x:v>0.1111111111111111</x:v>
      </x:c>
      <x:c r="N904" s="34" t="str">
        <x:v>yes</x:v>
      </x:c>
    </x:row>
    <x:row r="905">
      <x:c r="A905" s="34" t="n">
        <x:v>90</x:v>
      </x:c>
      <x:c r="B905" s="34" t="str">
        <x:f>IF('01_INPUT_COMPANIES'!$A$96="","",'01_INPUT_COMPANIES'!$A$96)</x:f>
      </x:c>
      <x:c r="C905" s="34" t="str">
        <x:f>IF(B905="","",'01_INPUT_COMPANIES'!$B$96)</x:f>
      </x:c>
      <x:c r="D905" s="34" t="str">
        <x:v>foreign_dependency_ratio</x:v>
      </x:c>
      <x:c r="E905" s="42" t="str">
        <x:f>IF(OR(B905="",COUNT('01_INPUT_COMPANIES'!$AB$96)=0),"",'01_INPUT_COMPANIES'!$AB$96)</x:f>
      </x:c>
      <x:c r="F905" s="42" t="n">
        <x:v>1</x:v>
      </x:c>
      <x:c r="G905" s="42" t="str">
        <x:f>IF(NOT(ISNUMBER(E905)),"",MAX(K905,MIN(L905,E905*F905)))</x:f>
      </x:c>
      <x:c r="H905" s="42" t="n">
        <x:v>84</x:v>
      </x:c>
      <x:c r="I905" s="42" t="str">
        <x:f>IF(COUNT(G905)=0,"",(COUNTIFS('93_REF_ANCHORS'!$A$7:$A$766,D905,'93_REF_ANCHORS'!$C$7:$C$766,"&lt;"&amp;G905)+COUNTIFS('93_REF_ANCHORS'!$A$7:$A$766,D905,'93_REF_ANCHORS'!$C$7:$C$766,"&lt;="&amp;G905)-1)/(2*(H905-1)))</x:f>
      </x:c>
      <x:c r="J905" s="34" t="str">
        <x:f>IF(B905="","",IF(COUNT(E905)=0,"MISSING",IF(NOT(ISNUMBER(E905)),"INVALID",IF(E905*F905&lt;K905,"WINSORIZED LOW",IF(E905*F905&gt;L905,"WINSORIZED HIGH","OK")))))</x:f>
      </x:c>
      <x:c r="K905" s="34" t="n">
        <x:v>0.728196</x:v>
      </x:c>
      <x:c r="L905" s="34" t="n">
        <x:v>0.94</x:v>
      </x:c>
      <x:c r="M905" s="34" t="n">
        <x:v>0.1111111111111111</x:v>
      </x:c>
      <x:c r="N905" s="34" t="str">
        <x:v>yes</x:v>
      </x:c>
    </x:row>
    <x:row r="906">
      <x:c r="A906" s="34" t="n">
        <x:v>90</x:v>
      </x:c>
      <x:c r="B906" s="34" t="str">
        <x:f>IF('01_INPUT_COMPANIES'!$A$96="","",'01_INPUT_COMPANIES'!$A$96)</x:f>
      </x:c>
      <x:c r="C906" s="34" t="str">
        <x:f>IF(B906="","",'01_INPUT_COMPANIES'!$B$96)</x:f>
      </x:c>
      <x:c r="D906" s="34" t="str">
        <x:v>outflow_to_capex_ratio</x:v>
      </x:c>
      <x:c r="E906" s="42" t="str">
        <x:f>IF(OR(B906="",COUNT('01_INPUT_COMPANIES'!$AC$96)=0),"",'01_INPUT_COMPANIES'!$AC$96)</x:f>
      </x:c>
      <x:c r="F906" s="42" t="n">
        <x:v>1</x:v>
      </x:c>
      <x:c r="G906" s="42" t="str">
        <x:f>IF(NOT(ISNUMBER(E906)),"",MAX(K906,MIN(L906,E906*F906)))</x:f>
      </x:c>
      <x:c r="H906" s="42" t="n">
        <x:v>97</x:v>
      </x:c>
      <x:c r="I906" s="42" t="str">
        <x:f>IF(COUNT(G906)=0,"",(COUNTIFS('93_REF_ANCHORS'!$A$7:$A$766,D906,'93_REF_ANCHORS'!$C$7:$C$766,"&lt;"&amp;G906)+COUNTIFS('93_REF_ANCHORS'!$A$7:$A$766,D906,'93_REF_ANCHORS'!$C$7:$C$766,"&lt;="&amp;G906)-1)/(2*(H906-1)))</x:f>
      </x:c>
      <x:c r="J906" s="34" t="str">
        <x:f>IF(B906="","",IF(COUNT(E906)=0,"MISSING",IF(NOT(ISNUMBER(E906)),"INVALID",IF(E906*F906&lt;K906,"WINSORIZED LOW",IF(E906*F906&gt;L906,"WINSORIZED HIGH","OK")))))</x:f>
      </x:c>
      <x:c r="K906" s="34" t="n">
        <x:v>-123.5385890408</x:v>
      </x:c>
      <x:c r="L906" s="34" t="n">
        <x:v>974.1666666666999</x:v>
      </x:c>
      <x:c r="M906" s="34" t="n">
        <x:v>0.1111111111111111</x:v>
      </x:c>
      <x:c r="N906" s="34" t="str">
        <x:v>no</x:v>
      </x:c>
    </x:row>
    <x:row r="907">
      <x:c r="A907" s="34" t="n">
        <x:v>91</x:v>
      </x:c>
      <x:c r="B907" s="34" t="str">
        <x:f>IF('01_INPUT_COMPANIES'!$A$97="","",'01_INPUT_COMPANIES'!$A$97)</x:f>
      </x:c>
      <x:c r="C907" s="34" t="str">
        <x:f>IF(B907="","",'01_INPUT_COMPANIES'!$B$97)</x:f>
      </x:c>
      <x:c r="D907" s="34" t="str">
        <x:v>effective_tax_rate_gap</x:v>
      </x:c>
      <x:c r="E907" s="42" t="str">
        <x:f>IF(OR(B907="",COUNT('01_INPUT_COMPANIES'!$T$97)=0),"",'01_INPUT_COMPANIES'!$T$97)</x:f>
      </x:c>
      <x:c r="F907" s="42" t="n">
        <x:v>1</x:v>
      </x:c>
      <x:c r="G907" s="42" t="str">
        <x:f>IF(NOT(ISNUMBER(E907)),"",MAX(K907,MIN(L907,E907*F907)))</x:f>
      </x:c>
      <x:c r="H907" s="42" t="n">
        <x:v>74</x:v>
      </x:c>
      <x:c r="I907" s="42" t="str">
        <x:f>IF(COUNT(G907)=0,"",(COUNTIFS('93_REF_ANCHORS'!$A$7:$A$766,D907,'93_REF_ANCHORS'!$C$7:$C$766,"&lt;"&amp;G907)+COUNTIFS('93_REF_ANCHORS'!$A$7:$A$766,D907,'93_REF_ANCHORS'!$C$7:$C$766,"&lt;="&amp;G907)-1)/(2*(H907-1)))</x:f>
      </x:c>
      <x:c r="J907" s="34" t="str">
        <x:f>IF(B907="","",IF(COUNT(E907)=0,"MISSING",IF(NOT(ISNUMBER(E907)),"INVALID",IF(E907*F907&lt;K907,"WINSORIZED LOW",IF(E907*F907&gt;L907,"WINSORIZED HIGH","OK")))))</x:f>
      </x:c>
      <x:c r="K907" s="34" t="n">
        <x:v>-0.1416111014</x:v>
      </x:c>
      <x:c r="L907" s="34" t="n">
        <x:v>0.2683650488</x:v>
      </x:c>
      <x:c r="M907" s="34" t="n">
        <x:v>0.1111111111111111</x:v>
      </x:c>
      <x:c r="N907" s="34" t="str">
        <x:v>no</x:v>
      </x:c>
    </x:row>
    <x:row r="908">
      <x:c r="A908" s="34" t="n">
        <x:v>91</x:v>
      </x:c>
      <x:c r="B908" s="34" t="str">
        <x:f>IF('01_INPUT_COMPANIES'!$A$97="","",'01_INPUT_COMPANIES'!$A$97)</x:f>
      </x:c>
      <x:c r="C908" s="34" t="str">
        <x:f>IF(B908="","",'01_INPUT_COMPANIES'!$B$97)</x:f>
      </x:c>
      <x:c r="D908" s="34" t="str">
        <x:v>infra_dependency_ratio</x:v>
      </x:c>
      <x:c r="E908" s="42" t="str">
        <x:f>IF(OR(B908="",COUNT('01_INPUT_COMPANIES'!$U$97)=0),"",'01_INPUT_COMPANIES'!$U$97)</x:f>
      </x:c>
      <x:c r="F908" s="42" t="n">
        <x:v>1</x:v>
      </x:c>
      <x:c r="G908" s="42" t="str">
        <x:f>IF(NOT(ISNUMBER(E908)),"",MAX(K908,MIN(L908,E908*F908)))</x:f>
      </x:c>
      <x:c r="H908" s="42" t="n">
        <x:v>64</x:v>
      </x:c>
      <x:c r="I908" s="42" t="str">
        <x:f>IF(COUNT(G908)=0,"",(COUNTIFS('93_REF_ANCHORS'!$A$7:$A$766,D908,'93_REF_ANCHORS'!$C$7:$C$766,"&lt;"&amp;G908)+COUNTIFS('93_REF_ANCHORS'!$A$7:$A$766,D908,'93_REF_ANCHORS'!$C$7:$C$766,"&lt;="&amp;G908)-1)/(2*(H908-1)))</x:f>
      </x:c>
      <x:c r="J908" s="34" t="str">
        <x:f>IF(B908="","",IF(COUNT(E908)=0,"MISSING",IF(NOT(ISNUMBER(E908)),"INVALID",IF(E908*F908&lt;K908,"WINSORIZED LOW",IF(E908*F908&gt;L908,"WINSORIZED HIGH","OK")))))</x:f>
      </x:c>
      <x:c r="K908" s="34" t="n">
        <x:v>-0.10705024705171803</x:v>
      </x:c>
      <x:c r="L908" s="34" t="n">
        <x:v>0.8008753865408955</x:v>
      </x:c>
      <x:c r="M908" s="34" t="n">
        <x:v>0.1111111111111111</x:v>
      </x:c>
      <x:c r="N908" s="34" t="str">
        <x:v>no</x:v>
      </x:c>
    </x:row>
    <x:row r="909">
      <x:c r="A909" s="34" t="n">
        <x:v>91</x:v>
      </x:c>
      <x:c r="B909" s="34" t="str">
        <x:f>IF('01_INPUT_COMPANIES'!$A$97="","",'01_INPUT_COMPANIES'!$A$97)</x:f>
      </x:c>
      <x:c r="C909" s="34" t="str">
        <x:f>IF(B909="","",'01_INPUT_COMPANIES'!$B$97)</x:f>
      </x:c>
      <x:c r="D909" s="34" t="str">
        <x:v>network_cost_ratio</x:v>
      </x:c>
      <x:c r="E909" s="42" t="str">
        <x:f>IF(OR(B909="",COUNT('01_INPUT_COMPANIES'!$V$97)=0),"",'01_INPUT_COMPANIES'!$V$97)</x:f>
      </x:c>
      <x:c r="F909" s="42" t="n">
        <x:v>1</x:v>
      </x:c>
      <x:c r="G909" s="42" t="str">
        <x:f>IF(NOT(ISNUMBER(E909)),"",MAX(K909,MIN(L909,E909*F909)))</x:f>
      </x:c>
      <x:c r="H909" s="42" t="n">
        <x:v>97</x:v>
      </x:c>
      <x:c r="I909" s="42" t="str">
        <x:f>IF(COUNT(G909)=0,"",(COUNTIFS('93_REF_ANCHORS'!$A$7:$A$766,D909,'93_REF_ANCHORS'!$C$7:$C$766,"&lt;"&amp;G909)+COUNTIFS('93_REF_ANCHORS'!$A$7:$A$766,D909,'93_REF_ANCHORS'!$C$7:$C$766,"&lt;="&amp;G909)-1)/(2*(H909-1)))</x:f>
      </x:c>
      <x:c r="J909" s="34" t="str">
        <x:f>IF(B909="","",IF(COUNT(E909)=0,"MISSING",IF(NOT(ISNUMBER(E909)),"INVALID",IF(E909*F909&lt;K909,"WINSORIZED LOW",IF(E909*F909&gt;L909,"WINSORIZED HIGH","OK")))))</x:f>
      </x:c>
      <x:c r="K909" s="34" t="n">
        <x:v>-0.1395374353</x:v>
      </x:c>
      <x:c r="L909" s="34" t="n">
        <x:v>0.9274274845000001</x:v>
      </x:c>
      <x:c r="M909" s="34" t="n">
        <x:v>0.1111111111111111</x:v>
      </x:c>
      <x:c r="N909" s="34" t="str">
        <x:v>no</x:v>
      </x:c>
    </x:row>
    <x:row r="910">
      <x:c r="A910" s="34" t="n">
        <x:v>91</x:v>
      </x:c>
      <x:c r="B910" s="34" t="str">
        <x:f>IF('01_INPUT_COMPANIES'!$A$97="","",'01_INPUT_COMPANIES'!$A$97)</x:f>
      </x:c>
      <x:c r="C910" s="34" t="str">
        <x:f>IF(B910="","",'01_INPUT_COMPANIES'!$B$97)</x:f>
      </x:c>
      <x:c r="D910" s="34" t="str">
        <x:v>cashflow_recovery_ratio</x:v>
      </x:c>
      <x:c r="E910" s="42" t="str">
        <x:f>IF(OR(B910="",COUNT('01_INPUT_COMPANIES'!$W$97)=0),"",'01_INPUT_COMPANIES'!$W$97)</x:f>
      </x:c>
      <x:c r="F910" s="42" t="n">
        <x:v>-1</x:v>
      </x:c>
      <x:c r="G910" s="42" t="str">
        <x:f>IF(NOT(ISNUMBER(E910)),"",MAX(K910,MIN(L910,E910*F910)))</x:f>
      </x:c>
      <x:c r="H910" s="42" t="n">
        <x:v>95</x:v>
      </x:c>
      <x:c r="I910" s="42" t="str">
        <x:f>IF(COUNT(G910)=0,"",(COUNTIFS('93_REF_ANCHORS'!$A$7:$A$766,D910,'93_REF_ANCHORS'!$C$7:$C$766,"&lt;"&amp;G910)+COUNTIFS('93_REF_ANCHORS'!$A$7:$A$766,D910,'93_REF_ANCHORS'!$C$7:$C$766,"&lt;="&amp;G910)-1)/(2*(H910-1)))</x:f>
      </x:c>
      <x:c r="J910" s="34" t="str">
        <x:f>IF(B910="","",IF(COUNT(E910)=0,"MISSING",IF(NOT(ISNUMBER(E910)),"INVALID",IF(E910*F910&lt;K910,"WINSORIZED LOW",IF(E910*F910&gt;L910,"WINSORIZED HIGH","OK")))))</x:f>
      </x:c>
      <x:c r="K910" s="34" t="n">
        <x:v>-300.75</x:v>
      </x:c>
      <x:c r="L910" s="34" t="n">
        <x:v>42.6920305469</x:v>
      </x:c>
      <x:c r="M910" s="34" t="n">
        <x:v>0.08333333333333333</x:v>
      </x:c>
      <x:c r="N910" s="34" t="str">
        <x:v>no</x:v>
      </x:c>
    </x:row>
    <x:row r="911">
      <x:c r="A911" s="34" t="n">
        <x:v>91</x:v>
      </x:c>
      <x:c r="B911" s="34" t="str">
        <x:f>IF('01_INPUT_COMPANIES'!$A$97="","",'01_INPUT_COMPANIES'!$A$97)</x:f>
      </x:c>
      <x:c r="C911" s="34" t="str">
        <x:f>IF(B911="","",'01_INPUT_COMPANIES'!$B$97)</x:f>
      </x:c>
      <x:c r="D911" s="34" t="str">
        <x:v>funding_cost_spread</x:v>
      </x:c>
      <x:c r="E911" s="42" t="str">
        <x:f>IF(OR(B911="",COUNT('01_INPUT_COMPANIES'!$X$97)=0),"",'01_INPUT_COMPANIES'!$X$97)</x:f>
      </x:c>
      <x:c r="F911" s="42" t="n">
        <x:v>1</x:v>
      </x:c>
      <x:c r="G911" s="42" t="str">
        <x:f>IF(NOT(ISNUMBER(E911)),"",MAX(K911,MIN(L911,E911*F911)))</x:f>
      </x:c>
      <x:c r="H911" s="42" t="n">
        <x:v>58</x:v>
      </x:c>
      <x:c r="I911" s="42" t="str">
        <x:f>IF(COUNT(G911)=0,"",(COUNTIFS('93_REF_ANCHORS'!$A$7:$A$766,D911,'93_REF_ANCHORS'!$C$7:$C$766,"&lt;"&amp;G911)+COUNTIFS('93_REF_ANCHORS'!$A$7:$A$766,D911,'93_REF_ANCHORS'!$C$7:$C$766,"&lt;="&amp;G911)-1)/(2*(H911-1)))</x:f>
      </x:c>
      <x:c r="J911" s="34" t="str">
        <x:f>IF(B911="","",IF(COUNT(E911)=0,"MISSING",IF(NOT(ISNUMBER(E911)),"INVALID",IF(E911*F911&lt;K911,"WINSORIZED LOW",IF(E911*F911&gt;L911,"WINSORIZED HIGH","OK")))))</x:f>
      </x:c>
      <x:c r="K911" s="34" t="n">
        <x:v>-0.4430292903</x:v>
      </x:c>
      <x:c r="L911" s="34" t="n">
        <x:v>0.5068913103</x:v>
      </x:c>
      <x:c r="M911" s="34" t="n">
        <x:v>0.08333333333333333</x:v>
      </x:c>
      <x:c r="N911" s="34" t="str">
        <x:v>no</x:v>
      </x:c>
    </x:row>
    <x:row r="912">
      <x:c r="A912" s="34" t="n">
        <x:v>91</x:v>
      </x:c>
      <x:c r="B912" s="34" t="str">
        <x:f>IF('01_INPUT_COMPANIES'!$A$97="","",'01_INPUT_COMPANIES'!$A$97)</x:f>
      </x:c>
      <x:c r="C912" s="34" t="str">
        <x:f>IF(B912="","",'01_INPUT_COMPANIES'!$B$97)</x:f>
      </x:c>
      <x:c r="D912" s="34" t="str">
        <x:v>investment_recovery_ratio</x:v>
      </x:c>
      <x:c r="E912" s="42" t="str">
        <x:f>IF(OR(B912="",COUNT('01_INPUT_COMPANIES'!$Y$97)=0),"",'01_INPUT_COMPANIES'!$Y$97)</x:f>
      </x:c>
      <x:c r="F912" s="42" t="n">
        <x:v>-1</x:v>
      </x:c>
      <x:c r="G912" s="42" t="str">
        <x:f>IF(NOT(ISNUMBER(E912)),"",MAX(K912,MIN(L912,E912*F912)))</x:f>
      </x:c>
      <x:c r="H912" s="42" t="n">
        <x:v>95</x:v>
      </x:c>
      <x:c r="I912" s="42" t="str">
        <x:f>IF(COUNT(G912)=0,"",(COUNTIFS('93_REF_ANCHORS'!$A$7:$A$766,D912,'93_REF_ANCHORS'!$C$7:$C$766,"&lt;"&amp;G912)+COUNTIFS('93_REF_ANCHORS'!$A$7:$A$766,D912,'93_REF_ANCHORS'!$C$7:$C$766,"&lt;="&amp;G912)-1)/(2*(H912-1)))</x:f>
      </x:c>
      <x:c r="J912" s="34" t="str">
        <x:f>IF(B912="","",IF(COUNT(E912)=0,"MISSING",IF(NOT(ISNUMBER(E912)),"INVALID",IF(E912*F912&lt;K912,"WINSORIZED LOW",IF(E912*F912&gt;L912,"WINSORIZED HIGH","OK")))))</x:f>
      </x:c>
      <x:c r="K912" s="34" t="n">
        <x:v>-3163.7500000000014</x:v>
      </x:c>
      <x:c r="L912" s="34" t="n">
        <x:v>189.68191301719997</x:v>
      </x:c>
      <x:c r="M912" s="34" t="n">
        <x:v>0.08333333333333333</x:v>
      </x:c>
      <x:c r="N912" s="34" t="str">
        <x:v>no</x:v>
      </x:c>
    </x:row>
    <x:row r="913">
      <x:c r="A913" s="34" t="n">
        <x:v>91</x:v>
      </x:c>
      <x:c r="B913" s="34" t="str">
        <x:f>IF('01_INPUT_COMPANIES'!$A$97="","",'01_INPUT_COMPANIES'!$A$97)</x:f>
      </x:c>
      <x:c r="C913" s="34" t="str">
        <x:f>IF(B913="","",'01_INPUT_COMPANIES'!$B$97)</x:f>
      </x:c>
      <x:c r="D913" s="34" t="str">
        <x:v>ip_assetization_gap</x:v>
      </x:c>
      <x:c r="E913" s="42" t="str">
        <x:f>IF(OR(B913="",COUNT('01_INPUT_COMPANIES'!$Z$97)=0),"",'01_INPUT_COMPANIES'!$Z$97)</x:f>
      </x:c>
      <x:c r="F913" s="42" t="n">
        <x:v>1</x:v>
      </x:c>
      <x:c r="G913" s="42" t="str">
        <x:f>IF(NOT(ISNUMBER(E913)),"",MAX(K913,MIN(L913,E913*F913)))</x:f>
      </x:c>
      <x:c r="H913" s="42" t="n">
        <x:v>92</x:v>
      </x:c>
      <x:c r="I913" s="42" t="str">
        <x:f>IF(COUNT(G913)=0,"",(COUNTIFS('93_REF_ANCHORS'!$A$7:$A$766,D913,'93_REF_ANCHORS'!$C$7:$C$766,"&lt;"&amp;G913)+COUNTIFS('93_REF_ANCHORS'!$A$7:$A$766,D913,'93_REF_ANCHORS'!$C$7:$C$766,"&lt;="&amp;G913)-1)/(2*(H913-1)))</x:f>
      </x:c>
      <x:c r="J913" s="34" t="str">
        <x:f>IF(B913="","",IF(COUNT(E913)=0,"MISSING",IF(NOT(ISNUMBER(E913)),"INVALID",IF(E913*F913&lt;K913,"WINSORIZED LOW",IF(E913*F913&gt;L913,"WINSORIZED HIGH","OK")))))</x:f>
      </x:c>
      <x:c r="K913" s="34" t="n">
        <x:v>-1.6707152386</x:v>
      </x:c>
      <x:c r="L913" s="34" t="n">
        <x:v>0.7716332556000001</x:v>
      </x:c>
      <x:c r="M913" s="34" t="n">
        <x:v>0.08333333333333333</x:v>
      </x:c>
      <x:c r="N913" s="34" t="str">
        <x:v>no</x:v>
      </x:c>
    </x:row>
    <x:row r="914">
      <x:c r="A914" s="34" t="n">
        <x:v>91</x:v>
      </x:c>
      <x:c r="B914" s="34" t="str">
        <x:f>IF('01_INPUT_COMPANIES'!$A$97="","",'01_INPUT_COMPANIES'!$A$97)</x:f>
      </x:c>
      <x:c r="C914" s="34" t="str">
        <x:f>IF(B914="","",'01_INPUT_COMPANIES'!$B$97)</x:f>
      </x:c>
      <x:c r="D914" s="34" t="str">
        <x:v>cross_market_transfer_index</x:v>
      </x:c>
      <x:c r="E914" s="42" t="str">
        <x:f>IF(OR(B914="",COUNT('01_INPUT_COMPANIES'!$AA$97)=0),"",'01_INPUT_COMPANIES'!$AA$97)</x:f>
      </x:c>
      <x:c r="F914" s="42" t="n">
        <x:v>1</x:v>
      </x:c>
      <x:c r="G914" s="42" t="str">
        <x:f>IF(NOT(ISNUMBER(E914)),"",MAX(K914,MIN(L914,E914*F914)))</x:f>
      </x:c>
      <x:c r="H914" s="42" t="n">
        <x:v>4</x:v>
      </x:c>
      <x:c r="I914" s="42" t="str">
        <x:f>IF(COUNT(G914)=0,"",(COUNTIFS('93_REF_ANCHORS'!$A$7:$A$766,D914,'93_REF_ANCHORS'!$C$7:$C$766,"&lt;"&amp;G914)+COUNTIFS('93_REF_ANCHORS'!$A$7:$A$766,D914,'93_REF_ANCHORS'!$C$7:$C$766,"&lt;="&amp;G914)-1)/(2*(H914-1)))</x:f>
      </x:c>
      <x:c r="J914" s="34" t="str">
        <x:f>IF(B914="","",IF(COUNT(E914)=0,"MISSING",IF(NOT(ISNUMBER(E914)),"INVALID",IF(E914*F914&lt;K914,"WINSORIZED LOW",IF(E914*F914&gt;L914,"WINSORIZED HIGH","OK")))))</x:f>
      </x:c>
      <x:c r="K914" s="34" t="n">
        <x:v>0</x:v>
      </x:c>
      <x:c r="L914" s="34" t="n">
        <x:v>0.7587051325360435</x:v>
      </x:c>
      <x:c r="M914" s="34" t="n">
        <x:v>0.1111111111111111</x:v>
      </x:c>
      <x:c r="N914" s="34" t="str">
        <x:v>yes</x:v>
      </x:c>
    </x:row>
    <x:row r="915">
      <x:c r="A915" s="34" t="n">
        <x:v>91</x:v>
      </x:c>
      <x:c r="B915" s="34" t="str">
        <x:f>IF('01_INPUT_COMPANIES'!$A$97="","",'01_INPUT_COMPANIES'!$A$97)</x:f>
      </x:c>
      <x:c r="C915" s="34" t="str">
        <x:f>IF(B915="","",'01_INPUT_COMPANIES'!$B$97)</x:f>
      </x:c>
      <x:c r="D915" s="34" t="str">
        <x:v>foreign_dependency_ratio</x:v>
      </x:c>
      <x:c r="E915" s="42" t="str">
        <x:f>IF(OR(B915="",COUNT('01_INPUT_COMPANIES'!$AB$97)=0),"",'01_INPUT_COMPANIES'!$AB$97)</x:f>
      </x:c>
      <x:c r="F915" s="42" t="n">
        <x:v>1</x:v>
      </x:c>
      <x:c r="G915" s="42" t="str">
        <x:f>IF(NOT(ISNUMBER(E915)),"",MAX(K915,MIN(L915,E915*F915)))</x:f>
      </x:c>
      <x:c r="H915" s="42" t="n">
        <x:v>84</x:v>
      </x:c>
      <x:c r="I915" s="42" t="str">
        <x:f>IF(COUNT(G915)=0,"",(COUNTIFS('93_REF_ANCHORS'!$A$7:$A$766,D915,'93_REF_ANCHORS'!$C$7:$C$766,"&lt;"&amp;G915)+COUNTIFS('93_REF_ANCHORS'!$A$7:$A$766,D915,'93_REF_ANCHORS'!$C$7:$C$766,"&lt;="&amp;G915)-1)/(2*(H915-1)))</x:f>
      </x:c>
      <x:c r="J915" s="34" t="str">
        <x:f>IF(B915="","",IF(COUNT(E915)=0,"MISSING",IF(NOT(ISNUMBER(E915)),"INVALID",IF(E915*F915&lt;K915,"WINSORIZED LOW",IF(E915*F915&gt;L915,"WINSORIZED HIGH","OK")))))</x:f>
      </x:c>
      <x:c r="K915" s="34" t="n">
        <x:v>0.728196</x:v>
      </x:c>
      <x:c r="L915" s="34" t="n">
        <x:v>0.94</x:v>
      </x:c>
      <x:c r="M915" s="34" t="n">
        <x:v>0.1111111111111111</x:v>
      </x:c>
      <x:c r="N915" s="34" t="str">
        <x:v>yes</x:v>
      </x:c>
    </x:row>
    <x:row r="916">
      <x:c r="A916" s="34" t="n">
        <x:v>91</x:v>
      </x:c>
      <x:c r="B916" s="34" t="str">
        <x:f>IF('01_INPUT_COMPANIES'!$A$97="","",'01_INPUT_COMPANIES'!$A$97)</x:f>
      </x:c>
      <x:c r="C916" s="34" t="str">
        <x:f>IF(B916="","",'01_INPUT_COMPANIES'!$B$97)</x:f>
      </x:c>
      <x:c r="D916" s="34" t="str">
        <x:v>outflow_to_capex_ratio</x:v>
      </x:c>
      <x:c r="E916" s="42" t="str">
        <x:f>IF(OR(B916="",COUNT('01_INPUT_COMPANIES'!$AC$97)=0),"",'01_INPUT_COMPANIES'!$AC$97)</x:f>
      </x:c>
      <x:c r="F916" s="42" t="n">
        <x:v>1</x:v>
      </x:c>
      <x:c r="G916" s="42" t="str">
        <x:f>IF(NOT(ISNUMBER(E916)),"",MAX(K916,MIN(L916,E916*F916)))</x:f>
      </x:c>
      <x:c r="H916" s="42" t="n">
        <x:v>97</x:v>
      </x:c>
      <x:c r="I916" s="42" t="str">
        <x:f>IF(COUNT(G916)=0,"",(COUNTIFS('93_REF_ANCHORS'!$A$7:$A$766,D916,'93_REF_ANCHORS'!$C$7:$C$766,"&lt;"&amp;G916)+COUNTIFS('93_REF_ANCHORS'!$A$7:$A$766,D916,'93_REF_ANCHORS'!$C$7:$C$766,"&lt;="&amp;G916)-1)/(2*(H916-1)))</x:f>
      </x:c>
      <x:c r="J916" s="34" t="str">
        <x:f>IF(B916="","",IF(COUNT(E916)=0,"MISSING",IF(NOT(ISNUMBER(E916)),"INVALID",IF(E916*F916&lt;K916,"WINSORIZED LOW",IF(E916*F916&gt;L916,"WINSORIZED HIGH","OK")))))</x:f>
      </x:c>
      <x:c r="K916" s="34" t="n">
        <x:v>-123.5385890408</x:v>
      </x:c>
      <x:c r="L916" s="34" t="n">
        <x:v>974.1666666666999</x:v>
      </x:c>
      <x:c r="M916" s="34" t="n">
        <x:v>0.1111111111111111</x:v>
      </x:c>
      <x:c r="N916" s="34" t="str">
        <x:v>no</x:v>
      </x:c>
    </x:row>
    <x:row r="917">
      <x:c r="A917" s="34" t="n">
        <x:v>92</x:v>
      </x:c>
      <x:c r="B917" s="34" t="str">
        <x:f>IF('01_INPUT_COMPANIES'!$A$98="","",'01_INPUT_COMPANIES'!$A$98)</x:f>
      </x:c>
      <x:c r="C917" s="34" t="str">
        <x:f>IF(B917="","",'01_INPUT_COMPANIES'!$B$98)</x:f>
      </x:c>
      <x:c r="D917" s="34" t="str">
        <x:v>effective_tax_rate_gap</x:v>
      </x:c>
      <x:c r="E917" s="42" t="str">
        <x:f>IF(OR(B917="",COUNT('01_INPUT_COMPANIES'!$T$98)=0),"",'01_INPUT_COMPANIES'!$T$98)</x:f>
      </x:c>
      <x:c r="F917" s="42" t="n">
        <x:v>1</x:v>
      </x:c>
      <x:c r="G917" s="42" t="str">
        <x:f>IF(NOT(ISNUMBER(E917)),"",MAX(K917,MIN(L917,E917*F917)))</x:f>
      </x:c>
      <x:c r="H917" s="42" t="n">
        <x:v>74</x:v>
      </x:c>
      <x:c r="I917" s="42" t="str">
        <x:f>IF(COUNT(G917)=0,"",(COUNTIFS('93_REF_ANCHORS'!$A$7:$A$766,D917,'93_REF_ANCHORS'!$C$7:$C$766,"&lt;"&amp;G917)+COUNTIFS('93_REF_ANCHORS'!$A$7:$A$766,D917,'93_REF_ANCHORS'!$C$7:$C$766,"&lt;="&amp;G917)-1)/(2*(H917-1)))</x:f>
      </x:c>
      <x:c r="J917" s="34" t="str">
        <x:f>IF(B917="","",IF(COUNT(E917)=0,"MISSING",IF(NOT(ISNUMBER(E917)),"INVALID",IF(E917*F917&lt;K917,"WINSORIZED LOW",IF(E917*F917&gt;L917,"WINSORIZED HIGH","OK")))))</x:f>
      </x:c>
      <x:c r="K917" s="34" t="n">
        <x:v>-0.1416111014</x:v>
      </x:c>
      <x:c r="L917" s="34" t="n">
        <x:v>0.2683650488</x:v>
      </x:c>
      <x:c r="M917" s="34" t="n">
        <x:v>0.1111111111111111</x:v>
      </x:c>
      <x:c r="N917" s="34" t="str">
        <x:v>no</x:v>
      </x:c>
    </x:row>
    <x:row r="918">
      <x:c r="A918" s="34" t="n">
        <x:v>92</x:v>
      </x:c>
      <x:c r="B918" s="34" t="str">
        <x:f>IF('01_INPUT_COMPANIES'!$A$98="","",'01_INPUT_COMPANIES'!$A$98)</x:f>
      </x:c>
      <x:c r="C918" s="34" t="str">
        <x:f>IF(B918="","",'01_INPUT_COMPANIES'!$B$98)</x:f>
      </x:c>
      <x:c r="D918" s="34" t="str">
        <x:v>infra_dependency_ratio</x:v>
      </x:c>
      <x:c r="E918" s="42" t="str">
        <x:f>IF(OR(B918="",COUNT('01_INPUT_COMPANIES'!$U$98)=0),"",'01_INPUT_COMPANIES'!$U$98)</x:f>
      </x:c>
      <x:c r="F918" s="42" t="n">
        <x:v>1</x:v>
      </x:c>
      <x:c r="G918" s="42" t="str">
        <x:f>IF(NOT(ISNUMBER(E918)),"",MAX(K918,MIN(L918,E918*F918)))</x:f>
      </x:c>
      <x:c r="H918" s="42" t="n">
        <x:v>64</x:v>
      </x:c>
      <x:c r="I918" s="42" t="str">
        <x:f>IF(COUNT(G918)=0,"",(COUNTIFS('93_REF_ANCHORS'!$A$7:$A$766,D918,'93_REF_ANCHORS'!$C$7:$C$766,"&lt;"&amp;G918)+COUNTIFS('93_REF_ANCHORS'!$A$7:$A$766,D918,'93_REF_ANCHORS'!$C$7:$C$766,"&lt;="&amp;G918)-1)/(2*(H918-1)))</x:f>
      </x:c>
      <x:c r="J918" s="34" t="str">
        <x:f>IF(B918="","",IF(COUNT(E918)=0,"MISSING",IF(NOT(ISNUMBER(E918)),"INVALID",IF(E918*F918&lt;K918,"WINSORIZED LOW",IF(E918*F918&gt;L918,"WINSORIZED HIGH","OK")))))</x:f>
      </x:c>
      <x:c r="K918" s="34" t="n">
        <x:v>-0.10705024705171803</x:v>
      </x:c>
      <x:c r="L918" s="34" t="n">
        <x:v>0.8008753865408955</x:v>
      </x:c>
      <x:c r="M918" s="34" t="n">
        <x:v>0.1111111111111111</x:v>
      </x:c>
      <x:c r="N918" s="34" t="str">
        <x:v>no</x:v>
      </x:c>
    </x:row>
    <x:row r="919">
      <x:c r="A919" s="34" t="n">
        <x:v>92</x:v>
      </x:c>
      <x:c r="B919" s="34" t="str">
        <x:f>IF('01_INPUT_COMPANIES'!$A$98="","",'01_INPUT_COMPANIES'!$A$98)</x:f>
      </x:c>
      <x:c r="C919" s="34" t="str">
        <x:f>IF(B919="","",'01_INPUT_COMPANIES'!$B$98)</x:f>
      </x:c>
      <x:c r="D919" s="34" t="str">
        <x:v>network_cost_ratio</x:v>
      </x:c>
      <x:c r="E919" s="42" t="str">
        <x:f>IF(OR(B919="",COUNT('01_INPUT_COMPANIES'!$V$98)=0),"",'01_INPUT_COMPANIES'!$V$98)</x:f>
      </x:c>
      <x:c r="F919" s="42" t="n">
        <x:v>1</x:v>
      </x:c>
      <x:c r="G919" s="42" t="str">
        <x:f>IF(NOT(ISNUMBER(E919)),"",MAX(K919,MIN(L919,E919*F919)))</x:f>
      </x:c>
      <x:c r="H919" s="42" t="n">
        <x:v>97</x:v>
      </x:c>
      <x:c r="I919" s="42" t="str">
        <x:f>IF(COUNT(G919)=0,"",(COUNTIFS('93_REF_ANCHORS'!$A$7:$A$766,D919,'93_REF_ANCHORS'!$C$7:$C$766,"&lt;"&amp;G919)+COUNTIFS('93_REF_ANCHORS'!$A$7:$A$766,D919,'93_REF_ANCHORS'!$C$7:$C$766,"&lt;="&amp;G919)-1)/(2*(H919-1)))</x:f>
      </x:c>
      <x:c r="J919" s="34" t="str">
        <x:f>IF(B919="","",IF(COUNT(E919)=0,"MISSING",IF(NOT(ISNUMBER(E919)),"INVALID",IF(E919*F919&lt;K919,"WINSORIZED LOW",IF(E919*F919&gt;L919,"WINSORIZED HIGH","OK")))))</x:f>
      </x:c>
      <x:c r="K919" s="34" t="n">
        <x:v>-0.1395374353</x:v>
      </x:c>
      <x:c r="L919" s="34" t="n">
        <x:v>0.9274274845000001</x:v>
      </x:c>
      <x:c r="M919" s="34" t="n">
        <x:v>0.1111111111111111</x:v>
      </x:c>
      <x:c r="N919" s="34" t="str">
        <x:v>no</x:v>
      </x:c>
    </x:row>
    <x:row r="920">
      <x:c r="A920" s="34" t="n">
        <x:v>92</x:v>
      </x:c>
      <x:c r="B920" s="34" t="str">
        <x:f>IF('01_INPUT_COMPANIES'!$A$98="","",'01_INPUT_COMPANIES'!$A$98)</x:f>
      </x:c>
      <x:c r="C920" s="34" t="str">
        <x:f>IF(B920="","",'01_INPUT_COMPANIES'!$B$98)</x:f>
      </x:c>
      <x:c r="D920" s="34" t="str">
        <x:v>cashflow_recovery_ratio</x:v>
      </x:c>
      <x:c r="E920" s="42" t="str">
        <x:f>IF(OR(B920="",COUNT('01_INPUT_COMPANIES'!$W$98)=0),"",'01_INPUT_COMPANIES'!$W$98)</x:f>
      </x:c>
      <x:c r="F920" s="42" t="n">
        <x:v>-1</x:v>
      </x:c>
      <x:c r="G920" s="42" t="str">
        <x:f>IF(NOT(ISNUMBER(E920)),"",MAX(K920,MIN(L920,E920*F920)))</x:f>
      </x:c>
      <x:c r="H920" s="42" t="n">
        <x:v>95</x:v>
      </x:c>
      <x:c r="I920" s="42" t="str">
        <x:f>IF(COUNT(G920)=0,"",(COUNTIFS('93_REF_ANCHORS'!$A$7:$A$766,D920,'93_REF_ANCHORS'!$C$7:$C$766,"&lt;"&amp;G920)+COUNTIFS('93_REF_ANCHORS'!$A$7:$A$766,D920,'93_REF_ANCHORS'!$C$7:$C$766,"&lt;="&amp;G920)-1)/(2*(H920-1)))</x:f>
      </x:c>
      <x:c r="J920" s="34" t="str">
        <x:f>IF(B920="","",IF(COUNT(E920)=0,"MISSING",IF(NOT(ISNUMBER(E920)),"INVALID",IF(E920*F920&lt;K920,"WINSORIZED LOW",IF(E920*F920&gt;L920,"WINSORIZED HIGH","OK")))))</x:f>
      </x:c>
      <x:c r="K920" s="34" t="n">
        <x:v>-300.75</x:v>
      </x:c>
      <x:c r="L920" s="34" t="n">
        <x:v>42.6920305469</x:v>
      </x:c>
      <x:c r="M920" s="34" t="n">
        <x:v>0.08333333333333333</x:v>
      </x:c>
      <x:c r="N920" s="34" t="str">
        <x:v>no</x:v>
      </x:c>
    </x:row>
    <x:row r="921">
      <x:c r="A921" s="34" t="n">
        <x:v>92</x:v>
      </x:c>
      <x:c r="B921" s="34" t="str">
        <x:f>IF('01_INPUT_COMPANIES'!$A$98="","",'01_INPUT_COMPANIES'!$A$98)</x:f>
      </x:c>
      <x:c r="C921" s="34" t="str">
        <x:f>IF(B921="","",'01_INPUT_COMPANIES'!$B$98)</x:f>
      </x:c>
      <x:c r="D921" s="34" t="str">
        <x:v>funding_cost_spread</x:v>
      </x:c>
      <x:c r="E921" s="42" t="str">
        <x:f>IF(OR(B921="",COUNT('01_INPUT_COMPANIES'!$X$98)=0),"",'01_INPUT_COMPANIES'!$X$98)</x:f>
      </x:c>
      <x:c r="F921" s="42" t="n">
        <x:v>1</x:v>
      </x:c>
      <x:c r="G921" s="42" t="str">
        <x:f>IF(NOT(ISNUMBER(E921)),"",MAX(K921,MIN(L921,E921*F921)))</x:f>
      </x:c>
      <x:c r="H921" s="42" t="n">
        <x:v>58</x:v>
      </x:c>
      <x:c r="I921" s="42" t="str">
        <x:f>IF(COUNT(G921)=0,"",(COUNTIFS('93_REF_ANCHORS'!$A$7:$A$766,D921,'93_REF_ANCHORS'!$C$7:$C$766,"&lt;"&amp;G921)+COUNTIFS('93_REF_ANCHORS'!$A$7:$A$766,D921,'93_REF_ANCHORS'!$C$7:$C$766,"&lt;="&amp;G921)-1)/(2*(H921-1)))</x:f>
      </x:c>
      <x:c r="J921" s="34" t="str">
        <x:f>IF(B921="","",IF(COUNT(E921)=0,"MISSING",IF(NOT(ISNUMBER(E921)),"INVALID",IF(E921*F921&lt;K921,"WINSORIZED LOW",IF(E921*F921&gt;L921,"WINSORIZED HIGH","OK")))))</x:f>
      </x:c>
      <x:c r="K921" s="34" t="n">
        <x:v>-0.4430292903</x:v>
      </x:c>
      <x:c r="L921" s="34" t="n">
        <x:v>0.5068913103</x:v>
      </x:c>
      <x:c r="M921" s="34" t="n">
        <x:v>0.08333333333333333</x:v>
      </x:c>
      <x:c r="N921" s="34" t="str">
        <x:v>no</x:v>
      </x:c>
    </x:row>
    <x:row r="922">
      <x:c r="A922" s="34" t="n">
        <x:v>92</x:v>
      </x:c>
      <x:c r="B922" s="34" t="str">
        <x:f>IF('01_INPUT_COMPANIES'!$A$98="","",'01_INPUT_COMPANIES'!$A$98)</x:f>
      </x:c>
      <x:c r="C922" s="34" t="str">
        <x:f>IF(B922="","",'01_INPUT_COMPANIES'!$B$98)</x:f>
      </x:c>
      <x:c r="D922" s="34" t="str">
        <x:v>investment_recovery_ratio</x:v>
      </x:c>
      <x:c r="E922" s="42" t="str">
        <x:f>IF(OR(B922="",COUNT('01_INPUT_COMPANIES'!$Y$98)=0),"",'01_INPUT_COMPANIES'!$Y$98)</x:f>
      </x:c>
      <x:c r="F922" s="42" t="n">
        <x:v>-1</x:v>
      </x:c>
      <x:c r="G922" s="42" t="str">
        <x:f>IF(NOT(ISNUMBER(E922)),"",MAX(K922,MIN(L922,E922*F922)))</x:f>
      </x:c>
      <x:c r="H922" s="42" t="n">
        <x:v>95</x:v>
      </x:c>
      <x:c r="I922" s="42" t="str">
        <x:f>IF(COUNT(G922)=0,"",(COUNTIFS('93_REF_ANCHORS'!$A$7:$A$766,D922,'93_REF_ANCHORS'!$C$7:$C$766,"&lt;"&amp;G922)+COUNTIFS('93_REF_ANCHORS'!$A$7:$A$766,D922,'93_REF_ANCHORS'!$C$7:$C$766,"&lt;="&amp;G922)-1)/(2*(H922-1)))</x:f>
      </x:c>
      <x:c r="J922" s="34" t="str">
        <x:f>IF(B922="","",IF(COUNT(E922)=0,"MISSING",IF(NOT(ISNUMBER(E922)),"INVALID",IF(E922*F922&lt;K922,"WINSORIZED LOW",IF(E922*F922&gt;L922,"WINSORIZED HIGH","OK")))))</x:f>
      </x:c>
      <x:c r="K922" s="34" t="n">
        <x:v>-3163.7500000000014</x:v>
      </x:c>
      <x:c r="L922" s="34" t="n">
        <x:v>189.68191301719997</x:v>
      </x:c>
      <x:c r="M922" s="34" t="n">
        <x:v>0.08333333333333333</x:v>
      </x:c>
      <x:c r="N922" s="34" t="str">
        <x:v>no</x:v>
      </x:c>
    </x:row>
    <x:row r="923">
      <x:c r="A923" s="34" t="n">
        <x:v>92</x:v>
      </x:c>
      <x:c r="B923" s="34" t="str">
        <x:f>IF('01_INPUT_COMPANIES'!$A$98="","",'01_INPUT_COMPANIES'!$A$98)</x:f>
      </x:c>
      <x:c r="C923" s="34" t="str">
        <x:f>IF(B923="","",'01_INPUT_COMPANIES'!$B$98)</x:f>
      </x:c>
      <x:c r="D923" s="34" t="str">
        <x:v>ip_assetization_gap</x:v>
      </x:c>
      <x:c r="E923" s="42" t="str">
        <x:f>IF(OR(B923="",COUNT('01_INPUT_COMPANIES'!$Z$98)=0),"",'01_INPUT_COMPANIES'!$Z$98)</x:f>
      </x:c>
      <x:c r="F923" s="42" t="n">
        <x:v>1</x:v>
      </x:c>
      <x:c r="G923" s="42" t="str">
        <x:f>IF(NOT(ISNUMBER(E923)),"",MAX(K923,MIN(L923,E923*F923)))</x:f>
      </x:c>
      <x:c r="H923" s="42" t="n">
        <x:v>92</x:v>
      </x:c>
      <x:c r="I923" s="42" t="str">
        <x:f>IF(COUNT(G923)=0,"",(COUNTIFS('93_REF_ANCHORS'!$A$7:$A$766,D923,'93_REF_ANCHORS'!$C$7:$C$766,"&lt;"&amp;G923)+COUNTIFS('93_REF_ANCHORS'!$A$7:$A$766,D923,'93_REF_ANCHORS'!$C$7:$C$766,"&lt;="&amp;G923)-1)/(2*(H923-1)))</x:f>
      </x:c>
      <x:c r="J923" s="34" t="str">
        <x:f>IF(B923="","",IF(COUNT(E923)=0,"MISSING",IF(NOT(ISNUMBER(E923)),"INVALID",IF(E923*F923&lt;K923,"WINSORIZED LOW",IF(E923*F923&gt;L923,"WINSORIZED HIGH","OK")))))</x:f>
      </x:c>
      <x:c r="K923" s="34" t="n">
        <x:v>-1.6707152386</x:v>
      </x:c>
      <x:c r="L923" s="34" t="n">
        <x:v>0.7716332556000001</x:v>
      </x:c>
      <x:c r="M923" s="34" t="n">
        <x:v>0.08333333333333333</x:v>
      </x:c>
      <x:c r="N923" s="34" t="str">
        <x:v>no</x:v>
      </x:c>
    </x:row>
    <x:row r="924">
      <x:c r="A924" s="34" t="n">
        <x:v>92</x:v>
      </x:c>
      <x:c r="B924" s="34" t="str">
        <x:f>IF('01_INPUT_COMPANIES'!$A$98="","",'01_INPUT_COMPANIES'!$A$98)</x:f>
      </x:c>
      <x:c r="C924" s="34" t="str">
        <x:f>IF(B924="","",'01_INPUT_COMPANIES'!$B$98)</x:f>
      </x:c>
      <x:c r="D924" s="34" t="str">
        <x:v>cross_market_transfer_index</x:v>
      </x:c>
      <x:c r="E924" s="42" t="str">
        <x:f>IF(OR(B924="",COUNT('01_INPUT_COMPANIES'!$AA$98)=0),"",'01_INPUT_COMPANIES'!$AA$98)</x:f>
      </x:c>
      <x:c r="F924" s="42" t="n">
        <x:v>1</x:v>
      </x:c>
      <x:c r="G924" s="42" t="str">
        <x:f>IF(NOT(ISNUMBER(E924)),"",MAX(K924,MIN(L924,E924*F924)))</x:f>
      </x:c>
      <x:c r="H924" s="42" t="n">
        <x:v>4</x:v>
      </x:c>
      <x:c r="I924" s="42" t="str">
        <x:f>IF(COUNT(G924)=0,"",(COUNTIFS('93_REF_ANCHORS'!$A$7:$A$766,D924,'93_REF_ANCHORS'!$C$7:$C$766,"&lt;"&amp;G924)+COUNTIFS('93_REF_ANCHORS'!$A$7:$A$766,D924,'93_REF_ANCHORS'!$C$7:$C$766,"&lt;="&amp;G924)-1)/(2*(H924-1)))</x:f>
      </x:c>
      <x:c r="J924" s="34" t="str">
        <x:f>IF(B924="","",IF(COUNT(E924)=0,"MISSING",IF(NOT(ISNUMBER(E924)),"INVALID",IF(E924*F924&lt;K924,"WINSORIZED LOW",IF(E924*F924&gt;L924,"WINSORIZED HIGH","OK")))))</x:f>
      </x:c>
      <x:c r="K924" s="34" t="n">
        <x:v>0</x:v>
      </x:c>
      <x:c r="L924" s="34" t="n">
        <x:v>0.7587051325360435</x:v>
      </x:c>
      <x:c r="M924" s="34" t="n">
        <x:v>0.1111111111111111</x:v>
      </x:c>
      <x:c r="N924" s="34" t="str">
        <x:v>yes</x:v>
      </x:c>
    </x:row>
    <x:row r="925">
      <x:c r="A925" s="34" t="n">
        <x:v>92</x:v>
      </x:c>
      <x:c r="B925" s="34" t="str">
        <x:f>IF('01_INPUT_COMPANIES'!$A$98="","",'01_INPUT_COMPANIES'!$A$98)</x:f>
      </x:c>
      <x:c r="C925" s="34" t="str">
        <x:f>IF(B925="","",'01_INPUT_COMPANIES'!$B$98)</x:f>
      </x:c>
      <x:c r="D925" s="34" t="str">
        <x:v>foreign_dependency_ratio</x:v>
      </x:c>
      <x:c r="E925" s="42" t="str">
        <x:f>IF(OR(B925="",COUNT('01_INPUT_COMPANIES'!$AB$98)=0),"",'01_INPUT_COMPANIES'!$AB$98)</x:f>
      </x:c>
      <x:c r="F925" s="42" t="n">
        <x:v>1</x:v>
      </x:c>
      <x:c r="G925" s="42" t="str">
        <x:f>IF(NOT(ISNUMBER(E925)),"",MAX(K925,MIN(L925,E925*F925)))</x:f>
      </x:c>
      <x:c r="H925" s="42" t="n">
        <x:v>84</x:v>
      </x:c>
      <x:c r="I925" s="42" t="str">
        <x:f>IF(COUNT(G925)=0,"",(COUNTIFS('93_REF_ANCHORS'!$A$7:$A$766,D925,'93_REF_ANCHORS'!$C$7:$C$766,"&lt;"&amp;G925)+COUNTIFS('93_REF_ANCHORS'!$A$7:$A$766,D925,'93_REF_ANCHORS'!$C$7:$C$766,"&lt;="&amp;G925)-1)/(2*(H925-1)))</x:f>
      </x:c>
      <x:c r="J925" s="34" t="str">
        <x:f>IF(B925="","",IF(COUNT(E925)=0,"MISSING",IF(NOT(ISNUMBER(E925)),"INVALID",IF(E925*F925&lt;K925,"WINSORIZED LOW",IF(E925*F925&gt;L925,"WINSORIZED HIGH","OK")))))</x:f>
      </x:c>
      <x:c r="K925" s="34" t="n">
        <x:v>0.728196</x:v>
      </x:c>
      <x:c r="L925" s="34" t="n">
        <x:v>0.94</x:v>
      </x:c>
      <x:c r="M925" s="34" t="n">
        <x:v>0.1111111111111111</x:v>
      </x:c>
      <x:c r="N925" s="34" t="str">
        <x:v>yes</x:v>
      </x:c>
    </x:row>
    <x:row r="926">
      <x:c r="A926" s="34" t="n">
        <x:v>92</x:v>
      </x:c>
      <x:c r="B926" s="34" t="str">
        <x:f>IF('01_INPUT_COMPANIES'!$A$98="","",'01_INPUT_COMPANIES'!$A$98)</x:f>
      </x:c>
      <x:c r="C926" s="34" t="str">
        <x:f>IF(B926="","",'01_INPUT_COMPANIES'!$B$98)</x:f>
      </x:c>
      <x:c r="D926" s="34" t="str">
        <x:v>outflow_to_capex_ratio</x:v>
      </x:c>
      <x:c r="E926" s="42" t="str">
        <x:f>IF(OR(B926="",COUNT('01_INPUT_COMPANIES'!$AC$98)=0),"",'01_INPUT_COMPANIES'!$AC$98)</x:f>
      </x:c>
      <x:c r="F926" s="42" t="n">
        <x:v>1</x:v>
      </x:c>
      <x:c r="G926" s="42" t="str">
        <x:f>IF(NOT(ISNUMBER(E926)),"",MAX(K926,MIN(L926,E926*F926)))</x:f>
      </x:c>
      <x:c r="H926" s="42" t="n">
        <x:v>97</x:v>
      </x:c>
      <x:c r="I926" s="42" t="str">
        <x:f>IF(COUNT(G926)=0,"",(COUNTIFS('93_REF_ANCHORS'!$A$7:$A$766,D926,'93_REF_ANCHORS'!$C$7:$C$766,"&lt;"&amp;G926)+COUNTIFS('93_REF_ANCHORS'!$A$7:$A$766,D926,'93_REF_ANCHORS'!$C$7:$C$766,"&lt;="&amp;G926)-1)/(2*(H926-1)))</x:f>
      </x:c>
      <x:c r="J926" s="34" t="str">
        <x:f>IF(B926="","",IF(COUNT(E926)=0,"MISSING",IF(NOT(ISNUMBER(E926)),"INVALID",IF(E926*F926&lt;K926,"WINSORIZED LOW",IF(E926*F926&gt;L926,"WINSORIZED HIGH","OK")))))</x:f>
      </x:c>
      <x:c r="K926" s="34" t="n">
        <x:v>-123.5385890408</x:v>
      </x:c>
      <x:c r="L926" s="34" t="n">
        <x:v>974.1666666666999</x:v>
      </x:c>
      <x:c r="M926" s="34" t="n">
        <x:v>0.1111111111111111</x:v>
      </x:c>
      <x:c r="N926" s="34" t="str">
        <x:v>no</x:v>
      </x:c>
    </x:row>
    <x:row r="927">
      <x:c r="A927" s="34" t="n">
        <x:v>93</x:v>
      </x:c>
      <x:c r="B927" s="34" t="str">
        <x:f>IF('01_INPUT_COMPANIES'!$A$99="","",'01_INPUT_COMPANIES'!$A$99)</x:f>
      </x:c>
      <x:c r="C927" s="34" t="str">
        <x:f>IF(B927="","",'01_INPUT_COMPANIES'!$B$99)</x:f>
      </x:c>
      <x:c r="D927" s="34" t="str">
        <x:v>effective_tax_rate_gap</x:v>
      </x:c>
      <x:c r="E927" s="42" t="str">
        <x:f>IF(OR(B927="",COUNT('01_INPUT_COMPANIES'!$T$99)=0),"",'01_INPUT_COMPANIES'!$T$99)</x:f>
      </x:c>
      <x:c r="F927" s="42" t="n">
        <x:v>1</x:v>
      </x:c>
      <x:c r="G927" s="42" t="str">
        <x:f>IF(NOT(ISNUMBER(E927)),"",MAX(K927,MIN(L927,E927*F927)))</x:f>
      </x:c>
      <x:c r="H927" s="42" t="n">
        <x:v>74</x:v>
      </x:c>
      <x:c r="I927" s="42" t="str">
        <x:f>IF(COUNT(G927)=0,"",(COUNTIFS('93_REF_ANCHORS'!$A$7:$A$766,D927,'93_REF_ANCHORS'!$C$7:$C$766,"&lt;"&amp;G927)+COUNTIFS('93_REF_ANCHORS'!$A$7:$A$766,D927,'93_REF_ANCHORS'!$C$7:$C$766,"&lt;="&amp;G927)-1)/(2*(H927-1)))</x:f>
      </x:c>
      <x:c r="J927" s="34" t="str">
        <x:f>IF(B927="","",IF(COUNT(E927)=0,"MISSING",IF(NOT(ISNUMBER(E927)),"INVALID",IF(E927*F927&lt;K927,"WINSORIZED LOW",IF(E927*F927&gt;L927,"WINSORIZED HIGH","OK")))))</x:f>
      </x:c>
      <x:c r="K927" s="34" t="n">
        <x:v>-0.1416111014</x:v>
      </x:c>
      <x:c r="L927" s="34" t="n">
        <x:v>0.2683650488</x:v>
      </x:c>
      <x:c r="M927" s="34" t="n">
        <x:v>0.1111111111111111</x:v>
      </x:c>
      <x:c r="N927" s="34" t="str">
        <x:v>no</x:v>
      </x:c>
    </x:row>
    <x:row r="928">
      <x:c r="A928" s="34" t="n">
        <x:v>93</x:v>
      </x:c>
      <x:c r="B928" s="34" t="str">
        <x:f>IF('01_INPUT_COMPANIES'!$A$99="","",'01_INPUT_COMPANIES'!$A$99)</x:f>
      </x:c>
      <x:c r="C928" s="34" t="str">
        <x:f>IF(B928="","",'01_INPUT_COMPANIES'!$B$99)</x:f>
      </x:c>
      <x:c r="D928" s="34" t="str">
        <x:v>infra_dependency_ratio</x:v>
      </x:c>
      <x:c r="E928" s="42" t="str">
        <x:f>IF(OR(B928="",COUNT('01_INPUT_COMPANIES'!$U$99)=0),"",'01_INPUT_COMPANIES'!$U$99)</x:f>
      </x:c>
      <x:c r="F928" s="42" t="n">
        <x:v>1</x:v>
      </x:c>
      <x:c r="G928" s="42" t="str">
        <x:f>IF(NOT(ISNUMBER(E928)),"",MAX(K928,MIN(L928,E928*F928)))</x:f>
      </x:c>
      <x:c r="H928" s="42" t="n">
        <x:v>64</x:v>
      </x:c>
      <x:c r="I928" s="42" t="str">
        <x:f>IF(COUNT(G928)=0,"",(COUNTIFS('93_REF_ANCHORS'!$A$7:$A$766,D928,'93_REF_ANCHORS'!$C$7:$C$766,"&lt;"&amp;G928)+COUNTIFS('93_REF_ANCHORS'!$A$7:$A$766,D928,'93_REF_ANCHORS'!$C$7:$C$766,"&lt;="&amp;G928)-1)/(2*(H928-1)))</x:f>
      </x:c>
      <x:c r="J928" s="34" t="str">
        <x:f>IF(B928="","",IF(COUNT(E928)=0,"MISSING",IF(NOT(ISNUMBER(E928)),"INVALID",IF(E928*F928&lt;K928,"WINSORIZED LOW",IF(E928*F928&gt;L928,"WINSORIZED HIGH","OK")))))</x:f>
      </x:c>
      <x:c r="K928" s="34" t="n">
        <x:v>-0.10705024705171803</x:v>
      </x:c>
      <x:c r="L928" s="34" t="n">
        <x:v>0.8008753865408955</x:v>
      </x:c>
      <x:c r="M928" s="34" t="n">
        <x:v>0.1111111111111111</x:v>
      </x:c>
      <x:c r="N928" s="34" t="str">
        <x:v>no</x:v>
      </x:c>
    </x:row>
    <x:row r="929">
      <x:c r="A929" s="34" t="n">
        <x:v>93</x:v>
      </x:c>
      <x:c r="B929" s="34" t="str">
        <x:f>IF('01_INPUT_COMPANIES'!$A$99="","",'01_INPUT_COMPANIES'!$A$99)</x:f>
      </x:c>
      <x:c r="C929" s="34" t="str">
        <x:f>IF(B929="","",'01_INPUT_COMPANIES'!$B$99)</x:f>
      </x:c>
      <x:c r="D929" s="34" t="str">
        <x:v>network_cost_ratio</x:v>
      </x:c>
      <x:c r="E929" s="42" t="str">
        <x:f>IF(OR(B929="",COUNT('01_INPUT_COMPANIES'!$V$99)=0),"",'01_INPUT_COMPANIES'!$V$99)</x:f>
      </x:c>
      <x:c r="F929" s="42" t="n">
        <x:v>1</x:v>
      </x:c>
      <x:c r="G929" s="42" t="str">
        <x:f>IF(NOT(ISNUMBER(E929)),"",MAX(K929,MIN(L929,E929*F929)))</x:f>
      </x:c>
      <x:c r="H929" s="42" t="n">
        <x:v>97</x:v>
      </x:c>
      <x:c r="I929" s="42" t="str">
        <x:f>IF(COUNT(G929)=0,"",(COUNTIFS('93_REF_ANCHORS'!$A$7:$A$766,D929,'93_REF_ANCHORS'!$C$7:$C$766,"&lt;"&amp;G929)+COUNTIFS('93_REF_ANCHORS'!$A$7:$A$766,D929,'93_REF_ANCHORS'!$C$7:$C$766,"&lt;="&amp;G929)-1)/(2*(H929-1)))</x:f>
      </x:c>
      <x:c r="J929" s="34" t="str">
        <x:f>IF(B929="","",IF(COUNT(E929)=0,"MISSING",IF(NOT(ISNUMBER(E929)),"INVALID",IF(E929*F929&lt;K929,"WINSORIZED LOW",IF(E929*F929&gt;L929,"WINSORIZED HIGH","OK")))))</x:f>
      </x:c>
      <x:c r="K929" s="34" t="n">
        <x:v>-0.1395374353</x:v>
      </x:c>
      <x:c r="L929" s="34" t="n">
        <x:v>0.9274274845000001</x:v>
      </x:c>
      <x:c r="M929" s="34" t="n">
        <x:v>0.1111111111111111</x:v>
      </x:c>
      <x:c r="N929" s="34" t="str">
        <x:v>no</x:v>
      </x:c>
    </x:row>
    <x:row r="930">
      <x:c r="A930" s="34" t="n">
        <x:v>93</x:v>
      </x:c>
      <x:c r="B930" s="34" t="str">
        <x:f>IF('01_INPUT_COMPANIES'!$A$99="","",'01_INPUT_COMPANIES'!$A$99)</x:f>
      </x:c>
      <x:c r="C930" s="34" t="str">
        <x:f>IF(B930="","",'01_INPUT_COMPANIES'!$B$99)</x:f>
      </x:c>
      <x:c r="D930" s="34" t="str">
        <x:v>cashflow_recovery_ratio</x:v>
      </x:c>
      <x:c r="E930" s="42" t="str">
        <x:f>IF(OR(B930="",COUNT('01_INPUT_COMPANIES'!$W$99)=0),"",'01_INPUT_COMPANIES'!$W$99)</x:f>
      </x:c>
      <x:c r="F930" s="42" t="n">
        <x:v>-1</x:v>
      </x:c>
      <x:c r="G930" s="42" t="str">
        <x:f>IF(NOT(ISNUMBER(E930)),"",MAX(K930,MIN(L930,E930*F930)))</x:f>
      </x:c>
      <x:c r="H930" s="42" t="n">
        <x:v>95</x:v>
      </x:c>
      <x:c r="I930" s="42" t="str">
        <x:f>IF(COUNT(G930)=0,"",(COUNTIFS('93_REF_ANCHORS'!$A$7:$A$766,D930,'93_REF_ANCHORS'!$C$7:$C$766,"&lt;"&amp;G930)+COUNTIFS('93_REF_ANCHORS'!$A$7:$A$766,D930,'93_REF_ANCHORS'!$C$7:$C$766,"&lt;="&amp;G930)-1)/(2*(H930-1)))</x:f>
      </x:c>
      <x:c r="J930" s="34" t="str">
        <x:f>IF(B930="","",IF(COUNT(E930)=0,"MISSING",IF(NOT(ISNUMBER(E930)),"INVALID",IF(E930*F930&lt;K930,"WINSORIZED LOW",IF(E930*F930&gt;L930,"WINSORIZED HIGH","OK")))))</x:f>
      </x:c>
      <x:c r="K930" s="34" t="n">
        <x:v>-300.75</x:v>
      </x:c>
      <x:c r="L930" s="34" t="n">
        <x:v>42.6920305469</x:v>
      </x:c>
      <x:c r="M930" s="34" t="n">
        <x:v>0.08333333333333333</x:v>
      </x:c>
      <x:c r="N930" s="34" t="str">
        <x:v>no</x:v>
      </x:c>
    </x:row>
    <x:row r="931">
      <x:c r="A931" s="34" t="n">
        <x:v>93</x:v>
      </x:c>
      <x:c r="B931" s="34" t="str">
        <x:f>IF('01_INPUT_COMPANIES'!$A$99="","",'01_INPUT_COMPANIES'!$A$99)</x:f>
      </x:c>
      <x:c r="C931" s="34" t="str">
        <x:f>IF(B931="","",'01_INPUT_COMPANIES'!$B$99)</x:f>
      </x:c>
      <x:c r="D931" s="34" t="str">
        <x:v>funding_cost_spread</x:v>
      </x:c>
      <x:c r="E931" s="42" t="str">
        <x:f>IF(OR(B931="",COUNT('01_INPUT_COMPANIES'!$X$99)=0),"",'01_INPUT_COMPANIES'!$X$99)</x:f>
      </x:c>
      <x:c r="F931" s="42" t="n">
        <x:v>1</x:v>
      </x:c>
      <x:c r="G931" s="42" t="str">
        <x:f>IF(NOT(ISNUMBER(E931)),"",MAX(K931,MIN(L931,E931*F931)))</x:f>
      </x:c>
      <x:c r="H931" s="42" t="n">
        <x:v>58</x:v>
      </x:c>
      <x:c r="I931" s="42" t="str">
        <x:f>IF(COUNT(G931)=0,"",(COUNTIFS('93_REF_ANCHORS'!$A$7:$A$766,D931,'93_REF_ANCHORS'!$C$7:$C$766,"&lt;"&amp;G931)+COUNTIFS('93_REF_ANCHORS'!$A$7:$A$766,D931,'93_REF_ANCHORS'!$C$7:$C$766,"&lt;="&amp;G931)-1)/(2*(H931-1)))</x:f>
      </x:c>
      <x:c r="J931" s="34" t="str">
        <x:f>IF(B931="","",IF(COUNT(E931)=0,"MISSING",IF(NOT(ISNUMBER(E931)),"INVALID",IF(E931*F931&lt;K931,"WINSORIZED LOW",IF(E931*F931&gt;L931,"WINSORIZED HIGH","OK")))))</x:f>
      </x:c>
      <x:c r="K931" s="34" t="n">
        <x:v>-0.4430292903</x:v>
      </x:c>
      <x:c r="L931" s="34" t="n">
        <x:v>0.5068913103</x:v>
      </x:c>
      <x:c r="M931" s="34" t="n">
        <x:v>0.08333333333333333</x:v>
      </x:c>
      <x:c r="N931" s="34" t="str">
        <x:v>no</x:v>
      </x:c>
    </x:row>
    <x:row r="932">
      <x:c r="A932" s="34" t="n">
        <x:v>93</x:v>
      </x:c>
      <x:c r="B932" s="34" t="str">
        <x:f>IF('01_INPUT_COMPANIES'!$A$99="","",'01_INPUT_COMPANIES'!$A$99)</x:f>
      </x:c>
      <x:c r="C932" s="34" t="str">
        <x:f>IF(B932="","",'01_INPUT_COMPANIES'!$B$99)</x:f>
      </x:c>
      <x:c r="D932" s="34" t="str">
        <x:v>investment_recovery_ratio</x:v>
      </x:c>
      <x:c r="E932" s="42" t="str">
        <x:f>IF(OR(B932="",COUNT('01_INPUT_COMPANIES'!$Y$99)=0),"",'01_INPUT_COMPANIES'!$Y$99)</x:f>
      </x:c>
      <x:c r="F932" s="42" t="n">
        <x:v>-1</x:v>
      </x:c>
      <x:c r="G932" s="42" t="str">
        <x:f>IF(NOT(ISNUMBER(E932)),"",MAX(K932,MIN(L932,E932*F932)))</x:f>
      </x:c>
      <x:c r="H932" s="42" t="n">
        <x:v>95</x:v>
      </x:c>
      <x:c r="I932" s="42" t="str">
        <x:f>IF(COUNT(G932)=0,"",(COUNTIFS('93_REF_ANCHORS'!$A$7:$A$766,D932,'93_REF_ANCHORS'!$C$7:$C$766,"&lt;"&amp;G932)+COUNTIFS('93_REF_ANCHORS'!$A$7:$A$766,D932,'93_REF_ANCHORS'!$C$7:$C$766,"&lt;="&amp;G932)-1)/(2*(H932-1)))</x:f>
      </x:c>
      <x:c r="J932" s="34" t="str">
        <x:f>IF(B932="","",IF(COUNT(E932)=0,"MISSING",IF(NOT(ISNUMBER(E932)),"INVALID",IF(E932*F932&lt;K932,"WINSORIZED LOW",IF(E932*F932&gt;L932,"WINSORIZED HIGH","OK")))))</x:f>
      </x:c>
      <x:c r="K932" s="34" t="n">
        <x:v>-3163.7500000000014</x:v>
      </x:c>
      <x:c r="L932" s="34" t="n">
        <x:v>189.68191301719997</x:v>
      </x:c>
      <x:c r="M932" s="34" t="n">
        <x:v>0.08333333333333333</x:v>
      </x:c>
      <x:c r="N932" s="34" t="str">
        <x:v>no</x:v>
      </x:c>
    </x:row>
    <x:row r="933">
      <x:c r="A933" s="34" t="n">
        <x:v>93</x:v>
      </x:c>
      <x:c r="B933" s="34" t="str">
        <x:f>IF('01_INPUT_COMPANIES'!$A$99="","",'01_INPUT_COMPANIES'!$A$99)</x:f>
      </x:c>
      <x:c r="C933" s="34" t="str">
        <x:f>IF(B933="","",'01_INPUT_COMPANIES'!$B$99)</x:f>
      </x:c>
      <x:c r="D933" s="34" t="str">
        <x:v>ip_assetization_gap</x:v>
      </x:c>
      <x:c r="E933" s="42" t="str">
        <x:f>IF(OR(B933="",COUNT('01_INPUT_COMPANIES'!$Z$99)=0),"",'01_INPUT_COMPANIES'!$Z$99)</x:f>
      </x:c>
      <x:c r="F933" s="42" t="n">
        <x:v>1</x:v>
      </x:c>
      <x:c r="G933" s="42" t="str">
        <x:f>IF(NOT(ISNUMBER(E933)),"",MAX(K933,MIN(L933,E933*F933)))</x:f>
      </x:c>
      <x:c r="H933" s="42" t="n">
        <x:v>92</x:v>
      </x:c>
      <x:c r="I933" s="42" t="str">
        <x:f>IF(COUNT(G933)=0,"",(COUNTIFS('93_REF_ANCHORS'!$A$7:$A$766,D933,'93_REF_ANCHORS'!$C$7:$C$766,"&lt;"&amp;G933)+COUNTIFS('93_REF_ANCHORS'!$A$7:$A$766,D933,'93_REF_ANCHORS'!$C$7:$C$766,"&lt;="&amp;G933)-1)/(2*(H933-1)))</x:f>
      </x:c>
      <x:c r="J933" s="34" t="str">
        <x:f>IF(B933="","",IF(COUNT(E933)=0,"MISSING",IF(NOT(ISNUMBER(E933)),"INVALID",IF(E933*F933&lt;K933,"WINSORIZED LOW",IF(E933*F933&gt;L933,"WINSORIZED HIGH","OK")))))</x:f>
      </x:c>
      <x:c r="K933" s="34" t="n">
        <x:v>-1.6707152386</x:v>
      </x:c>
      <x:c r="L933" s="34" t="n">
        <x:v>0.7716332556000001</x:v>
      </x:c>
      <x:c r="M933" s="34" t="n">
        <x:v>0.08333333333333333</x:v>
      </x:c>
      <x:c r="N933" s="34" t="str">
        <x:v>no</x:v>
      </x:c>
    </x:row>
    <x:row r="934">
      <x:c r="A934" s="34" t="n">
        <x:v>93</x:v>
      </x:c>
      <x:c r="B934" s="34" t="str">
        <x:f>IF('01_INPUT_COMPANIES'!$A$99="","",'01_INPUT_COMPANIES'!$A$99)</x:f>
      </x:c>
      <x:c r="C934" s="34" t="str">
        <x:f>IF(B934="","",'01_INPUT_COMPANIES'!$B$99)</x:f>
      </x:c>
      <x:c r="D934" s="34" t="str">
        <x:v>cross_market_transfer_index</x:v>
      </x:c>
      <x:c r="E934" s="42" t="str">
        <x:f>IF(OR(B934="",COUNT('01_INPUT_COMPANIES'!$AA$99)=0),"",'01_INPUT_COMPANIES'!$AA$99)</x:f>
      </x:c>
      <x:c r="F934" s="42" t="n">
        <x:v>1</x:v>
      </x:c>
      <x:c r="G934" s="42" t="str">
        <x:f>IF(NOT(ISNUMBER(E934)),"",MAX(K934,MIN(L934,E934*F934)))</x:f>
      </x:c>
      <x:c r="H934" s="42" t="n">
        <x:v>4</x:v>
      </x:c>
      <x:c r="I934" s="42" t="str">
        <x:f>IF(COUNT(G934)=0,"",(COUNTIFS('93_REF_ANCHORS'!$A$7:$A$766,D934,'93_REF_ANCHORS'!$C$7:$C$766,"&lt;"&amp;G934)+COUNTIFS('93_REF_ANCHORS'!$A$7:$A$766,D934,'93_REF_ANCHORS'!$C$7:$C$766,"&lt;="&amp;G934)-1)/(2*(H934-1)))</x:f>
      </x:c>
      <x:c r="J934" s="34" t="str">
        <x:f>IF(B934="","",IF(COUNT(E934)=0,"MISSING",IF(NOT(ISNUMBER(E934)),"INVALID",IF(E934*F934&lt;K934,"WINSORIZED LOW",IF(E934*F934&gt;L934,"WINSORIZED HIGH","OK")))))</x:f>
      </x:c>
      <x:c r="K934" s="34" t="n">
        <x:v>0</x:v>
      </x:c>
      <x:c r="L934" s="34" t="n">
        <x:v>0.7587051325360435</x:v>
      </x:c>
      <x:c r="M934" s="34" t="n">
        <x:v>0.1111111111111111</x:v>
      </x:c>
      <x:c r="N934" s="34" t="str">
        <x:v>yes</x:v>
      </x:c>
    </x:row>
    <x:row r="935">
      <x:c r="A935" s="34" t="n">
        <x:v>93</x:v>
      </x:c>
      <x:c r="B935" s="34" t="str">
        <x:f>IF('01_INPUT_COMPANIES'!$A$99="","",'01_INPUT_COMPANIES'!$A$99)</x:f>
      </x:c>
      <x:c r="C935" s="34" t="str">
        <x:f>IF(B935="","",'01_INPUT_COMPANIES'!$B$99)</x:f>
      </x:c>
      <x:c r="D935" s="34" t="str">
        <x:v>foreign_dependency_ratio</x:v>
      </x:c>
      <x:c r="E935" s="42" t="str">
        <x:f>IF(OR(B935="",COUNT('01_INPUT_COMPANIES'!$AB$99)=0),"",'01_INPUT_COMPANIES'!$AB$99)</x:f>
      </x:c>
      <x:c r="F935" s="42" t="n">
        <x:v>1</x:v>
      </x:c>
      <x:c r="G935" s="42" t="str">
        <x:f>IF(NOT(ISNUMBER(E935)),"",MAX(K935,MIN(L935,E935*F935)))</x:f>
      </x:c>
      <x:c r="H935" s="42" t="n">
        <x:v>84</x:v>
      </x:c>
      <x:c r="I935" s="42" t="str">
        <x:f>IF(COUNT(G935)=0,"",(COUNTIFS('93_REF_ANCHORS'!$A$7:$A$766,D935,'93_REF_ANCHORS'!$C$7:$C$766,"&lt;"&amp;G935)+COUNTIFS('93_REF_ANCHORS'!$A$7:$A$766,D935,'93_REF_ANCHORS'!$C$7:$C$766,"&lt;="&amp;G935)-1)/(2*(H935-1)))</x:f>
      </x:c>
      <x:c r="J935" s="34" t="str">
        <x:f>IF(B935="","",IF(COUNT(E935)=0,"MISSING",IF(NOT(ISNUMBER(E935)),"INVALID",IF(E935*F935&lt;K935,"WINSORIZED LOW",IF(E935*F935&gt;L935,"WINSORIZED HIGH","OK")))))</x:f>
      </x:c>
      <x:c r="K935" s="34" t="n">
        <x:v>0.728196</x:v>
      </x:c>
      <x:c r="L935" s="34" t="n">
        <x:v>0.94</x:v>
      </x:c>
      <x:c r="M935" s="34" t="n">
        <x:v>0.1111111111111111</x:v>
      </x:c>
      <x:c r="N935" s="34" t="str">
        <x:v>yes</x:v>
      </x:c>
    </x:row>
    <x:row r="936">
      <x:c r="A936" s="34" t="n">
        <x:v>93</x:v>
      </x:c>
      <x:c r="B936" s="34" t="str">
        <x:f>IF('01_INPUT_COMPANIES'!$A$99="","",'01_INPUT_COMPANIES'!$A$99)</x:f>
      </x:c>
      <x:c r="C936" s="34" t="str">
        <x:f>IF(B936="","",'01_INPUT_COMPANIES'!$B$99)</x:f>
      </x:c>
      <x:c r="D936" s="34" t="str">
        <x:v>outflow_to_capex_ratio</x:v>
      </x:c>
      <x:c r="E936" s="42" t="str">
        <x:f>IF(OR(B936="",COUNT('01_INPUT_COMPANIES'!$AC$99)=0),"",'01_INPUT_COMPANIES'!$AC$99)</x:f>
      </x:c>
      <x:c r="F936" s="42" t="n">
        <x:v>1</x:v>
      </x:c>
      <x:c r="G936" s="42" t="str">
        <x:f>IF(NOT(ISNUMBER(E936)),"",MAX(K936,MIN(L936,E936*F936)))</x:f>
      </x:c>
      <x:c r="H936" s="42" t="n">
        <x:v>97</x:v>
      </x:c>
      <x:c r="I936" s="42" t="str">
        <x:f>IF(COUNT(G936)=0,"",(COUNTIFS('93_REF_ANCHORS'!$A$7:$A$766,D936,'93_REF_ANCHORS'!$C$7:$C$766,"&lt;"&amp;G936)+COUNTIFS('93_REF_ANCHORS'!$A$7:$A$766,D936,'93_REF_ANCHORS'!$C$7:$C$766,"&lt;="&amp;G936)-1)/(2*(H936-1)))</x:f>
      </x:c>
      <x:c r="J936" s="34" t="str">
        <x:f>IF(B936="","",IF(COUNT(E936)=0,"MISSING",IF(NOT(ISNUMBER(E936)),"INVALID",IF(E936*F936&lt;K936,"WINSORIZED LOW",IF(E936*F936&gt;L936,"WINSORIZED HIGH","OK")))))</x:f>
      </x:c>
      <x:c r="K936" s="34" t="n">
        <x:v>-123.5385890408</x:v>
      </x:c>
      <x:c r="L936" s="34" t="n">
        <x:v>974.1666666666999</x:v>
      </x:c>
      <x:c r="M936" s="34" t="n">
        <x:v>0.1111111111111111</x:v>
      </x:c>
      <x:c r="N936" s="34" t="str">
        <x:v>no</x:v>
      </x:c>
    </x:row>
    <x:row r="937">
      <x:c r="A937" s="34" t="n">
        <x:v>94</x:v>
      </x:c>
      <x:c r="B937" s="34" t="str">
        <x:f>IF('01_INPUT_COMPANIES'!$A$100="","",'01_INPUT_COMPANIES'!$A$100)</x:f>
      </x:c>
      <x:c r="C937" s="34" t="str">
        <x:f>IF(B937="","",'01_INPUT_COMPANIES'!$B$100)</x:f>
      </x:c>
      <x:c r="D937" s="34" t="str">
        <x:v>effective_tax_rate_gap</x:v>
      </x:c>
      <x:c r="E937" s="42" t="str">
        <x:f>IF(OR(B937="",COUNT('01_INPUT_COMPANIES'!$T$100)=0),"",'01_INPUT_COMPANIES'!$T$100)</x:f>
      </x:c>
      <x:c r="F937" s="42" t="n">
        <x:v>1</x:v>
      </x:c>
      <x:c r="G937" s="42" t="str">
        <x:f>IF(NOT(ISNUMBER(E937)),"",MAX(K937,MIN(L937,E937*F937)))</x:f>
      </x:c>
      <x:c r="H937" s="42" t="n">
        <x:v>74</x:v>
      </x:c>
      <x:c r="I937" s="42" t="str">
        <x:f>IF(COUNT(G937)=0,"",(COUNTIFS('93_REF_ANCHORS'!$A$7:$A$766,D937,'93_REF_ANCHORS'!$C$7:$C$766,"&lt;"&amp;G937)+COUNTIFS('93_REF_ANCHORS'!$A$7:$A$766,D937,'93_REF_ANCHORS'!$C$7:$C$766,"&lt;="&amp;G937)-1)/(2*(H937-1)))</x:f>
      </x:c>
      <x:c r="J937" s="34" t="str">
        <x:f>IF(B937="","",IF(COUNT(E937)=0,"MISSING",IF(NOT(ISNUMBER(E937)),"INVALID",IF(E937*F937&lt;K937,"WINSORIZED LOW",IF(E937*F937&gt;L937,"WINSORIZED HIGH","OK")))))</x:f>
      </x:c>
      <x:c r="K937" s="34" t="n">
        <x:v>-0.1416111014</x:v>
      </x:c>
      <x:c r="L937" s="34" t="n">
        <x:v>0.2683650488</x:v>
      </x:c>
      <x:c r="M937" s="34" t="n">
        <x:v>0.1111111111111111</x:v>
      </x:c>
      <x:c r="N937" s="34" t="str">
        <x:v>no</x:v>
      </x:c>
    </x:row>
    <x:row r="938">
      <x:c r="A938" s="34" t="n">
        <x:v>94</x:v>
      </x:c>
      <x:c r="B938" s="34" t="str">
        <x:f>IF('01_INPUT_COMPANIES'!$A$100="","",'01_INPUT_COMPANIES'!$A$100)</x:f>
      </x:c>
      <x:c r="C938" s="34" t="str">
        <x:f>IF(B938="","",'01_INPUT_COMPANIES'!$B$100)</x:f>
      </x:c>
      <x:c r="D938" s="34" t="str">
        <x:v>infra_dependency_ratio</x:v>
      </x:c>
      <x:c r="E938" s="42" t="str">
        <x:f>IF(OR(B938="",COUNT('01_INPUT_COMPANIES'!$U$100)=0),"",'01_INPUT_COMPANIES'!$U$100)</x:f>
      </x:c>
      <x:c r="F938" s="42" t="n">
        <x:v>1</x:v>
      </x:c>
      <x:c r="G938" s="42" t="str">
        <x:f>IF(NOT(ISNUMBER(E938)),"",MAX(K938,MIN(L938,E938*F938)))</x:f>
      </x:c>
      <x:c r="H938" s="42" t="n">
        <x:v>64</x:v>
      </x:c>
      <x:c r="I938" s="42" t="str">
        <x:f>IF(COUNT(G938)=0,"",(COUNTIFS('93_REF_ANCHORS'!$A$7:$A$766,D938,'93_REF_ANCHORS'!$C$7:$C$766,"&lt;"&amp;G938)+COUNTIFS('93_REF_ANCHORS'!$A$7:$A$766,D938,'93_REF_ANCHORS'!$C$7:$C$766,"&lt;="&amp;G938)-1)/(2*(H938-1)))</x:f>
      </x:c>
      <x:c r="J938" s="34" t="str">
        <x:f>IF(B938="","",IF(COUNT(E938)=0,"MISSING",IF(NOT(ISNUMBER(E938)),"INVALID",IF(E938*F938&lt;K938,"WINSORIZED LOW",IF(E938*F938&gt;L938,"WINSORIZED HIGH","OK")))))</x:f>
      </x:c>
      <x:c r="K938" s="34" t="n">
        <x:v>-0.10705024705171803</x:v>
      </x:c>
      <x:c r="L938" s="34" t="n">
        <x:v>0.8008753865408955</x:v>
      </x:c>
      <x:c r="M938" s="34" t="n">
        <x:v>0.1111111111111111</x:v>
      </x:c>
      <x:c r="N938" s="34" t="str">
        <x:v>no</x:v>
      </x:c>
    </x:row>
    <x:row r="939">
      <x:c r="A939" s="34" t="n">
        <x:v>94</x:v>
      </x:c>
      <x:c r="B939" s="34" t="str">
        <x:f>IF('01_INPUT_COMPANIES'!$A$100="","",'01_INPUT_COMPANIES'!$A$100)</x:f>
      </x:c>
      <x:c r="C939" s="34" t="str">
        <x:f>IF(B939="","",'01_INPUT_COMPANIES'!$B$100)</x:f>
      </x:c>
      <x:c r="D939" s="34" t="str">
        <x:v>network_cost_ratio</x:v>
      </x:c>
      <x:c r="E939" s="42" t="str">
        <x:f>IF(OR(B939="",COUNT('01_INPUT_COMPANIES'!$V$100)=0),"",'01_INPUT_COMPANIES'!$V$100)</x:f>
      </x:c>
      <x:c r="F939" s="42" t="n">
        <x:v>1</x:v>
      </x:c>
      <x:c r="G939" s="42" t="str">
        <x:f>IF(NOT(ISNUMBER(E939)),"",MAX(K939,MIN(L939,E939*F939)))</x:f>
      </x:c>
      <x:c r="H939" s="42" t="n">
        <x:v>97</x:v>
      </x:c>
      <x:c r="I939" s="42" t="str">
        <x:f>IF(COUNT(G939)=0,"",(COUNTIFS('93_REF_ANCHORS'!$A$7:$A$766,D939,'93_REF_ANCHORS'!$C$7:$C$766,"&lt;"&amp;G939)+COUNTIFS('93_REF_ANCHORS'!$A$7:$A$766,D939,'93_REF_ANCHORS'!$C$7:$C$766,"&lt;="&amp;G939)-1)/(2*(H939-1)))</x:f>
      </x:c>
      <x:c r="J939" s="34" t="str">
        <x:f>IF(B939="","",IF(COUNT(E939)=0,"MISSING",IF(NOT(ISNUMBER(E939)),"INVALID",IF(E939*F939&lt;K939,"WINSORIZED LOW",IF(E939*F939&gt;L939,"WINSORIZED HIGH","OK")))))</x:f>
      </x:c>
      <x:c r="K939" s="34" t="n">
        <x:v>-0.1395374353</x:v>
      </x:c>
      <x:c r="L939" s="34" t="n">
        <x:v>0.9274274845000001</x:v>
      </x:c>
      <x:c r="M939" s="34" t="n">
        <x:v>0.1111111111111111</x:v>
      </x:c>
      <x:c r="N939" s="34" t="str">
        <x:v>no</x:v>
      </x:c>
    </x:row>
    <x:row r="940">
      <x:c r="A940" s="34" t="n">
        <x:v>94</x:v>
      </x:c>
      <x:c r="B940" s="34" t="str">
        <x:f>IF('01_INPUT_COMPANIES'!$A$100="","",'01_INPUT_COMPANIES'!$A$100)</x:f>
      </x:c>
      <x:c r="C940" s="34" t="str">
        <x:f>IF(B940="","",'01_INPUT_COMPANIES'!$B$100)</x:f>
      </x:c>
      <x:c r="D940" s="34" t="str">
        <x:v>cashflow_recovery_ratio</x:v>
      </x:c>
      <x:c r="E940" s="42" t="str">
        <x:f>IF(OR(B940="",COUNT('01_INPUT_COMPANIES'!$W$100)=0),"",'01_INPUT_COMPANIES'!$W$100)</x:f>
      </x:c>
      <x:c r="F940" s="42" t="n">
        <x:v>-1</x:v>
      </x:c>
      <x:c r="G940" s="42" t="str">
        <x:f>IF(NOT(ISNUMBER(E940)),"",MAX(K940,MIN(L940,E940*F940)))</x:f>
      </x:c>
      <x:c r="H940" s="42" t="n">
        <x:v>95</x:v>
      </x:c>
      <x:c r="I940" s="42" t="str">
        <x:f>IF(COUNT(G940)=0,"",(COUNTIFS('93_REF_ANCHORS'!$A$7:$A$766,D940,'93_REF_ANCHORS'!$C$7:$C$766,"&lt;"&amp;G940)+COUNTIFS('93_REF_ANCHORS'!$A$7:$A$766,D940,'93_REF_ANCHORS'!$C$7:$C$766,"&lt;="&amp;G940)-1)/(2*(H940-1)))</x:f>
      </x:c>
      <x:c r="J940" s="34" t="str">
        <x:f>IF(B940="","",IF(COUNT(E940)=0,"MISSING",IF(NOT(ISNUMBER(E940)),"INVALID",IF(E940*F940&lt;K940,"WINSORIZED LOW",IF(E940*F940&gt;L940,"WINSORIZED HIGH","OK")))))</x:f>
      </x:c>
      <x:c r="K940" s="34" t="n">
        <x:v>-300.75</x:v>
      </x:c>
      <x:c r="L940" s="34" t="n">
        <x:v>42.6920305469</x:v>
      </x:c>
      <x:c r="M940" s="34" t="n">
        <x:v>0.08333333333333333</x:v>
      </x:c>
      <x:c r="N940" s="34" t="str">
        <x:v>no</x:v>
      </x:c>
    </x:row>
    <x:row r="941">
      <x:c r="A941" s="34" t="n">
        <x:v>94</x:v>
      </x:c>
      <x:c r="B941" s="34" t="str">
        <x:f>IF('01_INPUT_COMPANIES'!$A$100="","",'01_INPUT_COMPANIES'!$A$100)</x:f>
      </x:c>
      <x:c r="C941" s="34" t="str">
        <x:f>IF(B941="","",'01_INPUT_COMPANIES'!$B$100)</x:f>
      </x:c>
      <x:c r="D941" s="34" t="str">
        <x:v>funding_cost_spread</x:v>
      </x:c>
      <x:c r="E941" s="42" t="str">
        <x:f>IF(OR(B941="",COUNT('01_INPUT_COMPANIES'!$X$100)=0),"",'01_INPUT_COMPANIES'!$X$100)</x:f>
      </x:c>
      <x:c r="F941" s="42" t="n">
        <x:v>1</x:v>
      </x:c>
      <x:c r="G941" s="42" t="str">
        <x:f>IF(NOT(ISNUMBER(E941)),"",MAX(K941,MIN(L941,E941*F941)))</x:f>
      </x:c>
      <x:c r="H941" s="42" t="n">
        <x:v>58</x:v>
      </x:c>
      <x:c r="I941" s="42" t="str">
        <x:f>IF(COUNT(G941)=0,"",(COUNTIFS('93_REF_ANCHORS'!$A$7:$A$766,D941,'93_REF_ANCHORS'!$C$7:$C$766,"&lt;"&amp;G941)+COUNTIFS('93_REF_ANCHORS'!$A$7:$A$766,D941,'93_REF_ANCHORS'!$C$7:$C$766,"&lt;="&amp;G941)-1)/(2*(H941-1)))</x:f>
      </x:c>
      <x:c r="J941" s="34" t="str">
        <x:f>IF(B941="","",IF(COUNT(E941)=0,"MISSING",IF(NOT(ISNUMBER(E941)),"INVALID",IF(E941*F941&lt;K941,"WINSORIZED LOW",IF(E941*F941&gt;L941,"WINSORIZED HIGH","OK")))))</x:f>
      </x:c>
      <x:c r="K941" s="34" t="n">
        <x:v>-0.4430292903</x:v>
      </x:c>
      <x:c r="L941" s="34" t="n">
        <x:v>0.5068913103</x:v>
      </x:c>
      <x:c r="M941" s="34" t="n">
        <x:v>0.08333333333333333</x:v>
      </x:c>
      <x:c r="N941" s="34" t="str">
        <x:v>no</x:v>
      </x:c>
    </x:row>
    <x:row r="942">
      <x:c r="A942" s="34" t="n">
        <x:v>94</x:v>
      </x:c>
      <x:c r="B942" s="34" t="str">
        <x:f>IF('01_INPUT_COMPANIES'!$A$100="","",'01_INPUT_COMPANIES'!$A$100)</x:f>
      </x:c>
      <x:c r="C942" s="34" t="str">
        <x:f>IF(B942="","",'01_INPUT_COMPANIES'!$B$100)</x:f>
      </x:c>
      <x:c r="D942" s="34" t="str">
        <x:v>investment_recovery_ratio</x:v>
      </x:c>
      <x:c r="E942" s="42" t="str">
        <x:f>IF(OR(B942="",COUNT('01_INPUT_COMPANIES'!$Y$100)=0),"",'01_INPUT_COMPANIES'!$Y$100)</x:f>
      </x:c>
      <x:c r="F942" s="42" t="n">
        <x:v>-1</x:v>
      </x:c>
      <x:c r="G942" s="42" t="str">
        <x:f>IF(NOT(ISNUMBER(E942)),"",MAX(K942,MIN(L942,E942*F942)))</x:f>
      </x:c>
      <x:c r="H942" s="42" t="n">
        <x:v>95</x:v>
      </x:c>
      <x:c r="I942" s="42" t="str">
        <x:f>IF(COUNT(G942)=0,"",(COUNTIFS('93_REF_ANCHORS'!$A$7:$A$766,D942,'93_REF_ANCHORS'!$C$7:$C$766,"&lt;"&amp;G942)+COUNTIFS('93_REF_ANCHORS'!$A$7:$A$766,D942,'93_REF_ANCHORS'!$C$7:$C$766,"&lt;="&amp;G942)-1)/(2*(H942-1)))</x:f>
      </x:c>
      <x:c r="J942" s="34" t="str">
        <x:f>IF(B942="","",IF(COUNT(E942)=0,"MISSING",IF(NOT(ISNUMBER(E942)),"INVALID",IF(E942*F942&lt;K942,"WINSORIZED LOW",IF(E942*F942&gt;L942,"WINSORIZED HIGH","OK")))))</x:f>
      </x:c>
      <x:c r="K942" s="34" t="n">
        <x:v>-3163.7500000000014</x:v>
      </x:c>
      <x:c r="L942" s="34" t="n">
        <x:v>189.68191301719997</x:v>
      </x:c>
      <x:c r="M942" s="34" t="n">
        <x:v>0.08333333333333333</x:v>
      </x:c>
      <x:c r="N942" s="34" t="str">
        <x:v>no</x:v>
      </x:c>
    </x:row>
    <x:row r="943">
      <x:c r="A943" s="34" t="n">
        <x:v>94</x:v>
      </x:c>
      <x:c r="B943" s="34" t="str">
        <x:f>IF('01_INPUT_COMPANIES'!$A$100="","",'01_INPUT_COMPANIES'!$A$100)</x:f>
      </x:c>
      <x:c r="C943" s="34" t="str">
        <x:f>IF(B943="","",'01_INPUT_COMPANIES'!$B$100)</x:f>
      </x:c>
      <x:c r="D943" s="34" t="str">
        <x:v>ip_assetization_gap</x:v>
      </x:c>
      <x:c r="E943" s="42" t="str">
        <x:f>IF(OR(B943="",COUNT('01_INPUT_COMPANIES'!$Z$100)=0),"",'01_INPUT_COMPANIES'!$Z$100)</x:f>
      </x:c>
      <x:c r="F943" s="42" t="n">
        <x:v>1</x:v>
      </x:c>
      <x:c r="G943" s="42" t="str">
        <x:f>IF(NOT(ISNUMBER(E943)),"",MAX(K943,MIN(L943,E943*F943)))</x:f>
      </x:c>
      <x:c r="H943" s="42" t="n">
        <x:v>92</x:v>
      </x:c>
      <x:c r="I943" s="42" t="str">
        <x:f>IF(COUNT(G943)=0,"",(COUNTIFS('93_REF_ANCHORS'!$A$7:$A$766,D943,'93_REF_ANCHORS'!$C$7:$C$766,"&lt;"&amp;G943)+COUNTIFS('93_REF_ANCHORS'!$A$7:$A$766,D943,'93_REF_ANCHORS'!$C$7:$C$766,"&lt;="&amp;G943)-1)/(2*(H943-1)))</x:f>
      </x:c>
      <x:c r="J943" s="34" t="str">
        <x:f>IF(B943="","",IF(COUNT(E943)=0,"MISSING",IF(NOT(ISNUMBER(E943)),"INVALID",IF(E943*F943&lt;K943,"WINSORIZED LOW",IF(E943*F943&gt;L943,"WINSORIZED HIGH","OK")))))</x:f>
      </x:c>
      <x:c r="K943" s="34" t="n">
        <x:v>-1.6707152386</x:v>
      </x:c>
      <x:c r="L943" s="34" t="n">
        <x:v>0.7716332556000001</x:v>
      </x:c>
      <x:c r="M943" s="34" t="n">
        <x:v>0.08333333333333333</x:v>
      </x:c>
      <x:c r="N943" s="34" t="str">
        <x:v>no</x:v>
      </x:c>
    </x:row>
    <x:row r="944">
      <x:c r="A944" s="34" t="n">
        <x:v>94</x:v>
      </x:c>
      <x:c r="B944" s="34" t="str">
        <x:f>IF('01_INPUT_COMPANIES'!$A$100="","",'01_INPUT_COMPANIES'!$A$100)</x:f>
      </x:c>
      <x:c r="C944" s="34" t="str">
        <x:f>IF(B944="","",'01_INPUT_COMPANIES'!$B$100)</x:f>
      </x:c>
      <x:c r="D944" s="34" t="str">
        <x:v>cross_market_transfer_index</x:v>
      </x:c>
      <x:c r="E944" s="42" t="str">
        <x:f>IF(OR(B944="",COUNT('01_INPUT_COMPANIES'!$AA$100)=0),"",'01_INPUT_COMPANIES'!$AA$100)</x:f>
      </x:c>
      <x:c r="F944" s="42" t="n">
        <x:v>1</x:v>
      </x:c>
      <x:c r="G944" s="42" t="str">
        <x:f>IF(NOT(ISNUMBER(E944)),"",MAX(K944,MIN(L944,E944*F944)))</x:f>
      </x:c>
      <x:c r="H944" s="42" t="n">
        <x:v>4</x:v>
      </x:c>
      <x:c r="I944" s="42" t="str">
        <x:f>IF(COUNT(G944)=0,"",(COUNTIFS('93_REF_ANCHORS'!$A$7:$A$766,D944,'93_REF_ANCHORS'!$C$7:$C$766,"&lt;"&amp;G944)+COUNTIFS('93_REF_ANCHORS'!$A$7:$A$766,D944,'93_REF_ANCHORS'!$C$7:$C$766,"&lt;="&amp;G944)-1)/(2*(H944-1)))</x:f>
      </x:c>
      <x:c r="J944" s="34" t="str">
        <x:f>IF(B944="","",IF(COUNT(E944)=0,"MISSING",IF(NOT(ISNUMBER(E944)),"INVALID",IF(E944*F944&lt;K944,"WINSORIZED LOW",IF(E944*F944&gt;L944,"WINSORIZED HIGH","OK")))))</x:f>
      </x:c>
      <x:c r="K944" s="34" t="n">
        <x:v>0</x:v>
      </x:c>
      <x:c r="L944" s="34" t="n">
        <x:v>0.7587051325360435</x:v>
      </x:c>
      <x:c r="M944" s="34" t="n">
        <x:v>0.1111111111111111</x:v>
      </x:c>
      <x:c r="N944" s="34" t="str">
        <x:v>yes</x:v>
      </x:c>
    </x:row>
    <x:row r="945">
      <x:c r="A945" s="34" t="n">
        <x:v>94</x:v>
      </x:c>
      <x:c r="B945" s="34" t="str">
        <x:f>IF('01_INPUT_COMPANIES'!$A$100="","",'01_INPUT_COMPANIES'!$A$100)</x:f>
      </x:c>
      <x:c r="C945" s="34" t="str">
        <x:f>IF(B945="","",'01_INPUT_COMPANIES'!$B$100)</x:f>
      </x:c>
      <x:c r="D945" s="34" t="str">
        <x:v>foreign_dependency_ratio</x:v>
      </x:c>
      <x:c r="E945" s="42" t="str">
        <x:f>IF(OR(B945="",COUNT('01_INPUT_COMPANIES'!$AB$100)=0),"",'01_INPUT_COMPANIES'!$AB$100)</x:f>
      </x:c>
      <x:c r="F945" s="42" t="n">
        <x:v>1</x:v>
      </x:c>
      <x:c r="G945" s="42" t="str">
        <x:f>IF(NOT(ISNUMBER(E945)),"",MAX(K945,MIN(L945,E945*F945)))</x:f>
      </x:c>
      <x:c r="H945" s="42" t="n">
        <x:v>84</x:v>
      </x:c>
      <x:c r="I945" s="42" t="str">
        <x:f>IF(COUNT(G945)=0,"",(COUNTIFS('93_REF_ANCHORS'!$A$7:$A$766,D945,'93_REF_ANCHORS'!$C$7:$C$766,"&lt;"&amp;G945)+COUNTIFS('93_REF_ANCHORS'!$A$7:$A$766,D945,'93_REF_ANCHORS'!$C$7:$C$766,"&lt;="&amp;G945)-1)/(2*(H945-1)))</x:f>
      </x:c>
      <x:c r="J945" s="34" t="str">
        <x:f>IF(B945="","",IF(COUNT(E945)=0,"MISSING",IF(NOT(ISNUMBER(E945)),"INVALID",IF(E945*F945&lt;K945,"WINSORIZED LOW",IF(E945*F945&gt;L945,"WINSORIZED HIGH","OK")))))</x:f>
      </x:c>
      <x:c r="K945" s="34" t="n">
        <x:v>0.728196</x:v>
      </x:c>
      <x:c r="L945" s="34" t="n">
        <x:v>0.94</x:v>
      </x:c>
      <x:c r="M945" s="34" t="n">
        <x:v>0.1111111111111111</x:v>
      </x:c>
      <x:c r="N945" s="34" t="str">
        <x:v>yes</x:v>
      </x:c>
    </x:row>
    <x:row r="946">
      <x:c r="A946" s="34" t="n">
        <x:v>94</x:v>
      </x:c>
      <x:c r="B946" s="34" t="str">
        <x:f>IF('01_INPUT_COMPANIES'!$A$100="","",'01_INPUT_COMPANIES'!$A$100)</x:f>
      </x:c>
      <x:c r="C946" s="34" t="str">
        <x:f>IF(B946="","",'01_INPUT_COMPANIES'!$B$100)</x:f>
      </x:c>
      <x:c r="D946" s="34" t="str">
        <x:v>outflow_to_capex_ratio</x:v>
      </x:c>
      <x:c r="E946" s="42" t="str">
        <x:f>IF(OR(B946="",COUNT('01_INPUT_COMPANIES'!$AC$100)=0),"",'01_INPUT_COMPANIES'!$AC$100)</x:f>
      </x:c>
      <x:c r="F946" s="42" t="n">
        <x:v>1</x:v>
      </x:c>
      <x:c r="G946" s="42" t="str">
        <x:f>IF(NOT(ISNUMBER(E946)),"",MAX(K946,MIN(L946,E946*F946)))</x:f>
      </x:c>
      <x:c r="H946" s="42" t="n">
        <x:v>97</x:v>
      </x:c>
      <x:c r="I946" s="42" t="str">
        <x:f>IF(COUNT(G946)=0,"",(COUNTIFS('93_REF_ANCHORS'!$A$7:$A$766,D946,'93_REF_ANCHORS'!$C$7:$C$766,"&lt;"&amp;G946)+COUNTIFS('93_REF_ANCHORS'!$A$7:$A$766,D946,'93_REF_ANCHORS'!$C$7:$C$766,"&lt;="&amp;G946)-1)/(2*(H946-1)))</x:f>
      </x:c>
      <x:c r="J946" s="34" t="str">
        <x:f>IF(B946="","",IF(COUNT(E946)=0,"MISSING",IF(NOT(ISNUMBER(E946)),"INVALID",IF(E946*F946&lt;K946,"WINSORIZED LOW",IF(E946*F946&gt;L946,"WINSORIZED HIGH","OK")))))</x:f>
      </x:c>
      <x:c r="K946" s="34" t="n">
        <x:v>-123.5385890408</x:v>
      </x:c>
      <x:c r="L946" s="34" t="n">
        <x:v>974.1666666666999</x:v>
      </x:c>
      <x:c r="M946" s="34" t="n">
        <x:v>0.1111111111111111</x:v>
      </x:c>
      <x:c r="N946" s="34" t="str">
        <x:v>no</x:v>
      </x:c>
    </x:row>
    <x:row r="947">
      <x:c r="A947" s="34" t="n">
        <x:v>95</x:v>
      </x:c>
      <x:c r="B947" s="34" t="str">
        <x:f>IF('01_INPUT_COMPANIES'!$A$101="","",'01_INPUT_COMPANIES'!$A$101)</x:f>
      </x:c>
      <x:c r="C947" s="34" t="str">
        <x:f>IF(B947="","",'01_INPUT_COMPANIES'!$B$101)</x:f>
      </x:c>
      <x:c r="D947" s="34" t="str">
        <x:v>effective_tax_rate_gap</x:v>
      </x:c>
      <x:c r="E947" s="42" t="str">
        <x:f>IF(OR(B947="",COUNT('01_INPUT_COMPANIES'!$T$101)=0),"",'01_INPUT_COMPANIES'!$T$101)</x:f>
      </x:c>
      <x:c r="F947" s="42" t="n">
        <x:v>1</x:v>
      </x:c>
      <x:c r="G947" s="42" t="str">
        <x:f>IF(NOT(ISNUMBER(E947)),"",MAX(K947,MIN(L947,E947*F947)))</x:f>
      </x:c>
      <x:c r="H947" s="42" t="n">
        <x:v>74</x:v>
      </x:c>
      <x:c r="I947" s="42" t="str">
        <x:f>IF(COUNT(G947)=0,"",(COUNTIFS('93_REF_ANCHORS'!$A$7:$A$766,D947,'93_REF_ANCHORS'!$C$7:$C$766,"&lt;"&amp;G947)+COUNTIFS('93_REF_ANCHORS'!$A$7:$A$766,D947,'93_REF_ANCHORS'!$C$7:$C$766,"&lt;="&amp;G947)-1)/(2*(H947-1)))</x:f>
      </x:c>
      <x:c r="J947" s="34" t="str">
        <x:f>IF(B947="","",IF(COUNT(E947)=0,"MISSING",IF(NOT(ISNUMBER(E947)),"INVALID",IF(E947*F947&lt;K947,"WINSORIZED LOW",IF(E947*F947&gt;L947,"WINSORIZED HIGH","OK")))))</x:f>
      </x:c>
      <x:c r="K947" s="34" t="n">
        <x:v>-0.1416111014</x:v>
      </x:c>
      <x:c r="L947" s="34" t="n">
        <x:v>0.2683650488</x:v>
      </x:c>
      <x:c r="M947" s="34" t="n">
        <x:v>0.1111111111111111</x:v>
      </x:c>
      <x:c r="N947" s="34" t="str">
        <x:v>no</x:v>
      </x:c>
    </x:row>
    <x:row r="948">
      <x:c r="A948" s="34" t="n">
        <x:v>95</x:v>
      </x:c>
      <x:c r="B948" s="34" t="str">
        <x:f>IF('01_INPUT_COMPANIES'!$A$101="","",'01_INPUT_COMPANIES'!$A$101)</x:f>
      </x:c>
      <x:c r="C948" s="34" t="str">
        <x:f>IF(B948="","",'01_INPUT_COMPANIES'!$B$101)</x:f>
      </x:c>
      <x:c r="D948" s="34" t="str">
        <x:v>infra_dependency_ratio</x:v>
      </x:c>
      <x:c r="E948" s="42" t="str">
        <x:f>IF(OR(B948="",COUNT('01_INPUT_COMPANIES'!$U$101)=0),"",'01_INPUT_COMPANIES'!$U$101)</x:f>
      </x:c>
      <x:c r="F948" s="42" t="n">
        <x:v>1</x:v>
      </x:c>
      <x:c r="G948" s="42" t="str">
        <x:f>IF(NOT(ISNUMBER(E948)),"",MAX(K948,MIN(L948,E948*F948)))</x:f>
      </x:c>
      <x:c r="H948" s="42" t="n">
        <x:v>64</x:v>
      </x:c>
      <x:c r="I948" s="42" t="str">
        <x:f>IF(COUNT(G948)=0,"",(COUNTIFS('93_REF_ANCHORS'!$A$7:$A$766,D948,'93_REF_ANCHORS'!$C$7:$C$766,"&lt;"&amp;G948)+COUNTIFS('93_REF_ANCHORS'!$A$7:$A$766,D948,'93_REF_ANCHORS'!$C$7:$C$766,"&lt;="&amp;G948)-1)/(2*(H948-1)))</x:f>
      </x:c>
      <x:c r="J948" s="34" t="str">
        <x:f>IF(B948="","",IF(COUNT(E948)=0,"MISSING",IF(NOT(ISNUMBER(E948)),"INVALID",IF(E948*F948&lt;K948,"WINSORIZED LOW",IF(E948*F948&gt;L948,"WINSORIZED HIGH","OK")))))</x:f>
      </x:c>
      <x:c r="K948" s="34" t="n">
        <x:v>-0.10705024705171803</x:v>
      </x:c>
      <x:c r="L948" s="34" t="n">
        <x:v>0.8008753865408955</x:v>
      </x:c>
      <x:c r="M948" s="34" t="n">
        <x:v>0.1111111111111111</x:v>
      </x:c>
      <x:c r="N948" s="34" t="str">
        <x:v>no</x:v>
      </x:c>
    </x:row>
    <x:row r="949">
      <x:c r="A949" s="34" t="n">
        <x:v>95</x:v>
      </x:c>
      <x:c r="B949" s="34" t="str">
        <x:f>IF('01_INPUT_COMPANIES'!$A$101="","",'01_INPUT_COMPANIES'!$A$101)</x:f>
      </x:c>
      <x:c r="C949" s="34" t="str">
        <x:f>IF(B949="","",'01_INPUT_COMPANIES'!$B$101)</x:f>
      </x:c>
      <x:c r="D949" s="34" t="str">
        <x:v>network_cost_ratio</x:v>
      </x:c>
      <x:c r="E949" s="42" t="str">
        <x:f>IF(OR(B949="",COUNT('01_INPUT_COMPANIES'!$V$101)=0),"",'01_INPUT_COMPANIES'!$V$101)</x:f>
      </x:c>
      <x:c r="F949" s="42" t="n">
        <x:v>1</x:v>
      </x:c>
      <x:c r="G949" s="42" t="str">
        <x:f>IF(NOT(ISNUMBER(E949)),"",MAX(K949,MIN(L949,E949*F949)))</x:f>
      </x:c>
      <x:c r="H949" s="42" t="n">
        <x:v>97</x:v>
      </x:c>
      <x:c r="I949" s="42" t="str">
        <x:f>IF(COUNT(G949)=0,"",(COUNTIFS('93_REF_ANCHORS'!$A$7:$A$766,D949,'93_REF_ANCHORS'!$C$7:$C$766,"&lt;"&amp;G949)+COUNTIFS('93_REF_ANCHORS'!$A$7:$A$766,D949,'93_REF_ANCHORS'!$C$7:$C$766,"&lt;="&amp;G949)-1)/(2*(H949-1)))</x:f>
      </x:c>
      <x:c r="J949" s="34" t="str">
        <x:f>IF(B949="","",IF(COUNT(E949)=0,"MISSING",IF(NOT(ISNUMBER(E949)),"INVALID",IF(E949*F949&lt;K949,"WINSORIZED LOW",IF(E949*F949&gt;L949,"WINSORIZED HIGH","OK")))))</x:f>
      </x:c>
      <x:c r="K949" s="34" t="n">
        <x:v>-0.1395374353</x:v>
      </x:c>
      <x:c r="L949" s="34" t="n">
        <x:v>0.9274274845000001</x:v>
      </x:c>
      <x:c r="M949" s="34" t="n">
        <x:v>0.1111111111111111</x:v>
      </x:c>
      <x:c r="N949" s="34" t="str">
        <x:v>no</x:v>
      </x:c>
    </x:row>
    <x:row r="950">
      <x:c r="A950" s="34" t="n">
        <x:v>95</x:v>
      </x:c>
      <x:c r="B950" s="34" t="str">
        <x:f>IF('01_INPUT_COMPANIES'!$A$101="","",'01_INPUT_COMPANIES'!$A$101)</x:f>
      </x:c>
      <x:c r="C950" s="34" t="str">
        <x:f>IF(B950="","",'01_INPUT_COMPANIES'!$B$101)</x:f>
      </x:c>
      <x:c r="D950" s="34" t="str">
        <x:v>cashflow_recovery_ratio</x:v>
      </x:c>
      <x:c r="E950" s="42" t="str">
        <x:f>IF(OR(B950="",COUNT('01_INPUT_COMPANIES'!$W$101)=0),"",'01_INPUT_COMPANIES'!$W$101)</x:f>
      </x:c>
      <x:c r="F950" s="42" t="n">
        <x:v>-1</x:v>
      </x:c>
      <x:c r="G950" s="42" t="str">
        <x:f>IF(NOT(ISNUMBER(E950)),"",MAX(K950,MIN(L950,E950*F950)))</x:f>
      </x:c>
      <x:c r="H950" s="42" t="n">
        <x:v>95</x:v>
      </x:c>
      <x:c r="I950" s="42" t="str">
        <x:f>IF(COUNT(G950)=0,"",(COUNTIFS('93_REF_ANCHORS'!$A$7:$A$766,D950,'93_REF_ANCHORS'!$C$7:$C$766,"&lt;"&amp;G950)+COUNTIFS('93_REF_ANCHORS'!$A$7:$A$766,D950,'93_REF_ANCHORS'!$C$7:$C$766,"&lt;="&amp;G950)-1)/(2*(H950-1)))</x:f>
      </x:c>
      <x:c r="J950" s="34" t="str">
        <x:f>IF(B950="","",IF(COUNT(E950)=0,"MISSING",IF(NOT(ISNUMBER(E950)),"INVALID",IF(E950*F950&lt;K950,"WINSORIZED LOW",IF(E950*F950&gt;L950,"WINSORIZED HIGH","OK")))))</x:f>
      </x:c>
      <x:c r="K950" s="34" t="n">
        <x:v>-300.75</x:v>
      </x:c>
      <x:c r="L950" s="34" t="n">
        <x:v>42.6920305469</x:v>
      </x:c>
      <x:c r="M950" s="34" t="n">
        <x:v>0.08333333333333333</x:v>
      </x:c>
      <x:c r="N950" s="34" t="str">
        <x:v>no</x:v>
      </x:c>
    </x:row>
    <x:row r="951">
      <x:c r="A951" s="34" t="n">
        <x:v>95</x:v>
      </x:c>
      <x:c r="B951" s="34" t="str">
        <x:f>IF('01_INPUT_COMPANIES'!$A$101="","",'01_INPUT_COMPANIES'!$A$101)</x:f>
      </x:c>
      <x:c r="C951" s="34" t="str">
        <x:f>IF(B951="","",'01_INPUT_COMPANIES'!$B$101)</x:f>
      </x:c>
      <x:c r="D951" s="34" t="str">
        <x:v>funding_cost_spread</x:v>
      </x:c>
      <x:c r="E951" s="42" t="str">
        <x:f>IF(OR(B951="",COUNT('01_INPUT_COMPANIES'!$X$101)=0),"",'01_INPUT_COMPANIES'!$X$101)</x:f>
      </x:c>
      <x:c r="F951" s="42" t="n">
        <x:v>1</x:v>
      </x:c>
      <x:c r="G951" s="42" t="str">
        <x:f>IF(NOT(ISNUMBER(E951)),"",MAX(K951,MIN(L951,E951*F951)))</x:f>
      </x:c>
      <x:c r="H951" s="42" t="n">
        <x:v>58</x:v>
      </x:c>
      <x:c r="I951" s="42" t="str">
        <x:f>IF(COUNT(G951)=0,"",(COUNTIFS('93_REF_ANCHORS'!$A$7:$A$766,D951,'93_REF_ANCHORS'!$C$7:$C$766,"&lt;"&amp;G951)+COUNTIFS('93_REF_ANCHORS'!$A$7:$A$766,D951,'93_REF_ANCHORS'!$C$7:$C$766,"&lt;="&amp;G951)-1)/(2*(H951-1)))</x:f>
      </x:c>
      <x:c r="J951" s="34" t="str">
        <x:f>IF(B951="","",IF(COUNT(E951)=0,"MISSING",IF(NOT(ISNUMBER(E951)),"INVALID",IF(E951*F951&lt;K951,"WINSORIZED LOW",IF(E951*F951&gt;L951,"WINSORIZED HIGH","OK")))))</x:f>
      </x:c>
      <x:c r="K951" s="34" t="n">
        <x:v>-0.4430292903</x:v>
      </x:c>
      <x:c r="L951" s="34" t="n">
        <x:v>0.5068913103</x:v>
      </x:c>
      <x:c r="M951" s="34" t="n">
        <x:v>0.08333333333333333</x:v>
      </x:c>
      <x:c r="N951" s="34" t="str">
        <x:v>no</x:v>
      </x:c>
    </x:row>
    <x:row r="952">
      <x:c r="A952" s="34" t="n">
        <x:v>95</x:v>
      </x:c>
      <x:c r="B952" s="34" t="str">
        <x:f>IF('01_INPUT_COMPANIES'!$A$101="","",'01_INPUT_COMPANIES'!$A$101)</x:f>
      </x:c>
      <x:c r="C952" s="34" t="str">
        <x:f>IF(B952="","",'01_INPUT_COMPANIES'!$B$101)</x:f>
      </x:c>
      <x:c r="D952" s="34" t="str">
        <x:v>investment_recovery_ratio</x:v>
      </x:c>
      <x:c r="E952" s="42" t="str">
        <x:f>IF(OR(B952="",COUNT('01_INPUT_COMPANIES'!$Y$101)=0),"",'01_INPUT_COMPANIES'!$Y$101)</x:f>
      </x:c>
      <x:c r="F952" s="42" t="n">
        <x:v>-1</x:v>
      </x:c>
      <x:c r="G952" s="42" t="str">
        <x:f>IF(NOT(ISNUMBER(E952)),"",MAX(K952,MIN(L952,E952*F952)))</x:f>
      </x:c>
      <x:c r="H952" s="42" t="n">
        <x:v>95</x:v>
      </x:c>
      <x:c r="I952" s="42" t="str">
        <x:f>IF(COUNT(G952)=0,"",(COUNTIFS('93_REF_ANCHORS'!$A$7:$A$766,D952,'93_REF_ANCHORS'!$C$7:$C$766,"&lt;"&amp;G952)+COUNTIFS('93_REF_ANCHORS'!$A$7:$A$766,D952,'93_REF_ANCHORS'!$C$7:$C$766,"&lt;="&amp;G952)-1)/(2*(H952-1)))</x:f>
      </x:c>
      <x:c r="J952" s="34" t="str">
        <x:f>IF(B952="","",IF(COUNT(E952)=0,"MISSING",IF(NOT(ISNUMBER(E952)),"INVALID",IF(E952*F952&lt;K952,"WINSORIZED LOW",IF(E952*F952&gt;L952,"WINSORIZED HIGH","OK")))))</x:f>
      </x:c>
      <x:c r="K952" s="34" t="n">
        <x:v>-3163.7500000000014</x:v>
      </x:c>
      <x:c r="L952" s="34" t="n">
        <x:v>189.68191301719997</x:v>
      </x:c>
      <x:c r="M952" s="34" t="n">
        <x:v>0.08333333333333333</x:v>
      </x:c>
      <x:c r="N952" s="34" t="str">
        <x:v>no</x:v>
      </x:c>
    </x:row>
    <x:row r="953">
      <x:c r="A953" s="34" t="n">
        <x:v>95</x:v>
      </x:c>
      <x:c r="B953" s="34" t="str">
        <x:f>IF('01_INPUT_COMPANIES'!$A$101="","",'01_INPUT_COMPANIES'!$A$101)</x:f>
      </x:c>
      <x:c r="C953" s="34" t="str">
        <x:f>IF(B953="","",'01_INPUT_COMPANIES'!$B$101)</x:f>
      </x:c>
      <x:c r="D953" s="34" t="str">
        <x:v>ip_assetization_gap</x:v>
      </x:c>
      <x:c r="E953" s="42" t="str">
        <x:f>IF(OR(B953="",COUNT('01_INPUT_COMPANIES'!$Z$101)=0),"",'01_INPUT_COMPANIES'!$Z$101)</x:f>
      </x:c>
      <x:c r="F953" s="42" t="n">
        <x:v>1</x:v>
      </x:c>
      <x:c r="G953" s="42" t="str">
        <x:f>IF(NOT(ISNUMBER(E953)),"",MAX(K953,MIN(L953,E953*F953)))</x:f>
      </x:c>
      <x:c r="H953" s="42" t="n">
        <x:v>92</x:v>
      </x:c>
      <x:c r="I953" s="42" t="str">
        <x:f>IF(COUNT(G953)=0,"",(COUNTIFS('93_REF_ANCHORS'!$A$7:$A$766,D953,'93_REF_ANCHORS'!$C$7:$C$766,"&lt;"&amp;G953)+COUNTIFS('93_REF_ANCHORS'!$A$7:$A$766,D953,'93_REF_ANCHORS'!$C$7:$C$766,"&lt;="&amp;G953)-1)/(2*(H953-1)))</x:f>
      </x:c>
      <x:c r="J953" s="34" t="str">
        <x:f>IF(B953="","",IF(COUNT(E953)=0,"MISSING",IF(NOT(ISNUMBER(E953)),"INVALID",IF(E953*F953&lt;K953,"WINSORIZED LOW",IF(E953*F953&gt;L953,"WINSORIZED HIGH","OK")))))</x:f>
      </x:c>
      <x:c r="K953" s="34" t="n">
        <x:v>-1.6707152386</x:v>
      </x:c>
      <x:c r="L953" s="34" t="n">
        <x:v>0.7716332556000001</x:v>
      </x:c>
      <x:c r="M953" s="34" t="n">
        <x:v>0.08333333333333333</x:v>
      </x:c>
      <x:c r="N953" s="34" t="str">
        <x:v>no</x:v>
      </x:c>
    </x:row>
    <x:row r="954">
      <x:c r="A954" s="34" t="n">
        <x:v>95</x:v>
      </x:c>
      <x:c r="B954" s="34" t="str">
        <x:f>IF('01_INPUT_COMPANIES'!$A$101="","",'01_INPUT_COMPANIES'!$A$101)</x:f>
      </x:c>
      <x:c r="C954" s="34" t="str">
        <x:f>IF(B954="","",'01_INPUT_COMPANIES'!$B$101)</x:f>
      </x:c>
      <x:c r="D954" s="34" t="str">
        <x:v>cross_market_transfer_index</x:v>
      </x:c>
      <x:c r="E954" s="42" t="str">
        <x:f>IF(OR(B954="",COUNT('01_INPUT_COMPANIES'!$AA$101)=0),"",'01_INPUT_COMPANIES'!$AA$101)</x:f>
      </x:c>
      <x:c r="F954" s="42" t="n">
        <x:v>1</x:v>
      </x:c>
      <x:c r="G954" s="42" t="str">
        <x:f>IF(NOT(ISNUMBER(E954)),"",MAX(K954,MIN(L954,E954*F954)))</x:f>
      </x:c>
      <x:c r="H954" s="42" t="n">
        <x:v>4</x:v>
      </x:c>
      <x:c r="I954" s="42" t="str">
        <x:f>IF(COUNT(G954)=0,"",(COUNTIFS('93_REF_ANCHORS'!$A$7:$A$766,D954,'93_REF_ANCHORS'!$C$7:$C$766,"&lt;"&amp;G954)+COUNTIFS('93_REF_ANCHORS'!$A$7:$A$766,D954,'93_REF_ANCHORS'!$C$7:$C$766,"&lt;="&amp;G954)-1)/(2*(H954-1)))</x:f>
      </x:c>
      <x:c r="J954" s="34" t="str">
        <x:f>IF(B954="","",IF(COUNT(E954)=0,"MISSING",IF(NOT(ISNUMBER(E954)),"INVALID",IF(E954*F954&lt;K954,"WINSORIZED LOW",IF(E954*F954&gt;L954,"WINSORIZED HIGH","OK")))))</x:f>
      </x:c>
      <x:c r="K954" s="34" t="n">
        <x:v>0</x:v>
      </x:c>
      <x:c r="L954" s="34" t="n">
        <x:v>0.7587051325360435</x:v>
      </x:c>
      <x:c r="M954" s="34" t="n">
        <x:v>0.1111111111111111</x:v>
      </x:c>
      <x:c r="N954" s="34" t="str">
        <x:v>yes</x:v>
      </x:c>
    </x:row>
    <x:row r="955">
      <x:c r="A955" s="34" t="n">
        <x:v>95</x:v>
      </x:c>
      <x:c r="B955" s="34" t="str">
        <x:f>IF('01_INPUT_COMPANIES'!$A$101="","",'01_INPUT_COMPANIES'!$A$101)</x:f>
      </x:c>
      <x:c r="C955" s="34" t="str">
        <x:f>IF(B955="","",'01_INPUT_COMPANIES'!$B$101)</x:f>
      </x:c>
      <x:c r="D955" s="34" t="str">
        <x:v>foreign_dependency_ratio</x:v>
      </x:c>
      <x:c r="E955" s="42" t="str">
        <x:f>IF(OR(B955="",COUNT('01_INPUT_COMPANIES'!$AB$101)=0),"",'01_INPUT_COMPANIES'!$AB$101)</x:f>
      </x:c>
      <x:c r="F955" s="42" t="n">
        <x:v>1</x:v>
      </x:c>
      <x:c r="G955" s="42" t="str">
        <x:f>IF(NOT(ISNUMBER(E955)),"",MAX(K955,MIN(L955,E955*F955)))</x:f>
      </x:c>
      <x:c r="H955" s="42" t="n">
        <x:v>84</x:v>
      </x:c>
      <x:c r="I955" s="42" t="str">
        <x:f>IF(COUNT(G955)=0,"",(COUNTIFS('93_REF_ANCHORS'!$A$7:$A$766,D955,'93_REF_ANCHORS'!$C$7:$C$766,"&lt;"&amp;G955)+COUNTIFS('93_REF_ANCHORS'!$A$7:$A$766,D955,'93_REF_ANCHORS'!$C$7:$C$766,"&lt;="&amp;G955)-1)/(2*(H955-1)))</x:f>
      </x:c>
      <x:c r="J955" s="34" t="str">
        <x:f>IF(B955="","",IF(COUNT(E955)=0,"MISSING",IF(NOT(ISNUMBER(E955)),"INVALID",IF(E955*F955&lt;K955,"WINSORIZED LOW",IF(E955*F955&gt;L955,"WINSORIZED HIGH","OK")))))</x:f>
      </x:c>
      <x:c r="K955" s="34" t="n">
        <x:v>0.728196</x:v>
      </x:c>
      <x:c r="L955" s="34" t="n">
        <x:v>0.94</x:v>
      </x:c>
      <x:c r="M955" s="34" t="n">
        <x:v>0.1111111111111111</x:v>
      </x:c>
      <x:c r="N955" s="34" t="str">
        <x:v>yes</x:v>
      </x:c>
    </x:row>
    <x:row r="956">
      <x:c r="A956" s="34" t="n">
        <x:v>95</x:v>
      </x:c>
      <x:c r="B956" s="34" t="str">
        <x:f>IF('01_INPUT_COMPANIES'!$A$101="","",'01_INPUT_COMPANIES'!$A$101)</x:f>
      </x:c>
      <x:c r="C956" s="34" t="str">
        <x:f>IF(B956="","",'01_INPUT_COMPANIES'!$B$101)</x:f>
      </x:c>
      <x:c r="D956" s="34" t="str">
        <x:v>outflow_to_capex_ratio</x:v>
      </x:c>
      <x:c r="E956" s="42" t="str">
        <x:f>IF(OR(B956="",COUNT('01_INPUT_COMPANIES'!$AC$101)=0),"",'01_INPUT_COMPANIES'!$AC$101)</x:f>
      </x:c>
      <x:c r="F956" s="42" t="n">
        <x:v>1</x:v>
      </x:c>
      <x:c r="G956" s="42" t="str">
        <x:f>IF(NOT(ISNUMBER(E956)),"",MAX(K956,MIN(L956,E956*F956)))</x:f>
      </x:c>
      <x:c r="H956" s="42" t="n">
        <x:v>97</x:v>
      </x:c>
      <x:c r="I956" s="42" t="str">
        <x:f>IF(COUNT(G956)=0,"",(COUNTIFS('93_REF_ANCHORS'!$A$7:$A$766,D956,'93_REF_ANCHORS'!$C$7:$C$766,"&lt;"&amp;G956)+COUNTIFS('93_REF_ANCHORS'!$A$7:$A$766,D956,'93_REF_ANCHORS'!$C$7:$C$766,"&lt;="&amp;G956)-1)/(2*(H956-1)))</x:f>
      </x:c>
      <x:c r="J956" s="34" t="str">
        <x:f>IF(B956="","",IF(COUNT(E956)=0,"MISSING",IF(NOT(ISNUMBER(E956)),"INVALID",IF(E956*F956&lt;K956,"WINSORIZED LOW",IF(E956*F956&gt;L956,"WINSORIZED HIGH","OK")))))</x:f>
      </x:c>
      <x:c r="K956" s="34" t="n">
        <x:v>-123.5385890408</x:v>
      </x:c>
      <x:c r="L956" s="34" t="n">
        <x:v>974.1666666666999</x:v>
      </x:c>
      <x:c r="M956" s="34" t="n">
        <x:v>0.1111111111111111</x:v>
      </x:c>
      <x:c r="N956" s="34" t="str">
        <x:v>no</x:v>
      </x:c>
    </x:row>
    <x:row r="957">
      <x:c r="A957" s="34" t="n">
        <x:v>96</x:v>
      </x:c>
      <x:c r="B957" s="34" t="str">
        <x:f>IF('01_INPUT_COMPANIES'!$A$102="","",'01_INPUT_COMPANIES'!$A$102)</x:f>
      </x:c>
      <x:c r="C957" s="34" t="str">
        <x:f>IF(B957="","",'01_INPUT_COMPANIES'!$B$102)</x:f>
      </x:c>
      <x:c r="D957" s="34" t="str">
        <x:v>effective_tax_rate_gap</x:v>
      </x:c>
      <x:c r="E957" s="42" t="str">
        <x:f>IF(OR(B957="",COUNT('01_INPUT_COMPANIES'!$T$102)=0),"",'01_INPUT_COMPANIES'!$T$102)</x:f>
      </x:c>
      <x:c r="F957" s="42" t="n">
        <x:v>1</x:v>
      </x:c>
      <x:c r="G957" s="42" t="str">
        <x:f>IF(NOT(ISNUMBER(E957)),"",MAX(K957,MIN(L957,E957*F957)))</x:f>
      </x:c>
      <x:c r="H957" s="42" t="n">
        <x:v>74</x:v>
      </x:c>
      <x:c r="I957" s="42" t="str">
        <x:f>IF(COUNT(G957)=0,"",(COUNTIFS('93_REF_ANCHORS'!$A$7:$A$766,D957,'93_REF_ANCHORS'!$C$7:$C$766,"&lt;"&amp;G957)+COUNTIFS('93_REF_ANCHORS'!$A$7:$A$766,D957,'93_REF_ANCHORS'!$C$7:$C$766,"&lt;="&amp;G957)-1)/(2*(H957-1)))</x:f>
      </x:c>
      <x:c r="J957" s="34" t="str">
        <x:f>IF(B957="","",IF(COUNT(E957)=0,"MISSING",IF(NOT(ISNUMBER(E957)),"INVALID",IF(E957*F957&lt;K957,"WINSORIZED LOW",IF(E957*F957&gt;L957,"WINSORIZED HIGH","OK")))))</x:f>
      </x:c>
      <x:c r="K957" s="34" t="n">
        <x:v>-0.1416111014</x:v>
      </x:c>
      <x:c r="L957" s="34" t="n">
        <x:v>0.2683650488</x:v>
      </x:c>
      <x:c r="M957" s="34" t="n">
        <x:v>0.1111111111111111</x:v>
      </x:c>
      <x:c r="N957" s="34" t="str">
        <x:v>no</x:v>
      </x:c>
    </x:row>
    <x:row r="958">
      <x:c r="A958" s="34" t="n">
        <x:v>96</x:v>
      </x:c>
      <x:c r="B958" s="34" t="str">
        <x:f>IF('01_INPUT_COMPANIES'!$A$102="","",'01_INPUT_COMPANIES'!$A$102)</x:f>
      </x:c>
      <x:c r="C958" s="34" t="str">
        <x:f>IF(B958="","",'01_INPUT_COMPANIES'!$B$102)</x:f>
      </x:c>
      <x:c r="D958" s="34" t="str">
        <x:v>infra_dependency_ratio</x:v>
      </x:c>
      <x:c r="E958" s="42" t="str">
        <x:f>IF(OR(B958="",COUNT('01_INPUT_COMPANIES'!$U$102)=0),"",'01_INPUT_COMPANIES'!$U$102)</x:f>
      </x:c>
      <x:c r="F958" s="42" t="n">
        <x:v>1</x:v>
      </x:c>
      <x:c r="G958" s="42" t="str">
        <x:f>IF(NOT(ISNUMBER(E958)),"",MAX(K958,MIN(L958,E958*F958)))</x:f>
      </x:c>
      <x:c r="H958" s="42" t="n">
        <x:v>64</x:v>
      </x:c>
      <x:c r="I958" s="42" t="str">
        <x:f>IF(COUNT(G958)=0,"",(COUNTIFS('93_REF_ANCHORS'!$A$7:$A$766,D958,'93_REF_ANCHORS'!$C$7:$C$766,"&lt;"&amp;G958)+COUNTIFS('93_REF_ANCHORS'!$A$7:$A$766,D958,'93_REF_ANCHORS'!$C$7:$C$766,"&lt;="&amp;G958)-1)/(2*(H958-1)))</x:f>
      </x:c>
      <x:c r="J958" s="34" t="str">
        <x:f>IF(B958="","",IF(COUNT(E958)=0,"MISSING",IF(NOT(ISNUMBER(E958)),"INVALID",IF(E958*F958&lt;K958,"WINSORIZED LOW",IF(E958*F958&gt;L958,"WINSORIZED HIGH","OK")))))</x:f>
      </x:c>
      <x:c r="K958" s="34" t="n">
        <x:v>-0.10705024705171803</x:v>
      </x:c>
      <x:c r="L958" s="34" t="n">
        <x:v>0.8008753865408955</x:v>
      </x:c>
      <x:c r="M958" s="34" t="n">
        <x:v>0.1111111111111111</x:v>
      </x:c>
      <x:c r="N958" s="34" t="str">
        <x:v>no</x:v>
      </x:c>
    </x:row>
    <x:row r="959">
      <x:c r="A959" s="34" t="n">
        <x:v>96</x:v>
      </x:c>
      <x:c r="B959" s="34" t="str">
        <x:f>IF('01_INPUT_COMPANIES'!$A$102="","",'01_INPUT_COMPANIES'!$A$102)</x:f>
      </x:c>
      <x:c r="C959" s="34" t="str">
        <x:f>IF(B959="","",'01_INPUT_COMPANIES'!$B$102)</x:f>
      </x:c>
      <x:c r="D959" s="34" t="str">
        <x:v>network_cost_ratio</x:v>
      </x:c>
      <x:c r="E959" s="42" t="str">
        <x:f>IF(OR(B959="",COUNT('01_INPUT_COMPANIES'!$V$102)=0),"",'01_INPUT_COMPANIES'!$V$102)</x:f>
      </x:c>
      <x:c r="F959" s="42" t="n">
        <x:v>1</x:v>
      </x:c>
      <x:c r="G959" s="42" t="str">
        <x:f>IF(NOT(ISNUMBER(E959)),"",MAX(K959,MIN(L959,E959*F959)))</x:f>
      </x:c>
      <x:c r="H959" s="42" t="n">
        <x:v>97</x:v>
      </x:c>
      <x:c r="I959" s="42" t="str">
        <x:f>IF(COUNT(G959)=0,"",(COUNTIFS('93_REF_ANCHORS'!$A$7:$A$766,D959,'93_REF_ANCHORS'!$C$7:$C$766,"&lt;"&amp;G959)+COUNTIFS('93_REF_ANCHORS'!$A$7:$A$766,D959,'93_REF_ANCHORS'!$C$7:$C$766,"&lt;="&amp;G959)-1)/(2*(H959-1)))</x:f>
      </x:c>
      <x:c r="J959" s="34" t="str">
        <x:f>IF(B959="","",IF(COUNT(E959)=0,"MISSING",IF(NOT(ISNUMBER(E959)),"INVALID",IF(E959*F959&lt;K959,"WINSORIZED LOW",IF(E959*F959&gt;L959,"WINSORIZED HIGH","OK")))))</x:f>
      </x:c>
      <x:c r="K959" s="34" t="n">
        <x:v>-0.1395374353</x:v>
      </x:c>
      <x:c r="L959" s="34" t="n">
        <x:v>0.9274274845000001</x:v>
      </x:c>
      <x:c r="M959" s="34" t="n">
        <x:v>0.1111111111111111</x:v>
      </x:c>
      <x:c r="N959" s="34" t="str">
        <x:v>no</x:v>
      </x:c>
    </x:row>
    <x:row r="960">
      <x:c r="A960" s="34" t="n">
        <x:v>96</x:v>
      </x:c>
      <x:c r="B960" s="34" t="str">
        <x:f>IF('01_INPUT_COMPANIES'!$A$102="","",'01_INPUT_COMPANIES'!$A$102)</x:f>
      </x:c>
      <x:c r="C960" s="34" t="str">
        <x:f>IF(B960="","",'01_INPUT_COMPANIES'!$B$102)</x:f>
      </x:c>
      <x:c r="D960" s="34" t="str">
        <x:v>cashflow_recovery_ratio</x:v>
      </x:c>
      <x:c r="E960" s="42" t="str">
        <x:f>IF(OR(B960="",COUNT('01_INPUT_COMPANIES'!$W$102)=0),"",'01_INPUT_COMPANIES'!$W$102)</x:f>
      </x:c>
      <x:c r="F960" s="42" t="n">
        <x:v>-1</x:v>
      </x:c>
      <x:c r="G960" s="42" t="str">
        <x:f>IF(NOT(ISNUMBER(E960)),"",MAX(K960,MIN(L960,E960*F960)))</x:f>
      </x:c>
      <x:c r="H960" s="42" t="n">
        <x:v>95</x:v>
      </x:c>
      <x:c r="I960" s="42" t="str">
        <x:f>IF(COUNT(G960)=0,"",(COUNTIFS('93_REF_ANCHORS'!$A$7:$A$766,D960,'93_REF_ANCHORS'!$C$7:$C$766,"&lt;"&amp;G960)+COUNTIFS('93_REF_ANCHORS'!$A$7:$A$766,D960,'93_REF_ANCHORS'!$C$7:$C$766,"&lt;="&amp;G960)-1)/(2*(H960-1)))</x:f>
      </x:c>
      <x:c r="J960" s="34" t="str">
        <x:f>IF(B960="","",IF(COUNT(E960)=0,"MISSING",IF(NOT(ISNUMBER(E960)),"INVALID",IF(E960*F960&lt;K960,"WINSORIZED LOW",IF(E960*F960&gt;L960,"WINSORIZED HIGH","OK")))))</x:f>
      </x:c>
      <x:c r="K960" s="34" t="n">
        <x:v>-300.75</x:v>
      </x:c>
      <x:c r="L960" s="34" t="n">
        <x:v>42.6920305469</x:v>
      </x:c>
      <x:c r="M960" s="34" t="n">
        <x:v>0.08333333333333333</x:v>
      </x:c>
      <x:c r="N960" s="34" t="str">
        <x:v>no</x:v>
      </x:c>
    </x:row>
    <x:row r="961">
      <x:c r="A961" s="34" t="n">
        <x:v>96</x:v>
      </x:c>
      <x:c r="B961" s="34" t="str">
        <x:f>IF('01_INPUT_COMPANIES'!$A$102="","",'01_INPUT_COMPANIES'!$A$102)</x:f>
      </x:c>
      <x:c r="C961" s="34" t="str">
        <x:f>IF(B961="","",'01_INPUT_COMPANIES'!$B$102)</x:f>
      </x:c>
      <x:c r="D961" s="34" t="str">
        <x:v>funding_cost_spread</x:v>
      </x:c>
      <x:c r="E961" s="42" t="str">
        <x:f>IF(OR(B961="",COUNT('01_INPUT_COMPANIES'!$X$102)=0),"",'01_INPUT_COMPANIES'!$X$102)</x:f>
      </x:c>
      <x:c r="F961" s="42" t="n">
        <x:v>1</x:v>
      </x:c>
      <x:c r="G961" s="42" t="str">
        <x:f>IF(NOT(ISNUMBER(E961)),"",MAX(K961,MIN(L961,E961*F961)))</x:f>
      </x:c>
      <x:c r="H961" s="42" t="n">
        <x:v>58</x:v>
      </x:c>
      <x:c r="I961" s="42" t="str">
        <x:f>IF(COUNT(G961)=0,"",(COUNTIFS('93_REF_ANCHORS'!$A$7:$A$766,D961,'93_REF_ANCHORS'!$C$7:$C$766,"&lt;"&amp;G961)+COUNTIFS('93_REF_ANCHORS'!$A$7:$A$766,D961,'93_REF_ANCHORS'!$C$7:$C$766,"&lt;="&amp;G961)-1)/(2*(H961-1)))</x:f>
      </x:c>
      <x:c r="J961" s="34" t="str">
        <x:f>IF(B961="","",IF(COUNT(E961)=0,"MISSING",IF(NOT(ISNUMBER(E961)),"INVALID",IF(E961*F961&lt;K961,"WINSORIZED LOW",IF(E961*F961&gt;L961,"WINSORIZED HIGH","OK")))))</x:f>
      </x:c>
      <x:c r="K961" s="34" t="n">
        <x:v>-0.4430292903</x:v>
      </x:c>
      <x:c r="L961" s="34" t="n">
        <x:v>0.5068913103</x:v>
      </x:c>
      <x:c r="M961" s="34" t="n">
        <x:v>0.08333333333333333</x:v>
      </x:c>
      <x:c r="N961" s="34" t="str">
        <x:v>no</x:v>
      </x:c>
    </x:row>
    <x:row r="962">
      <x:c r="A962" s="34" t="n">
        <x:v>96</x:v>
      </x:c>
      <x:c r="B962" s="34" t="str">
        <x:f>IF('01_INPUT_COMPANIES'!$A$102="","",'01_INPUT_COMPANIES'!$A$102)</x:f>
      </x:c>
      <x:c r="C962" s="34" t="str">
        <x:f>IF(B962="","",'01_INPUT_COMPANIES'!$B$102)</x:f>
      </x:c>
      <x:c r="D962" s="34" t="str">
        <x:v>investment_recovery_ratio</x:v>
      </x:c>
      <x:c r="E962" s="42" t="str">
        <x:f>IF(OR(B962="",COUNT('01_INPUT_COMPANIES'!$Y$102)=0),"",'01_INPUT_COMPANIES'!$Y$102)</x:f>
      </x:c>
      <x:c r="F962" s="42" t="n">
        <x:v>-1</x:v>
      </x:c>
      <x:c r="G962" s="42" t="str">
        <x:f>IF(NOT(ISNUMBER(E962)),"",MAX(K962,MIN(L962,E962*F962)))</x:f>
      </x:c>
      <x:c r="H962" s="42" t="n">
        <x:v>95</x:v>
      </x:c>
      <x:c r="I962" s="42" t="str">
        <x:f>IF(COUNT(G962)=0,"",(COUNTIFS('93_REF_ANCHORS'!$A$7:$A$766,D962,'93_REF_ANCHORS'!$C$7:$C$766,"&lt;"&amp;G962)+COUNTIFS('93_REF_ANCHORS'!$A$7:$A$766,D962,'93_REF_ANCHORS'!$C$7:$C$766,"&lt;="&amp;G962)-1)/(2*(H962-1)))</x:f>
      </x:c>
      <x:c r="J962" s="34" t="str">
        <x:f>IF(B962="","",IF(COUNT(E962)=0,"MISSING",IF(NOT(ISNUMBER(E962)),"INVALID",IF(E962*F962&lt;K962,"WINSORIZED LOW",IF(E962*F962&gt;L962,"WINSORIZED HIGH","OK")))))</x:f>
      </x:c>
      <x:c r="K962" s="34" t="n">
        <x:v>-3163.7500000000014</x:v>
      </x:c>
      <x:c r="L962" s="34" t="n">
        <x:v>189.68191301719997</x:v>
      </x:c>
      <x:c r="M962" s="34" t="n">
        <x:v>0.08333333333333333</x:v>
      </x:c>
      <x:c r="N962" s="34" t="str">
        <x:v>no</x:v>
      </x:c>
    </x:row>
    <x:row r="963">
      <x:c r="A963" s="34" t="n">
        <x:v>96</x:v>
      </x:c>
      <x:c r="B963" s="34" t="str">
        <x:f>IF('01_INPUT_COMPANIES'!$A$102="","",'01_INPUT_COMPANIES'!$A$102)</x:f>
      </x:c>
      <x:c r="C963" s="34" t="str">
        <x:f>IF(B963="","",'01_INPUT_COMPANIES'!$B$102)</x:f>
      </x:c>
      <x:c r="D963" s="34" t="str">
        <x:v>ip_assetization_gap</x:v>
      </x:c>
      <x:c r="E963" s="42" t="str">
        <x:f>IF(OR(B963="",COUNT('01_INPUT_COMPANIES'!$Z$102)=0),"",'01_INPUT_COMPANIES'!$Z$102)</x:f>
      </x:c>
      <x:c r="F963" s="42" t="n">
        <x:v>1</x:v>
      </x:c>
      <x:c r="G963" s="42" t="str">
        <x:f>IF(NOT(ISNUMBER(E963)),"",MAX(K963,MIN(L963,E963*F963)))</x:f>
      </x:c>
      <x:c r="H963" s="42" t="n">
        <x:v>92</x:v>
      </x:c>
      <x:c r="I963" s="42" t="str">
        <x:f>IF(COUNT(G963)=0,"",(COUNTIFS('93_REF_ANCHORS'!$A$7:$A$766,D963,'93_REF_ANCHORS'!$C$7:$C$766,"&lt;"&amp;G963)+COUNTIFS('93_REF_ANCHORS'!$A$7:$A$766,D963,'93_REF_ANCHORS'!$C$7:$C$766,"&lt;="&amp;G963)-1)/(2*(H963-1)))</x:f>
      </x:c>
      <x:c r="J963" s="34" t="str">
        <x:f>IF(B963="","",IF(COUNT(E963)=0,"MISSING",IF(NOT(ISNUMBER(E963)),"INVALID",IF(E963*F963&lt;K963,"WINSORIZED LOW",IF(E963*F963&gt;L963,"WINSORIZED HIGH","OK")))))</x:f>
      </x:c>
      <x:c r="K963" s="34" t="n">
        <x:v>-1.6707152386</x:v>
      </x:c>
      <x:c r="L963" s="34" t="n">
        <x:v>0.7716332556000001</x:v>
      </x:c>
      <x:c r="M963" s="34" t="n">
        <x:v>0.08333333333333333</x:v>
      </x:c>
      <x:c r="N963" s="34" t="str">
        <x:v>no</x:v>
      </x:c>
    </x:row>
    <x:row r="964">
      <x:c r="A964" s="34" t="n">
        <x:v>96</x:v>
      </x:c>
      <x:c r="B964" s="34" t="str">
        <x:f>IF('01_INPUT_COMPANIES'!$A$102="","",'01_INPUT_COMPANIES'!$A$102)</x:f>
      </x:c>
      <x:c r="C964" s="34" t="str">
        <x:f>IF(B964="","",'01_INPUT_COMPANIES'!$B$102)</x:f>
      </x:c>
      <x:c r="D964" s="34" t="str">
        <x:v>cross_market_transfer_index</x:v>
      </x:c>
      <x:c r="E964" s="42" t="str">
        <x:f>IF(OR(B964="",COUNT('01_INPUT_COMPANIES'!$AA$102)=0),"",'01_INPUT_COMPANIES'!$AA$102)</x:f>
      </x:c>
      <x:c r="F964" s="42" t="n">
        <x:v>1</x:v>
      </x:c>
      <x:c r="G964" s="42" t="str">
        <x:f>IF(NOT(ISNUMBER(E964)),"",MAX(K964,MIN(L964,E964*F964)))</x:f>
      </x:c>
      <x:c r="H964" s="42" t="n">
        <x:v>4</x:v>
      </x:c>
      <x:c r="I964" s="42" t="str">
        <x:f>IF(COUNT(G964)=0,"",(COUNTIFS('93_REF_ANCHORS'!$A$7:$A$766,D964,'93_REF_ANCHORS'!$C$7:$C$766,"&lt;"&amp;G964)+COUNTIFS('93_REF_ANCHORS'!$A$7:$A$766,D964,'93_REF_ANCHORS'!$C$7:$C$766,"&lt;="&amp;G964)-1)/(2*(H964-1)))</x:f>
      </x:c>
      <x:c r="J964" s="34" t="str">
        <x:f>IF(B964="","",IF(COUNT(E964)=0,"MISSING",IF(NOT(ISNUMBER(E964)),"INVALID",IF(E964*F964&lt;K964,"WINSORIZED LOW",IF(E964*F964&gt;L964,"WINSORIZED HIGH","OK")))))</x:f>
      </x:c>
      <x:c r="K964" s="34" t="n">
        <x:v>0</x:v>
      </x:c>
      <x:c r="L964" s="34" t="n">
        <x:v>0.7587051325360435</x:v>
      </x:c>
      <x:c r="M964" s="34" t="n">
        <x:v>0.1111111111111111</x:v>
      </x:c>
      <x:c r="N964" s="34" t="str">
        <x:v>yes</x:v>
      </x:c>
    </x:row>
    <x:row r="965">
      <x:c r="A965" s="34" t="n">
        <x:v>96</x:v>
      </x:c>
      <x:c r="B965" s="34" t="str">
        <x:f>IF('01_INPUT_COMPANIES'!$A$102="","",'01_INPUT_COMPANIES'!$A$102)</x:f>
      </x:c>
      <x:c r="C965" s="34" t="str">
        <x:f>IF(B965="","",'01_INPUT_COMPANIES'!$B$102)</x:f>
      </x:c>
      <x:c r="D965" s="34" t="str">
        <x:v>foreign_dependency_ratio</x:v>
      </x:c>
      <x:c r="E965" s="42" t="str">
        <x:f>IF(OR(B965="",COUNT('01_INPUT_COMPANIES'!$AB$102)=0),"",'01_INPUT_COMPANIES'!$AB$102)</x:f>
      </x:c>
      <x:c r="F965" s="42" t="n">
        <x:v>1</x:v>
      </x:c>
      <x:c r="G965" s="42" t="str">
        <x:f>IF(NOT(ISNUMBER(E965)),"",MAX(K965,MIN(L965,E965*F965)))</x:f>
      </x:c>
      <x:c r="H965" s="42" t="n">
        <x:v>84</x:v>
      </x:c>
      <x:c r="I965" s="42" t="str">
        <x:f>IF(COUNT(G965)=0,"",(COUNTIFS('93_REF_ANCHORS'!$A$7:$A$766,D965,'93_REF_ANCHORS'!$C$7:$C$766,"&lt;"&amp;G965)+COUNTIFS('93_REF_ANCHORS'!$A$7:$A$766,D965,'93_REF_ANCHORS'!$C$7:$C$766,"&lt;="&amp;G965)-1)/(2*(H965-1)))</x:f>
      </x:c>
      <x:c r="J965" s="34" t="str">
        <x:f>IF(B965="","",IF(COUNT(E965)=0,"MISSING",IF(NOT(ISNUMBER(E965)),"INVALID",IF(E965*F965&lt;K965,"WINSORIZED LOW",IF(E965*F965&gt;L965,"WINSORIZED HIGH","OK")))))</x:f>
      </x:c>
      <x:c r="K965" s="34" t="n">
        <x:v>0.728196</x:v>
      </x:c>
      <x:c r="L965" s="34" t="n">
        <x:v>0.94</x:v>
      </x:c>
      <x:c r="M965" s="34" t="n">
        <x:v>0.1111111111111111</x:v>
      </x:c>
      <x:c r="N965" s="34" t="str">
        <x:v>yes</x:v>
      </x:c>
    </x:row>
    <x:row r="966">
      <x:c r="A966" s="34" t="n">
        <x:v>96</x:v>
      </x:c>
      <x:c r="B966" s="34" t="str">
        <x:f>IF('01_INPUT_COMPANIES'!$A$102="","",'01_INPUT_COMPANIES'!$A$102)</x:f>
      </x:c>
      <x:c r="C966" s="34" t="str">
        <x:f>IF(B966="","",'01_INPUT_COMPANIES'!$B$102)</x:f>
      </x:c>
      <x:c r="D966" s="34" t="str">
        <x:v>outflow_to_capex_ratio</x:v>
      </x:c>
      <x:c r="E966" s="42" t="str">
        <x:f>IF(OR(B966="",COUNT('01_INPUT_COMPANIES'!$AC$102)=0),"",'01_INPUT_COMPANIES'!$AC$102)</x:f>
      </x:c>
      <x:c r="F966" s="42" t="n">
        <x:v>1</x:v>
      </x:c>
      <x:c r="G966" s="42" t="str">
        <x:f>IF(NOT(ISNUMBER(E966)),"",MAX(K966,MIN(L966,E966*F966)))</x:f>
      </x:c>
      <x:c r="H966" s="42" t="n">
        <x:v>97</x:v>
      </x:c>
      <x:c r="I966" s="42" t="str">
        <x:f>IF(COUNT(G966)=0,"",(COUNTIFS('93_REF_ANCHORS'!$A$7:$A$766,D966,'93_REF_ANCHORS'!$C$7:$C$766,"&lt;"&amp;G966)+COUNTIFS('93_REF_ANCHORS'!$A$7:$A$766,D966,'93_REF_ANCHORS'!$C$7:$C$766,"&lt;="&amp;G966)-1)/(2*(H966-1)))</x:f>
      </x:c>
      <x:c r="J966" s="34" t="str">
        <x:f>IF(B966="","",IF(COUNT(E966)=0,"MISSING",IF(NOT(ISNUMBER(E966)),"INVALID",IF(E966*F966&lt;K966,"WINSORIZED LOW",IF(E966*F966&gt;L966,"WINSORIZED HIGH","OK")))))</x:f>
      </x:c>
      <x:c r="K966" s="34" t="n">
        <x:v>-123.5385890408</x:v>
      </x:c>
      <x:c r="L966" s="34" t="n">
        <x:v>974.1666666666999</x:v>
      </x:c>
      <x:c r="M966" s="34" t="n">
        <x:v>0.1111111111111111</x:v>
      </x:c>
      <x:c r="N966" s="34" t="str">
        <x:v>no</x:v>
      </x:c>
    </x:row>
    <x:row r="967">
      <x:c r="A967" s="34" t="n">
        <x:v>97</x:v>
      </x:c>
      <x:c r="B967" s="34" t="str">
        <x:f>IF('01_INPUT_COMPANIES'!$A$103="","",'01_INPUT_COMPANIES'!$A$103)</x:f>
      </x:c>
      <x:c r="C967" s="34" t="str">
        <x:f>IF(B967="","",'01_INPUT_COMPANIES'!$B$103)</x:f>
      </x:c>
      <x:c r="D967" s="34" t="str">
        <x:v>effective_tax_rate_gap</x:v>
      </x:c>
      <x:c r="E967" s="42" t="str">
        <x:f>IF(OR(B967="",COUNT('01_INPUT_COMPANIES'!$T$103)=0),"",'01_INPUT_COMPANIES'!$T$103)</x:f>
      </x:c>
      <x:c r="F967" s="42" t="n">
        <x:v>1</x:v>
      </x:c>
      <x:c r="G967" s="42" t="str">
        <x:f>IF(NOT(ISNUMBER(E967)),"",MAX(K967,MIN(L967,E967*F967)))</x:f>
      </x:c>
      <x:c r="H967" s="42" t="n">
        <x:v>74</x:v>
      </x:c>
      <x:c r="I967" s="42" t="str">
        <x:f>IF(COUNT(G967)=0,"",(COUNTIFS('93_REF_ANCHORS'!$A$7:$A$766,D967,'93_REF_ANCHORS'!$C$7:$C$766,"&lt;"&amp;G967)+COUNTIFS('93_REF_ANCHORS'!$A$7:$A$766,D967,'93_REF_ANCHORS'!$C$7:$C$766,"&lt;="&amp;G967)-1)/(2*(H967-1)))</x:f>
      </x:c>
      <x:c r="J967" s="34" t="str">
        <x:f>IF(B967="","",IF(COUNT(E967)=0,"MISSING",IF(NOT(ISNUMBER(E967)),"INVALID",IF(E967*F967&lt;K967,"WINSORIZED LOW",IF(E967*F967&gt;L967,"WINSORIZED HIGH","OK")))))</x:f>
      </x:c>
      <x:c r="K967" s="34" t="n">
        <x:v>-0.1416111014</x:v>
      </x:c>
      <x:c r="L967" s="34" t="n">
        <x:v>0.2683650488</x:v>
      </x:c>
      <x:c r="M967" s="34" t="n">
        <x:v>0.1111111111111111</x:v>
      </x:c>
      <x:c r="N967" s="34" t="str">
        <x:v>no</x:v>
      </x:c>
    </x:row>
    <x:row r="968">
      <x:c r="A968" s="34" t="n">
        <x:v>97</x:v>
      </x:c>
      <x:c r="B968" s="34" t="str">
        <x:f>IF('01_INPUT_COMPANIES'!$A$103="","",'01_INPUT_COMPANIES'!$A$103)</x:f>
      </x:c>
      <x:c r="C968" s="34" t="str">
        <x:f>IF(B968="","",'01_INPUT_COMPANIES'!$B$103)</x:f>
      </x:c>
      <x:c r="D968" s="34" t="str">
        <x:v>infra_dependency_ratio</x:v>
      </x:c>
      <x:c r="E968" s="42" t="str">
        <x:f>IF(OR(B968="",COUNT('01_INPUT_COMPANIES'!$U$103)=0),"",'01_INPUT_COMPANIES'!$U$103)</x:f>
      </x:c>
      <x:c r="F968" s="42" t="n">
        <x:v>1</x:v>
      </x:c>
      <x:c r="G968" s="42" t="str">
        <x:f>IF(NOT(ISNUMBER(E968)),"",MAX(K968,MIN(L968,E968*F968)))</x:f>
      </x:c>
      <x:c r="H968" s="42" t="n">
        <x:v>64</x:v>
      </x:c>
      <x:c r="I968" s="42" t="str">
        <x:f>IF(COUNT(G968)=0,"",(COUNTIFS('93_REF_ANCHORS'!$A$7:$A$766,D968,'93_REF_ANCHORS'!$C$7:$C$766,"&lt;"&amp;G968)+COUNTIFS('93_REF_ANCHORS'!$A$7:$A$766,D968,'93_REF_ANCHORS'!$C$7:$C$766,"&lt;="&amp;G968)-1)/(2*(H968-1)))</x:f>
      </x:c>
      <x:c r="J968" s="34" t="str">
        <x:f>IF(B968="","",IF(COUNT(E968)=0,"MISSING",IF(NOT(ISNUMBER(E968)),"INVALID",IF(E968*F968&lt;K968,"WINSORIZED LOW",IF(E968*F968&gt;L968,"WINSORIZED HIGH","OK")))))</x:f>
      </x:c>
      <x:c r="K968" s="34" t="n">
        <x:v>-0.10705024705171803</x:v>
      </x:c>
      <x:c r="L968" s="34" t="n">
        <x:v>0.8008753865408955</x:v>
      </x:c>
      <x:c r="M968" s="34" t="n">
        <x:v>0.1111111111111111</x:v>
      </x:c>
      <x:c r="N968" s="34" t="str">
        <x:v>no</x:v>
      </x:c>
    </x:row>
    <x:row r="969">
      <x:c r="A969" s="34" t="n">
        <x:v>97</x:v>
      </x:c>
      <x:c r="B969" s="34" t="str">
        <x:f>IF('01_INPUT_COMPANIES'!$A$103="","",'01_INPUT_COMPANIES'!$A$103)</x:f>
      </x:c>
      <x:c r="C969" s="34" t="str">
        <x:f>IF(B969="","",'01_INPUT_COMPANIES'!$B$103)</x:f>
      </x:c>
      <x:c r="D969" s="34" t="str">
        <x:v>network_cost_ratio</x:v>
      </x:c>
      <x:c r="E969" s="42" t="str">
        <x:f>IF(OR(B969="",COUNT('01_INPUT_COMPANIES'!$V$103)=0),"",'01_INPUT_COMPANIES'!$V$103)</x:f>
      </x:c>
      <x:c r="F969" s="42" t="n">
        <x:v>1</x:v>
      </x:c>
      <x:c r="G969" s="42" t="str">
        <x:f>IF(NOT(ISNUMBER(E969)),"",MAX(K969,MIN(L969,E969*F969)))</x:f>
      </x:c>
      <x:c r="H969" s="42" t="n">
        <x:v>97</x:v>
      </x:c>
      <x:c r="I969" s="42" t="str">
        <x:f>IF(COUNT(G969)=0,"",(COUNTIFS('93_REF_ANCHORS'!$A$7:$A$766,D969,'93_REF_ANCHORS'!$C$7:$C$766,"&lt;"&amp;G969)+COUNTIFS('93_REF_ANCHORS'!$A$7:$A$766,D969,'93_REF_ANCHORS'!$C$7:$C$766,"&lt;="&amp;G969)-1)/(2*(H969-1)))</x:f>
      </x:c>
      <x:c r="J969" s="34" t="str">
        <x:f>IF(B969="","",IF(COUNT(E969)=0,"MISSING",IF(NOT(ISNUMBER(E969)),"INVALID",IF(E969*F969&lt;K969,"WINSORIZED LOW",IF(E969*F969&gt;L969,"WINSORIZED HIGH","OK")))))</x:f>
      </x:c>
      <x:c r="K969" s="34" t="n">
        <x:v>-0.1395374353</x:v>
      </x:c>
      <x:c r="L969" s="34" t="n">
        <x:v>0.9274274845000001</x:v>
      </x:c>
      <x:c r="M969" s="34" t="n">
        <x:v>0.1111111111111111</x:v>
      </x:c>
      <x:c r="N969" s="34" t="str">
        <x:v>no</x:v>
      </x:c>
    </x:row>
    <x:row r="970">
      <x:c r="A970" s="34" t="n">
        <x:v>97</x:v>
      </x:c>
      <x:c r="B970" s="34" t="str">
        <x:f>IF('01_INPUT_COMPANIES'!$A$103="","",'01_INPUT_COMPANIES'!$A$103)</x:f>
      </x:c>
      <x:c r="C970" s="34" t="str">
        <x:f>IF(B970="","",'01_INPUT_COMPANIES'!$B$103)</x:f>
      </x:c>
      <x:c r="D970" s="34" t="str">
        <x:v>cashflow_recovery_ratio</x:v>
      </x:c>
      <x:c r="E970" s="42" t="str">
        <x:f>IF(OR(B970="",COUNT('01_INPUT_COMPANIES'!$W$103)=0),"",'01_INPUT_COMPANIES'!$W$103)</x:f>
      </x:c>
      <x:c r="F970" s="42" t="n">
        <x:v>-1</x:v>
      </x:c>
      <x:c r="G970" s="42" t="str">
        <x:f>IF(NOT(ISNUMBER(E970)),"",MAX(K970,MIN(L970,E970*F970)))</x:f>
      </x:c>
      <x:c r="H970" s="42" t="n">
        <x:v>95</x:v>
      </x:c>
      <x:c r="I970" s="42" t="str">
        <x:f>IF(COUNT(G970)=0,"",(COUNTIFS('93_REF_ANCHORS'!$A$7:$A$766,D970,'93_REF_ANCHORS'!$C$7:$C$766,"&lt;"&amp;G970)+COUNTIFS('93_REF_ANCHORS'!$A$7:$A$766,D970,'93_REF_ANCHORS'!$C$7:$C$766,"&lt;="&amp;G970)-1)/(2*(H970-1)))</x:f>
      </x:c>
      <x:c r="J970" s="34" t="str">
        <x:f>IF(B970="","",IF(COUNT(E970)=0,"MISSING",IF(NOT(ISNUMBER(E970)),"INVALID",IF(E970*F970&lt;K970,"WINSORIZED LOW",IF(E970*F970&gt;L970,"WINSORIZED HIGH","OK")))))</x:f>
      </x:c>
      <x:c r="K970" s="34" t="n">
        <x:v>-300.75</x:v>
      </x:c>
      <x:c r="L970" s="34" t="n">
        <x:v>42.6920305469</x:v>
      </x:c>
      <x:c r="M970" s="34" t="n">
        <x:v>0.08333333333333333</x:v>
      </x:c>
      <x:c r="N970" s="34" t="str">
        <x:v>no</x:v>
      </x:c>
    </x:row>
    <x:row r="971">
      <x:c r="A971" s="34" t="n">
        <x:v>97</x:v>
      </x:c>
      <x:c r="B971" s="34" t="str">
        <x:f>IF('01_INPUT_COMPANIES'!$A$103="","",'01_INPUT_COMPANIES'!$A$103)</x:f>
      </x:c>
      <x:c r="C971" s="34" t="str">
        <x:f>IF(B971="","",'01_INPUT_COMPANIES'!$B$103)</x:f>
      </x:c>
      <x:c r="D971" s="34" t="str">
        <x:v>funding_cost_spread</x:v>
      </x:c>
      <x:c r="E971" s="42" t="str">
        <x:f>IF(OR(B971="",COUNT('01_INPUT_COMPANIES'!$X$103)=0),"",'01_INPUT_COMPANIES'!$X$103)</x:f>
      </x:c>
      <x:c r="F971" s="42" t="n">
        <x:v>1</x:v>
      </x:c>
      <x:c r="G971" s="42" t="str">
        <x:f>IF(NOT(ISNUMBER(E971)),"",MAX(K971,MIN(L971,E971*F971)))</x:f>
      </x:c>
      <x:c r="H971" s="42" t="n">
        <x:v>58</x:v>
      </x:c>
      <x:c r="I971" s="42" t="str">
        <x:f>IF(COUNT(G971)=0,"",(COUNTIFS('93_REF_ANCHORS'!$A$7:$A$766,D971,'93_REF_ANCHORS'!$C$7:$C$766,"&lt;"&amp;G971)+COUNTIFS('93_REF_ANCHORS'!$A$7:$A$766,D971,'93_REF_ANCHORS'!$C$7:$C$766,"&lt;="&amp;G971)-1)/(2*(H971-1)))</x:f>
      </x:c>
      <x:c r="J971" s="34" t="str">
        <x:f>IF(B971="","",IF(COUNT(E971)=0,"MISSING",IF(NOT(ISNUMBER(E971)),"INVALID",IF(E971*F971&lt;K971,"WINSORIZED LOW",IF(E971*F971&gt;L971,"WINSORIZED HIGH","OK")))))</x:f>
      </x:c>
      <x:c r="K971" s="34" t="n">
        <x:v>-0.4430292903</x:v>
      </x:c>
      <x:c r="L971" s="34" t="n">
        <x:v>0.5068913103</x:v>
      </x:c>
      <x:c r="M971" s="34" t="n">
        <x:v>0.08333333333333333</x:v>
      </x:c>
      <x:c r="N971" s="34" t="str">
        <x:v>no</x:v>
      </x:c>
    </x:row>
    <x:row r="972">
      <x:c r="A972" s="34" t="n">
        <x:v>97</x:v>
      </x:c>
      <x:c r="B972" s="34" t="str">
        <x:f>IF('01_INPUT_COMPANIES'!$A$103="","",'01_INPUT_COMPANIES'!$A$103)</x:f>
      </x:c>
      <x:c r="C972" s="34" t="str">
        <x:f>IF(B972="","",'01_INPUT_COMPANIES'!$B$103)</x:f>
      </x:c>
      <x:c r="D972" s="34" t="str">
        <x:v>investment_recovery_ratio</x:v>
      </x:c>
      <x:c r="E972" s="42" t="str">
        <x:f>IF(OR(B972="",COUNT('01_INPUT_COMPANIES'!$Y$103)=0),"",'01_INPUT_COMPANIES'!$Y$103)</x:f>
      </x:c>
      <x:c r="F972" s="42" t="n">
        <x:v>-1</x:v>
      </x:c>
      <x:c r="G972" s="42" t="str">
        <x:f>IF(NOT(ISNUMBER(E972)),"",MAX(K972,MIN(L972,E972*F972)))</x:f>
      </x:c>
      <x:c r="H972" s="42" t="n">
        <x:v>95</x:v>
      </x:c>
      <x:c r="I972" s="42" t="str">
        <x:f>IF(COUNT(G972)=0,"",(COUNTIFS('93_REF_ANCHORS'!$A$7:$A$766,D972,'93_REF_ANCHORS'!$C$7:$C$766,"&lt;"&amp;G972)+COUNTIFS('93_REF_ANCHORS'!$A$7:$A$766,D972,'93_REF_ANCHORS'!$C$7:$C$766,"&lt;="&amp;G972)-1)/(2*(H972-1)))</x:f>
      </x:c>
      <x:c r="J972" s="34" t="str">
        <x:f>IF(B972="","",IF(COUNT(E972)=0,"MISSING",IF(NOT(ISNUMBER(E972)),"INVALID",IF(E972*F972&lt;K972,"WINSORIZED LOW",IF(E972*F972&gt;L972,"WINSORIZED HIGH","OK")))))</x:f>
      </x:c>
      <x:c r="K972" s="34" t="n">
        <x:v>-3163.7500000000014</x:v>
      </x:c>
      <x:c r="L972" s="34" t="n">
        <x:v>189.68191301719997</x:v>
      </x:c>
      <x:c r="M972" s="34" t="n">
        <x:v>0.08333333333333333</x:v>
      </x:c>
      <x:c r="N972" s="34" t="str">
        <x:v>no</x:v>
      </x:c>
    </x:row>
    <x:row r="973">
      <x:c r="A973" s="34" t="n">
        <x:v>97</x:v>
      </x:c>
      <x:c r="B973" s="34" t="str">
        <x:f>IF('01_INPUT_COMPANIES'!$A$103="","",'01_INPUT_COMPANIES'!$A$103)</x:f>
      </x:c>
      <x:c r="C973" s="34" t="str">
        <x:f>IF(B973="","",'01_INPUT_COMPANIES'!$B$103)</x:f>
      </x:c>
      <x:c r="D973" s="34" t="str">
        <x:v>ip_assetization_gap</x:v>
      </x:c>
      <x:c r="E973" s="42" t="str">
        <x:f>IF(OR(B973="",COUNT('01_INPUT_COMPANIES'!$Z$103)=0),"",'01_INPUT_COMPANIES'!$Z$103)</x:f>
      </x:c>
      <x:c r="F973" s="42" t="n">
        <x:v>1</x:v>
      </x:c>
      <x:c r="G973" s="42" t="str">
        <x:f>IF(NOT(ISNUMBER(E973)),"",MAX(K973,MIN(L973,E973*F973)))</x:f>
      </x:c>
      <x:c r="H973" s="42" t="n">
        <x:v>92</x:v>
      </x:c>
      <x:c r="I973" s="42" t="str">
        <x:f>IF(COUNT(G973)=0,"",(COUNTIFS('93_REF_ANCHORS'!$A$7:$A$766,D973,'93_REF_ANCHORS'!$C$7:$C$766,"&lt;"&amp;G973)+COUNTIFS('93_REF_ANCHORS'!$A$7:$A$766,D973,'93_REF_ANCHORS'!$C$7:$C$766,"&lt;="&amp;G973)-1)/(2*(H973-1)))</x:f>
      </x:c>
      <x:c r="J973" s="34" t="str">
        <x:f>IF(B973="","",IF(COUNT(E973)=0,"MISSING",IF(NOT(ISNUMBER(E973)),"INVALID",IF(E973*F973&lt;K973,"WINSORIZED LOW",IF(E973*F973&gt;L973,"WINSORIZED HIGH","OK")))))</x:f>
      </x:c>
      <x:c r="K973" s="34" t="n">
        <x:v>-1.6707152386</x:v>
      </x:c>
      <x:c r="L973" s="34" t="n">
        <x:v>0.7716332556000001</x:v>
      </x:c>
      <x:c r="M973" s="34" t="n">
        <x:v>0.08333333333333333</x:v>
      </x:c>
      <x:c r="N973" s="34" t="str">
        <x:v>no</x:v>
      </x:c>
    </x:row>
    <x:row r="974">
      <x:c r="A974" s="34" t="n">
        <x:v>97</x:v>
      </x:c>
      <x:c r="B974" s="34" t="str">
        <x:f>IF('01_INPUT_COMPANIES'!$A$103="","",'01_INPUT_COMPANIES'!$A$103)</x:f>
      </x:c>
      <x:c r="C974" s="34" t="str">
        <x:f>IF(B974="","",'01_INPUT_COMPANIES'!$B$103)</x:f>
      </x:c>
      <x:c r="D974" s="34" t="str">
        <x:v>cross_market_transfer_index</x:v>
      </x:c>
      <x:c r="E974" s="42" t="str">
        <x:f>IF(OR(B974="",COUNT('01_INPUT_COMPANIES'!$AA$103)=0),"",'01_INPUT_COMPANIES'!$AA$103)</x:f>
      </x:c>
      <x:c r="F974" s="42" t="n">
        <x:v>1</x:v>
      </x:c>
      <x:c r="G974" s="42" t="str">
        <x:f>IF(NOT(ISNUMBER(E974)),"",MAX(K974,MIN(L974,E974*F974)))</x:f>
      </x:c>
      <x:c r="H974" s="42" t="n">
        <x:v>4</x:v>
      </x:c>
      <x:c r="I974" s="42" t="str">
        <x:f>IF(COUNT(G974)=0,"",(COUNTIFS('93_REF_ANCHORS'!$A$7:$A$766,D974,'93_REF_ANCHORS'!$C$7:$C$766,"&lt;"&amp;G974)+COUNTIFS('93_REF_ANCHORS'!$A$7:$A$766,D974,'93_REF_ANCHORS'!$C$7:$C$766,"&lt;="&amp;G974)-1)/(2*(H974-1)))</x:f>
      </x:c>
      <x:c r="J974" s="34" t="str">
        <x:f>IF(B974="","",IF(COUNT(E974)=0,"MISSING",IF(NOT(ISNUMBER(E974)),"INVALID",IF(E974*F974&lt;K974,"WINSORIZED LOW",IF(E974*F974&gt;L974,"WINSORIZED HIGH","OK")))))</x:f>
      </x:c>
      <x:c r="K974" s="34" t="n">
        <x:v>0</x:v>
      </x:c>
      <x:c r="L974" s="34" t="n">
        <x:v>0.7587051325360435</x:v>
      </x:c>
      <x:c r="M974" s="34" t="n">
        <x:v>0.1111111111111111</x:v>
      </x:c>
      <x:c r="N974" s="34" t="str">
        <x:v>yes</x:v>
      </x:c>
    </x:row>
    <x:row r="975">
      <x:c r="A975" s="34" t="n">
        <x:v>97</x:v>
      </x:c>
      <x:c r="B975" s="34" t="str">
        <x:f>IF('01_INPUT_COMPANIES'!$A$103="","",'01_INPUT_COMPANIES'!$A$103)</x:f>
      </x:c>
      <x:c r="C975" s="34" t="str">
        <x:f>IF(B975="","",'01_INPUT_COMPANIES'!$B$103)</x:f>
      </x:c>
      <x:c r="D975" s="34" t="str">
        <x:v>foreign_dependency_ratio</x:v>
      </x:c>
      <x:c r="E975" s="42" t="str">
        <x:f>IF(OR(B975="",COUNT('01_INPUT_COMPANIES'!$AB$103)=0),"",'01_INPUT_COMPANIES'!$AB$103)</x:f>
      </x:c>
      <x:c r="F975" s="42" t="n">
        <x:v>1</x:v>
      </x:c>
      <x:c r="G975" s="42" t="str">
        <x:f>IF(NOT(ISNUMBER(E975)),"",MAX(K975,MIN(L975,E975*F975)))</x:f>
      </x:c>
      <x:c r="H975" s="42" t="n">
        <x:v>84</x:v>
      </x:c>
      <x:c r="I975" s="42" t="str">
        <x:f>IF(COUNT(G975)=0,"",(COUNTIFS('93_REF_ANCHORS'!$A$7:$A$766,D975,'93_REF_ANCHORS'!$C$7:$C$766,"&lt;"&amp;G975)+COUNTIFS('93_REF_ANCHORS'!$A$7:$A$766,D975,'93_REF_ANCHORS'!$C$7:$C$766,"&lt;="&amp;G975)-1)/(2*(H975-1)))</x:f>
      </x:c>
      <x:c r="J975" s="34" t="str">
        <x:f>IF(B975="","",IF(COUNT(E975)=0,"MISSING",IF(NOT(ISNUMBER(E975)),"INVALID",IF(E975*F975&lt;K975,"WINSORIZED LOW",IF(E975*F975&gt;L975,"WINSORIZED HIGH","OK")))))</x:f>
      </x:c>
      <x:c r="K975" s="34" t="n">
        <x:v>0.728196</x:v>
      </x:c>
      <x:c r="L975" s="34" t="n">
        <x:v>0.94</x:v>
      </x:c>
      <x:c r="M975" s="34" t="n">
        <x:v>0.1111111111111111</x:v>
      </x:c>
      <x:c r="N975" s="34" t="str">
        <x:v>yes</x:v>
      </x:c>
    </x:row>
    <x:row r="976">
      <x:c r="A976" s="34" t="n">
        <x:v>97</x:v>
      </x:c>
      <x:c r="B976" s="34" t="str">
        <x:f>IF('01_INPUT_COMPANIES'!$A$103="","",'01_INPUT_COMPANIES'!$A$103)</x:f>
      </x:c>
      <x:c r="C976" s="34" t="str">
        <x:f>IF(B976="","",'01_INPUT_COMPANIES'!$B$103)</x:f>
      </x:c>
      <x:c r="D976" s="34" t="str">
        <x:v>outflow_to_capex_ratio</x:v>
      </x:c>
      <x:c r="E976" s="42" t="str">
        <x:f>IF(OR(B976="",COUNT('01_INPUT_COMPANIES'!$AC$103)=0),"",'01_INPUT_COMPANIES'!$AC$103)</x:f>
      </x:c>
      <x:c r="F976" s="42" t="n">
        <x:v>1</x:v>
      </x:c>
      <x:c r="G976" s="42" t="str">
        <x:f>IF(NOT(ISNUMBER(E976)),"",MAX(K976,MIN(L976,E976*F976)))</x:f>
      </x:c>
      <x:c r="H976" s="42" t="n">
        <x:v>97</x:v>
      </x:c>
      <x:c r="I976" s="42" t="str">
        <x:f>IF(COUNT(G976)=0,"",(COUNTIFS('93_REF_ANCHORS'!$A$7:$A$766,D976,'93_REF_ANCHORS'!$C$7:$C$766,"&lt;"&amp;G976)+COUNTIFS('93_REF_ANCHORS'!$A$7:$A$766,D976,'93_REF_ANCHORS'!$C$7:$C$766,"&lt;="&amp;G976)-1)/(2*(H976-1)))</x:f>
      </x:c>
      <x:c r="J976" s="34" t="str">
        <x:f>IF(B976="","",IF(COUNT(E976)=0,"MISSING",IF(NOT(ISNUMBER(E976)),"INVALID",IF(E976*F976&lt;K976,"WINSORIZED LOW",IF(E976*F976&gt;L976,"WINSORIZED HIGH","OK")))))</x:f>
      </x:c>
      <x:c r="K976" s="34" t="n">
        <x:v>-123.5385890408</x:v>
      </x:c>
      <x:c r="L976" s="34" t="n">
        <x:v>974.1666666666999</x:v>
      </x:c>
      <x:c r="M976" s="34" t="n">
        <x:v>0.1111111111111111</x:v>
      </x:c>
      <x:c r="N976" s="34" t="str">
        <x:v>no</x:v>
      </x:c>
    </x:row>
    <x:row r="977">
      <x:c r="A977" s="34" t="n">
        <x:v>98</x:v>
      </x:c>
      <x:c r="B977" s="34" t="str">
        <x:f>IF('01_INPUT_COMPANIES'!$A$104="","",'01_INPUT_COMPANIES'!$A$104)</x:f>
      </x:c>
      <x:c r="C977" s="34" t="str">
        <x:f>IF(B977="","",'01_INPUT_COMPANIES'!$B$104)</x:f>
      </x:c>
      <x:c r="D977" s="34" t="str">
        <x:v>effective_tax_rate_gap</x:v>
      </x:c>
      <x:c r="E977" s="42" t="str">
        <x:f>IF(OR(B977="",COUNT('01_INPUT_COMPANIES'!$T$104)=0),"",'01_INPUT_COMPANIES'!$T$104)</x:f>
      </x:c>
      <x:c r="F977" s="42" t="n">
        <x:v>1</x:v>
      </x:c>
      <x:c r="G977" s="42" t="str">
        <x:f>IF(NOT(ISNUMBER(E977)),"",MAX(K977,MIN(L977,E977*F977)))</x:f>
      </x:c>
      <x:c r="H977" s="42" t="n">
        <x:v>74</x:v>
      </x:c>
      <x:c r="I977" s="42" t="str">
        <x:f>IF(COUNT(G977)=0,"",(COUNTIFS('93_REF_ANCHORS'!$A$7:$A$766,D977,'93_REF_ANCHORS'!$C$7:$C$766,"&lt;"&amp;G977)+COUNTIFS('93_REF_ANCHORS'!$A$7:$A$766,D977,'93_REF_ANCHORS'!$C$7:$C$766,"&lt;="&amp;G977)-1)/(2*(H977-1)))</x:f>
      </x:c>
      <x:c r="J977" s="34" t="str">
        <x:f>IF(B977="","",IF(COUNT(E977)=0,"MISSING",IF(NOT(ISNUMBER(E977)),"INVALID",IF(E977*F977&lt;K977,"WINSORIZED LOW",IF(E977*F977&gt;L977,"WINSORIZED HIGH","OK")))))</x:f>
      </x:c>
      <x:c r="K977" s="34" t="n">
        <x:v>-0.1416111014</x:v>
      </x:c>
      <x:c r="L977" s="34" t="n">
        <x:v>0.2683650488</x:v>
      </x:c>
      <x:c r="M977" s="34" t="n">
        <x:v>0.1111111111111111</x:v>
      </x:c>
      <x:c r="N977" s="34" t="str">
        <x:v>no</x:v>
      </x:c>
    </x:row>
    <x:row r="978">
      <x:c r="A978" s="34" t="n">
        <x:v>98</x:v>
      </x:c>
      <x:c r="B978" s="34" t="str">
        <x:f>IF('01_INPUT_COMPANIES'!$A$104="","",'01_INPUT_COMPANIES'!$A$104)</x:f>
      </x:c>
      <x:c r="C978" s="34" t="str">
        <x:f>IF(B978="","",'01_INPUT_COMPANIES'!$B$104)</x:f>
      </x:c>
      <x:c r="D978" s="34" t="str">
        <x:v>infra_dependency_ratio</x:v>
      </x:c>
      <x:c r="E978" s="42" t="str">
        <x:f>IF(OR(B978="",COUNT('01_INPUT_COMPANIES'!$U$104)=0),"",'01_INPUT_COMPANIES'!$U$104)</x:f>
      </x:c>
      <x:c r="F978" s="42" t="n">
        <x:v>1</x:v>
      </x:c>
      <x:c r="G978" s="42" t="str">
        <x:f>IF(NOT(ISNUMBER(E978)),"",MAX(K978,MIN(L978,E978*F978)))</x:f>
      </x:c>
      <x:c r="H978" s="42" t="n">
        <x:v>64</x:v>
      </x:c>
      <x:c r="I978" s="42" t="str">
        <x:f>IF(COUNT(G978)=0,"",(COUNTIFS('93_REF_ANCHORS'!$A$7:$A$766,D978,'93_REF_ANCHORS'!$C$7:$C$766,"&lt;"&amp;G978)+COUNTIFS('93_REF_ANCHORS'!$A$7:$A$766,D978,'93_REF_ANCHORS'!$C$7:$C$766,"&lt;="&amp;G978)-1)/(2*(H978-1)))</x:f>
      </x:c>
      <x:c r="J978" s="34" t="str">
        <x:f>IF(B978="","",IF(COUNT(E978)=0,"MISSING",IF(NOT(ISNUMBER(E978)),"INVALID",IF(E978*F978&lt;K978,"WINSORIZED LOW",IF(E978*F978&gt;L978,"WINSORIZED HIGH","OK")))))</x:f>
      </x:c>
      <x:c r="K978" s="34" t="n">
        <x:v>-0.10705024705171803</x:v>
      </x:c>
      <x:c r="L978" s="34" t="n">
        <x:v>0.8008753865408955</x:v>
      </x:c>
      <x:c r="M978" s="34" t="n">
        <x:v>0.1111111111111111</x:v>
      </x:c>
      <x:c r="N978" s="34" t="str">
        <x:v>no</x:v>
      </x:c>
    </x:row>
    <x:row r="979">
      <x:c r="A979" s="34" t="n">
        <x:v>98</x:v>
      </x:c>
      <x:c r="B979" s="34" t="str">
        <x:f>IF('01_INPUT_COMPANIES'!$A$104="","",'01_INPUT_COMPANIES'!$A$104)</x:f>
      </x:c>
      <x:c r="C979" s="34" t="str">
        <x:f>IF(B979="","",'01_INPUT_COMPANIES'!$B$104)</x:f>
      </x:c>
      <x:c r="D979" s="34" t="str">
        <x:v>network_cost_ratio</x:v>
      </x:c>
      <x:c r="E979" s="42" t="str">
        <x:f>IF(OR(B979="",COUNT('01_INPUT_COMPANIES'!$V$104)=0),"",'01_INPUT_COMPANIES'!$V$104)</x:f>
      </x:c>
      <x:c r="F979" s="42" t="n">
        <x:v>1</x:v>
      </x:c>
      <x:c r="G979" s="42" t="str">
        <x:f>IF(NOT(ISNUMBER(E979)),"",MAX(K979,MIN(L979,E979*F979)))</x:f>
      </x:c>
      <x:c r="H979" s="42" t="n">
        <x:v>97</x:v>
      </x:c>
      <x:c r="I979" s="42" t="str">
        <x:f>IF(COUNT(G979)=0,"",(COUNTIFS('93_REF_ANCHORS'!$A$7:$A$766,D979,'93_REF_ANCHORS'!$C$7:$C$766,"&lt;"&amp;G979)+COUNTIFS('93_REF_ANCHORS'!$A$7:$A$766,D979,'93_REF_ANCHORS'!$C$7:$C$766,"&lt;="&amp;G979)-1)/(2*(H979-1)))</x:f>
      </x:c>
      <x:c r="J979" s="34" t="str">
        <x:f>IF(B979="","",IF(COUNT(E979)=0,"MISSING",IF(NOT(ISNUMBER(E979)),"INVALID",IF(E979*F979&lt;K979,"WINSORIZED LOW",IF(E979*F979&gt;L979,"WINSORIZED HIGH","OK")))))</x:f>
      </x:c>
      <x:c r="K979" s="34" t="n">
        <x:v>-0.1395374353</x:v>
      </x:c>
      <x:c r="L979" s="34" t="n">
        <x:v>0.9274274845000001</x:v>
      </x:c>
      <x:c r="M979" s="34" t="n">
        <x:v>0.1111111111111111</x:v>
      </x:c>
      <x:c r="N979" s="34" t="str">
        <x:v>no</x:v>
      </x:c>
    </x:row>
    <x:row r="980">
      <x:c r="A980" s="34" t="n">
        <x:v>98</x:v>
      </x:c>
      <x:c r="B980" s="34" t="str">
        <x:f>IF('01_INPUT_COMPANIES'!$A$104="","",'01_INPUT_COMPANIES'!$A$104)</x:f>
      </x:c>
      <x:c r="C980" s="34" t="str">
        <x:f>IF(B980="","",'01_INPUT_COMPANIES'!$B$104)</x:f>
      </x:c>
      <x:c r="D980" s="34" t="str">
        <x:v>cashflow_recovery_ratio</x:v>
      </x:c>
      <x:c r="E980" s="42" t="str">
        <x:f>IF(OR(B980="",COUNT('01_INPUT_COMPANIES'!$W$104)=0),"",'01_INPUT_COMPANIES'!$W$104)</x:f>
      </x:c>
      <x:c r="F980" s="42" t="n">
        <x:v>-1</x:v>
      </x:c>
      <x:c r="G980" s="42" t="str">
        <x:f>IF(NOT(ISNUMBER(E980)),"",MAX(K980,MIN(L980,E980*F980)))</x:f>
      </x:c>
      <x:c r="H980" s="42" t="n">
        <x:v>95</x:v>
      </x:c>
      <x:c r="I980" s="42" t="str">
        <x:f>IF(COUNT(G980)=0,"",(COUNTIFS('93_REF_ANCHORS'!$A$7:$A$766,D980,'93_REF_ANCHORS'!$C$7:$C$766,"&lt;"&amp;G980)+COUNTIFS('93_REF_ANCHORS'!$A$7:$A$766,D980,'93_REF_ANCHORS'!$C$7:$C$766,"&lt;="&amp;G980)-1)/(2*(H980-1)))</x:f>
      </x:c>
      <x:c r="J980" s="34" t="str">
        <x:f>IF(B980="","",IF(COUNT(E980)=0,"MISSING",IF(NOT(ISNUMBER(E980)),"INVALID",IF(E980*F980&lt;K980,"WINSORIZED LOW",IF(E980*F980&gt;L980,"WINSORIZED HIGH","OK")))))</x:f>
      </x:c>
      <x:c r="K980" s="34" t="n">
        <x:v>-300.75</x:v>
      </x:c>
      <x:c r="L980" s="34" t="n">
        <x:v>42.6920305469</x:v>
      </x:c>
      <x:c r="M980" s="34" t="n">
        <x:v>0.08333333333333333</x:v>
      </x:c>
      <x:c r="N980" s="34" t="str">
        <x:v>no</x:v>
      </x:c>
    </x:row>
    <x:row r="981">
      <x:c r="A981" s="34" t="n">
        <x:v>98</x:v>
      </x:c>
      <x:c r="B981" s="34" t="str">
        <x:f>IF('01_INPUT_COMPANIES'!$A$104="","",'01_INPUT_COMPANIES'!$A$104)</x:f>
      </x:c>
      <x:c r="C981" s="34" t="str">
        <x:f>IF(B981="","",'01_INPUT_COMPANIES'!$B$104)</x:f>
      </x:c>
      <x:c r="D981" s="34" t="str">
        <x:v>funding_cost_spread</x:v>
      </x:c>
      <x:c r="E981" s="42" t="str">
        <x:f>IF(OR(B981="",COUNT('01_INPUT_COMPANIES'!$X$104)=0),"",'01_INPUT_COMPANIES'!$X$104)</x:f>
      </x:c>
      <x:c r="F981" s="42" t="n">
        <x:v>1</x:v>
      </x:c>
      <x:c r="G981" s="42" t="str">
        <x:f>IF(NOT(ISNUMBER(E981)),"",MAX(K981,MIN(L981,E981*F981)))</x:f>
      </x:c>
      <x:c r="H981" s="42" t="n">
        <x:v>58</x:v>
      </x:c>
      <x:c r="I981" s="42" t="str">
        <x:f>IF(COUNT(G981)=0,"",(COUNTIFS('93_REF_ANCHORS'!$A$7:$A$766,D981,'93_REF_ANCHORS'!$C$7:$C$766,"&lt;"&amp;G981)+COUNTIFS('93_REF_ANCHORS'!$A$7:$A$766,D981,'93_REF_ANCHORS'!$C$7:$C$766,"&lt;="&amp;G981)-1)/(2*(H981-1)))</x:f>
      </x:c>
      <x:c r="J981" s="34" t="str">
        <x:f>IF(B981="","",IF(COUNT(E981)=0,"MISSING",IF(NOT(ISNUMBER(E981)),"INVALID",IF(E981*F981&lt;K981,"WINSORIZED LOW",IF(E981*F981&gt;L981,"WINSORIZED HIGH","OK")))))</x:f>
      </x:c>
      <x:c r="K981" s="34" t="n">
        <x:v>-0.4430292903</x:v>
      </x:c>
      <x:c r="L981" s="34" t="n">
        <x:v>0.5068913103</x:v>
      </x:c>
      <x:c r="M981" s="34" t="n">
        <x:v>0.08333333333333333</x:v>
      </x:c>
      <x:c r="N981" s="34" t="str">
        <x:v>no</x:v>
      </x:c>
    </x:row>
    <x:row r="982">
      <x:c r="A982" s="34" t="n">
        <x:v>98</x:v>
      </x:c>
      <x:c r="B982" s="34" t="str">
        <x:f>IF('01_INPUT_COMPANIES'!$A$104="","",'01_INPUT_COMPANIES'!$A$104)</x:f>
      </x:c>
      <x:c r="C982" s="34" t="str">
        <x:f>IF(B982="","",'01_INPUT_COMPANIES'!$B$104)</x:f>
      </x:c>
      <x:c r="D982" s="34" t="str">
        <x:v>investment_recovery_ratio</x:v>
      </x:c>
      <x:c r="E982" s="42" t="str">
        <x:f>IF(OR(B982="",COUNT('01_INPUT_COMPANIES'!$Y$104)=0),"",'01_INPUT_COMPANIES'!$Y$104)</x:f>
      </x:c>
      <x:c r="F982" s="42" t="n">
        <x:v>-1</x:v>
      </x:c>
      <x:c r="G982" s="42" t="str">
        <x:f>IF(NOT(ISNUMBER(E982)),"",MAX(K982,MIN(L982,E982*F982)))</x:f>
      </x:c>
      <x:c r="H982" s="42" t="n">
        <x:v>95</x:v>
      </x:c>
      <x:c r="I982" s="42" t="str">
        <x:f>IF(COUNT(G982)=0,"",(COUNTIFS('93_REF_ANCHORS'!$A$7:$A$766,D982,'93_REF_ANCHORS'!$C$7:$C$766,"&lt;"&amp;G982)+COUNTIFS('93_REF_ANCHORS'!$A$7:$A$766,D982,'93_REF_ANCHORS'!$C$7:$C$766,"&lt;="&amp;G982)-1)/(2*(H982-1)))</x:f>
      </x:c>
      <x:c r="J982" s="34" t="str">
        <x:f>IF(B982="","",IF(COUNT(E982)=0,"MISSING",IF(NOT(ISNUMBER(E982)),"INVALID",IF(E982*F982&lt;K982,"WINSORIZED LOW",IF(E982*F982&gt;L982,"WINSORIZED HIGH","OK")))))</x:f>
      </x:c>
      <x:c r="K982" s="34" t="n">
        <x:v>-3163.7500000000014</x:v>
      </x:c>
      <x:c r="L982" s="34" t="n">
        <x:v>189.68191301719997</x:v>
      </x:c>
      <x:c r="M982" s="34" t="n">
        <x:v>0.08333333333333333</x:v>
      </x:c>
      <x:c r="N982" s="34" t="str">
        <x:v>no</x:v>
      </x:c>
    </x:row>
    <x:row r="983">
      <x:c r="A983" s="34" t="n">
        <x:v>98</x:v>
      </x:c>
      <x:c r="B983" s="34" t="str">
        <x:f>IF('01_INPUT_COMPANIES'!$A$104="","",'01_INPUT_COMPANIES'!$A$104)</x:f>
      </x:c>
      <x:c r="C983" s="34" t="str">
        <x:f>IF(B983="","",'01_INPUT_COMPANIES'!$B$104)</x:f>
      </x:c>
      <x:c r="D983" s="34" t="str">
        <x:v>ip_assetization_gap</x:v>
      </x:c>
      <x:c r="E983" s="42" t="str">
        <x:f>IF(OR(B983="",COUNT('01_INPUT_COMPANIES'!$Z$104)=0),"",'01_INPUT_COMPANIES'!$Z$104)</x:f>
      </x:c>
      <x:c r="F983" s="42" t="n">
        <x:v>1</x:v>
      </x:c>
      <x:c r="G983" s="42" t="str">
        <x:f>IF(NOT(ISNUMBER(E983)),"",MAX(K983,MIN(L983,E983*F983)))</x:f>
      </x:c>
      <x:c r="H983" s="42" t="n">
        <x:v>92</x:v>
      </x:c>
      <x:c r="I983" s="42" t="str">
        <x:f>IF(COUNT(G983)=0,"",(COUNTIFS('93_REF_ANCHORS'!$A$7:$A$766,D983,'93_REF_ANCHORS'!$C$7:$C$766,"&lt;"&amp;G983)+COUNTIFS('93_REF_ANCHORS'!$A$7:$A$766,D983,'93_REF_ANCHORS'!$C$7:$C$766,"&lt;="&amp;G983)-1)/(2*(H983-1)))</x:f>
      </x:c>
      <x:c r="J983" s="34" t="str">
        <x:f>IF(B983="","",IF(COUNT(E983)=0,"MISSING",IF(NOT(ISNUMBER(E983)),"INVALID",IF(E983*F983&lt;K983,"WINSORIZED LOW",IF(E983*F983&gt;L983,"WINSORIZED HIGH","OK")))))</x:f>
      </x:c>
      <x:c r="K983" s="34" t="n">
        <x:v>-1.6707152386</x:v>
      </x:c>
      <x:c r="L983" s="34" t="n">
        <x:v>0.7716332556000001</x:v>
      </x:c>
      <x:c r="M983" s="34" t="n">
        <x:v>0.08333333333333333</x:v>
      </x:c>
      <x:c r="N983" s="34" t="str">
        <x:v>no</x:v>
      </x:c>
    </x:row>
    <x:row r="984">
      <x:c r="A984" s="34" t="n">
        <x:v>98</x:v>
      </x:c>
      <x:c r="B984" s="34" t="str">
        <x:f>IF('01_INPUT_COMPANIES'!$A$104="","",'01_INPUT_COMPANIES'!$A$104)</x:f>
      </x:c>
      <x:c r="C984" s="34" t="str">
        <x:f>IF(B984="","",'01_INPUT_COMPANIES'!$B$104)</x:f>
      </x:c>
      <x:c r="D984" s="34" t="str">
        <x:v>cross_market_transfer_index</x:v>
      </x:c>
      <x:c r="E984" s="42" t="str">
        <x:f>IF(OR(B984="",COUNT('01_INPUT_COMPANIES'!$AA$104)=0),"",'01_INPUT_COMPANIES'!$AA$104)</x:f>
      </x:c>
      <x:c r="F984" s="42" t="n">
        <x:v>1</x:v>
      </x:c>
      <x:c r="G984" s="42" t="str">
        <x:f>IF(NOT(ISNUMBER(E984)),"",MAX(K984,MIN(L984,E984*F984)))</x:f>
      </x:c>
      <x:c r="H984" s="42" t="n">
        <x:v>4</x:v>
      </x:c>
      <x:c r="I984" s="42" t="str">
        <x:f>IF(COUNT(G984)=0,"",(COUNTIFS('93_REF_ANCHORS'!$A$7:$A$766,D984,'93_REF_ANCHORS'!$C$7:$C$766,"&lt;"&amp;G984)+COUNTIFS('93_REF_ANCHORS'!$A$7:$A$766,D984,'93_REF_ANCHORS'!$C$7:$C$766,"&lt;="&amp;G984)-1)/(2*(H984-1)))</x:f>
      </x:c>
      <x:c r="J984" s="34" t="str">
        <x:f>IF(B984="","",IF(COUNT(E984)=0,"MISSING",IF(NOT(ISNUMBER(E984)),"INVALID",IF(E984*F984&lt;K984,"WINSORIZED LOW",IF(E984*F984&gt;L984,"WINSORIZED HIGH","OK")))))</x:f>
      </x:c>
      <x:c r="K984" s="34" t="n">
        <x:v>0</x:v>
      </x:c>
      <x:c r="L984" s="34" t="n">
        <x:v>0.7587051325360435</x:v>
      </x:c>
      <x:c r="M984" s="34" t="n">
        <x:v>0.1111111111111111</x:v>
      </x:c>
      <x:c r="N984" s="34" t="str">
        <x:v>yes</x:v>
      </x:c>
    </x:row>
    <x:row r="985">
      <x:c r="A985" s="34" t="n">
        <x:v>98</x:v>
      </x:c>
      <x:c r="B985" s="34" t="str">
        <x:f>IF('01_INPUT_COMPANIES'!$A$104="","",'01_INPUT_COMPANIES'!$A$104)</x:f>
      </x:c>
      <x:c r="C985" s="34" t="str">
        <x:f>IF(B985="","",'01_INPUT_COMPANIES'!$B$104)</x:f>
      </x:c>
      <x:c r="D985" s="34" t="str">
        <x:v>foreign_dependency_ratio</x:v>
      </x:c>
      <x:c r="E985" s="42" t="str">
        <x:f>IF(OR(B985="",COUNT('01_INPUT_COMPANIES'!$AB$104)=0),"",'01_INPUT_COMPANIES'!$AB$104)</x:f>
      </x:c>
      <x:c r="F985" s="42" t="n">
        <x:v>1</x:v>
      </x:c>
      <x:c r="G985" s="42" t="str">
        <x:f>IF(NOT(ISNUMBER(E985)),"",MAX(K985,MIN(L985,E985*F985)))</x:f>
      </x:c>
      <x:c r="H985" s="42" t="n">
        <x:v>84</x:v>
      </x:c>
      <x:c r="I985" s="42" t="str">
        <x:f>IF(COUNT(G985)=0,"",(COUNTIFS('93_REF_ANCHORS'!$A$7:$A$766,D985,'93_REF_ANCHORS'!$C$7:$C$766,"&lt;"&amp;G985)+COUNTIFS('93_REF_ANCHORS'!$A$7:$A$766,D985,'93_REF_ANCHORS'!$C$7:$C$766,"&lt;="&amp;G985)-1)/(2*(H985-1)))</x:f>
      </x:c>
      <x:c r="J985" s="34" t="str">
        <x:f>IF(B985="","",IF(COUNT(E985)=0,"MISSING",IF(NOT(ISNUMBER(E985)),"INVALID",IF(E985*F985&lt;K985,"WINSORIZED LOW",IF(E985*F985&gt;L985,"WINSORIZED HIGH","OK")))))</x:f>
      </x:c>
      <x:c r="K985" s="34" t="n">
        <x:v>0.728196</x:v>
      </x:c>
      <x:c r="L985" s="34" t="n">
        <x:v>0.94</x:v>
      </x:c>
      <x:c r="M985" s="34" t="n">
        <x:v>0.1111111111111111</x:v>
      </x:c>
      <x:c r="N985" s="34" t="str">
        <x:v>yes</x:v>
      </x:c>
    </x:row>
    <x:row r="986">
      <x:c r="A986" s="34" t="n">
        <x:v>98</x:v>
      </x:c>
      <x:c r="B986" s="34" t="str">
        <x:f>IF('01_INPUT_COMPANIES'!$A$104="","",'01_INPUT_COMPANIES'!$A$104)</x:f>
      </x:c>
      <x:c r="C986" s="34" t="str">
        <x:f>IF(B986="","",'01_INPUT_COMPANIES'!$B$104)</x:f>
      </x:c>
      <x:c r="D986" s="34" t="str">
        <x:v>outflow_to_capex_ratio</x:v>
      </x:c>
      <x:c r="E986" s="42" t="str">
        <x:f>IF(OR(B986="",COUNT('01_INPUT_COMPANIES'!$AC$104)=0),"",'01_INPUT_COMPANIES'!$AC$104)</x:f>
      </x:c>
      <x:c r="F986" s="42" t="n">
        <x:v>1</x:v>
      </x:c>
      <x:c r="G986" s="42" t="str">
        <x:f>IF(NOT(ISNUMBER(E986)),"",MAX(K986,MIN(L986,E986*F986)))</x:f>
      </x:c>
      <x:c r="H986" s="42" t="n">
        <x:v>97</x:v>
      </x:c>
      <x:c r="I986" s="42" t="str">
        <x:f>IF(COUNT(G986)=0,"",(COUNTIFS('93_REF_ANCHORS'!$A$7:$A$766,D986,'93_REF_ANCHORS'!$C$7:$C$766,"&lt;"&amp;G986)+COUNTIFS('93_REF_ANCHORS'!$A$7:$A$766,D986,'93_REF_ANCHORS'!$C$7:$C$766,"&lt;="&amp;G986)-1)/(2*(H986-1)))</x:f>
      </x:c>
      <x:c r="J986" s="34" t="str">
        <x:f>IF(B986="","",IF(COUNT(E986)=0,"MISSING",IF(NOT(ISNUMBER(E986)),"INVALID",IF(E986*F986&lt;K986,"WINSORIZED LOW",IF(E986*F986&gt;L986,"WINSORIZED HIGH","OK")))))</x:f>
      </x:c>
      <x:c r="K986" s="34" t="n">
        <x:v>-123.5385890408</x:v>
      </x:c>
      <x:c r="L986" s="34" t="n">
        <x:v>974.1666666666999</x:v>
      </x:c>
      <x:c r="M986" s="34" t="n">
        <x:v>0.1111111111111111</x:v>
      </x:c>
      <x:c r="N986" s="34" t="str">
        <x:v>no</x:v>
      </x:c>
    </x:row>
    <x:row r="987">
      <x:c r="A987" s="34" t="n">
        <x:v>99</x:v>
      </x:c>
      <x:c r="B987" s="34" t="str">
        <x:f>IF('01_INPUT_COMPANIES'!$A$105="","",'01_INPUT_COMPANIES'!$A$105)</x:f>
      </x:c>
      <x:c r="C987" s="34" t="str">
        <x:f>IF(B987="","",'01_INPUT_COMPANIES'!$B$105)</x:f>
      </x:c>
      <x:c r="D987" s="34" t="str">
        <x:v>effective_tax_rate_gap</x:v>
      </x:c>
      <x:c r="E987" s="42" t="str">
        <x:f>IF(OR(B987="",COUNT('01_INPUT_COMPANIES'!$T$105)=0),"",'01_INPUT_COMPANIES'!$T$105)</x:f>
      </x:c>
      <x:c r="F987" s="42" t="n">
        <x:v>1</x:v>
      </x:c>
      <x:c r="G987" s="42" t="str">
        <x:f>IF(NOT(ISNUMBER(E987)),"",MAX(K987,MIN(L987,E987*F987)))</x:f>
      </x:c>
      <x:c r="H987" s="42" t="n">
        <x:v>74</x:v>
      </x:c>
      <x:c r="I987" s="42" t="str">
        <x:f>IF(COUNT(G987)=0,"",(COUNTIFS('93_REF_ANCHORS'!$A$7:$A$766,D987,'93_REF_ANCHORS'!$C$7:$C$766,"&lt;"&amp;G987)+COUNTIFS('93_REF_ANCHORS'!$A$7:$A$766,D987,'93_REF_ANCHORS'!$C$7:$C$766,"&lt;="&amp;G987)-1)/(2*(H987-1)))</x:f>
      </x:c>
      <x:c r="J987" s="34" t="str">
        <x:f>IF(B987="","",IF(COUNT(E987)=0,"MISSING",IF(NOT(ISNUMBER(E987)),"INVALID",IF(E987*F987&lt;K987,"WINSORIZED LOW",IF(E987*F987&gt;L987,"WINSORIZED HIGH","OK")))))</x:f>
      </x:c>
      <x:c r="K987" s="34" t="n">
        <x:v>-0.1416111014</x:v>
      </x:c>
      <x:c r="L987" s="34" t="n">
        <x:v>0.2683650488</x:v>
      </x:c>
      <x:c r="M987" s="34" t="n">
        <x:v>0.1111111111111111</x:v>
      </x:c>
      <x:c r="N987" s="34" t="str">
        <x:v>no</x:v>
      </x:c>
    </x:row>
    <x:row r="988">
      <x:c r="A988" s="34" t="n">
        <x:v>99</x:v>
      </x:c>
      <x:c r="B988" s="34" t="str">
        <x:f>IF('01_INPUT_COMPANIES'!$A$105="","",'01_INPUT_COMPANIES'!$A$105)</x:f>
      </x:c>
      <x:c r="C988" s="34" t="str">
        <x:f>IF(B988="","",'01_INPUT_COMPANIES'!$B$105)</x:f>
      </x:c>
      <x:c r="D988" s="34" t="str">
        <x:v>infra_dependency_ratio</x:v>
      </x:c>
      <x:c r="E988" s="42" t="str">
        <x:f>IF(OR(B988="",COUNT('01_INPUT_COMPANIES'!$U$105)=0),"",'01_INPUT_COMPANIES'!$U$105)</x:f>
      </x:c>
      <x:c r="F988" s="42" t="n">
        <x:v>1</x:v>
      </x:c>
      <x:c r="G988" s="42" t="str">
        <x:f>IF(NOT(ISNUMBER(E988)),"",MAX(K988,MIN(L988,E988*F988)))</x:f>
      </x:c>
      <x:c r="H988" s="42" t="n">
        <x:v>64</x:v>
      </x:c>
      <x:c r="I988" s="42" t="str">
        <x:f>IF(COUNT(G988)=0,"",(COUNTIFS('93_REF_ANCHORS'!$A$7:$A$766,D988,'93_REF_ANCHORS'!$C$7:$C$766,"&lt;"&amp;G988)+COUNTIFS('93_REF_ANCHORS'!$A$7:$A$766,D988,'93_REF_ANCHORS'!$C$7:$C$766,"&lt;="&amp;G988)-1)/(2*(H988-1)))</x:f>
      </x:c>
      <x:c r="J988" s="34" t="str">
        <x:f>IF(B988="","",IF(COUNT(E988)=0,"MISSING",IF(NOT(ISNUMBER(E988)),"INVALID",IF(E988*F988&lt;K988,"WINSORIZED LOW",IF(E988*F988&gt;L988,"WINSORIZED HIGH","OK")))))</x:f>
      </x:c>
      <x:c r="K988" s="34" t="n">
        <x:v>-0.10705024705171803</x:v>
      </x:c>
      <x:c r="L988" s="34" t="n">
        <x:v>0.8008753865408955</x:v>
      </x:c>
      <x:c r="M988" s="34" t="n">
        <x:v>0.1111111111111111</x:v>
      </x:c>
      <x:c r="N988" s="34" t="str">
        <x:v>no</x:v>
      </x:c>
    </x:row>
    <x:row r="989">
      <x:c r="A989" s="34" t="n">
        <x:v>99</x:v>
      </x:c>
      <x:c r="B989" s="34" t="str">
        <x:f>IF('01_INPUT_COMPANIES'!$A$105="","",'01_INPUT_COMPANIES'!$A$105)</x:f>
      </x:c>
      <x:c r="C989" s="34" t="str">
        <x:f>IF(B989="","",'01_INPUT_COMPANIES'!$B$105)</x:f>
      </x:c>
      <x:c r="D989" s="34" t="str">
        <x:v>network_cost_ratio</x:v>
      </x:c>
      <x:c r="E989" s="42" t="str">
        <x:f>IF(OR(B989="",COUNT('01_INPUT_COMPANIES'!$V$105)=0),"",'01_INPUT_COMPANIES'!$V$105)</x:f>
      </x:c>
      <x:c r="F989" s="42" t="n">
        <x:v>1</x:v>
      </x:c>
      <x:c r="G989" s="42" t="str">
        <x:f>IF(NOT(ISNUMBER(E989)),"",MAX(K989,MIN(L989,E989*F989)))</x:f>
      </x:c>
      <x:c r="H989" s="42" t="n">
        <x:v>97</x:v>
      </x:c>
      <x:c r="I989" s="42" t="str">
        <x:f>IF(COUNT(G989)=0,"",(COUNTIFS('93_REF_ANCHORS'!$A$7:$A$766,D989,'93_REF_ANCHORS'!$C$7:$C$766,"&lt;"&amp;G989)+COUNTIFS('93_REF_ANCHORS'!$A$7:$A$766,D989,'93_REF_ANCHORS'!$C$7:$C$766,"&lt;="&amp;G989)-1)/(2*(H989-1)))</x:f>
      </x:c>
      <x:c r="J989" s="34" t="str">
        <x:f>IF(B989="","",IF(COUNT(E989)=0,"MISSING",IF(NOT(ISNUMBER(E989)),"INVALID",IF(E989*F989&lt;K989,"WINSORIZED LOW",IF(E989*F989&gt;L989,"WINSORIZED HIGH","OK")))))</x:f>
      </x:c>
      <x:c r="K989" s="34" t="n">
        <x:v>-0.1395374353</x:v>
      </x:c>
      <x:c r="L989" s="34" t="n">
        <x:v>0.9274274845000001</x:v>
      </x:c>
      <x:c r="M989" s="34" t="n">
        <x:v>0.1111111111111111</x:v>
      </x:c>
      <x:c r="N989" s="34" t="str">
        <x:v>no</x:v>
      </x:c>
    </x:row>
    <x:row r="990">
      <x:c r="A990" s="34" t="n">
        <x:v>99</x:v>
      </x:c>
      <x:c r="B990" s="34" t="str">
        <x:f>IF('01_INPUT_COMPANIES'!$A$105="","",'01_INPUT_COMPANIES'!$A$105)</x:f>
      </x:c>
      <x:c r="C990" s="34" t="str">
        <x:f>IF(B990="","",'01_INPUT_COMPANIES'!$B$105)</x:f>
      </x:c>
      <x:c r="D990" s="34" t="str">
        <x:v>cashflow_recovery_ratio</x:v>
      </x:c>
      <x:c r="E990" s="42" t="str">
        <x:f>IF(OR(B990="",COUNT('01_INPUT_COMPANIES'!$W$105)=0),"",'01_INPUT_COMPANIES'!$W$105)</x:f>
      </x:c>
      <x:c r="F990" s="42" t="n">
        <x:v>-1</x:v>
      </x:c>
      <x:c r="G990" s="42" t="str">
        <x:f>IF(NOT(ISNUMBER(E990)),"",MAX(K990,MIN(L990,E990*F990)))</x:f>
      </x:c>
      <x:c r="H990" s="42" t="n">
        <x:v>95</x:v>
      </x:c>
      <x:c r="I990" s="42" t="str">
        <x:f>IF(COUNT(G990)=0,"",(COUNTIFS('93_REF_ANCHORS'!$A$7:$A$766,D990,'93_REF_ANCHORS'!$C$7:$C$766,"&lt;"&amp;G990)+COUNTIFS('93_REF_ANCHORS'!$A$7:$A$766,D990,'93_REF_ANCHORS'!$C$7:$C$766,"&lt;="&amp;G990)-1)/(2*(H990-1)))</x:f>
      </x:c>
      <x:c r="J990" s="34" t="str">
        <x:f>IF(B990="","",IF(COUNT(E990)=0,"MISSING",IF(NOT(ISNUMBER(E990)),"INVALID",IF(E990*F990&lt;K990,"WINSORIZED LOW",IF(E990*F990&gt;L990,"WINSORIZED HIGH","OK")))))</x:f>
      </x:c>
      <x:c r="K990" s="34" t="n">
        <x:v>-300.75</x:v>
      </x:c>
      <x:c r="L990" s="34" t="n">
        <x:v>42.6920305469</x:v>
      </x:c>
      <x:c r="M990" s="34" t="n">
        <x:v>0.08333333333333333</x:v>
      </x:c>
      <x:c r="N990" s="34" t="str">
        <x:v>no</x:v>
      </x:c>
    </x:row>
    <x:row r="991">
      <x:c r="A991" s="34" t="n">
        <x:v>99</x:v>
      </x:c>
      <x:c r="B991" s="34" t="str">
        <x:f>IF('01_INPUT_COMPANIES'!$A$105="","",'01_INPUT_COMPANIES'!$A$105)</x:f>
      </x:c>
      <x:c r="C991" s="34" t="str">
        <x:f>IF(B991="","",'01_INPUT_COMPANIES'!$B$105)</x:f>
      </x:c>
      <x:c r="D991" s="34" t="str">
        <x:v>funding_cost_spread</x:v>
      </x:c>
      <x:c r="E991" s="42" t="str">
        <x:f>IF(OR(B991="",COUNT('01_INPUT_COMPANIES'!$X$105)=0),"",'01_INPUT_COMPANIES'!$X$105)</x:f>
      </x:c>
      <x:c r="F991" s="42" t="n">
        <x:v>1</x:v>
      </x:c>
      <x:c r="G991" s="42" t="str">
        <x:f>IF(NOT(ISNUMBER(E991)),"",MAX(K991,MIN(L991,E991*F991)))</x:f>
      </x:c>
      <x:c r="H991" s="42" t="n">
        <x:v>58</x:v>
      </x:c>
      <x:c r="I991" s="42" t="str">
        <x:f>IF(COUNT(G991)=0,"",(COUNTIFS('93_REF_ANCHORS'!$A$7:$A$766,D991,'93_REF_ANCHORS'!$C$7:$C$766,"&lt;"&amp;G991)+COUNTIFS('93_REF_ANCHORS'!$A$7:$A$766,D991,'93_REF_ANCHORS'!$C$7:$C$766,"&lt;="&amp;G991)-1)/(2*(H991-1)))</x:f>
      </x:c>
      <x:c r="J991" s="34" t="str">
        <x:f>IF(B991="","",IF(COUNT(E991)=0,"MISSING",IF(NOT(ISNUMBER(E991)),"INVALID",IF(E991*F991&lt;K991,"WINSORIZED LOW",IF(E991*F991&gt;L991,"WINSORIZED HIGH","OK")))))</x:f>
      </x:c>
      <x:c r="K991" s="34" t="n">
        <x:v>-0.4430292903</x:v>
      </x:c>
      <x:c r="L991" s="34" t="n">
        <x:v>0.5068913103</x:v>
      </x:c>
      <x:c r="M991" s="34" t="n">
        <x:v>0.08333333333333333</x:v>
      </x:c>
      <x:c r="N991" s="34" t="str">
        <x:v>no</x:v>
      </x:c>
    </x:row>
    <x:row r="992">
      <x:c r="A992" s="34" t="n">
        <x:v>99</x:v>
      </x:c>
      <x:c r="B992" s="34" t="str">
        <x:f>IF('01_INPUT_COMPANIES'!$A$105="","",'01_INPUT_COMPANIES'!$A$105)</x:f>
      </x:c>
      <x:c r="C992" s="34" t="str">
        <x:f>IF(B992="","",'01_INPUT_COMPANIES'!$B$105)</x:f>
      </x:c>
      <x:c r="D992" s="34" t="str">
        <x:v>investment_recovery_ratio</x:v>
      </x:c>
      <x:c r="E992" s="42" t="str">
        <x:f>IF(OR(B992="",COUNT('01_INPUT_COMPANIES'!$Y$105)=0),"",'01_INPUT_COMPANIES'!$Y$105)</x:f>
      </x:c>
      <x:c r="F992" s="42" t="n">
        <x:v>-1</x:v>
      </x:c>
      <x:c r="G992" s="42" t="str">
        <x:f>IF(NOT(ISNUMBER(E992)),"",MAX(K992,MIN(L992,E992*F992)))</x:f>
      </x:c>
      <x:c r="H992" s="42" t="n">
        <x:v>95</x:v>
      </x:c>
      <x:c r="I992" s="42" t="str">
        <x:f>IF(COUNT(G992)=0,"",(COUNTIFS('93_REF_ANCHORS'!$A$7:$A$766,D992,'93_REF_ANCHORS'!$C$7:$C$766,"&lt;"&amp;G992)+COUNTIFS('93_REF_ANCHORS'!$A$7:$A$766,D992,'93_REF_ANCHORS'!$C$7:$C$766,"&lt;="&amp;G992)-1)/(2*(H992-1)))</x:f>
      </x:c>
      <x:c r="J992" s="34" t="str">
        <x:f>IF(B992="","",IF(COUNT(E992)=0,"MISSING",IF(NOT(ISNUMBER(E992)),"INVALID",IF(E992*F992&lt;K992,"WINSORIZED LOW",IF(E992*F992&gt;L992,"WINSORIZED HIGH","OK")))))</x:f>
      </x:c>
      <x:c r="K992" s="34" t="n">
        <x:v>-3163.7500000000014</x:v>
      </x:c>
      <x:c r="L992" s="34" t="n">
        <x:v>189.68191301719997</x:v>
      </x:c>
      <x:c r="M992" s="34" t="n">
        <x:v>0.08333333333333333</x:v>
      </x:c>
      <x:c r="N992" s="34" t="str">
        <x:v>no</x:v>
      </x:c>
    </x:row>
    <x:row r="993">
      <x:c r="A993" s="34" t="n">
        <x:v>99</x:v>
      </x:c>
      <x:c r="B993" s="34" t="str">
        <x:f>IF('01_INPUT_COMPANIES'!$A$105="","",'01_INPUT_COMPANIES'!$A$105)</x:f>
      </x:c>
      <x:c r="C993" s="34" t="str">
        <x:f>IF(B993="","",'01_INPUT_COMPANIES'!$B$105)</x:f>
      </x:c>
      <x:c r="D993" s="34" t="str">
        <x:v>ip_assetization_gap</x:v>
      </x:c>
      <x:c r="E993" s="42" t="str">
        <x:f>IF(OR(B993="",COUNT('01_INPUT_COMPANIES'!$Z$105)=0),"",'01_INPUT_COMPANIES'!$Z$105)</x:f>
      </x:c>
      <x:c r="F993" s="42" t="n">
        <x:v>1</x:v>
      </x:c>
      <x:c r="G993" s="42" t="str">
        <x:f>IF(NOT(ISNUMBER(E993)),"",MAX(K993,MIN(L993,E993*F993)))</x:f>
      </x:c>
      <x:c r="H993" s="42" t="n">
        <x:v>92</x:v>
      </x:c>
      <x:c r="I993" s="42" t="str">
        <x:f>IF(COUNT(G993)=0,"",(COUNTIFS('93_REF_ANCHORS'!$A$7:$A$766,D993,'93_REF_ANCHORS'!$C$7:$C$766,"&lt;"&amp;G993)+COUNTIFS('93_REF_ANCHORS'!$A$7:$A$766,D993,'93_REF_ANCHORS'!$C$7:$C$766,"&lt;="&amp;G993)-1)/(2*(H993-1)))</x:f>
      </x:c>
      <x:c r="J993" s="34" t="str">
        <x:f>IF(B993="","",IF(COUNT(E993)=0,"MISSING",IF(NOT(ISNUMBER(E993)),"INVALID",IF(E993*F993&lt;K993,"WINSORIZED LOW",IF(E993*F993&gt;L993,"WINSORIZED HIGH","OK")))))</x:f>
      </x:c>
      <x:c r="K993" s="34" t="n">
        <x:v>-1.6707152386</x:v>
      </x:c>
      <x:c r="L993" s="34" t="n">
        <x:v>0.7716332556000001</x:v>
      </x:c>
      <x:c r="M993" s="34" t="n">
        <x:v>0.08333333333333333</x:v>
      </x:c>
      <x:c r="N993" s="34" t="str">
        <x:v>no</x:v>
      </x:c>
    </x:row>
    <x:row r="994">
      <x:c r="A994" s="34" t="n">
        <x:v>99</x:v>
      </x:c>
      <x:c r="B994" s="34" t="str">
        <x:f>IF('01_INPUT_COMPANIES'!$A$105="","",'01_INPUT_COMPANIES'!$A$105)</x:f>
      </x:c>
      <x:c r="C994" s="34" t="str">
        <x:f>IF(B994="","",'01_INPUT_COMPANIES'!$B$105)</x:f>
      </x:c>
      <x:c r="D994" s="34" t="str">
        <x:v>cross_market_transfer_index</x:v>
      </x:c>
      <x:c r="E994" s="42" t="str">
        <x:f>IF(OR(B994="",COUNT('01_INPUT_COMPANIES'!$AA$105)=0),"",'01_INPUT_COMPANIES'!$AA$105)</x:f>
      </x:c>
      <x:c r="F994" s="42" t="n">
        <x:v>1</x:v>
      </x:c>
      <x:c r="G994" s="42" t="str">
        <x:f>IF(NOT(ISNUMBER(E994)),"",MAX(K994,MIN(L994,E994*F994)))</x:f>
      </x:c>
      <x:c r="H994" s="42" t="n">
        <x:v>4</x:v>
      </x:c>
      <x:c r="I994" s="42" t="str">
        <x:f>IF(COUNT(G994)=0,"",(COUNTIFS('93_REF_ANCHORS'!$A$7:$A$766,D994,'93_REF_ANCHORS'!$C$7:$C$766,"&lt;"&amp;G994)+COUNTIFS('93_REF_ANCHORS'!$A$7:$A$766,D994,'93_REF_ANCHORS'!$C$7:$C$766,"&lt;="&amp;G994)-1)/(2*(H994-1)))</x:f>
      </x:c>
      <x:c r="J994" s="34" t="str">
        <x:f>IF(B994="","",IF(COUNT(E994)=0,"MISSING",IF(NOT(ISNUMBER(E994)),"INVALID",IF(E994*F994&lt;K994,"WINSORIZED LOW",IF(E994*F994&gt;L994,"WINSORIZED HIGH","OK")))))</x:f>
      </x:c>
      <x:c r="K994" s="34" t="n">
        <x:v>0</x:v>
      </x:c>
      <x:c r="L994" s="34" t="n">
        <x:v>0.7587051325360435</x:v>
      </x:c>
      <x:c r="M994" s="34" t="n">
        <x:v>0.1111111111111111</x:v>
      </x:c>
      <x:c r="N994" s="34" t="str">
        <x:v>yes</x:v>
      </x:c>
    </x:row>
    <x:row r="995">
      <x:c r="A995" s="34" t="n">
        <x:v>99</x:v>
      </x:c>
      <x:c r="B995" s="34" t="str">
        <x:f>IF('01_INPUT_COMPANIES'!$A$105="","",'01_INPUT_COMPANIES'!$A$105)</x:f>
      </x:c>
      <x:c r="C995" s="34" t="str">
        <x:f>IF(B995="","",'01_INPUT_COMPANIES'!$B$105)</x:f>
      </x:c>
      <x:c r="D995" s="34" t="str">
        <x:v>foreign_dependency_ratio</x:v>
      </x:c>
      <x:c r="E995" s="42" t="str">
        <x:f>IF(OR(B995="",COUNT('01_INPUT_COMPANIES'!$AB$105)=0),"",'01_INPUT_COMPANIES'!$AB$105)</x:f>
      </x:c>
      <x:c r="F995" s="42" t="n">
        <x:v>1</x:v>
      </x:c>
      <x:c r="G995" s="42" t="str">
        <x:f>IF(NOT(ISNUMBER(E995)),"",MAX(K995,MIN(L995,E995*F995)))</x:f>
      </x:c>
      <x:c r="H995" s="42" t="n">
        <x:v>84</x:v>
      </x:c>
      <x:c r="I995" s="42" t="str">
        <x:f>IF(COUNT(G995)=0,"",(COUNTIFS('93_REF_ANCHORS'!$A$7:$A$766,D995,'93_REF_ANCHORS'!$C$7:$C$766,"&lt;"&amp;G995)+COUNTIFS('93_REF_ANCHORS'!$A$7:$A$766,D995,'93_REF_ANCHORS'!$C$7:$C$766,"&lt;="&amp;G995)-1)/(2*(H995-1)))</x:f>
      </x:c>
      <x:c r="J995" s="34" t="str">
        <x:f>IF(B995="","",IF(COUNT(E995)=0,"MISSING",IF(NOT(ISNUMBER(E995)),"INVALID",IF(E995*F995&lt;K995,"WINSORIZED LOW",IF(E995*F995&gt;L995,"WINSORIZED HIGH","OK")))))</x:f>
      </x:c>
      <x:c r="K995" s="34" t="n">
        <x:v>0.728196</x:v>
      </x:c>
      <x:c r="L995" s="34" t="n">
        <x:v>0.94</x:v>
      </x:c>
      <x:c r="M995" s="34" t="n">
        <x:v>0.1111111111111111</x:v>
      </x:c>
      <x:c r="N995" s="34" t="str">
        <x:v>yes</x:v>
      </x:c>
    </x:row>
    <x:row r="996">
      <x:c r="A996" s="34" t="n">
        <x:v>99</x:v>
      </x:c>
      <x:c r="B996" s="34" t="str">
        <x:f>IF('01_INPUT_COMPANIES'!$A$105="","",'01_INPUT_COMPANIES'!$A$105)</x:f>
      </x:c>
      <x:c r="C996" s="34" t="str">
        <x:f>IF(B996="","",'01_INPUT_COMPANIES'!$B$105)</x:f>
      </x:c>
      <x:c r="D996" s="34" t="str">
        <x:v>outflow_to_capex_ratio</x:v>
      </x:c>
      <x:c r="E996" s="42" t="str">
        <x:f>IF(OR(B996="",COUNT('01_INPUT_COMPANIES'!$AC$105)=0),"",'01_INPUT_COMPANIES'!$AC$105)</x:f>
      </x:c>
      <x:c r="F996" s="42" t="n">
        <x:v>1</x:v>
      </x:c>
      <x:c r="G996" s="42" t="str">
        <x:f>IF(NOT(ISNUMBER(E996)),"",MAX(K996,MIN(L996,E996*F996)))</x:f>
      </x:c>
      <x:c r="H996" s="42" t="n">
        <x:v>97</x:v>
      </x:c>
      <x:c r="I996" s="42" t="str">
        <x:f>IF(COUNT(G996)=0,"",(COUNTIFS('93_REF_ANCHORS'!$A$7:$A$766,D996,'93_REF_ANCHORS'!$C$7:$C$766,"&lt;"&amp;G996)+COUNTIFS('93_REF_ANCHORS'!$A$7:$A$766,D996,'93_REF_ANCHORS'!$C$7:$C$766,"&lt;="&amp;G996)-1)/(2*(H996-1)))</x:f>
      </x:c>
      <x:c r="J996" s="34" t="str">
        <x:f>IF(B996="","",IF(COUNT(E996)=0,"MISSING",IF(NOT(ISNUMBER(E996)),"INVALID",IF(E996*F996&lt;K996,"WINSORIZED LOW",IF(E996*F996&gt;L996,"WINSORIZED HIGH","OK")))))</x:f>
      </x:c>
      <x:c r="K996" s="34" t="n">
        <x:v>-123.5385890408</x:v>
      </x:c>
      <x:c r="L996" s="34" t="n">
        <x:v>974.1666666666999</x:v>
      </x:c>
      <x:c r="M996" s="34" t="n">
        <x:v>0.1111111111111111</x:v>
      </x:c>
      <x:c r="N996" s="34" t="str">
        <x:v>no</x:v>
      </x:c>
    </x:row>
    <x:row r="997">
      <x:c r="A997" s="34" t="n">
        <x:v>100</x:v>
      </x:c>
      <x:c r="B997" s="34" t="str">
        <x:f>IF('01_INPUT_COMPANIES'!$A$106="","",'01_INPUT_COMPANIES'!$A$106)</x:f>
      </x:c>
      <x:c r="C997" s="34" t="str">
        <x:f>IF(B997="","",'01_INPUT_COMPANIES'!$B$106)</x:f>
      </x:c>
      <x:c r="D997" s="34" t="str">
        <x:v>effective_tax_rate_gap</x:v>
      </x:c>
      <x:c r="E997" s="42" t="str">
        <x:f>IF(OR(B997="",COUNT('01_INPUT_COMPANIES'!$T$106)=0),"",'01_INPUT_COMPANIES'!$T$106)</x:f>
      </x:c>
      <x:c r="F997" s="42" t="n">
        <x:v>1</x:v>
      </x:c>
      <x:c r="G997" s="42" t="str">
        <x:f>IF(NOT(ISNUMBER(E997)),"",MAX(K997,MIN(L997,E997*F997)))</x:f>
      </x:c>
      <x:c r="H997" s="42" t="n">
        <x:v>74</x:v>
      </x:c>
      <x:c r="I997" s="42" t="str">
        <x:f>IF(COUNT(G997)=0,"",(COUNTIFS('93_REF_ANCHORS'!$A$7:$A$766,D997,'93_REF_ANCHORS'!$C$7:$C$766,"&lt;"&amp;G997)+COUNTIFS('93_REF_ANCHORS'!$A$7:$A$766,D997,'93_REF_ANCHORS'!$C$7:$C$766,"&lt;="&amp;G997)-1)/(2*(H997-1)))</x:f>
      </x:c>
      <x:c r="J997" s="34" t="str">
        <x:f>IF(B997="","",IF(COUNT(E997)=0,"MISSING",IF(NOT(ISNUMBER(E997)),"INVALID",IF(E997*F997&lt;K997,"WINSORIZED LOW",IF(E997*F997&gt;L997,"WINSORIZED HIGH","OK")))))</x:f>
      </x:c>
      <x:c r="K997" s="34" t="n">
        <x:v>-0.1416111014</x:v>
      </x:c>
      <x:c r="L997" s="34" t="n">
        <x:v>0.2683650488</x:v>
      </x:c>
      <x:c r="M997" s="34" t="n">
        <x:v>0.1111111111111111</x:v>
      </x:c>
      <x:c r="N997" s="34" t="str">
        <x:v>no</x:v>
      </x:c>
    </x:row>
    <x:row r="998">
      <x:c r="A998" s="34" t="n">
        <x:v>100</x:v>
      </x:c>
      <x:c r="B998" s="34" t="str">
        <x:f>IF('01_INPUT_COMPANIES'!$A$106="","",'01_INPUT_COMPANIES'!$A$106)</x:f>
      </x:c>
      <x:c r="C998" s="34" t="str">
        <x:f>IF(B998="","",'01_INPUT_COMPANIES'!$B$106)</x:f>
      </x:c>
      <x:c r="D998" s="34" t="str">
        <x:v>infra_dependency_ratio</x:v>
      </x:c>
      <x:c r="E998" s="42" t="str">
        <x:f>IF(OR(B998="",COUNT('01_INPUT_COMPANIES'!$U$106)=0),"",'01_INPUT_COMPANIES'!$U$106)</x:f>
      </x:c>
      <x:c r="F998" s="42" t="n">
        <x:v>1</x:v>
      </x:c>
      <x:c r="G998" s="42" t="str">
        <x:f>IF(NOT(ISNUMBER(E998)),"",MAX(K998,MIN(L998,E998*F998)))</x:f>
      </x:c>
      <x:c r="H998" s="42" t="n">
        <x:v>64</x:v>
      </x:c>
      <x:c r="I998" s="42" t="str">
        <x:f>IF(COUNT(G998)=0,"",(COUNTIFS('93_REF_ANCHORS'!$A$7:$A$766,D998,'93_REF_ANCHORS'!$C$7:$C$766,"&lt;"&amp;G998)+COUNTIFS('93_REF_ANCHORS'!$A$7:$A$766,D998,'93_REF_ANCHORS'!$C$7:$C$766,"&lt;="&amp;G998)-1)/(2*(H998-1)))</x:f>
      </x:c>
      <x:c r="J998" s="34" t="str">
        <x:f>IF(B998="","",IF(COUNT(E998)=0,"MISSING",IF(NOT(ISNUMBER(E998)),"INVALID",IF(E998*F998&lt;K998,"WINSORIZED LOW",IF(E998*F998&gt;L998,"WINSORIZED HIGH","OK")))))</x:f>
      </x:c>
      <x:c r="K998" s="34" t="n">
        <x:v>-0.10705024705171803</x:v>
      </x:c>
      <x:c r="L998" s="34" t="n">
        <x:v>0.8008753865408955</x:v>
      </x:c>
      <x:c r="M998" s="34" t="n">
        <x:v>0.1111111111111111</x:v>
      </x:c>
      <x:c r="N998" s="34" t="str">
        <x:v>no</x:v>
      </x:c>
    </x:row>
    <x:row r="999">
      <x:c r="A999" s="34" t="n">
        <x:v>100</x:v>
      </x:c>
      <x:c r="B999" s="34" t="str">
        <x:f>IF('01_INPUT_COMPANIES'!$A$106="","",'01_INPUT_COMPANIES'!$A$106)</x:f>
      </x:c>
      <x:c r="C999" s="34" t="str">
        <x:f>IF(B999="","",'01_INPUT_COMPANIES'!$B$106)</x:f>
      </x:c>
      <x:c r="D999" s="34" t="str">
        <x:v>network_cost_ratio</x:v>
      </x:c>
      <x:c r="E999" s="42" t="str">
        <x:f>IF(OR(B999="",COUNT('01_INPUT_COMPANIES'!$V$106)=0),"",'01_INPUT_COMPANIES'!$V$106)</x:f>
      </x:c>
      <x:c r="F999" s="42" t="n">
        <x:v>1</x:v>
      </x:c>
      <x:c r="G999" s="42" t="str">
        <x:f>IF(NOT(ISNUMBER(E999)),"",MAX(K999,MIN(L999,E999*F999)))</x:f>
      </x:c>
      <x:c r="H999" s="42" t="n">
        <x:v>97</x:v>
      </x:c>
      <x:c r="I999" s="42" t="str">
        <x:f>IF(COUNT(G999)=0,"",(COUNTIFS('93_REF_ANCHORS'!$A$7:$A$766,D999,'93_REF_ANCHORS'!$C$7:$C$766,"&lt;"&amp;G999)+COUNTIFS('93_REF_ANCHORS'!$A$7:$A$766,D999,'93_REF_ANCHORS'!$C$7:$C$766,"&lt;="&amp;G999)-1)/(2*(H999-1)))</x:f>
      </x:c>
      <x:c r="J999" s="34" t="str">
        <x:f>IF(B999="","",IF(COUNT(E999)=0,"MISSING",IF(NOT(ISNUMBER(E999)),"INVALID",IF(E999*F999&lt;K999,"WINSORIZED LOW",IF(E999*F999&gt;L999,"WINSORIZED HIGH","OK")))))</x:f>
      </x:c>
      <x:c r="K999" s="34" t="n">
        <x:v>-0.1395374353</x:v>
      </x:c>
      <x:c r="L999" s="34" t="n">
        <x:v>0.9274274845000001</x:v>
      </x:c>
      <x:c r="M999" s="34" t="n">
        <x:v>0.1111111111111111</x:v>
      </x:c>
      <x:c r="N999" s="34" t="str">
        <x:v>no</x:v>
      </x:c>
    </x:row>
    <x:row r="1000">
      <x:c r="A1000" s="34" t="n">
        <x:v>100</x:v>
      </x:c>
      <x:c r="B1000" s="34" t="str">
        <x:f>IF('01_INPUT_COMPANIES'!$A$106="","",'01_INPUT_COMPANIES'!$A$106)</x:f>
      </x:c>
      <x:c r="C1000" s="34" t="str">
        <x:f>IF(B1000="","",'01_INPUT_COMPANIES'!$B$106)</x:f>
      </x:c>
      <x:c r="D1000" s="34" t="str">
        <x:v>cashflow_recovery_ratio</x:v>
      </x:c>
      <x:c r="E1000" s="42" t="str">
        <x:f>IF(OR(B1000="",COUNT('01_INPUT_COMPANIES'!$W$106)=0),"",'01_INPUT_COMPANIES'!$W$106)</x:f>
      </x:c>
      <x:c r="F1000" s="42" t="n">
        <x:v>-1</x:v>
      </x:c>
      <x:c r="G1000" s="42" t="str">
        <x:f>IF(NOT(ISNUMBER(E1000)),"",MAX(K1000,MIN(L1000,E1000*F1000)))</x:f>
      </x:c>
      <x:c r="H1000" s="42" t="n">
        <x:v>95</x:v>
      </x:c>
      <x:c r="I1000" s="42" t="str">
        <x:f>IF(COUNT(G1000)=0,"",(COUNTIFS('93_REF_ANCHORS'!$A$7:$A$766,D1000,'93_REF_ANCHORS'!$C$7:$C$766,"&lt;"&amp;G1000)+COUNTIFS('93_REF_ANCHORS'!$A$7:$A$766,D1000,'93_REF_ANCHORS'!$C$7:$C$766,"&lt;="&amp;G1000)-1)/(2*(H1000-1)))</x:f>
      </x:c>
      <x:c r="J1000" s="34" t="str">
        <x:f>IF(B1000="","",IF(COUNT(E1000)=0,"MISSING",IF(NOT(ISNUMBER(E1000)),"INVALID",IF(E1000*F1000&lt;K1000,"WINSORIZED LOW",IF(E1000*F1000&gt;L1000,"WINSORIZED HIGH","OK")))))</x:f>
      </x:c>
      <x:c r="K1000" s="34" t="n">
        <x:v>-300.75</x:v>
      </x:c>
      <x:c r="L1000" s="34" t="n">
        <x:v>42.6920305469</x:v>
      </x:c>
      <x:c r="M1000" s="34" t="n">
        <x:v>0.08333333333333333</x:v>
      </x:c>
      <x:c r="N1000" s="34" t="str">
        <x:v>no</x:v>
      </x:c>
    </x:row>
    <x:row r="1001">
      <x:c r="A1001" s="34" t="n">
        <x:v>100</x:v>
      </x:c>
      <x:c r="B1001" s="34" t="str">
        <x:f>IF('01_INPUT_COMPANIES'!$A$106="","",'01_INPUT_COMPANIES'!$A$106)</x:f>
      </x:c>
      <x:c r="C1001" s="34" t="str">
        <x:f>IF(B1001="","",'01_INPUT_COMPANIES'!$B$106)</x:f>
      </x:c>
      <x:c r="D1001" s="34" t="str">
        <x:v>funding_cost_spread</x:v>
      </x:c>
      <x:c r="E1001" s="42" t="str">
        <x:f>IF(OR(B1001="",COUNT('01_INPUT_COMPANIES'!$X$106)=0),"",'01_INPUT_COMPANIES'!$X$106)</x:f>
      </x:c>
      <x:c r="F1001" s="42" t="n">
        <x:v>1</x:v>
      </x:c>
      <x:c r="G1001" s="42" t="str">
        <x:f>IF(NOT(ISNUMBER(E1001)),"",MAX(K1001,MIN(L1001,E1001*F1001)))</x:f>
      </x:c>
      <x:c r="H1001" s="42" t="n">
        <x:v>58</x:v>
      </x:c>
      <x:c r="I1001" s="42" t="str">
        <x:f>IF(COUNT(G1001)=0,"",(COUNTIFS('93_REF_ANCHORS'!$A$7:$A$766,D1001,'93_REF_ANCHORS'!$C$7:$C$766,"&lt;"&amp;G1001)+COUNTIFS('93_REF_ANCHORS'!$A$7:$A$766,D1001,'93_REF_ANCHORS'!$C$7:$C$766,"&lt;="&amp;G1001)-1)/(2*(H1001-1)))</x:f>
      </x:c>
      <x:c r="J1001" s="34" t="str">
        <x:f>IF(B1001="","",IF(COUNT(E1001)=0,"MISSING",IF(NOT(ISNUMBER(E1001)),"INVALID",IF(E1001*F1001&lt;K1001,"WINSORIZED LOW",IF(E1001*F1001&gt;L1001,"WINSORIZED HIGH","OK")))))</x:f>
      </x:c>
      <x:c r="K1001" s="34" t="n">
        <x:v>-0.4430292903</x:v>
      </x:c>
      <x:c r="L1001" s="34" t="n">
        <x:v>0.5068913103</x:v>
      </x:c>
      <x:c r="M1001" s="34" t="n">
        <x:v>0.08333333333333333</x:v>
      </x:c>
      <x:c r="N1001" s="34" t="str">
        <x:v>no</x:v>
      </x:c>
    </x:row>
    <x:row r="1002">
      <x:c r="A1002" s="34" t="n">
        <x:v>100</x:v>
      </x:c>
      <x:c r="B1002" s="34" t="str">
        <x:f>IF('01_INPUT_COMPANIES'!$A$106="","",'01_INPUT_COMPANIES'!$A$106)</x:f>
      </x:c>
      <x:c r="C1002" s="34" t="str">
        <x:f>IF(B1002="","",'01_INPUT_COMPANIES'!$B$106)</x:f>
      </x:c>
      <x:c r="D1002" s="34" t="str">
        <x:v>investment_recovery_ratio</x:v>
      </x:c>
      <x:c r="E1002" s="42" t="str">
        <x:f>IF(OR(B1002="",COUNT('01_INPUT_COMPANIES'!$Y$106)=0),"",'01_INPUT_COMPANIES'!$Y$106)</x:f>
      </x:c>
      <x:c r="F1002" s="42" t="n">
        <x:v>-1</x:v>
      </x:c>
      <x:c r="G1002" s="42" t="str">
        <x:f>IF(NOT(ISNUMBER(E1002)),"",MAX(K1002,MIN(L1002,E1002*F1002)))</x:f>
      </x:c>
      <x:c r="H1002" s="42" t="n">
        <x:v>95</x:v>
      </x:c>
      <x:c r="I1002" s="42" t="str">
        <x:f>IF(COUNT(G1002)=0,"",(COUNTIFS('93_REF_ANCHORS'!$A$7:$A$766,D1002,'93_REF_ANCHORS'!$C$7:$C$766,"&lt;"&amp;G1002)+COUNTIFS('93_REF_ANCHORS'!$A$7:$A$766,D1002,'93_REF_ANCHORS'!$C$7:$C$766,"&lt;="&amp;G1002)-1)/(2*(H1002-1)))</x:f>
      </x:c>
      <x:c r="J1002" s="34" t="str">
        <x:f>IF(B1002="","",IF(COUNT(E1002)=0,"MISSING",IF(NOT(ISNUMBER(E1002)),"INVALID",IF(E1002*F1002&lt;K1002,"WINSORIZED LOW",IF(E1002*F1002&gt;L1002,"WINSORIZED HIGH","OK")))))</x:f>
      </x:c>
      <x:c r="K1002" s="34" t="n">
        <x:v>-3163.7500000000014</x:v>
      </x:c>
      <x:c r="L1002" s="34" t="n">
        <x:v>189.68191301719997</x:v>
      </x:c>
      <x:c r="M1002" s="34" t="n">
        <x:v>0.08333333333333333</x:v>
      </x:c>
      <x:c r="N1002" s="34" t="str">
        <x:v>no</x:v>
      </x:c>
    </x:row>
    <x:row r="1003">
      <x:c r="A1003" s="34" t="n">
        <x:v>100</x:v>
      </x:c>
      <x:c r="B1003" s="34" t="str">
        <x:f>IF('01_INPUT_COMPANIES'!$A$106="","",'01_INPUT_COMPANIES'!$A$106)</x:f>
      </x:c>
      <x:c r="C1003" s="34" t="str">
        <x:f>IF(B1003="","",'01_INPUT_COMPANIES'!$B$106)</x:f>
      </x:c>
      <x:c r="D1003" s="34" t="str">
        <x:v>ip_assetization_gap</x:v>
      </x:c>
      <x:c r="E1003" s="42" t="str">
        <x:f>IF(OR(B1003="",COUNT('01_INPUT_COMPANIES'!$Z$106)=0),"",'01_INPUT_COMPANIES'!$Z$106)</x:f>
      </x:c>
      <x:c r="F1003" s="42" t="n">
        <x:v>1</x:v>
      </x:c>
      <x:c r="G1003" s="42" t="str">
        <x:f>IF(NOT(ISNUMBER(E1003)),"",MAX(K1003,MIN(L1003,E1003*F1003)))</x:f>
      </x:c>
      <x:c r="H1003" s="42" t="n">
        <x:v>92</x:v>
      </x:c>
      <x:c r="I1003" s="42" t="str">
        <x:f>IF(COUNT(G1003)=0,"",(COUNTIFS('93_REF_ANCHORS'!$A$7:$A$766,D1003,'93_REF_ANCHORS'!$C$7:$C$766,"&lt;"&amp;G1003)+COUNTIFS('93_REF_ANCHORS'!$A$7:$A$766,D1003,'93_REF_ANCHORS'!$C$7:$C$766,"&lt;="&amp;G1003)-1)/(2*(H1003-1)))</x:f>
      </x:c>
      <x:c r="J1003" s="34" t="str">
        <x:f>IF(B1003="","",IF(COUNT(E1003)=0,"MISSING",IF(NOT(ISNUMBER(E1003)),"INVALID",IF(E1003*F1003&lt;K1003,"WINSORIZED LOW",IF(E1003*F1003&gt;L1003,"WINSORIZED HIGH","OK")))))</x:f>
      </x:c>
      <x:c r="K1003" s="34" t="n">
        <x:v>-1.6707152386</x:v>
      </x:c>
      <x:c r="L1003" s="34" t="n">
        <x:v>0.7716332556000001</x:v>
      </x:c>
      <x:c r="M1003" s="34" t="n">
        <x:v>0.08333333333333333</x:v>
      </x:c>
      <x:c r="N1003" s="34" t="str">
        <x:v>no</x:v>
      </x:c>
    </x:row>
    <x:row r="1004">
      <x:c r="A1004" s="34" t="n">
        <x:v>100</x:v>
      </x:c>
      <x:c r="B1004" s="34" t="str">
        <x:f>IF('01_INPUT_COMPANIES'!$A$106="","",'01_INPUT_COMPANIES'!$A$106)</x:f>
      </x:c>
      <x:c r="C1004" s="34" t="str">
        <x:f>IF(B1004="","",'01_INPUT_COMPANIES'!$B$106)</x:f>
      </x:c>
      <x:c r="D1004" s="34" t="str">
        <x:v>cross_market_transfer_index</x:v>
      </x:c>
      <x:c r="E1004" s="42" t="str">
        <x:f>IF(OR(B1004="",COUNT('01_INPUT_COMPANIES'!$AA$106)=0),"",'01_INPUT_COMPANIES'!$AA$106)</x:f>
      </x:c>
      <x:c r="F1004" s="42" t="n">
        <x:v>1</x:v>
      </x:c>
      <x:c r="G1004" s="42" t="str">
        <x:f>IF(NOT(ISNUMBER(E1004)),"",MAX(K1004,MIN(L1004,E1004*F1004)))</x:f>
      </x:c>
      <x:c r="H1004" s="42" t="n">
        <x:v>4</x:v>
      </x:c>
      <x:c r="I1004" s="42" t="str">
        <x:f>IF(COUNT(G1004)=0,"",(COUNTIFS('93_REF_ANCHORS'!$A$7:$A$766,D1004,'93_REF_ANCHORS'!$C$7:$C$766,"&lt;"&amp;G1004)+COUNTIFS('93_REF_ANCHORS'!$A$7:$A$766,D1004,'93_REF_ANCHORS'!$C$7:$C$766,"&lt;="&amp;G1004)-1)/(2*(H1004-1)))</x:f>
      </x:c>
      <x:c r="J1004" s="34" t="str">
        <x:f>IF(B1004="","",IF(COUNT(E1004)=0,"MISSING",IF(NOT(ISNUMBER(E1004)),"INVALID",IF(E1004*F1004&lt;K1004,"WINSORIZED LOW",IF(E1004*F1004&gt;L1004,"WINSORIZED HIGH","OK")))))</x:f>
      </x:c>
      <x:c r="K1004" s="34" t="n">
        <x:v>0</x:v>
      </x:c>
      <x:c r="L1004" s="34" t="n">
        <x:v>0.7587051325360435</x:v>
      </x:c>
      <x:c r="M1004" s="34" t="n">
        <x:v>0.1111111111111111</x:v>
      </x:c>
      <x:c r="N1004" s="34" t="str">
        <x:v>yes</x:v>
      </x:c>
    </x:row>
    <x:row r="1005">
      <x:c r="A1005" s="34" t="n">
        <x:v>100</x:v>
      </x:c>
      <x:c r="B1005" s="34" t="str">
        <x:f>IF('01_INPUT_COMPANIES'!$A$106="","",'01_INPUT_COMPANIES'!$A$106)</x:f>
      </x:c>
      <x:c r="C1005" s="34" t="str">
        <x:f>IF(B1005="","",'01_INPUT_COMPANIES'!$B$106)</x:f>
      </x:c>
      <x:c r="D1005" s="34" t="str">
        <x:v>foreign_dependency_ratio</x:v>
      </x:c>
      <x:c r="E1005" s="42" t="str">
        <x:f>IF(OR(B1005="",COUNT('01_INPUT_COMPANIES'!$AB$106)=0),"",'01_INPUT_COMPANIES'!$AB$106)</x:f>
      </x:c>
      <x:c r="F1005" s="42" t="n">
        <x:v>1</x:v>
      </x:c>
      <x:c r="G1005" s="42" t="str">
        <x:f>IF(NOT(ISNUMBER(E1005)),"",MAX(K1005,MIN(L1005,E1005*F1005)))</x:f>
      </x:c>
      <x:c r="H1005" s="42" t="n">
        <x:v>84</x:v>
      </x:c>
      <x:c r="I1005" s="42" t="str">
        <x:f>IF(COUNT(G1005)=0,"",(COUNTIFS('93_REF_ANCHORS'!$A$7:$A$766,D1005,'93_REF_ANCHORS'!$C$7:$C$766,"&lt;"&amp;G1005)+COUNTIFS('93_REF_ANCHORS'!$A$7:$A$766,D1005,'93_REF_ANCHORS'!$C$7:$C$766,"&lt;="&amp;G1005)-1)/(2*(H1005-1)))</x:f>
      </x:c>
      <x:c r="J1005" s="34" t="str">
        <x:f>IF(B1005="","",IF(COUNT(E1005)=0,"MISSING",IF(NOT(ISNUMBER(E1005)),"INVALID",IF(E1005*F1005&lt;K1005,"WINSORIZED LOW",IF(E1005*F1005&gt;L1005,"WINSORIZED HIGH","OK")))))</x:f>
      </x:c>
      <x:c r="K1005" s="34" t="n">
        <x:v>0.728196</x:v>
      </x:c>
      <x:c r="L1005" s="34" t="n">
        <x:v>0.94</x:v>
      </x:c>
      <x:c r="M1005" s="34" t="n">
        <x:v>0.1111111111111111</x:v>
      </x:c>
      <x:c r="N1005" s="34" t="str">
        <x:v>yes</x:v>
      </x:c>
    </x:row>
    <x:row r="1006">
      <x:c r="A1006" s="34" t="n">
        <x:v>100</x:v>
      </x:c>
      <x:c r="B1006" s="34" t="str">
        <x:f>IF('01_INPUT_COMPANIES'!$A$106="","",'01_INPUT_COMPANIES'!$A$106)</x:f>
      </x:c>
      <x:c r="C1006" s="34" t="str">
        <x:f>IF(B1006="","",'01_INPUT_COMPANIES'!$B$106)</x:f>
      </x:c>
      <x:c r="D1006" s="34" t="str">
        <x:v>outflow_to_capex_ratio</x:v>
      </x:c>
      <x:c r="E1006" s="42" t="str">
        <x:f>IF(OR(B1006="",COUNT('01_INPUT_COMPANIES'!$AC$106)=0),"",'01_INPUT_COMPANIES'!$AC$106)</x:f>
      </x:c>
      <x:c r="F1006" s="42" t="n">
        <x:v>1</x:v>
      </x:c>
      <x:c r="G1006" s="42" t="str">
        <x:f>IF(NOT(ISNUMBER(E1006)),"",MAX(K1006,MIN(L1006,E1006*F1006)))</x:f>
      </x:c>
      <x:c r="H1006" s="42" t="n">
        <x:v>97</x:v>
      </x:c>
      <x:c r="I1006" s="42" t="str">
        <x:f>IF(COUNT(G1006)=0,"",(COUNTIFS('93_REF_ANCHORS'!$A$7:$A$766,D1006,'93_REF_ANCHORS'!$C$7:$C$766,"&lt;"&amp;G1006)+COUNTIFS('93_REF_ANCHORS'!$A$7:$A$766,D1006,'93_REF_ANCHORS'!$C$7:$C$766,"&lt;="&amp;G1006)-1)/(2*(H1006-1)))</x:f>
      </x:c>
      <x:c r="J1006" s="34" t="str">
        <x:f>IF(B1006="","",IF(COUNT(E1006)=0,"MISSING",IF(NOT(ISNUMBER(E1006)),"INVALID",IF(E1006*F1006&lt;K1006,"WINSORIZED LOW",IF(E1006*F1006&gt;L1006,"WINSORIZED HIGH","OK")))))</x:f>
      </x:c>
      <x:c r="K1006" s="34" t="n">
        <x:v>-123.5385890408</x:v>
      </x:c>
      <x:c r="L1006" s="34" t="n">
        <x:v>974.1666666666999</x:v>
      </x:c>
      <x:c r="M1006" s="34" t="n">
        <x:v>0.1111111111111111</x:v>
      </x:c>
      <x:c r="N1006" s="34" t="str">
        <x:v>no</x:v>
      </x:c>
    </x:row>
  </x:sheetData>
  <x:mergeCells>
    <x:mergeCell ref="A1:N1"/>
    <x:mergeCell ref="A2:N3"/>
  </x:mergeCells>
  <x:conditionalFormatting sqref="J7:J1006">
    <x:cfRule type="containsText" dxfId="9" priority="1" operator="containsText" text="MISSING"/>
    <x:cfRule type="containsText" dxfId="10" priority="2" operator="containsText" text="INVALID"/>
    <x:cfRule type="containsText" dxfId="11" priority="3" operator="containsText" text="WINSORIZ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18" hidden="0" customWidth="1"/>
    <x:col min="10" max="10" width="18" hidden="0" customWidth="1"/>
    <x:col min="11" max="11" width="58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30" hidden="0" customWidth="1"/>
  </x:cols>
  <x:sheetData>
    <x:row r="1" ht="30" customHeight="1">
      <x:c r="A1" s="3" t="str">
        <x:v>91 | 회사별 CPII 계산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24" customHeight="1">
      <x:c r="A2" s="7" t="str">
        <x:v>계산 시트입니다. strict 10-feature 완전관측만 CPII를 표시하며 기업 백분위는 제공하지 않습니다.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</x:row>
    <x:row r="6" ht="48" customHeight="1">
      <x:c r="A6" s="13" t="str">
        <x:v>관측 ID</x:v>
      </x:c>
      <x:c r="B6" s="13" t="str">
        <x:v>회사명</x:v>
      </x:c>
      <x:c r="C6" s="13" t="str">
        <x:v>그룹</x:v>
      </x:c>
      <x:c r="D6" s="13" t="str">
        <x:v>산업</x:v>
      </x:c>
      <x:c r="E6" s="13" t="str">
        <x:v>서비스</x:v>
      </x:c>
      <x:c r="F6" s="13" t="str">
        <x:v>시장</x:v>
      </x:c>
      <x:c r="G6" s="13" t="str">
        <x:v>기간</x:v>
      </x:c>
      <x:c r="H6" s="13" t="str">
        <x:v>Benchmark</x:v>
      </x:c>
      <x:c r="I6" s="13" t="str">
        <x:v>품질</x:v>
      </x:c>
      <x:c r="J6" s="13" t="str">
        <x:v>구축방식</x:v>
      </x:c>
      <x:c r="K6" s="13" t="str">
        <x:v>Cohort ID</x:v>
      </x:c>
      <x:c r="L6" s="13" t="str">
        <x:v>N:유효세율 격차</x:v>
      </x:c>
      <x:c r="M6" s="13" t="str">
        <x:v>N:인프라 비용·해외의존 결합비율</x:v>
      </x:c>
      <x:c r="N6" s="13" t="str">
        <x:v>N:네트워크 비용률</x:v>
      </x:c>
      <x:c r="O6" s="13" t="str">
        <x:v>N:세전이익 기반 회수 대리값</x:v>
      </x:c>
      <x:c r="P6" s="13" t="str">
        <x:v>N:자금조달비용 스프레드</x:v>
      </x:c>
      <x:c r="Q6" s="13" t="str">
        <x:v>N:투자 회수율</x:v>
      </x:c>
      <x:c r="R6" s="13" t="str">
        <x:v>N:IP 자산화 결손</x:v>
      </x:c>
      <x:c r="S6" s="13" t="str">
        <x:v>N:시장간 전이 대리지수</x:v>
      </x:c>
      <x:c r="T6" s="13" t="str">
        <x:v>N:해외의존비율</x:v>
      </x:c>
      <x:c r="U6" s="13" t="str">
        <x:v>N:비용 대비 설비투자 압박률</x:v>
      </x:c>
      <x:c r="V6" s="13" t="str">
        <x:v>I_reg</x:v>
      </x:c>
      <x:c r="W6" s="13" t="str">
        <x:v>I_risk</x:v>
      </x:c>
      <x:c r="X6" s="13" t="str">
        <x:v>I_market</x:v>
      </x:c>
      <x:c r="Y6" s="13" t="str">
        <x:v>CPII</x:v>
      </x:c>
      <x:c r="Z6" s="13" t="str">
        <x:v>원본예시 기대값</x:v>
      </x:c>
      <x:c r="AA6" s="13" t="str">
        <x:v>절대오차</x:v>
      </x:c>
      <x:c r="AB6" s="13" t="str">
        <x:v>상태</x:v>
      </x:c>
      <x:c r="AC6" s="13" t="str">
        <x:v>해석 제한</x:v>
      </x:c>
      <x:c r="AD6" s="13" t="str">
        <x:v>v2 입력계약 검사</x:v>
      </x:c>
    </x:row>
    <x:row r="7" ht="26.399999618530273" hidden="0" customHeight="1">
      <x:c r="A7" s="34" t="str">
        <x:f>IF(OR('01_INPUT_COMPANIES'!$A$7="",'01_INPUT_COMPANIES'!$A$7=""),"",'01_INPUT_COMPANIES'!$A$7)</x:f>
        <x:v>SYN-A</x:v>
      </x:c>
      <x:c r="B7" s="34" t="str">
        <x:f>IF(OR('01_INPUT_COMPANIES'!$A$7="",'01_INPUT_COMPANIES'!$B$7=""),"",'01_INPUT_COMPANIES'!$B$7)</x:f>
        <x:v>가온 콘텐츠</x:v>
      </x:c>
      <x:c r="C7" s="34" t="str">
        <x:f>IF(OR('01_INPUT_COMPANIES'!$A$7="",'01_INPUT_COMPANIES'!$C$7=""),"",'01_INPUT_COMPANIES'!$C$7)</x:f>
        <x:v>domestic</x:v>
      </x:c>
      <x:c r="D7" s="34" t="str">
        <x:f>IF(OR('01_INPUT_COMPANIES'!$A$7="",'01_INPUT_COMPANIES'!$D$7=""),"",'01_INPUT_COMPANIES'!$D$7)</x:f>
        <x:v>digital_content</x:v>
      </x:c>
      <x:c r="E7" s="34" t="str">
        <x:f>IF(OR('01_INPUT_COMPANIES'!$A$7="",'01_INPUT_COMPANIES'!$E$7=""),"",'01_INPUT_COMPANIES'!$E$7)</x:f>
        <x:v>integrated_content</x:v>
      </x:c>
      <x:c r="F7" s="34" t="str">
        <x:f>IF(OR('01_INPUT_COMPANIES'!$A$7="",'01_INPUT_COMPANIES'!$F$7=""),"",'01_INPUT_COMPANIES'!$F$7)</x:f>
        <x:v>Korea</x:v>
      </x:c>
      <x:c r="G7" s="34" t="str">
        <x:f>IF(OR('01_INPUT_COMPANIES'!$A$7="",'01_INPUT_COMPANIES'!$G$7=""),"",'01_INPUT_COMPANIES'!$G$7)</x:f>
        <x:v>2025Q4</x:v>
      </x:c>
      <x:c r="H7" s="37" t="str">
        <x:f>IF(OR('01_INPUT_COMPANIES'!$A$7="",'01_INPUT_COMPANIES'!$H$7=""),"",'01_INPUT_COMPANIES'!$H$7)</x:f>
        <x:v>BM-DIGITAL-CONTENT-2025Q4</x:v>
      </x:c>
      <x:c r="I7" s="37" t="str">
        <x:f>IF(OR('01_INPUT_COMPANIES'!$A$7="",'01_INPUT_COMPANIES'!$K$7=""),"",'01_INPUT_COMPANIES'!$K$7)</x:f>
        <x:v>SYNTHETIC</x:v>
      </x:c>
      <x:c r="J7" s="37" t="str">
        <x:f>IF(OR('01_INPUT_COMPANIES'!$A$7="",'01_INPUT_COMPANIES'!$M$7=""),"",'01_INPUT_COMPANIES'!$M$7)</x:f>
        <x:v>derived</x:v>
      </x:c>
      <x:c r="K7" s="37" t="str">
        <x:f>IF(OR(A7="",COUNTBLANK(D7:H7)&gt;0),"",LEN(D7)&amp;":"&amp;D7&amp;LEN(E7)&amp;":"&amp;E7&amp;LEN(F7)&amp;":"&amp;F7&amp;LEN(G7)&amp;":"&amp;G7&amp;LEN(H7)&amp;":"&amp;H7)</x:f>
        <x:v>15:digital_content18:integrated_content5:Korea6:2025Q425:BM-DIGITAL-CONTENT-2025Q4</x:v>
      </x:c>
      <x:c r="L7" s="47" t="n">
        <x:f>IF(A7="","",'90_CALC_FEATURES'!$I$7)</x:f>
        <x:v>0.2534246575342466</x:v>
      </x:c>
      <x:c r="M7" s="47" t="n">
        <x:f>IF(A7="","",'90_CALC_FEATURES'!$I$8)</x:f>
        <x:v>0.07142857142857142</x:v>
      </x:c>
      <x:c r="N7" s="47" t="n">
        <x:f>IF(A7="","",'90_CALC_FEATURES'!$I$9)</x:f>
        <x:v>0.057291666666666664</x:v>
      </x:c>
      <x:c r="O7" s="47" t="n">
        <x:f>IF(A7="","",'90_CALC_FEATURES'!$I$10)</x:f>
        <x:v>0.675531914893617</x:v>
      </x:c>
      <x:c r="P7" s="47" t="n">
        <x:f>IF(A7="","",'90_CALC_FEATURES'!$I$11)</x:f>
        <x:v>0.7982456140350878</x:v>
      </x:c>
      <x:c r="Q7" s="47" t="n">
        <x:f>IF(A7="","",'90_CALC_FEATURES'!$I$12)</x:f>
        <x:v>0.6968085106382979</x:v>
      </x:c>
      <x:c r="R7" s="47" t="n">
        <x:f>IF(A7="","",'90_CALC_FEATURES'!$I$13)</x:f>
        <x:v>0.7637362637362637</x:v>
      </x:c>
      <x:c r="S7" s="47" t="n">
        <x:f>IF(A7="","",'90_CALC_FEATURES'!$I$14)</x:f>
        <x:v>0.5</x:v>
      </x:c>
      <x:c r="T7" s="47" t="n">
        <x:f>IF(A7="","",'90_CALC_FEATURES'!$I$15)</x:f>
        <x:v>0.21084337349397592</x:v>
      </x:c>
      <x:c r="U7" s="47" t="n">
        <x:f>IF(A7="","",'90_CALC_FEATURES'!$I$16)</x:f>
        <x:v>0.296875</x:v>
      </x:c>
      <x:c r="V7" s="47" t="n">
        <x:f>IF(COUNT(L7:N7)=3,100*AVERAGE(L7:N7),"")</x:f>
        <x:v>12.73816318764949</x:v>
      </x:c>
      <x:c r="W7" s="47" t="n">
        <x:f>IF(COUNT(O7:R7)=4,100*AVERAGE(O7:R7),"")</x:f>
        <x:v>73.35805758258167</x:v>
      </x:c>
      <x:c r="X7" s="47" t="n">
        <x:f>IF(COUNT(S7:U7)=3,100*AVERAGE(S7:U7),"")</x:f>
        <x:v>33.590612449799195</x:v>
      </x:c>
      <x:c r="Y7" s="47" t="n">
        <x:f>IF(COUNT(V7:X7)=3,AVERAGE(V7:X7),"")</x:f>
        <x:v>39.89561107334345</x:v>
      </x:c>
      <x:c r="Z7" s="47" t="n">
        <x:f>IF(OR(AND(EXACT(A7,"SYN-A"),COUNT('01_INPUT_COMPANIES'!$T$7:$AC$7)=10,'01_INPUT_COMPANIES'!$T$7=-0.02,'01_INPUT_COMPANIES'!$U$7=0.1332,'01_INPUT_COMPANIES'!$V$7=0.18,'01_INPUT_COMPANIES'!$W$7=0.42,'01_INPUT_COMPANIES'!$X$7=0.012,'01_INPUT_COMPANIES'!$Y$7=3.2,'01_INPUT_COMPANIES'!$Z$7=0.08,'01_INPUT_COMPANIES'!$AA$7=0.28,'01_INPUT_COMPANIES'!$AB$7=0.74,'01_INPUT_COMPANIES'!$AC$7=8.5),AND(EXACT(A7,"SYN-B"),COUNT('01_INPUT_COMPANIES'!$T$7:$AC$7)=10,'01_INPUT_COMPANIES'!$T$7=-0.055,'01_INPUT_COMPANIES'!$U$7=0.06405,'01_INPUT_COMPANIES'!$V$7=0.105,'01_INPUT_COMPANIES'!$W$7=0.73,'01_INPUT_COMPANIES'!$X$7=0.004,'01_INPUT_COMPANIES'!$Y$7=4.1,'01_INPUT_COMPANIES'!$Z$7=0.025,'01_INPUT_COMPANIES'!$AA$7=0.16,'01_INPUT_COMPANIES'!$AB$7=0.61,'01_INPUT_COMPANIES'!$AC$7=4),AND(EXACT(A7,"SYN-C"),COUNT('01_INPUT_COMPANIES'!$T$7:$AC$7)=10,'01_INPUT_COMPANIES'!$T$7=0.01,'01_INPUT_COMPANIES'!$U$7=0.0986,'01_INPUT_COMPANIES'!$V$7=0.145,'01_INPUT_COMPANIES'!$W$7=0.18,'01_INPUT_COMPANIES'!$X$7=0.018,'01_INPUT_COMPANIES'!$Y$7=2.65,'01_INPUT_COMPANIES'!$Z$7=0.11,'01_INPUT_COMPANIES'!$AA$7=0.34,'01_INPUT_COMPANIES'!$AB$7=0.68,'01_INPUT_COMPANIES'!$AC$7=6.8),AND(EXACT(A7,"SYN-D"),COUNT('01_INPUT_COMPANIES'!$T$7:$AC$7)=10,'01_INPUT_COMPANIES'!$T$7=-0.005,'01_INPUT_COMPANIES'!$U$7=0.1136,'01_INPUT_COMPANIES'!$V$7=0.16,'01_INPUT_COMPANIES'!$W$7=0.51,'01_INPUT_COMPANIES'!$X$7=0.009,'01_INPUT_COMPANIES'!$Y$7=3.55,'01_INPUT_COMPANIES'!$Z$7=0.065,'01_INPUT_COMPANIES'!$AA$7=0.24,'01_INPUT_COMPANIES'!$AB$7=0.71,'01_INPUT_COMPANIES'!$AC$7=7.4)),IFERROR(INDEX('94_EXPECTED_OUTPUTS'!$B$7:$B$10,MATCH(A7,'94_EXPECTED_OUTPUTS'!$A$7:$A$10,0)),""),"")</x:f>
        <x:v>39.89561107334345</x:v>
      </x:c>
      <x:c r="AA7" s="47" t="n">
        <x:f>IF(OR(COUNT(Y7)=0,COUNT(Z7)=0),"",ABS(Y7-Z7))</x:f>
        <x:v>0</x:v>
      </x:c>
      <x:c r="AB7" s="34" t="str">
        <x:f>IF(A7="","",IF(AD7&lt;&gt;"",AD7,IF('01_INPUT_COMPANIES'!$A$7="","",IF(OR(LEN(TRIM('01_INPUT_COMPANIES'!$A$7&amp;""))=0,LEN(TRIM('01_INPUT_COMPANIES'!$B$7&amp;""))=0,LEN(TRIM('01_INPUT_COMPANIES'!$C$7&amp;""))=0,LEN(TRIM('01_INPUT_COMPANIES'!$D$7&amp;""))=0,LEN(TRIM('01_INPUT_COMPANIES'!$E$7&amp;""))=0,LEN(TRIM('01_INPUT_COMPANIES'!$F$7&amp;""))=0,LEN(TRIM('01_INPUT_COMPANIES'!$G$7&amp;""))=0,LEN(TRIM('01_INPUT_COMPANIES'!$H$7&amp;""))=0,LEN(TRIM('01_INPUT_COMPANIES'!$I$7&amp;""))=0,LEN(TRIM('01_INPUT_COMPANIES'!$K$7&amp;""))=0,LEN(TRIM('01_INPUT_COMPANIES'!$L$7&amp;""))=0,LEN(TRIM('01_INPUT_COMPANIES'!$M$7&amp;""))=0,LEN(TRIM('01_INPUT_COMPANIES'!$N$7&amp;""))=0,LEN(TRIM('01_INPUT_COMPANIES'!$O$7&amp;""))=0,LEN(TRIM('01_INPUT_COMPANIES'!$Q$7&amp;""))=0,COUNTBLANK('01_INPUT_COMPANIES'!$A$7:$R$7)&gt;0),"INPUT REQUIRED",IF(OR('01_INPUT_COMPANIES'!$A$7&lt;&gt;TRIM('01_INPUT_COMPANIES'!$A$7),NOT(EXACT('01_INPUT_COMPANIES'!$A$7,UPPER('01_INPUT_COMPANIES'!$A$7))),LEN('01_INPUT_COMPANIES'!$A$7)&gt;64,ISNUMBER(FIND("*",'01_INPUT_COMPANIES'!$A$7)),ISNUMBER(FIND("?",'01_INPUT_COMPANIES'!$A$7)),ISNUMBER(FIND("~",'01_INPUT_COMPANIES'!$A$7))),"ERROR: ID FORMAT",IF(COUNTIF('01_INPUT_COMPANIES'!$A$7:$A$106,'01_INPUT_COMPANIES'!$A$7)&lt;&gt;1,"ERROR: DUPLICATE ID",IF(COUNT('01_INPUT_COMPANIES'!$T$7:$AC$7)&lt;&gt;10,"INPUT REQUIRED",IF(NOT(OR('01_INPUT_COMPANIES'!$C$7="domestic",'01_INPUT_COMPANIES'!$C$7="foreign",'01_INPUT_COMPANIES'!$C$7="other")),"ERROR: COMPANY GROUP",IF(OR(LEN('01_INPUT_COMPANIES'!$G$7)&lt;&gt;6,MID('01_INPUT_COMPANIES'!$G$7,5,1)&lt;&gt;"Q",IFERROR(VALUE(LEFT('01_INPUT_COMPANIES'!$G$7,4)),0)&lt;2000,IFERROR(VALUE(LEFT('01_INPUT_COMPANIES'!$G$7,4)),0)&gt;2100,IFERROR(VALUE(RIGHT('01_INPUT_COMPANIES'!$G$7,1)),0)&lt;1,IFERROR(VALUE(RIGHT('01_INPUT_COMPANIES'!$G$7,1)),0)&gt;4),"ERROR: REPORTING PERIOD",IF(OR(COUNTIFS('92_REF_VARIABLES'!$A$21:$A$21,'01_INPUT_COMPANIES'!$H$7,'92_REF_VARIABLES'!$B$21:$B$21,'01_INPUT_COMPANIES'!$D$7,'92_REF_VARIABLES'!$C$21:$C$21,'01_INPUT_COMPANIES'!$G$7)&lt;&gt;1,AND(IFERROR(INDEX('92_REF_VARIABLES'!$I$21:$I$21,MATCH('01_INPUT_COMPANIES'!$H$7,'92_REF_VARIABLES'!$A$21:$A$21,0)),"")="synthetic_only",'01_INPUT_COMPANIES'!$L$7&lt;&gt;"yes")),"ERROR: BENCHMARK",IF(COUNTIF('92_REF_VARIABLES'!$L$21:$L$50,'01_INPUT_COMPANIES'!$I$7)&lt;&gt;1,"ERROR: CURRENCY",IF(OR(NOT(ISNUMBER('01_INPUT_COMPANIES'!$J$7)),'01_INPUT_COMPANIES'!$J$7&lt;&gt;INT('01_INPUT_COMPANIES'!$J$7),'01_INPUT_COMPANIES'!$J$7&lt;2000,'01_INPUT_COMPANIES'!$J$7&gt;2100),"ERROR: PRICE YEAR",IF(NOT(OR('01_INPUT_COMPANIES'!$K$7="A",'01_INPUT_COMPANIES'!$K$7="B",'01_INPUT_COMPANIES'!$K$7="C",'01_INPUT_COMPANIES'!$K$7="SYNTHETIC")),"ERROR: QUALITY",IF(NOT(OR(AND('01_INPUT_COMPANIES'!$L$7="yes",'01_INPUT_COMPANIES'!$K$7="SYNTHETIC"),AND('01_INPUT_COMPANIES'!$L$7="no",'01_INPUT_COMPANIES'!$K$7&lt;&gt;"SYNTHETIC"))),"ERROR: SYNTHETIC FLAG",IF(NOT(OR('01_INPUT_COMPANIES'!$M$7="direct",'01_INPUT_COMPANIES'!$M$7="derived",'01_INPUT_COMPANIES'!$M$7="proxy",'01_INPUT_COMPANIES'!$M$7="mixed")),"ERROR: CONSTRUCTION MODE",IF(OR(NOT(ISNUMBER('01_INPUT_COMPANIES'!$P$7)),'01_INPUT_COMPANIES'!$P$7&lt;0,'01_INPUT_COMPANIES'!$P$7&lt;&gt;INT('01_INPUT_COMPANIES'!$P$7)),"ERROR: CARRY LAG",IF('01_INPUT_COMPANIES'!$Q$7&lt;&gt;"yes","ERROR: EXPOSURE ADJUSTMENT",IF(OR(NOT(ISNUMBER('01_INPUT_COMPANIES'!$R$7)),'01_INPUT_COMPANIES'!$R$7&lt;0,'01_INPUT_COMPANIES'!$R$7&gt;1),"ERROR: EXPOSURE FACTOR",IF(COUNT(Y7)=0,"ERROR: SCORE",IF(COUNT(Z7)=0,"READY",IF(AA7&lt;=0.0000000001,"PASS","CHECK"))&amp;IF('01_INPUT_COMPANIES'!$K$7="C"," | C QUALITY","")&amp;IF(OR('01_INPUT_COMPANIES'!$M$7="proxy",'01_INPUT_COMPANIES'!$M$7="mixed")," | PROXY/MIXED","")&amp;IF('01_INPUT_COMPANIES'!$P$7&gt;1," | CARRY&gt;1","")&amp;IF(OR(OR('01_INPUT_COMPANIES'!$T$7&lt;-1,'01_INPUT_COMPANIES'!$T$7&gt;1),OR('01_INPUT_COMPANIES'!$U$7&lt;0,'01_INPUT_COMPANIES'!$U$7&gt;1),OR('01_INPUT_COMPANIES'!$V$7&lt;0,'01_INPUT_COMPANIES'!$V$7&gt;1),OR('01_INPUT_COMPANIES'!$W$7&lt;-10,'01_INPUT_COMPANIES'!$W$7&gt;10),OR('01_INPUT_COMPANIES'!$X$7&lt;-1,'01_INPUT_COMPANIES'!$X$7&gt;1),OR('01_INPUT_COMPANIES'!$Y$7&lt;0,'01_INPUT_COMPANIES'!$Y$7&gt;20),OR('01_INPUT_COMPANIES'!$Z$7&lt;-2,'01_INPUT_COMPANIES'!$Z$7&gt;2),OR('01_INPUT_COMPANIES'!$AA$7&lt;0,'01_INPUT_COMPANIES'!$AA$7&gt;1),OR('01_INPUT_COMPANIES'!$AB$7&lt;0,'01_INPUT_COMPANIES'!$AB$7&gt;1),OR('01_INPUT_COMPANIES'!$AC$7&lt;0,'01_INPUT_COMPANIES'!$AC$7&gt;50))," | REVIEW RANGE","")&amp;IF(COUNTIF('90_CALC_FEATURES'!$J$7:$J$16,"WINSORIZED*")&gt;0," | WINSORIZED","")&amp;IF(ABS('01_INPUT_COMPANIES'!$U$7-'01_INPUT_COMPANIES'!$V$7*'01_INPUT_COMPANIES'!$AB$7)&gt;MAX(0.005,0.05*MAX(ABS('01_INPUT_COMPANIES'!$V$7*'01_INPUT_COMPANIES'!$AB$7),ABS('01_INPUT_COMPANIES'!$U$7),0.000000000001))," | DEPENDENCY",""))))))))))))))))))))</x:f>
        <x:v>PASS</x:v>
      </x:c>
      <x:c r="AC7" s="34" t="str">
        <x:f>IF(A7="","",IF(OR(LEFT(AB7,4)="PASS",LEFT(AB7,5)="READY"),"RESEARCH BETA | 저지원 22.22% | 기업 백분위 N/A", "결과 사용 금지 | "&amp;AB7))</x:f>
        <x:v>RESEARCH BETA | 저지원 22.22% | 기업 백분위 N/A</x:v>
      </x:c>
      <x:c r="AD7" s="34" t="str">
        <x:f>IF(A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,TRIM('01_INPUT_COMPANIES'!$D$7)),EXACT('01_INPUT_COMPANIES'!$E$7,TRIM('01_INPUT_COMPANIES'!$E$7)),EXACT('01_INPUT_COMPANIES'!$F$7,TRIM('01_INPUT_COMPANIES'!$F$7)),EXACT('01_INPUT_COMPANIES'!$G$7,TRIM('01_INPUT_COMPANIES'!$G$7)),EXACT('01_INPUT_COMPANIES'!$H$7,TRIM('01_INPUT_COMPANIES'!$H$7)))),"ERROR: COHORT WHITESPACE",IF(NOT(IFERROR(AND(ISTEXT('01_INPUT_COMPANIES'!$O$7),LEN('01_INPUT_COMPANIES'!$O$7)=10,VALUE(LEFT('01_INPUT_COMPANIES'!$O$7,4))&gt;=2000,VALUE(LEFT('01_INPUT_COMPANIES'!$O$7,4))&lt;=2100,EXACT(TEXT(DATE(VALUE(LEFT('01_INPUT_COMPANIES'!$O$7,4)),VALUE(MID('01_INPUT_COMPANIES'!$O$7,6,2)),VALUE(RIGHT('01_INPUT_COMPANIES'!$O$7,2))),"yyyy-mm-dd"),'01_INPUT_COMPANIES'!$O$7)),FALSE)),"ERROR: SOURCE DATE",IF(NOT(AND(OR(EXACT('01_INPUT_COMPANIES'!$C$7,"domestic"),EXACT('01_INPUT_COMPANIES'!$C$7,"foreign"),EXACT('01_INPUT_COMPANIES'!$C$7,"other")),OR(EXACT('01_INPUT_COMPANIES'!$K$7,"A"),EXACT('01_INPUT_COMPANIES'!$K$7,"B"),EXACT('01_INPUT_COMPANIES'!$K$7,"C"),EXACT('01_INPUT_COMPANIES'!$K$7,"SYNTHETIC")),OR(EXACT('01_INPUT_COMPANIES'!$L$7,"yes"),EXACT('01_INPUT_COMPANIES'!$L$7,"no")),OR(EXACT('01_INPUT_COMPANIES'!$M$7,"direct"),EXACT('01_INPUT_COMPANIES'!$M$7,"derived"),EXACT('01_INPUT_COMPANIES'!$M$7,"proxy"),EXACT('01_INPUT_COMPANIES'!$M$7,"mixed")),OR(EXACT('01_INPUT_COMPANIES'!$Q$7,"yes")),EXACT('01_INPUT_COMPANIES'!$I$7,UPPER('01_INPUT_COMPANIES'!$I$7)))),"ERROR: EXACT ENUM",IF(NOT(IFERROR(OR(AND(EXACT('92_REF_VARIABLES'!$A$21,'01_INPUT_COMPANIES'!$H$7),EXACT('92_REF_VARIABLES'!$B$21,'01_INPUT_COMPANIES'!$D$7),EXACT('92_REF_VARIABLES'!$C$21,'01_INPUT_COMPANIES'!$G$7))),FALSE)),"ERROR: BENCHMARK",""))))))</x:f>
      </x:c>
    </x:row>
    <x:row r="8" ht="26.399999618530273" hidden="0" customHeight="1">
      <x:c r="A8" s="34" t="str">
        <x:f>IF(OR('01_INPUT_COMPANIES'!$A$8="",'01_INPUT_COMPANIES'!$A$8=""),"",'01_INPUT_COMPANIES'!$A$8)</x:f>
        <x:v>SYN-B</x:v>
      </x:c>
      <x:c r="B8" s="34" t="str">
        <x:f>IF(OR('01_INPUT_COMPANIES'!$A$8="",'01_INPUT_COMPANIES'!$B$8=""),"",'01_INPUT_COMPANIES'!$B$8)</x:f>
        <x:v>누리 미디어</x:v>
      </x:c>
      <x:c r="C8" s="34" t="str">
        <x:f>IF(OR('01_INPUT_COMPANIES'!$A$8="",'01_INPUT_COMPANIES'!$C$8=""),"",'01_INPUT_COMPANIES'!$C$8)</x:f>
        <x:v>foreign</x:v>
      </x:c>
      <x:c r="D8" s="34" t="str">
        <x:f>IF(OR('01_INPUT_COMPANIES'!$A$8="",'01_INPUT_COMPANIES'!$D$8=""),"",'01_INPUT_COMPANIES'!$D$8)</x:f>
        <x:v>digital_content</x:v>
      </x:c>
      <x:c r="E8" s="34" t="str">
        <x:f>IF(OR('01_INPUT_COMPANIES'!$A$8="",'01_INPUT_COMPANIES'!$E$8=""),"",'01_INPUT_COMPANIES'!$E$8)</x:f>
        <x:v>integrated_content</x:v>
      </x:c>
      <x:c r="F8" s="34" t="str">
        <x:f>IF(OR('01_INPUT_COMPANIES'!$A$8="",'01_INPUT_COMPANIES'!$F$8=""),"",'01_INPUT_COMPANIES'!$F$8)</x:f>
        <x:v>Korea</x:v>
      </x:c>
      <x:c r="G8" s="34" t="str">
        <x:f>IF(OR('01_INPUT_COMPANIES'!$A$8="",'01_INPUT_COMPANIES'!$G$8=""),"",'01_INPUT_COMPANIES'!$G$8)</x:f>
        <x:v>2025Q4</x:v>
      </x:c>
      <x:c r="H8" s="37" t="str">
        <x:f>IF(OR('01_INPUT_COMPANIES'!$A$8="",'01_INPUT_COMPANIES'!$H$8=""),"",'01_INPUT_COMPANIES'!$H$8)</x:f>
        <x:v>BM-DIGITAL-CONTENT-2025Q4</x:v>
      </x:c>
      <x:c r="I8" s="37" t="str">
        <x:f>IF(OR('01_INPUT_COMPANIES'!$A$8="",'01_INPUT_COMPANIES'!$K$8=""),"",'01_INPUT_COMPANIES'!$K$8)</x:f>
        <x:v>SYNTHETIC</x:v>
      </x:c>
      <x:c r="J8" s="37" t="str">
        <x:f>IF(OR('01_INPUT_COMPANIES'!$A$8="",'01_INPUT_COMPANIES'!$M$8=""),"",'01_INPUT_COMPANIES'!$M$8)</x:f>
        <x:v>derived</x:v>
      </x:c>
      <x:c r="K8" s="37" t="str">
        <x:f>IF(OR(A8="",COUNTBLANK(D8:H8)&gt;0),"",LEN(D8)&amp;":"&amp;D8&amp;LEN(E8)&amp;":"&amp;E8&amp;LEN(F8)&amp;":"&amp;F8&amp;LEN(G8)&amp;":"&amp;G8&amp;LEN(H8)&amp;":"&amp;H8)</x:f>
        <x:v>15:digital_content18:integrated_content5:Korea6:2025Q425:BM-DIGITAL-CONTENT-2025Q4</x:v>
      </x:c>
      <x:c r="L8" s="47" t="n">
        <x:f>IF(A8="","",'90_CALC_FEATURES'!$I$17)</x:f>
        <x:v>0.10273972602739725</x:v>
      </x:c>
      <x:c r="M8" s="47" t="n">
        <x:f>IF(A8="","",'90_CALC_FEATURES'!$I$18)</x:f>
        <x:v>0.023809523809523808</x:v>
      </x:c>
      <x:c r="N8" s="47" t="n">
        <x:f>IF(A8="","",'90_CALC_FEATURES'!$I$19)</x:f>
        <x:v>0.026041666666666668</x:v>
      </x:c>
      <x:c r="O8" s="47" t="n">
        <x:f>IF(A8="","",'90_CALC_FEATURES'!$I$20)</x:f>
        <x:v>0.48404255319148937</x:v>
      </x:c>
      <x:c r="P8" s="47" t="n">
        <x:f>IF(A8="","",'90_CALC_FEATURES'!$I$21)</x:f>
        <x:v>0.6578947368421053</x:v>
      </x:c>
      <x:c r="Q8" s="47" t="n">
        <x:f>IF(A8="","",'90_CALC_FEATURES'!$I$22)</x:f>
        <x:v>0.6968085106382979</x:v>
      </x:c>
      <x:c r="R8" s="47" t="n">
        <x:f>IF(A8="","",'90_CALC_FEATURES'!$I$23)</x:f>
        <x:v>0.7637362637362637</x:v>
      </x:c>
      <x:c r="S8" s="47" t="n">
        <x:f>IF(A8="","",'90_CALC_FEATURES'!$I$24)</x:f>
        <x:v>0.5</x:v>
      </x:c>
      <x:c r="T8" s="47" t="n">
        <x:f>IF(A8="","",'90_CALC_FEATURES'!$I$25)</x:f>
        <x:v>0.10240963855421686</x:v>
      </x:c>
      <x:c r="U8" s="47" t="n">
        <x:f>IF(A8="","",'90_CALC_FEATURES'!$I$26)</x:f>
        <x:v>0.19270833333333334</x:v>
      </x:c>
      <x:c r="V8" s="47" t="n">
        <x:f>IF(COUNT(L8:N8)=3,100*AVERAGE(L8:N8),"")</x:f>
        <x:v>5.086363883452924</x:v>
      </x:c>
      <x:c r="W8" s="47" t="n">
        <x:f>IF(COUNT(O8:R8)=4,100*AVERAGE(O8:R8),"")</x:f>
        <x:v>65.06205161020391</x:v>
      </x:c>
      <x:c r="X8" s="47" t="n">
        <x:f>IF(COUNT(S8:U8)=3,100*AVERAGE(S8:U8),"")</x:f>
        <x:v>26.503932396251674</x:v>
      </x:c>
      <x:c r="Y8" s="47" t="n">
        <x:f>IF(COUNT(V8:X8)=3,AVERAGE(V8:X8),"")</x:f>
        <x:v>32.21744929663617</x:v>
      </x:c>
      <x:c r="Z8" s="47" t="n">
        <x:f>IF(OR(AND(EXACT(A8,"SYN-A"),COUNT('01_INPUT_COMPANIES'!$T$8:$AC$8)=10,'01_INPUT_COMPANIES'!$T$8=-0.02,'01_INPUT_COMPANIES'!$U$8=0.1332,'01_INPUT_COMPANIES'!$V$8=0.18,'01_INPUT_COMPANIES'!$W$8=0.42,'01_INPUT_COMPANIES'!$X$8=0.012,'01_INPUT_COMPANIES'!$Y$8=3.2,'01_INPUT_COMPANIES'!$Z$8=0.08,'01_INPUT_COMPANIES'!$AA$8=0.28,'01_INPUT_COMPANIES'!$AB$8=0.74,'01_INPUT_COMPANIES'!$AC$8=8.5),AND(EXACT(A8,"SYN-B"),COUNT('01_INPUT_COMPANIES'!$T$8:$AC$8)=10,'01_INPUT_COMPANIES'!$T$8=-0.055,'01_INPUT_COMPANIES'!$U$8=0.06405,'01_INPUT_COMPANIES'!$V$8=0.105,'01_INPUT_COMPANIES'!$W$8=0.73,'01_INPUT_COMPANIES'!$X$8=0.004,'01_INPUT_COMPANIES'!$Y$8=4.1,'01_INPUT_COMPANIES'!$Z$8=0.025,'01_INPUT_COMPANIES'!$AA$8=0.16,'01_INPUT_COMPANIES'!$AB$8=0.61,'01_INPUT_COMPANIES'!$AC$8=4),AND(EXACT(A8,"SYN-C"),COUNT('01_INPUT_COMPANIES'!$T$8:$AC$8)=10,'01_INPUT_COMPANIES'!$T$8=0.01,'01_INPUT_COMPANIES'!$U$8=0.0986,'01_INPUT_COMPANIES'!$V$8=0.145,'01_INPUT_COMPANIES'!$W$8=0.18,'01_INPUT_COMPANIES'!$X$8=0.018,'01_INPUT_COMPANIES'!$Y$8=2.65,'01_INPUT_COMPANIES'!$Z$8=0.11,'01_INPUT_COMPANIES'!$AA$8=0.34,'01_INPUT_COMPANIES'!$AB$8=0.68,'01_INPUT_COMPANIES'!$AC$8=6.8),AND(EXACT(A8,"SYN-D"),COUNT('01_INPUT_COMPANIES'!$T$8:$AC$8)=10,'01_INPUT_COMPANIES'!$T$8=-0.005,'01_INPUT_COMPANIES'!$U$8=0.1136,'01_INPUT_COMPANIES'!$V$8=0.16,'01_INPUT_COMPANIES'!$W$8=0.51,'01_INPUT_COMPANIES'!$X$8=0.009,'01_INPUT_COMPANIES'!$Y$8=3.55,'01_INPUT_COMPANIES'!$Z$8=0.065,'01_INPUT_COMPANIES'!$AA$8=0.24,'01_INPUT_COMPANIES'!$AB$8=0.71,'01_INPUT_COMPANIES'!$AC$8=7.4)),IFERROR(INDEX('94_EXPECTED_OUTPUTS'!$B$7:$B$10,MATCH(A8,'94_EXPECTED_OUTPUTS'!$A$7:$A$10,0)),""),"")</x:f>
        <x:v>32.21744929663617</x:v>
      </x:c>
      <x:c r="AA8" s="47" t="n">
        <x:f>IF(OR(COUNT(Y8)=0,COUNT(Z8)=0),"",ABS(Y8-Z8))</x:f>
        <x:v>0</x:v>
      </x:c>
      <x:c r="AB8" s="34" t="str">
        <x:f>IF(A8="","",IF(AD8&lt;&gt;"",AD8,IF('01_INPUT_COMPANIES'!$A$8="","",IF(OR(LEN(TRIM('01_INPUT_COMPANIES'!$A$8&amp;""))=0,LEN(TRIM('01_INPUT_COMPANIES'!$B$8&amp;""))=0,LEN(TRIM('01_INPUT_COMPANIES'!$C$8&amp;""))=0,LEN(TRIM('01_INPUT_COMPANIES'!$D$8&amp;""))=0,LEN(TRIM('01_INPUT_COMPANIES'!$E$8&amp;""))=0,LEN(TRIM('01_INPUT_COMPANIES'!$F$8&amp;""))=0,LEN(TRIM('01_INPUT_COMPANIES'!$G$8&amp;""))=0,LEN(TRIM('01_INPUT_COMPANIES'!$H$8&amp;""))=0,LEN(TRIM('01_INPUT_COMPANIES'!$I$8&amp;""))=0,LEN(TRIM('01_INPUT_COMPANIES'!$K$8&amp;""))=0,LEN(TRIM('01_INPUT_COMPANIES'!$L$8&amp;""))=0,LEN(TRIM('01_INPUT_COMPANIES'!$M$8&amp;""))=0,LEN(TRIM('01_INPUT_COMPANIES'!$N$8&amp;""))=0,LEN(TRIM('01_INPUT_COMPANIES'!$O$8&amp;""))=0,LEN(TRIM('01_INPUT_COMPANIES'!$Q$8&amp;""))=0,COUNTBLANK('01_INPUT_COMPANIES'!$A$8:$R$8)&gt;0),"INPUT REQUIRED",IF(OR('01_INPUT_COMPANIES'!$A$8&lt;&gt;TRIM('01_INPUT_COMPANIES'!$A$8),NOT(EXACT('01_INPUT_COMPANIES'!$A$8,UPPER('01_INPUT_COMPANIES'!$A$8))),LEN('01_INPUT_COMPANIES'!$A$8)&gt;64,ISNUMBER(FIND("*",'01_INPUT_COMPANIES'!$A$8)),ISNUMBER(FIND("?",'01_INPUT_COMPANIES'!$A$8)),ISNUMBER(FIND("~",'01_INPUT_COMPANIES'!$A$8))),"ERROR: ID FORMAT",IF(COUNTIF('01_INPUT_COMPANIES'!$A$7:$A$106,'01_INPUT_COMPANIES'!$A$8)&lt;&gt;1,"ERROR: DUPLICATE ID",IF(COUNT('01_INPUT_COMPANIES'!$T$8:$AC$8)&lt;&gt;10,"INPUT REQUIRED",IF(NOT(OR('01_INPUT_COMPANIES'!$C$8="domestic",'01_INPUT_COMPANIES'!$C$8="foreign",'01_INPUT_COMPANIES'!$C$8="other")),"ERROR: COMPANY GROUP",IF(OR(LEN('01_INPUT_COMPANIES'!$G$8)&lt;&gt;6,MID('01_INPUT_COMPANIES'!$G$8,5,1)&lt;&gt;"Q",IFERROR(VALUE(LEFT('01_INPUT_COMPANIES'!$G$8,4)),0)&lt;2000,IFERROR(VALUE(LEFT('01_INPUT_COMPANIES'!$G$8,4)),0)&gt;2100,IFERROR(VALUE(RIGHT('01_INPUT_COMPANIES'!$G$8,1)),0)&lt;1,IFERROR(VALUE(RIGHT('01_INPUT_COMPANIES'!$G$8,1)),0)&gt;4),"ERROR: REPORTING PERIOD",IF(OR(COUNTIFS('92_REF_VARIABLES'!$A$21:$A$21,'01_INPUT_COMPANIES'!$H$8,'92_REF_VARIABLES'!$B$21:$B$21,'01_INPUT_COMPANIES'!$D$8,'92_REF_VARIABLES'!$C$21:$C$21,'01_INPUT_COMPANIES'!$G$8)&lt;&gt;1,AND(IFERROR(INDEX('92_REF_VARIABLES'!$I$21:$I$21,MATCH('01_INPUT_COMPANIES'!$H$8,'92_REF_VARIABLES'!$A$21:$A$21,0)),"")="synthetic_only",'01_INPUT_COMPANIES'!$L$8&lt;&gt;"yes")),"ERROR: BENCHMARK",IF(COUNTIF('92_REF_VARIABLES'!$L$21:$L$50,'01_INPUT_COMPANIES'!$I$8)&lt;&gt;1,"ERROR: CURRENCY",IF(OR(NOT(ISNUMBER('01_INPUT_COMPANIES'!$J$8)),'01_INPUT_COMPANIES'!$J$8&lt;&gt;INT('01_INPUT_COMPANIES'!$J$8),'01_INPUT_COMPANIES'!$J$8&lt;2000,'01_INPUT_COMPANIES'!$J$8&gt;2100),"ERROR: PRICE YEAR",IF(NOT(OR('01_INPUT_COMPANIES'!$K$8="A",'01_INPUT_COMPANIES'!$K$8="B",'01_INPUT_COMPANIES'!$K$8="C",'01_INPUT_COMPANIES'!$K$8="SYNTHETIC")),"ERROR: QUALITY",IF(NOT(OR(AND('01_INPUT_COMPANIES'!$L$8="yes",'01_INPUT_COMPANIES'!$K$8="SYNTHETIC"),AND('01_INPUT_COMPANIES'!$L$8="no",'01_INPUT_COMPANIES'!$K$8&lt;&gt;"SYNTHETIC"))),"ERROR: SYNTHETIC FLAG",IF(NOT(OR('01_INPUT_COMPANIES'!$M$8="direct",'01_INPUT_COMPANIES'!$M$8="derived",'01_INPUT_COMPANIES'!$M$8="proxy",'01_INPUT_COMPANIES'!$M$8="mixed")),"ERROR: CONSTRUCTION MODE",IF(OR(NOT(ISNUMBER('01_INPUT_COMPANIES'!$P$8)),'01_INPUT_COMPANIES'!$P$8&lt;0,'01_INPUT_COMPANIES'!$P$8&lt;&gt;INT('01_INPUT_COMPANIES'!$P$8)),"ERROR: CARRY LAG",IF('01_INPUT_COMPANIES'!$Q$8&lt;&gt;"yes","ERROR: EXPOSURE ADJUSTMENT",IF(OR(NOT(ISNUMBER('01_INPUT_COMPANIES'!$R$8)),'01_INPUT_COMPANIES'!$R$8&lt;0,'01_INPUT_COMPANIES'!$R$8&gt;1),"ERROR: EXPOSURE FACTOR",IF(COUNT(Y8)=0,"ERROR: SCORE",IF(COUNT(Z8)=0,"READY",IF(AA8&lt;=0.0000000001,"PASS","CHECK"))&amp;IF('01_INPUT_COMPANIES'!$K$8="C"," | C QUALITY","")&amp;IF(OR('01_INPUT_COMPANIES'!$M$8="proxy",'01_INPUT_COMPANIES'!$M$8="mixed")," | PROXY/MIXED","")&amp;IF('01_INPUT_COMPANIES'!$P$8&gt;1," | CARRY&gt;1","")&amp;IF(OR(OR('01_INPUT_COMPANIES'!$T$8&lt;-1,'01_INPUT_COMPANIES'!$T$8&gt;1),OR('01_INPUT_COMPANIES'!$U$8&lt;0,'01_INPUT_COMPANIES'!$U$8&gt;1),OR('01_INPUT_COMPANIES'!$V$8&lt;0,'01_INPUT_COMPANIES'!$V$8&gt;1),OR('01_INPUT_COMPANIES'!$W$8&lt;-10,'01_INPUT_COMPANIES'!$W$8&gt;10),OR('01_INPUT_COMPANIES'!$X$8&lt;-1,'01_INPUT_COMPANIES'!$X$8&gt;1),OR('01_INPUT_COMPANIES'!$Y$8&lt;0,'01_INPUT_COMPANIES'!$Y$8&gt;20),OR('01_INPUT_COMPANIES'!$Z$8&lt;-2,'01_INPUT_COMPANIES'!$Z$8&gt;2),OR('01_INPUT_COMPANIES'!$AA$8&lt;0,'01_INPUT_COMPANIES'!$AA$8&gt;1),OR('01_INPUT_COMPANIES'!$AB$8&lt;0,'01_INPUT_COMPANIES'!$AB$8&gt;1),OR('01_INPUT_COMPANIES'!$AC$8&lt;0,'01_INPUT_COMPANIES'!$AC$8&gt;50))," | REVIEW RANGE","")&amp;IF(COUNTIF('90_CALC_FEATURES'!$J$17:$J$26,"WINSORIZED*")&gt;0," | WINSORIZED","")&amp;IF(ABS('01_INPUT_COMPANIES'!$U$8-'01_INPUT_COMPANIES'!$V$8*'01_INPUT_COMPANIES'!$AB$8)&gt;MAX(0.005,0.05*MAX(ABS('01_INPUT_COMPANIES'!$V$8*'01_INPUT_COMPANIES'!$AB$8),ABS('01_INPUT_COMPANIES'!$U$8),0.000000000001))," | DEPENDENCY",""))))))))))))))))))))</x:f>
        <x:v>PASS</x:v>
      </x:c>
      <x:c r="AC8" s="34" t="str">
        <x:f>IF(A8="","",IF(OR(LEFT(AB8,4)="PASS",LEFT(AB8,5)="READY"),"RESEARCH BETA | 저지원 22.22% | 기업 백분위 N/A", "결과 사용 금지 | "&amp;AB8))</x:f>
        <x:v>RESEARCH BETA | 저지원 22.22% | 기업 백분위 N/A</x:v>
      </x:c>
      <x:c r="AD8" s="34" t="str">
        <x:f>IF(A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,TRIM('01_INPUT_COMPANIES'!$D$8)),EXACT('01_INPUT_COMPANIES'!$E$8,TRIM('01_INPUT_COMPANIES'!$E$8)),EXACT('01_INPUT_COMPANIES'!$F$8,TRIM('01_INPUT_COMPANIES'!$F$8)),EXACT('01_INPUT_COMPANIES'!$G$8,TRIM('01_INPUT_COMPANIES'!$G$8)),EXACT('01_INPUT_COMPANIES'!$H$8,TRIM('01_INPUT_COMPANIES'!$H$8)))),"ERROR: COHORT WHITESPACE",IF(NOT(IFERROR(AND(ISTEXT('01_INPUT_COMPANIES'!$O$8),LEN('01_INPUT_COMPANIES'!$O$8)=10,VALUE(LEFT('01_INPUT_COMPANIES'!$O$8,4))&gt;=2000,VALUE(LEFT('01_INPUT_COMPANIES'!$O$8,4))&lt;=2100,EXACT(TEXT(DATE(VALUE(LEFT('01_INPUT_COMPANIES'!$O$8,4)),VALUE(MID('01_INPUT_COMPANIES'!$O$8,6,2)),VALUE(RIGHT('01_INPUT_COMPANIES'!$O$8,2))),"yyyy-mm-dd"),'01_INPUT_COMPANIES'!$O$8)),FALSE)),"ERROR: SOURCE DATE",IF(NOT(AND(OR(EXACT('01_INPUT_COMPANIES'!$C$8,"domestic"),EXACT('01_INPUT_COMPANIES'!$C$8,"foreign"),EXACT('01_INPUT_COMPANIES'!$C$8,"other")),OR(EXACT('01_INPUT_COMPANIES'!$K$8,"A"),EXACT('01_INPUT_COMPANIES'!$K$8,"B"),EXACT('01_INPUT_COMPANIES'!$K$8,"C"),EXACT('01_INPUT_COMPANIES'!$K$8,"SYNTHETIC")),OR(EXACT('01_INPUT_COMPANIES'!$L$8,"yes"),EXACT('01_INPUT_COMPANIES'!$L$8,"no")),OR(EXACT('01_INPUT_COMPANIES'!$M$8,"direct"),EXACT('01_INPUT_COMPANIES'!$M$8,"derived"),EXACT('01_INPUT_COMPANIES'!$M$8,"proxy"),EXACT('01_INPUT_COMPANIES'!$M$8,"mixed")),OR(EXACT('01_INPUT_COMPANIES'!$Q$8,"yes")),EXACT('01_INPUT_COMPANIES'!$I$8,UPPER('01_INPUT_COMPANIES'!$I$8)))),"ERROR: EXACT ENUM",IF(NOT(IFERROR(OR(AND(EXACT('92_REF_VARIABLES'!$A$21,'01_INPUT_COMPANIES'!$H$8),EXACT('92_REF_VARIABLES'!$B$21,'01_INPUT_COMPANIES'!$D$8),EXACT('92_REF_VARIABLES'!$C$21,'01_INPUT_COMPANIES'!$G$8))),FALSE)),"ERROR: BENCHMARK",""))))))</x:f>
      </x:c>
    </x:row>
    <x:row r="9" ht="26.399999618530273" hidden="0" customHeight="1">
      <x:c r="A9" s="34" t="str">
        <x:f>IF(OR('01_INPUT_COMPANIES'!$A$9="",'01_INPUT_COMPANIES'!$A$9=""),"",'01_INPUT_COMPANIES'!$A$9)</x:f>
        <x:v>SYN-C</x:v>
      </x:c>
      <x:c r="B9" s="34" t="str">
        <x:f>IF(OR('01_INPUT_COMPANIES'!$A$9="",'01_INPUT_COMPANIES'!$B$9=""),"",'01_INPUT_COMPANIES'!$B$9)</x:f>
        <x:v>다온 스토리</x:v>
      </x:c>
      <x:c r="C9" s="34" t="str">
        <x:f>IF(OR('01_INPUT_COMPANIES'!$A$9="",'01_INPUT_COMPANIES'!$C$9=""),"",'01_INPUT_COMPANIES'!$C$9)</x:f>
        <x:v>foreign</x:v>
      </x:c>
      <x:c r="D9" s="34" t="str">
        <x:f>IF(OR('01_INPUT_COMPANIES'!$A$9="",'01_INPUT_COMPANIES'!$D$9=""),"",'01_INPUT_COMPANIES'!$D$9)</x:f>
        <x:v>digital_content</x:v>
      </x:c>
      <x:c r="E9" s="34" t="str">
        <x:f>IF(OR('01_INPUT_COMPANIES'!$A$9="",'01_INPUT_COMPANIES'!$E$9=""),"",'01_INPUT_COMPANIES'!$E$9)</x:f>
        <x:v>integrated_content</x:v>
      </x:c>
      <x:c r="F9" s="34" t="str">
        <x:f>IF(OR('01_INPUT_COMPANIES'!$A$9="",'01_INPUT_COMPANIES'!$F$9=""),"",'01_INPUT_COMPANIES'!$F$9)</x:f>
        <x:v>Korea</x:v>
      </x:c>
      <x:c r="G9" s="34" t="str">
        <x:f>IF(OR('01_INPUT_COMPANIES'!$A$9="",'01_INPUT_COMPANIES'!$G$9=""),"",'01_INPUT_COMPANIES'!$G$9)</x:f>
        <x:v>2025Q4</x:v>
      </x:c>
      <x:c r="H9" s="37" t="str">
        <x:f>IF(OR('01_INPUT_COMPANIES'!$A$9="",'01_INPUT_COMPANIES'!$H$9=""),"",'01_INPUT_COMPANIES'!$H$9)</x:f>
        <x:v>BM-DIGITAL-CONTENT-2025Q4</x:v>
      </x:c>
      <x:c r="I9" s="37" t="str">
        <x:f>IF(OR('01_INPUT_COMPANIES'!$A$9="",'01_INPUT_COMPANIES'!$K$9=""),"",'01_INPUT_COMPANIES'!$K$9)</x:f>
        <x:v>SYNTHETIC</x:v>
      </x:c>
      <x:c r="J9" s="37" t="str">
        <x:f>IF(OR('01_INPUT_COMPANIES'!$A$9="",'01_INPUT_COMPANIES'!$M$9=""),"",'01_INPUT_COMPANIES'!$M$9)</x:f>
        <x:v>derived</x:v>
      </x:c>
      <x:c r="K9" s="37" t="str">
        <x:f>IF(OR(A9="",COUNTBLANK(D9:H9)&gt;0),"",LEN(D9)&amp;":"&amp;D9&amp;LEN(E9)&amp;":"&amp;E9&amp;LEN(F9)&amp;":"&amp;F9&amp;LEN(G9)&amp;":"&amp;G9&amp;LEN(H9)&amp;":"&amp;H9)</x:f>
        <x:v>15:digital_content18:integrated_content5:Korea6:2025Q425:BM-DIGITAL-CONTENT-2025Q4</x:v>
      </x:c>
      <x:c r="L9" s="47" t="n">
        <x:f>IF(A9="","",'90_CALC_FEATURES'!$I$27)</x:f>
        <x:v>0.6917808219178082</x:v>
      </x:c>
      <x:c r="M9" s="47" t="n">
        <x:f>IF(A9="","",'90_CALC_FEATURES'!$I$28)</x:f>
        <x:v>0.023809523809523808</x:v>
      </x:c>
      <x:c r="N9" s="47" t="n">
        <x:f>IF(A9="","",'90_CALC_FEATURES'!$I$29)</x:f>
        <x:v>0.026041666666666668</x:v>
      </x:c>
      <x:c r="O9" s="47" t="n">
        <x:f>IF(A9="","",'90_CALC_FEATURES'!$I$30)</x:f>
        <x:v>0.675531914893617</x:v>
      </x:c>
      <x:c r="P9" s="47" t="n">
        <x:f>IF(A9="","",'90_CALC_FEATURES'!$I$31)</x:f>
        <x:v>0.8333333333333334</x:v>
      </x:c>
      <x:c r="Q9" s="47" t="n">
        <x:f>IF(A9="","",'90_CALC_FEATURES'!$I$32)</x:f>
        <x:v>0.7606382978723404</x:v>
      </x:c>
      <x:c r="R9" s="47" t="n">
        <x:f>IF(A9="","",'90_CALC_FEATURES'!$I$33)</x:f>
        <x:v>0.7857142857142857</x:v>
      </x:c>
      <x:c r="S9" s="47" t="n">
        <x:f>IF(A9="","",'90_CALC_FEATURES'!$I$34)</x:f>
        <x:v>0.5</x:v>
      </x:c>
      <x:c r="T9" s="47" t="n">
        <x:f>IF(A9="","",'90_CALC_FEATURES'!$I$35)</x:f>
        <x:v>0.10240963855421686</x:v>
      </x:c>
      <x:c r="U9" s="47" t="n">
        <x:f>IF(A9="","",'90_CALC_FEATURES'!$I$36)</x:f>
        <x:v>0.21354166666666666</x:v>
      </x:c>
      <x:c r="V9" s="47" t="n">
        <x:f>IF(COUNT(L9:N9)=3,100*AVERAGE(L9:N9),"")</x:f>
        <x:v>24.721067079799955</x:v>
      </x:c>
      <x:c r="W9" s="47" t="n">
        <x:f>IF(COUNT(O9:R9)=4,100*AVERAGE(O9:R9),"")</x:f>
        <x:v>76.3804457953394</x:v>
      </x:c>
      <x:c r="X9" s="47" t="n">
        <x:f>IF(COUNT(S9:U9)=3,100*AVERAGE(S9:U9),"")</x:f>
        <x:v>27.198376840696113</x:v>
      </x:c>
      <x:c r="Y9" s="47" t="n">
        <x:f>IF(COUNT(V9:X9)=3,AVERAGE(V9:X9),"")</x:f>
        <x:v>42.766629905278485</x:v>
      </x:c>
      <x:c r="Z9" s="47" t="n">
        <x:f>IF(OR(AND(EXACT(A9,"SYN-A"),COUNT('01_INPUT_COMPANIES'!$T$9:$AC$9)=10,'01_INPUT_COMPANIES'!$T$9=-0.02,'01_INPUT_COMPANIES'!$U$9=0.1332,'01_INPUT_COMPANIES'!$V$9=0.18,'01_INPUT_COMPANIES'!$W$9=0.42,'01_INPUT_COMPANIES'!$X$9=0.012,'01_INPUT_COMPANIES'!$Y$9=3.2,'01_INPUT_COMPANIES'!$Z$9=0.08,'01_INPUT_COMPANIES'!$AA$9=0.28,'01_INPUT_COMPANIES'!$AB$9=0.74,'01_INPUT_COMPANIES'!$AC$9=8.5),AND(EXACT(A9,"SYN-B"),COUNT('01_INPUT_COMPANIES'!$T$9:$AC$9)=10,'01_INPUT_COMPANIES'!$T$9=-0.055,'01_INPUT_COMPANIES'!$U$9=0.06405,'01_INPUT_COMPANIES'!$V$9=0.105,'01_INPUT_COMPANIES'!$W$9=0.73,'01_INPUT_COMPANIES'!$X$9=0.004,'01_INPUT_COMPANIES'!$Y$9=4.1,'01_INPUT_COMPANIES'!$Z$9=0.025,'01_INPUT_COMPANIES'!$AA$9=0.16,'01_INPUT_COMPANIES'!$AB$9=0.61,'01_INPUT_COMPANIES'!$AC$9=4),AND(EXACT(A9,"SYN-C"),COUNT('01_INPUT_COMPANIES'!$T$9:$AC$9)=10,'01_INPUT_COMPANIES'!$T$9=0.01,'01_INPUT_COMPANIES'!$U$9=0.0986,'01_INPUT_COMPANIES'!$V$9=0.145,'01_INPUT_COMPANIES'!$W$9=0.18,'01_INPUT_COMPANIES'!$X$9=0.018,'01_INPUT_COMPANIES'!$Y$9=2.65,'01_INPUT_COMPANIES'!$Z$9=0.11,'01_INPUT_COMPANIES'!$AA$9=0.34,'01_INPUT_COMPANIES'!$AB$9=0.68,'01_INPUT_COMPANIES'!$AC$9=6.8),AND(EXACT(A9,"SYN-D"),COUNT('01_INPUT_COMPANIES'!$T$9:$AC$9)=10,'01_INPUT_COMPANIES'!$T$9=-0.005,'01_INPUT_COMPANIES'!$U$9=0.1136,'01_INPUT_COMPANIES'!$V$9=0.16,'01_INPUT_COMPANIES'!$W$9=0.51,'01_INPUT_COMPANIES'!$X$9=0.009,'01_INPUT_COMPANIES'!$Y$9=3.55,'01_INPUT_COMPANIES'!$Z$9=0.065,'01_INPUT_COMPANIES'!$AA$9=0.24,'01_INPUT_COMPANIES'!$AB$9=0.71,'01_INPUT_COMPANIES'!$AC$9=7.4)),IFERROR(INDEX('94_EXPECTED_OUTPUTS'!$B$7:$B$10,MATCH(A9,'94_EXPECTED_OUTPUTS'!$A$7:$A$10,0)),""),"")</x:f>
        <x:v>42.7666299052785</x:v>
      </x:c>
      <x:c r="AA9" s="47" t="n">
        <x:f>IF(OR(COUNT(Y9)=0,COUNT(Z9)=0),"",ABS(Y9-Z9))</x:f>
        <x:v>1.4210854715202004e-14</x:v>
      </x:c>
      <x:c r="AB9" s="34" t="str">
        <x:f>IF(A9="","",IF(AD9&lt;&gt;"",AD9,IF('01_INPUT_COMPANIES'!$A$9="","",IF(OR(LEN(TRIM('01_INPUT_COMPANIES'!$A$9&amp;""))=0,LEN(TRIM('01_INPUT_COMPANIES'!$B$9&amp;""))=0,LEN(TRIM('01_INPUT_COMPANIES'!$C$9&amp;""))=0,LEN(TRIM('01_INPUT_COMPANIES'!$D$9&amp;""))=0,LEN(TRIM('01_INPUT_COMPANIES'!$E$9&amp;""))=0,LEN(TRIM('01_INPUT_COMPANIES'!$F$9&amp;""))=0,LEN(TRIM('01_INPUT_COMPANIES'!$G$9&amp;""))=0,LEN(TRIM('01_INPUT_COMPANIES'!$H$9&amp;""))=0,LEN(TRIM('01_INPUT_COMPANIES'!$I$9&amp;""))=0,LEN(TRIM('01_INPUT_COMPANIES'!$K$9&amp;""))=0,LEN(TRIM('01_INPUT_COMPANIES'!$L$9&amp;""))=0,LEN(TRIM('01_INPUT_COMPANIES'!$M$9&amp;""))=0,LEN(TRIM('01_INPUT_COMPANIES'!$N$9&amp;""))=0,LEN(TRIM('01_INPUT_COMPANIES'!$O$9&amp;""))=0,LEN(TRIM('01_INPUT_COMPANIES'!$Q$9&amp;""))=0,COUNTBLANK('01_INPUT_COMPANIES'!$A$9:$R$9)&gt;0),"INPUT REQUIRED",IF(OR('01_INPUT_COMPANIES'!$A$9&lt;&gt;TRIM('01_INPUT_COMPANIES'!$A$9),NOT(EXACT('01_INPUT_COMPANIES'!$A$9,UPPER('01_INPUT_COMPANIES'!$A$9))),LEN('01_INPUT_COMPANIES'!$A$9)&gt;64,ISNUMBER(FIND("*",'01_INPUT_COMPANIES'!$A$9)),ISNUMBER(FIND("?",'01_INPUT_COMPANIES'!$A$9)),ISNUMBER(FIND("~",'01_INPUT_COMPANIES'!$A$9))),"ERROR: ID FORMAT",IF(COUNTIF('01_INPUT_COMPANIES'!$A$7:$A$106,'01_INPUT_COMPANIES'!$A$9)&lt;&gt;1,"ERROR: DUPLICATE ID",IF(COUNT('01_INPUT_COMPANIES'!$T$9:$AC$9)&lt;&gt;10,"INPUT REQUIRED",IF(NOT(OR('01_INPUT_COMPANIES'!$C$9="domestic",'01_INPUT_COMPANIES'!$C$9="foreign",'01_INPUT_COMPANIES'!$C$9="other")),"ERROR: COMPANY GROUP",IF(OR(LEN('01_INPUT_COMPANIES'!$G$9)&lt;&gt;6,MID('01_INPUT_COMPANIES'!$G$9,5,1)&lt;&gt;"Q",IFERROR(VALUE(LEFT('01_INPUT_COMPANIES'!$G$9,4)),0)&lt;2000,IFERROR(VALUE(LEFT('01_INPUT_COMPANIES'!$G$9,4)),0)&gt;2100,IFERROR(VALUE(RIGHT('01_INPUT_COMPANIES'!$G$9,1)),0)&lt;1,IFERROR(VALUE(RIGHT('01_INPUT_COMPANIES'!$G$9,1)),0)&gt;4),"ERROR: REPORTING PERIOD",IF(OR(COUNTIFS('92_REF_VARIABLES'!$A$21:$A$21,'01_INPUT_COMPANIES'!$H$9,'92_REF_VARIABLES'!$B$21:$B$21,'01_INPUT_COMPANIES'!$D$9,'92_REF_VARIABLES'!$C$21:$C$21,'01_INPUT_COMPANIES'!$G$9)&lt;&gt;1,AND(IFERROR(INDEX('92_REF_VARIABLES'!$I$21:$I$21,MATCH('01_INPUT_COMPANIES'!$H$9,'92_REF_VARIABLES'!$A$21:$A$21,0)),"")="synthetic_only",'01_INPUT_COMPANIES'!$L$9&lt;&gt;"yes")),"ERROR: BENCHMARK",IF(COUNTIF('92_REF_VARIABLES'!$L$21:$L$50,'01_INPUT_COMPANIES'!$I$9)&lt;&gt;1,"ERROR: CURRENCY",IF(OR(NOT(ISNUMBER('01_INPUT_COMPANIES'!$J$9)),'01_INPUT_COMPANIES'!$J$9&lt;&gt;INT('01_INPUT_COMPANIES'!$J$9),'01_INPUT_COMPANIES'!$J$9&lt;2000,'01_INPUT_COMPANIES'!$J$9&gt;2100),"ERROR: PRICE YEAR",IF(NOT(OR('01_INPUT_COMPANIES'!$K$9="A",'01_INPUT_COMPANIES'!$K$9="B",'01_INPUT_COMPANIES'!$K$9="C",'01_INPUT_COMPANIES'!$K$9="SYNTHETIC")),"ERROR: QUALITY",IF(NOT(OR(AND('01_INPUT_COMPANIES'!$L$9="yes",'01_INPUT_COMPANIES'!$K$9="SYNTHETIC"),AND('01_INPUT_COMPANIES'!$L$9="no",'01_INPUT_COMPANIES'!$K$9&lt;&gt;"SYNTHETIC"))),"ERROR: SYNTHETIC FLAG",IF(NOT(OR('01_INPUT_COMPANIES'!$M$9="direct",'01_INPUT_COMPANIES'!$M$9="derived",'01_INPUT_COMPANIES'!$M$9="proxy",'01_INPUT_COMPANIES'!$M$9="mixed")),"ERROR: CONSTRUCTION MODE",IF(OR(NOT(ISNUMBER('01_INPUT_COMPANIES'!$P$9)),'01_INPUT_COMPANIES'!$P$9&lt;0,'01_INPUT_COMPANIES'!$P$9&lt;&gt;INT('01_INPUT_COMPANIES'!$P$9)),"ERROR: CARRY LAG",IF('01_INPUT_COMPANIES'!$Q$9&lt;&gt;"yes","ERROR: EXPOSURE ADJUSTMENT",IF(OR(NOT(ISNUMBER('01_INPUT_COMPANIES'!$R$9)),'01_INPUT_COMPANIES'!$R$9&lt;0,'01_INPUT_COMPANIES'!$R$9&gt;1),"ERROR: EXPOSURE FACTOR",IF(COUNT(Y9)=0,"ERROR: SCORE",IF(COUNT(Z9)=0,"READY",IF(AA9&lt;=0.0000000001,"PASS","CHECK"))&amp;IF('01_INPUT_COMPANIES'!$K$9="C"," | C QUALITY","")&amp;IF(OR('01_INPUT_COMPANIES'!$M$9="proxy",'01_INPUT_COMPANIES'!$M$9="mixed")," | PROXY/MIXED","")&amp;IF('01_INPUT_COMPANIES'!$P$9&gt;1," | CARRY&gt;1","")&amp;IF(OR(OR('01_INPUT_COMPANIES'!$T$9&lt;-1,'01_INPUT_COMPANIES'!$T$9&gt;1),OR('01_INPUT_COMPANIES'!$U$9&lt;0,'01_INPUT_COMPANIES'!$U$9&gt;1),OR('01_INPUT_COMPANIES'!$V$9&lt;0,'01_INPUT_COMPANIES'!$V$9&gt;1),OR('01_INPUT_COMPANIES'!$W$9&lt;-10,'01_INPUT_COMPANIES'!$W$9&gt;10),OR('01_INPUT_COMPANIES'!$X$9&lt;-1,'01_INPUT_COMPANIES'!$X$9&gt;1),OR('01_INPUT_COMPANIES'!$Y$9&lt;0,'01_INPUT_COMPANIES'!$Y$9&gt;20),OR('01_INPUT_COMPANIES'!$Z$9&lt;-2,'01_INPUT_COMPANIES'!$Z$9&gt;2),OR('01_INPUT_COMPANIES'!$AA$9&lt;0,'01_INPUT_COMPANIES'!$AA$9&gt;1),OR('01_INPUT_COMPANIES'!$AB$9&lt;0,'01_INPUT_COMPANIES'!$AB$9&gt;1),OR('01_INPUT_COMPANIES'!$AC$9&lt;0,'01_INPUT_COMPANIES'!$AC$9&gt;50))," | REVIEW RANGE","")&amp;IF(COUNTIF('90_CALC_FEATURES'!$J$27:$J$36,"WINSORIZED*")&gt;0," | WINSORIZED","")&amp;IF(ABS('01_INPUT_COMPANIES'!$U$9-'01_INPUT_COMPANIES'!$V$9*'01_INPUT_COMPANIES'!$AB$9)&gt;MAX(0.005,0.05*MAX(ABS('01_INPUT_COMPANIES'!$V$9*'01_INPUT_COMPANIES'!$AB$9),ABS('01_INPUT_COMPANIES'!$U$9),0.000000000001))," | DEPENDENCY",""))))))))))))))))))))</x:f>
        <x:v>PASS</x:v>
      </x:c>
      <x:c r="AC9" s="34" t="str">
        <x:f>IF(A9="","",IF(OR(LEFT(AB9,4)="PASS",LEFT(AB9,5)="READY"),"RESEARCH BETA | 저지원 22.22% | 기업 백분위 N/A", "결과 사용 금지 | "&amp;AB9))</x:f>
        <x:v>RESEARCH BETA | 저지원 22.22% | 기업 백분위 N/A</x:v>
      </x:c>
      <x:c r="AD9" s="34" t="str">
        <x:f>IF(A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,TRIM('01_INPUT_COMPANIES'!$D$9)),EXACT('01_INPUT_COMPANIES'!$E$9,TRIM('01_INPUT_COMPANIES'!$E$9)),EXACT('01_INPUT_COMPANIES'!$F$9,TRIM('01_INPUT_COMPANIES'!$F$9)),EXACT('01_INPUT_COMPANIES'!$G$9,TRIM('01_INPUT_COMPANIES'!$G$9)),EXACT('01_INPUT_COMPANIES'!$H$9,TRIM('01_INPUT_COMPANIES'!$H$9)))),"ERROR: COHORT WHITESPACE",IF(NOT(IFERROR(AND(ISTEXT('01_INPUT_COMPANIES'!$O$9),LEN('01_INPUT_COMPANIES'!$O$9)=10,VALUE(LEFT('01_INPUT_COMPANIES'!$O$9,4))&gt;=2000,VALUE(LEFT('01_INPUT_COMPANIES'!$O$9,4))&lt;=2100,EXACT(TEXT(DATE(VALUE(LEFT('01_INPUT_COMPANIES'!$O$9,4)),VALUE(MID('01_INPUT_COMPANIES'!$O$9,6,2)),VALUE(RIGHT('01_INPUT_COMPANIES'!$O$9,2))),"yyyy-mm-dd"),'01_INPUT_COMPANIES'!$O$9)),FALSE)),"ERROR: SOURCE DATE",IF(NOT(AND(OR(EXACT('01_INPUT_COMPANIES'!$C$9,"domestic"),EXACT('01_INPUT_COMPANIES'!$C$9,"foreign"),EXACT('01_INPUT_COMPANIES'!$C$9,"other")),OR(EXACT('01_INPUT_COMPANIES'!$K$9,"A"),EXACT('01_INPUT_COMPANIES'!$K$9,"B"),EXACT('01_INPUT_COMPANIES'!$K$9,"C"),EXACT('01_INPUT_COMPANIES'!$K$9,"SYNTHETIC")),OR(EXACT('01_INPUT_COMPANIES'!$L$9,"yes"),EXACT('01_INPUT_COMPANIES'!$L$9,"no")),OR(EXACT('01_INPUT_COMPANIES'!$M$9,"direct"),EXACT('01_INPUT_COMPANIES'!$M$9,"derived"),EXACT('01_INPUT_COMPANIES'!$M$9,"proxy"),EXACT('01_INPUT_COMPANIES'!$M$9,"mixed")),OR(EXACT('01_INPUT_COMPANIES'!$Q$9,"yes")),EXACT('01_INPUT_COMPANIES'!$I$9,UPPER('01_INPUT_COMPANIES'!$I$9)))),"ERROR: EXACT ENUM",IF(NOT(IFERROR(OR(AND(EXACT('92_REF_VARIABLES'!$A$21,'01_INPUT_COMPANIES'!$H$9),EXACT('92_REF_VARIABLES'!$B$21,'01_INPUT_COMPANIES'!$D$9),EXACT('92_REF_VARIABLES'!$C$21,'01_INPUT_COMPANIES'!$G$9))),FALSE)),"ERROR: BENCHMARK",""))))))</x:f>
      </x:c>
    </x:row>
    <x:row r="10" ht="26.399999618530273" hidden="0" customHeight="1">
      <x:c r="A10" s="34" t="str">
        <x:f>IF(OR('01_INPUT_COMPANIES'!$A$10="",'01_INPUT_COMPANIES'!$A$10=""),"",'01_INPUT_COMPANIES'!$A$10)</x:f>
        <x:v>SYN-D</x:v>
      </x:c>
      <x:c r="B10" s="34" t="str">
        <x:f>IF(OR('01_INPUT_COMPANIES'!$A$10="",'01_INPUT_COMPANIES'!$B$10=""),"",'01_INPUT_COMPANIES'!$B$10)</x:f>
        <x:v>라온 플레이</x:v>
      </x:c>
      <x:c r="C10" s="34" t="str">
        <x:f>IF(OR('01_INPUT_COMPANIES'!$A$10="",'01_INPUT_COMPANIES'!$C$10=""),"",'01_INPUT_COMPANIES'!$C$10)</x:f>
        <x:v>domestic</x:v>
      </x:c>
      <x:c r="D10" s="34" t="str">
        <x:f>IF(OR('01_INPUT_COMPANIES'!$A$10="",'01_INPUT_COMPANIES'!$D$10=""),"",'01_INPUT_COMPANIES'!$D$10)</x:f>
        <x:v>digital_content</x:v>
      </x:c>
      <x:c r="E10" s="34" t="str">
        <x:f>IF(OR('01_INPUT_COMPANIES'!$A$10="",'01_INPUT_COMPANIES'!$E$10=""),"",'01_INPUT_COMPANIES'!$E$10)</x:f>
        <x:v>integrated_content</x:v>
      </x:c>
      <x:c r="F10" s="34" t="str">
        <x:f>IF(OR('01_INPUT_COMPANIES'!$A$10="",'01_INPUT_COMPANIES'!$F$10=""),"",'01_INPUT_COMPANIES'!$F$10)</x:f>
        <x:v>Korea</x:v>
      </x:c>
      <x:c r="G10" s="34" t="str">
        <x:f>IF(OR('01_INPUT_COMPANIES'!$A$10="",'01_INPUT_COMPANIES'!$G$10=""),"",'01_INPUT_COMPANIES'!$G$10)</x:f>
        <x:v>2025Q4</x:v>
      </x:c>
      <x:c r="H10" s="37" t="str">
        <x:f>IF(OR('01_INPUT_COMPANIES'!$A$10="",'01_INPUT_COMPANIES'!$H$10=""),"",'01_INPUT_COMPANIES'!$H$10)</x:f>
        <x:v>BM-DIGITAL-CONTENT-2025Q4</x:v>
      </x:c>
      <x:c r="I10" s="37" t="str">
        <x:f>IF(OR('01_INPUT_COMPANIES'!$A$10="",'01_INPUT_COMPANIES'!$K$10=""),"",'01_INPUT_COMPANIES'!$K$10)</x:f>
        <x:v>SYNTHETIC</x:v>
      </x:c>
      <x:c r="J10" s="37" t="str">
        <x:f>IF(OR('01_INPUT_COMPANIES'!$A$10="",'01_INPUT_COMPANIES'!$M$10=""),"",'01_INPUT_COMPANIES'!$M$10)</x:f>
        <x:v>derived</x:v>
      </x:c>
      <x:c r="K10" s="37" t="str">
        <x:f>IF(OR(A10="",COUNTBLANK(D10:H10)&gt;0),"",LEN(D10)&amp;":"&amp;D10&amp;LEN(E10)&amp;":"&amp;E10&amp;LEN(F10)&amp;":"&amp;F10&amp;LEN(G10)&amp;":"&amp;G10&amp;LEN(H10)&amp;":"&amp;H10)</x:f>
        <x:v>15:digital_content18:integrated_content5:Korea6:2025Q425:BM-DIGITAL-CONTENT-2025Q4</x:v>
      </x:c>
      <x:c r="L10" s="47" t="n">
        <x:f>IF(A10="","",'90_CALC_FEATURES'!$I$37)</x:f>
        <x:v>0.2808219178082192</x:v>
      </x:c>
      <x:c r="M10" s="47" t="n">
        <x:f>IF(A10="","",'90_CALC_FEATURES'!$I$38)</x:f>
        <x:v>0.023809523809523808</x:v>
      </x:c>
      <x:c r="N10" s="47" t="n">
        <x:f>IF(A10="","",'90_CALC_FEATURES'!$I$39)</x:f>
        <x:v>0.026041666666666668</x:v>
      </x:c>
      <x:c r="O10" s="47" t="n">
        <x:f>IF(A10="","",'90_CALC_FEATURES'!$I$40)</x:f>
        <x:v>0.5691489361702128</x:v>
      </x:c>
      <x:c r="P10" s="47" t="n">
        <x:f>IF(A10="","",'90_CALC_FEATURES'!$I$41)</x:f>
        <x:v>0.7456140350877193</x:v>
      </x:c>
      <x:c r="Q10" s="47" t="n">
        <x:f>IF(A10="","",'90_CALC_FEATURES'!$I$42)</x:f>
        <x:v>0.6968085106382979</x:v>
      </x:c>
      <x:c r="R10" s="47" t="n">
        <x:f>IF(A10="","",'90_CALC_FEATURES'!$I$43)</x:f>
        <x:v>0.7637362637362637</x:v>
      </x:c>
      <x:c r="S10" s="47" t="n">
        <x:f>IF(A10="","",'90_CALC_FEATURES'!$I$44)</x:f>
        <x:v>0.5</x:v>
      </x:c>
      <x:c r="T10" s="47" t="n">
        <x:f>IF(A10="","",'90_CALC_FEATURES'!$I$45)</x:f>
        <x:v>0.10240963855421686</x:v>
      </x:c>
      <x:c r="U10" s="47" t="n">
        <x:f>IF(A10="","",'90_CALC_FEATURES'!$I$46)</x:f>
        <x:v>0.22395833333333334</x:v>
      </x:c>
      <x:c r="V10" s="47" t="n">
        <x:f>IF(COUNT(L10:N10)=3,100*AVERAGE(L10:N10),"")</x:f>
        <x:v>11.022436942813657</x:v>
      </x:c>
      <x:c r="W10" s="47" t="n">
        <x:f>IF(COUNT(O10:R10)=4,100*AVERAGE(O10:R10),"")</x:f>
        <x:v>69.38269364081235</x:v>
      </x:c>
      <x:c r="X10" s="47" t="n">
        <x:f>IF(COUNT(S10:U10)=3,100*AVERAGE(S10:U10),"")</x:f>
        <x:v>27.545599062918342</x:v>
      </x:c>
      <x:c r="Y10" s="47" t="n">
        <x:f>IF(COUNT(V10:X10)=3,AVERAGE(V10:X10),"")</x:f>
        <x:v>35.98357654884811</x:v>
      </x:c>
      <x:c r="Z10" s="47" t="n">
        <x:f>IF(OR(AND(EXACT(A10,"SYN-A"),COUNT('01_INPUT_COMPANIES'!$T$10:$AC$10)=10,'01_INPUT_COMPANIES'!$T$10=-0.02,'01_INPUT_COMPANIES'!$U$10=0.1332,'01_INPUT_COMPANIES'!$V$10=0.18,'01_INPUT_COMPANIES'!$W$10=0.42,'01_INPUT_COMPANIES'!$X$10=0.012,'01_INPUT_COMPANIES'!$Y$10=3.2,'01_INPUT_COMPANIES'!$Z$10=0.08,'01_INPUT_COMPANIES'!$AA$10=0.28,'01_INPUT_COMPANIES'!$AB$10=0.74,'01_INPUT_COMPANIES'!$AC$10=8.5),AND(EXACT(A10,"SYN-B"),COUNT('01_INPUT_COMPANIES'!$T$10:$AC$10)=10,'01_INPUT_COMPANIES'!$T$10=-0.055,'01_INPUT_COMPANIES'!$U$10=0.06405,'01_INPUT_COMPANIES'!$V$10=0.105,'01_INPUT_COMPANIES'!$W$10=0.73,'01_INPUT_COMPANIES'!$X$10=0.004,'01_INPUT_COMPANIES'!$Y$10=4.1,'01_INPUT_COMPANIES'!$Z$10=0.025,'01_INPUT_COMPANIES'!$AA$10=0.16,'01_INPUT_COMPANIES'!$AB$10=0.61,'01_INPUT_COMPANIES'!$AC$10=4),AND(EXACT(A10,"SYN-C"),COUNT('01_INPUT_COMPANIES'!$T$10:$AC$10)=10,'01_INPUT_COMPANIES'!$T$10=0.01,'01_INPUT_COMPANIES'!$U$10=0.0986,'01_INPUT_COMPANIES'!$V$10=0.145,'01_INPUT_COMPANIES'!$W$10=0.18,'01_INPUT_COMPANIES'!$X$10=0.018,'01_INPUT_COMPANIES'!$Y$10=2.65,'01_INPUT_COMPANIES'!$Z$10=0.11,'01_INPUT_COMPANIES'!$AA$10=0.34,'01_INPUT_COMPANIES'!$AB$10=0.68,'01_INPUT_COMPANIES'!$AC$10=6.8),AND(EXACT(A10,"SYN-D"),COUNT('01_INPUT_COMPANIES'!$T$10:$AC$10)=10,'01_INPUT_COMPANIES'!$T$10=-0.005,'01_INPUT_COMPANIES'!$U$10=0.1136,'01_INPUT_COMPANIES'!$V$10=0.16,'01_INPUT_COMPANIES'!$W$10=0.51,'01_INPUT_COMPANIES'!$X$10=0.009,'01_INPUT_COMPANIES'!$Y$10=3.55,'01_INPUT_COMPANIES'!$Z$10=0.065,'01_INPUT_COMPANIES'!$AA$10=0.24,'01_INPUT_COMPANIES'!$AB$10=0.71,'01_INPUT_COMPANIES'!$AC$10=7.4)),IFERROR(INDEX('94_EXPECTED_OUTPUTS'!$B$7:$B$10,MATCH(A10,'94_EXPECTED_OUTPUTS'!$A$7:$A$10,0)),""),"")</x:f>
        <x:v>35.98357654884811</x:v>
      </x:c>
      <x:c r="AA10" s="47" t="n">
        <x:f>IF(OR(COUNT(Y10)=0,COUNT(Z10)=0),"",ABS(Y10-Z10))</x:f>
        <x:v>0</x:v>
      </x:c>
      <x:c r="AB10" s="34" t="str">
        <x:f>IF(A10="","",IF(AD10&lt;&gt;"",AD10,IF('01_INPUT_COMPANIES'!$A$10="","",IF(OR(LEN(TRIM('01_INPUT_COMPANIES'!$A$10&amp;""))=0,LEN(TRIM('01_INPUT_COMPANIES'!$B$10&amp;""))=0,LEN(TRIM('01_INPUT_COMPANIES'!$C$10&amp;""))=0,LEN(TRIM('01_INPUT_COMPANIES'!$D$10&amp;""))=0,LEN(TRIM('01_INPUT_COMPANIES'!$E$10&amp;""))=0,LEN(TRIM('01_INPUT_COMPANIES'!$F$10&amp;""))=0,LEN(TRIM('01_INPUT_COMPANIES'!$G$10&amp;""))=0,LEN(TRIM('01_INPUT_COMPANIES'!$H$10&amp;""))=0,LEN(TRIM('01_INPUT_COMPANIES'!$I$10&amp;""))=0,LEN(TRIM('01_INPUT_COMPANIES'!$K$10&amp;""))=0,LEN(TRIM('01_INPUT_COMPANIES'!$L$10&amp;""))=0,LEN(TRIM('01_INPUT_COMPANIES'!$M$10&amp;""))=0,LEN(TRIM('01_INPUT_COMPANIES'!$N$10&amp;""))=0,LEN(TRIM('01_INPUT_COMPANIES'!$O$10&amp;""))=0,LEN(TRIM('01_INPUT_COMPANIES'!$Q$10&amp;""))=0,COUNTBLANK('01_INPUT_COMPANIES'!$A$10:$R$10)&gt;0),"INPUT REQUIRED",IF(OR('01_INPUT_COMPANIES'!$A$10&lt;&gt;TRIM('01_INPUT_COMPANIES'!$A$10),NOT(EXACT('01_INPUT_COMPANIES'!$A$10,UPPER('01_INPUT_COMPANIES'!$A$10))),LEN('01_INPUT_COMPANIES'!$A$10)&gt;64,ISNUMBER(FIND("*",'01_INPUT_COMPANIES'!$A$10)),ISNUMBER(FIND("?",'01_INPUT_COMPANIES'!$A$10)),ISNUMBER(FIND("~",'01_INPUT_COMPANIES'!$A$10))),"ERROR: ID FORMAT",IF(COUNTIF('01_INPUT_COMPANIES'!$A$7:$A$106,'01_INPUT_COMPANIES'!$A$10)&lt;&gt;1,"ERROR: DUPLICATE ID",IF(COUNT('01_INPUT_COMPANIES'!$T$10:$AC$10)&lt;&gt;10,"INPUT REQUIRED",IF(NOT(OR('01_INPUT_COMPANIES'!$C$10="domestic",'01_INPUT_COMPANIES'!$C$10="foreign",'01_INPUT_COMPANIES'!$C$10="other")),"ERROR: COMPANY GROUP",IF(OR(LEN('01_INPUT_COMPANIES'!$G$10)&lt;&gt;6,MID('01_INPUT_COMPANIES'!$G$10,5,1)&lt;&gt;"Q",IFERROR(VALUE(LEFT('01_INPUT_COMPANIES'!$G$10,4)),0)&lt;2000,IFERROR(VALUE(LEFT('01_INPUT_COMPANIES'!$G$10,4)),0)&gt;2100,IFERROR(VALUE(RIGHT('01_INPUT_COMPANIES'!$G$10,1)),0)&lt;1,IFERROR(VALUE(RIGHT('01_INPUT_COMPANIES'!$G$10,1)),0)&gt;4),"ERROR: REPORTING PERIOD",IF(OR(COUNTIFS('92_REF_VARIABLES'!$A$21:$A$21,'01_INPUT_COMPANIES'!$H$10,'92_REF_VARIABLES'!$B$21:$B$21,'01_INPUT_COMPANIES'!$D$10,'92_REF_VARIABLES'!$C$21:$C$21,'01_INPUT_COMPANIES'!$G$10)&lt;&gt;1,AND(IFERROR(INDEX('92_REF_VARIABLES'!$I$21:$I$21,MATCH('01_INPUT_COMPANIES'!$H$10,'92_REF_VARIABLES'!$A$21:$A$21,0)),"")="synthetic_only",'01_INPUT_COMPANIES'!$L$10&lt;&gt;"yes")),"ERROR: BENCHMARK",IF(COUNTIF('92_REF_VARIABLES'!$L$21:$L$50,'01_INPUT_COMPANIES'!$I$10)&lt;&gt;1,"ERROR: CURRENCY",IF(OR(NOT(ISNUMBER('01_INPUT_COMPANIES'!$J$10)),'01_INPUT_COMPANIES'!$J$10&lt;&gt;INT('01_INPUT_COMPANIES'!$J$10),'01_INPUT_COMPANIES'!$J$10&lt;2000,'01_INPUT_COMPANIES'!$J$10&gt;2100),"ERROR: PRICE YEAR",IF(NOT(OR('01_INPUT_COMPANIES'!$K$10="A",'01_INPUT_COMPANIES'!$K$10="B",'01_INPUT_COMPANIES'!$K$10="C",'01_INPUT_COMPANIES'!$K$10="SYNTHETIC")),"ERROR: QUALITY",IF(NOT(OR(AND('01_INPUT_COMPANIES'!$L$10="yes",'01_INPUT_COMPANIES'!$K$10="SYNTHETIC"),AND('01_INPUT_COMPANIES'!$L$10="no",'01_INPUT_COMPANIES'!$K$10&lt;&gt;"SYNTHETIC"))),"ERROR: SYNTHETIC FLAG",IF(NOT(OR('01_INPUT_COMPANIES'!$M$10="direct",'01_INPUT_COMPANIES'!$M$10="derived",'01_INPUT_COMPANIES'!$M$10="proxy",'01_INPUT_COMPANIES'!$M$10="mixed")),"ERROR: CONSTRUCTION MODE",IF(OR(NOT(ISNUMBER('01_INPUT_COMPANIES'!$P$10)),'01_INPUT_COMPANIES'!$P$10&lt;0,'01_INPUT_COMPANIES'!$P$10&lt;&gt;INT('01_INPUT_COMPANIES'!$P$10)),"ERROR: CARRY LAG",IF('01_INPUT_COMPANIES'!$Q$10&lt;&gt;"yes","ERROR: EXPOSURE ADJUSTMENT",IF(OR(NOT(ISNUMBER('01_INPUT_COMPANIES'!$R$10)),'01_INPUT_COMPANIES'!$R$10&lt;0,'01_INPUT_COMPANIES'!$R$10&gt;1),"ERROR: EXPOSURE FACTOR",IF(COUNT(Y10)=0,"ERROR: SCORE",IF(COUNT(Z10)=0,"READY",IF(AA10&lt;=0.0000000001,"PASS","CHECK"))&amp;IF('01_INPUT_COMPANIES'!$K$10="C"," | C QUALITY","")&amp;IF(OR('01_INPUT_COMPANIES'!$M$10="proxy",'01_INPUT_COMPANIES'!$M$10="mixed")," | PROXY/MIXED","")&amp;IF('01_INPUT_COMPANIES'!$P$10&gt;1," | CARRY&gt;1","")&amp;IF(OR(OR('01_INPUT_COMPANIES'!$T$10&lt;-1,'01_INPUT_COMPANIES'!$T$10&gt;1),OR('01_INPUT_COMPANIES'!$U$10&lt;0,'01_INPUT_COMPANIES'!$U$10&gt;1),OR('01_INPUT_COMPANIES'!$V$10&lt;0,'01_INPUT_COMPANIES'!$V$10&gt;1),OR('01_INPUT_COMPANIES'!$W$10&lt;-10,'01_INPUT_COMPANIES'!$W$10&gt;10),OR('01_INPUT_COMPANIES'!$X$10&lt;-1,'01_INPUT_COMPANIES'!$X$10&gt;1),OR('01_INPUT_COMPANIES'!$Y$10&lt;0,'01_INPUT_COMPANIES'!$Y$10&gt;20),OR('01_INPUT_COMPANIES'!$Z$10&lt;-2,'01_INPUT_COMPANIES'!$Z$10&gt;2),OR('01_INPUT_COMPANIES'!$AA$10&lt;0,'01_INPUT_COMPANIES'!$AA$10&gt;1),OR('01_INPUT_COMPANIES'!$AB$10&lt;0,'01_INPUT_COMPANIES'!$AB$10&gt;1),OR('01_INPUT_COMPANIES'!$AC$10&lt;0,'01_INPUT_COMPANIES'!$AC$10&gt;50))," | REVIEW RANGE","")&amp;IF(COUNTIF('90_CALC_FEATURES'!$J$37:$J$46,"WINSORIZED*")&gt;0," | WINSORIZED","")&amp;IF(ABS('01_INPUT_COMPANIES'!$U$10-'01_INPUT_COMPANIES'!$V$10*'01_INPUT_COMPANIES'!$AB$10)&gt;MAX(0.005,0.05*MAX(ABS('01_INPUT_COMPANIES'!$V$10*'01_INPUT_COMPANIES'!$AB$10),ABS('01_INPUT_COMPANIES'!$U$10),0.000000000001))," | DEPENDENCY",""))))))))))))))))))))</x:f>
        <x:v>PASS</x:v>
      </x:c>
      <x:c r="AC10" s="34" t="str">
        <x:f>IF(A10="","",IF(OR(LEFT(AB10,4)="PASS",LEFT(AB10,5)="READY"),"RESEARCH BETA | 저지원 22.22% | 기업 백분위 N/A", "결과 사용 금지 | "&amp;AB10))</x:f>
        <x:v>RESEARCH BETA | 저지원 22.22% | 기업 백분위 N/A</x:v>
      </x:c>
      <x:c r="AD10" s="34" t="str">
        <x:f>IF(A10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,TRIM('01_INPUT_COMPANIES'!$D$10)),EXACT('01_INPUT_COMPANIES'!$E$10,TRIM('01_INPUT_COMPANIES'!$E$10)),EXACT('01_INPUT_COMPANIES'!$F$10,TRIM('01_INPUT_COMPANIES'!$F$10)),EXACT('01_INPUT_COMPANIES'!$G$10,TRIM('01_INPUT_COMPANIES'!$G$10)),EXACT('01_INPUT_COMPANIES'!$H$10,TRIM('01_INPUT_COMPANIES'!$H$10)))),"ERROR: COHORT WHITESPACE",IF(NOT(IFERROR(AND(ISTEXT('01_INPUT_COMPANIES'!$O$10),LEN('01_INPUT_COMPANIES'!$O$10)=10,VALUE(LEFT('01_INPUT_COMPANIES'!$O$10,4))&gt;=2000,VALUE(LEFT('01_INPUT_COMPANIES'!$O$10,4))&lt;=2100,EXACT(TEXT(DATE(VALUE(LEFT('01_INPUT_COMPANIES'!$O$10,4)),VALUE(MID('01_INPUT_COMPANIES'!$O$10,6,2)),VALUE(RIGHT('01_INPUT_COMPANIES'!$O$10,2))),"yyyy-mm-dd"),'01_INPUT_COMPANIES'!$O$10)),FALSE)),"ERROR: SOURCE DATE",IF(NOT(AND(OR(EXACT('01_INPUT_COMPANIES'!$C$10,"domestic"),EXACT('01_INPUT_COMPANIES'!$C$10,"foreign"),EXACT('01_INPUT_COMPANIES'!$C$10,"other")),OR(EXACT('01_INPUT_COMPANIES'!$K$10,"A"),EXACT('01_INPUT_COMPANIES'!$K$10,"B"),EXACT('01_INPUT_COMPANIES'!$K$10,"C"),EXACT('01_INPUT_COMPANIES'!$K$10,"SYNTHETIC")),OR(EXACT('01_INPUT_COMPANIES'!$L$10,"yes"),EXACT('01_INPUT_COMPANIES'!$L$10,"no")),OR(EXACT('01_INPUT_COMPANIES'!$M$10,"direct"),EXACT('01_INPUT_COMPANIES'!$M$10,"derived"),EXACT('01_INPUT_COMPANIES'!$M$10,"proxy"),EXACT('01_INPUT_COMPANIES'!$M$10,"mixed")),OR(EXACT('01_INPUT_COMPANIES'!$Q$10,"yes")),EXACT('01_INPUT_COMPANIES'!$I$10,UPPER('01_INPUT_COMPANIES'!$I$10)))),"ERROR: EXACT ENUM",IF(NOT(IFERROR(OR(AND(EXACT('92_REF_VARIABLES'!$A$21,'01_INPUT_COMPANIES'!$H$10),EXACT('92_REF_VARIABLES'!$B$21,'01_INPUT_COMPANIES'!$D$10),EXACT('92_REF_VARIABLES'!$C$21,'01_INPUT_COMPANIES'!$G$10))),FALSE)),"ERROR: BENCHMARK",""))))))</x:f>
      </x:c>
    </x:row>
    <x:row r="11">
      <x:c r="A11" s="34" t="str">
        <x:f>IF(OR('01_INPUT_COMPANIES'!$A$11="",'01_INPUT_COMPANIES'!$A$11=""),"",'01_INPUT_COMPANIES'!$A$11)</x:f>
      </x:c>
      <x:c r="B11" s="34" t="str">
        <x:f>IF(OR('01_INPUT_COMPANIES'!$A$11="",'01_INPUT_COMPANIES'!$B$11=""),"",'01_INPUT_COMPANIES'!$B$11)</x:f>
      </x:c>
      <x:c r="C11" s="34" t="str">
        <x:f>IF(OR('01_INPUT_COMPANIES'!$A$11="",'01_INPUT_COMPANIES'!$C$11=""),"",'01_INPUT_COMPANIES'!$C$11)</x:f>
      </x:c>
      <x:c r="D11" s="34" t="str">
        <x:f>IF(OR('01_INPUT_COMPANIES'!$A$11="",'01_INPUT_COMPANIES'!$D$11=""),"",'01_INPUT_COMPANIES'!$D$11)</x:f>
      </x:c>
      <x:c r="E11" s="34" t="str">
        <x:f>IF(OR('01_INPUT_COMPANIES'!$A$11="",'01_INPUT_COMPANIES'!$E$11=""),"",'01_INPUT_COMPANIES'!$E$11)</x:f>
      </x:c>
      <x:c r="F11" s="34" t="str">
        <x:f>IF(OR('01_INPUT_COMPANIES'!$A$11="",'01_INPUT_COMPANIES'!$F$11=""),"",'01_INPUT_COMPANIES'!$F$11)</x:f>
      </x:c>
      <x:c r="G11" s="34" t="str">
        <x:f>IF(OR('01_INPUT_COMPANIES'!$A$11="",'01_INPUT_COMPANIES'!$G$11=""),"",'01_INPUT_COMPANIES'!$G$11)</x:f>
      </x:c>
      <x:c r="H11" s="34" t="str">
        <x:f>IF(OR('01_INPUT_COMPANIES'!$A$11="",'01_INPUT_COMPANIES'!$H$11=""),"",'01_INPUT_COMPANIES'!$H$11)</x:f>
      </x:c>
      <x:c r="I11" s="34" t="str">
        <x:f>IF(OR('01_INPUT_COMPANIES'!$A$11="",'01_INPUT_COMPANIES'!$K$11=""),"",'01_INPUT_COMPANIES'!$K$11)</x:f>
      </x:c>
      <x:c r="J11" s="34" t="str">
        <x:f>IF(OR('01_INPUT_COMPANIES'!$A$11="",'01_INPUT_COMPANIES'!$M$11=""),"",'01_INPUT_COMPANIES'!$M$11)</x:f>
      </x:c>
      <x:c r="K11" s="34" t="str">
        <x:f>IF(OR(A11="",COUNTBLANK(D11:H11)&gt;0),"",LEN(D11)&amp;":"&amp;D11&amp;LEN(E11)&amp;":"&amp;E11&amp;LEN(F11)&amp;":"&amp;F11&amp;LEN(G11)&amp;":"&amp;G11&amp;LEN(H11)&amp;":"&amp;H11)</x:f>
      </x:c>
      <x:c r="L11" s="47" t="str">
        <x:f>IF(A11="","",'90_CALC_FEATURES'!$I$47)</x:f>
      </x:c>
      <x:c r="M11" s="47" t="str">
        <x:f>IF(A11="","",'90_CALC_FEATURES'!$I$48)</x:f>
      </x:c>
      <x:c r="N11" s="47" t="str">
        <x:f>IF(A11="","",'90_CALC_FEATURES'!$I$49)</x:f>
      </x:c>
      <x:c r="O11" s="47" t="str">
        <x:f>IF(A11="","",'90_CALC_FEATURES'!$I$50)</x:f>
      </x:c>
      <x:c r="P11" s="47" t="str">
        <x:f>IF(A11="","",'90_CALC_FEATURES'!$I$51)</x:f>
      </x:c>
      <x:c r="Q11" s="47" t="str">
        <x:f>IF(A11="","",'90_CALC_FEATURES'!$I$52)</x:f>
      </x:c>
      <x:c r="R11" s="47" t="str">
        <x:f>IF(A11="","",'90_CALC_FEATURES'!$I$53)</x:f>
      </x:c>
      <x:c r="S11" s="47" t="str">
        <x:f>IF(A11="","",'90_CALC_FEATURES'!$I$54)</x:f>
      </x:c>
      <x:c r="T11" s="47" t="str">
        <x:f>IF(A11="","",'90_CALC_FEATURES'!$I$55)</x:f>
      </x:c>
      <x:c r="U11" s="47" t="str">
        <x:f>IF(A11="","",'90_CALC_FEATURES'!$I$56)</x:f>
      </x:c>
      <x:c r="V11" s="47" t="str">
        <x:f>IF(COUNT(L11:N11)=3,100*AVERAGE(L11:N11),"")</x:f>
      </x:c>
      <x:c r="W11" s="47" t="str">
        <x:f>IF(COUNT(O11:R11)=4,100*AVERAGE(O11:R11),"")</x:f>
      </x:c>
      <x:c r="X11" s="47" t="str">
        <x:f>IF(COUNT(S11:U11)=3,100*AVERAGE(S11:U11),"")</x:f>
      </x:c>
      <x:c r="Y11" s="47" t="str">
        <x:f>IF(COUNT(V11:X11)=3,AVERAGE(V11:X11),"")</x:f>
      </x:c>
      <x:c r="Z11" s="47" t="str">
        <x:f>IF(OR(AND(EXACT(A11,"SYN-A"),COUNT('01_INPUT_COMPANIES'!$T$11:$AC$11)=10,'01_INPUT_COMPANIES'!$T$11=-0.02,'01_INPUT_COMPANIES'!$U$11=0.1332,'01_INPUT_COMPANIES'!$V$11=0.18,'01_INPUT_COMPANIES'!$W$11=0.42,'01_INPUT_COMPANIES'!$X$11=0.012,'01_INPUT_COMPANIES'!$Y$11=3.2,'01_INPUT_COMPANIES'!$Z$11=0.08,'01_INPUT_COMPANIES'!$AA$11=0.28,'01_INPUT_COMPANIES'!$AB$11=0.74,'01_INPUT_COMPANIES'!$AC$11=8.5),AND(EXACT(A11,"SYN-B"),COUNT('01_INPUT_COMPANIES'!$T$11:$AC$11)=10,'01_INPUT_COMPANIES'!$T$11=-0.055,'01_INPUT_COMPANIES'!$U$11=0.06405,'01_INPUT_COMPANIES'!$V$11=0.105,'01_INPUT_COMPANIES'!$W$11=0.73,'01_INPUT_COMPANIES'!$X$11=0.004,'01_INPUT_COMPANIES'!$Y$11=4.1,'01_INPUT_COMPANIES'!$Z$11=0.025,'01_INPUT_COMPANIES'!$AA$11=0.16,'01_INPUT_COMPANIES'!$AB$11=0.61,'01_INPUT_COMPANIES'!$AC$11=4),AND(EXACT(A11,"SYN-C"),COUNT('01_INPUT_COMPANIES'!$T$11:$AC$11)=10,'01_INPUT_COMPANIES'!$T$11=0.01,'01_INPUT_COMPANIES'!$U$11=0.0986,'01_INPUT_COMPANIES'!$V$11=0.145,'01_INPUT_COMPANIES'!$W$11=0.18,'01_INPUT_COMPANIES'!$X$11=0.018,'01_INPUT_COMPANIES'!$Y$11=2.65,'01_INPUT_COMPANIES'!$Z$11=0.11,'01_INPUT_COMPANIES'!$AA$11=0.34,'01_INPUT_COMPANIES'!$AB$11=0.68,'01_INPUT_COMPANIES'!$AC$11=6.8),AND(EXACT(A11,"SYN-D"),COUNT('01_INPUT_COMPANIES'!$T$11:$AC$11)=10,'01_INPUT_COMPANIES'!$T$11=-0.005,'01_INPUT_COMPANIES'!$U$11=0.1136,'01_INPUT_COMPANIES'!$V$11=0.16,'01_INPUT_COMPANIES'!$W$11=0.51,'01_INPUT_COMPANIES'!$X$11=0.009,'01_INPUT_COMPANIES'!$Y$11=3.55,'01_INPUT_COMPANIES'!$Z$11=0.065,'01_INPUT_COMPANIES'!$AA$11=0.24,'01_INPUT_COMPANIES'!$AB$11=0.71,'01_INPUT_COMPANIES'!$AC$11=7.4)),IFERROR(INDEX('94_EXPECTED_OUTPUTS'!$B$7:$B$10,MATCH(A11,'94_EXPECTED_OUTPUTS'!$A$7:$A$10,0)),""),"")</x:f>
      </x:c>
      <x:c r="AA11" s="47" t="str">
        <x:f>IF(OR(COUNT(Y11)=0,COUNT(Z11)=0),"",ABS(Y11-Z11))</x:f>
      </x:c>
      <x:c r="AB11" s="34" t="str">
        <x:f>IF(A11="","",IF(AD11&lt;&gt;"",AD11,IF('01_INPUT_COMPANIES'!$A$11="","",IF(OR(LEN(TRIM('01_INPUT_COMPANIES'!$A$11&amp;""))=0,LEN(TRIM('01_INPUT_COMPANIES'!$B$11&amp;""))=0,LEN(TRIM('01_INPUT_COMPANIES'!$C$11&amp;""))=0,LEN(TRIM('01_INPUT_COMPANIES'!$D$11&amp;""))=0,LEN(TRIM('01_INPUT_COMPANIES'!$E$11&amp;""))=0,LEN(TRIM('01_INPUT_COMPANIES'!$F$11&amp;""))=0,LEN(TRIM('01_INPUT_COMPANIES'!$G$11&amp;""))=0,LEN(TRIM('01_INPUT_COMPANIES'!$H$11&amp;""))=0,LEN(TRIM('01_INPUT_COMPANIES'!$I$11&amp;""))=0,LEN(TRIM('01_INPUT_COMPANIES'!$K$11&amp;""))=0,LEN(TRIM('01_INPUT_COMPANIES'!$L$11&amp;""))=0,LEN(TRIM('01_INPUT_COMPANIES'!$M$11&amp;""))=0,LEN(TRIM('01_INPUT_COMPANIES'!$N$11&amp;""))=0,LEN(TRIM('01_INPUT_COMPANIES'!$O$11&amp;""))=0,LEN(TRIM('01_INPUT_COMPANIES'!$Q$11&amp;""))=0,COUNTBLANK('01_INPUT_COMPANIES'!$A$11:$R$11)&gt;0),"INPUT REQUIRED",IF(OR('01_INPUT_COMPANIES'!$A$11&lt;&gt;TRIM('01_INPUT_COMPANIES'!$A$11),NOT(EXACT('01_INPUT_COMPANIES'!$A$11,UPPER('01_INPUT_COMPANIES'!$A$11))),LEN('01_INPUT_COMPANIES'!$A$11)&gt;64,ISNUMBER(FIND("*",'01_INPUT_COMPANIES'!$A$11)),ISNUMBER(FIND("?",'01_INPUT_COMPANIES'!$A$11)),ISNUMBER(FIND("~",'01_INPUT_COMPANIES'!$A$11))),"ERROR: ID FORMAT",IF(COUNTIF('01_INPUT_COMPANIES'!$A$7:$A$106,'01_INPUT_COMPANIES'!$A$11)&lt;&gt;1,"ERROR: DUPLICATE ID",IF(COUNT('01_INPUT_COMPANIES'!$T$11:$AC$11)&lt;&gt;10,"INPUT REQUIRED",IF(NOT(OR('01_INPUT_COMPANIES'!$C$11="domestic",'01_INPUT_COMPANIES'!$C$11="foreign",'01_INPUT_COMPANIES'!$C$11="other")),"ERROR: COMPANY GROUP",IF(OR(LEN('01_INPUT_COMPANIES'!$G$11)&lt;&gt;6,MID('01_INPUT_COMPANIES'!$G$11,5,1)&lt;&gt;"Q",IFERROR(VALUE(LEFT('01_INPUT_COMPANIES'!$G$11,4)),0)&lt;2000,IFERROR(VALUE(LEFT('01_INPUT_COMPANIES'!$G$11,4)),0)&gt;2100,IFERROR(VALUE(RIGHT('01_INPUT_COMPANIES'!$G$11,1)),0)&lt;1,IFERROR(VALUE(RIGHT('01_INPUT_COMPANIES'!$G$11,1)),0)&gt;4),"ERROR: REPORTING PERIOD",IF(OR(COUNTIFS('92_REF_VARIABLES'!$A$21:$A$21,'01_INPUT_COMPANIES'!$H$11,'92_REF_VARIABLES'!$B$21:$B$21,'01_INPUT_COMPANIES'!$D$11,'92_REF_VARIABLES'!$C$21:$C$21,'01_INPUT_COMPANIES'!$G$11)&lt;&gt;1,AND(IFERROR(INDEX('92_REF_VARIABLES'!$I$21:$I$21,MATCH('01_INPUT_COMPANIES'!$H$11,'92_REF_VARIABLES'!$A$21:$A$21,0)),"")="synthetic_only",'01_INPUT_COMPANIES'!$L$11&lt;&gt;"yes")),"ERROR: BENCHMARK",IF(COUNTIF('92_REF_VARIABLES'!$L$21:$L$50,'01_INPUT_COMPANIES'!$I$11)&lt;&gt;1,"ERROR: CURRENCY",IF(OR(NOT(ISNUMBER('01_INPUT_COMPANIES'!$J$11)),'01_INPUT_COMPANIES'!$J$11&lt;&gt;INT('01_INPUT_COMPANIES'!$J$11),'01_INPUT_COMPANIES'!$J$11&lt;2000,'01_INPUT_COMPANIES'!$J$11&gt;2100),"ERROR: PRICE YEAR",IF(NOT(OR('01_INPUT_COMPANIES'!$K$11="A",'01_INPUT_COMPANIES'!$K$11="B",'01_INPUT_COMPANIES'!$K$11="C",'01_INPUT_COMPANIES'!$K$11="SYNTHETIC")),"ERROR: QUALITY",IF(NOT(OR(AND('01_INPUT_COMPANIES'!$L$11="yes",'01_INPUT_COMPANIES'!$K$11="SYNTHETIC"),AND('01_INPUT_COMPANIES'!$L$11="no",'01_INPUT_COMPANIES'!$K$11&lt;&gt;"SYNTHETIC"))),"ERROR: SYNTHETIC FLAG",IF(NOT(OR('01_INPUT_COMPANIES'!$M$11="direct",'01_INPUT_COMPANIES'!$M$11="derived",'01_INPUT_COMPANIES'!$M$11="proxy",'01_INPUT_COMPANIES'!$M$11="mixed")),"ERROR: CONSTRUCTION MODE",IF(OR(NOT(ISNUMBER('01_INPUT_COMPANIES'!$P$11)),'01_INPUT_COMPANIES'!$P$11&lt;0,'01_INPUT_COMPANIES'!$P$11&lt;&gt;INT('01_INPUT_COMPANIES'!$P$11)),"ERROR: CARRY LAG",IF('01_INPUT_COMPANIES'!$Q$11&lt;&gt;"yes","ERROR: EXPOSURE ADJUSTMENT",IF(OR(NOT(ISNUMBER('01_INPUT_COMPANIES'!$R$11)),'01_INPUT_COMPANIES'!$R$11&lt;0,'01_INPUT_COMPANIES'!$R$11&gt;1),"ERROR: EXPOSURE FACTOR",IF(COUNT(Y11)=0,"ERROR: SCORE",IF(COUNT(Z11)=0,"READY",IF(AA11&lt;=0.0000000001,"PASS","CHECK"))&amp;IF('01_INPUT_COMPANIES'!$K$11="C"," | C QUALITY","")&amp;IF(OR('01_INPUT_COMPANIES'!$M$11="proxy",'01_INPUT_COMPANIES'!$M$11="mixed")," | PROXY/MIXED","")&amp;IF('01_INPUT_COMPANIES'!$P$11&gt;1," | CARRY&gt;1","")&amp;IF(OR(OR('01_INPUT_COMPANIES'!$T$11&lt;-1,'01_INPUT_COMPANIES'!$T$11&gt;1),OR('01_INPUT_COMPANIES'!$U$11&lt;0,'01_INPUT_COMPANIES'!$U$11&gt;1),OR('01_INPUT_COMPANIES'!$V$11&lt;0,'01_INPUT_COMPANIES'!$V$11&gt;1),OR('01_INPUT_COMPANIES'!$W$11&lt;-10,'01_INPUT_COMPANIES'!$W$11&gt;10),OR('01_INPUT_COMPANIES'!$X$11&lt;-1,'01_INPUT_COMPANIES'!$X$11&gt;1),OR('01_INPUT_COMPANIES'!$Y$11&lt;0,'01_INPUT_COMPANIES'!$Y$11&gt;20),OR('01_INPUT_COMPANIES'!$Z$11&lt;-2,'01_INPUT_COMPANIES'!$Z$11&gt;2),OR('01_INPUT_COMPANIES'!$AA$11&lt;0,'01_INPUT_COMPANIES'!$AA$11&gt;1),OR('01_INPUT_COMPANIES'!$AB$11&lt;0,'01_INPUT_COMPANIES'!$AB$11&gt;1),OR('01_INPUT_COMPANIES'!$AC$11&lt;0,'01_INPUT_COMPANIES'!$AC$11&gt;50))," | REVIEW RANGE","")&amp;IF(COUNTIF('90_CALC_FEATURES'!$J$47:$J$56,"WINSORIZED*")&gt;0," | WINSORIZED","")&amp;IF(ABS('01_INPUT_COMPANIES'!$U$11-'01_INPUT_COMPANIES'!$V$11*'01_INPUT_COMPANIES'!$AB$11)&gt;MAX(0.005,0.05*MAX(ABS('01_INPUT_COMPANIES'!$V$11*'01_INPUT_COMPANIES'!$AB$11),ABS('01_INPUT_COMPANIES'!$U$11),0.000000000001))," | DEPENDENCY",""))))))))))))))))))))</x:f>
      </x:c>
      <x:c r="AC11" s="34" t="str">
        <x:f>IF(A11="","",IF(OR(LEFT(AB11,4)="PASS",LEFT(AB11,5)="READY"),"RESEARCH BETA | 저지원 22.22% | 기업 백분위 N/A", "결과 사용 금지 | "&amp;AB11))</x:f>
      </x:c>
      <x:c r="AD11" s="34" t="str">
        <x:f>IF(A11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$11,TRIM('01_INPUT_COMPANIES'!$D$11)),EXACT('01_INPUT_COMPANIES'!$E$11,TRIM('01_INPUT_COMPANIES'!$E$11)),EXACT('01_INPUT_COMPANIES'!$F$11,TRIM('01_INPUT_COMPANIES'!$F$11)),EXACT('01_INPUT_COMPANIES'!$G$11,TRIM('01_INPUT_COMPANIES'!$G$11)),EXACT('01_INPUT_COMPANIES'!$H$11,TRIM('01_INPUT_COMPANIES'!$H$11)))),"ERROR: COHORT WHITESPACE",IF(NOT(IFERROR(AND(ISTEXT('01_INPUT_COMPANIES'!$O$11),LEN('01_INPUT_COMPANIES'!$O$11)=10,VALUE(LEFT('01_INPUT_COMPANIES'!$O$11,4))&gt;=2000,VALUE(LEFT('01_INPUT_COMPANIES'!$O$11,4))&lt;=2100,EXACT(TEXT(DATE(VALUE(LEFT('01_INPUT_COMPANIES'!$O$11,4)),VALUE(MID('01_INPUT_COMPANIES'!$O$11,6,2)),VALUE(RIGHT('01_INPUT_COMPANIES'!$O$11,2))),"yyyy-mm-dd"),'01_INPUT_COMPANIES'!$O$11)),FALSE)),"ERROR: SOURCE DATE",IF(NOT(AND(OR(EXACT('01_INPUT_COMPANIES'!$C$11,"domestic"),EXACT('01_INPUT_COMPANIES'!$C$11,"foreign"),EXACT('01_INPUT_COMPANIES'!$C$11,"other")),OR(EXACT('01_INPUT_COMPANIES'!$K$11,"A"),EXACT('01_INPUT_COMPANIES'!$K$11,"B"),EXACT('01_INPUT_COMPANIES'!$K$11,"C"),EXACT('01_INPUT_COMPANIES'!$K$11,"SYNTHETIC")),OR(EXACT('01_INPUT_COMPANIES'!$L$11,"yes"),EXACT('01_INPUT_COMPANIES'!$L$11,"no")),OR(EXACT('01_INPUT_COMPANIES'!$M$11,"direct"),EXACT('01_INPUT_COMPANIES'!$M$11,"derived"),EXACT('01_INPUT_COMPANIES'!$M$11,"proxy"),EXACT('01_INPUT_COMPANIES'!$M$11,"mixed")),OR(EXACT('01_INPUT_COMPANIES'!$Q$11,"yes")),EXACT('01_INPUT_COMPANIES'!$I$11,UPPER('01_INPUT_COMPANIES'!$I$11)))),"ERROR: EXACT ENUM",IF(NOT(IFERROR(OR(AND(EXACT('92_REF_VARIABLES'!$A$21,'01_INPUT_COMPANIES'!$H$11),EXACT('92_REF_VARIABLES'!$B$21,'01_INPUT_COMPANIES'!$D$11),EXACT('92_REF_VARIABLES'!$C$21,'01_INPUT_COMPANIES'!$G$11))),FALSE)),"ERROR: BENCHMARK",""))))))</x:f>
      </x:c>
    </x:row>
    <x:row r="12">
      <x:c r="A12" s="34" t="str">
        <x:f>IF(OR('01_INPUT_COMPANIES'!$A$12="",'01_INPUT_COMPANIES'!$A$12=""),"",'01_INPUT_COMPANIES'!$A$12)</x:f>
      </x:c>
      <x:c r="B12" s="34" t="str">
        <x:f>IF(OR('01_INPUT_COMPANIES'!$A$12="",'01_INPUT_COMPANIES'!$B$12=""),"",'01_INPUT_COMPANIES'!$B$12)</x:f>
      </x:c>
      <x:c r="C12" s="34" t="str">
        <x:f>IF(OR('01_INPUT_COMPANIES'!$A$12="",'01_INPUT_COMPANIES'!$C$12=""),"",'01_INPUT_COMPANIES'!$C$12)</x:f>
      </x:c>
      <x:c r="D12" s="34" t="str">
        <x:f>IF(OR('01_INPUT_COMPANIES'!$A$12="",'01_INPUT_COMPANIES'!$D$12=""),"",'01_INPUT_COMPANIES'!$D$12)</x:f>
      </x:c>
      <x:c r="E12" s="34" t="str">
        <x:f>IF(OR('01_INPUT_COMPANIES'!$A$12="",'01_INPUT_COMPANIES'!$E$12=""),"",'01_INPUT_COMPANIES'!$E$12)</x:f>
      </x:c>
      <x:c r="F12" s="34" t="str">
        <x:f>IF(OR('01_INPUT_COMPANIES'!$A$12="",'01_INPUT_COMPANIES'!$F$12=""),"",'01_INPUT_COMPANIES'!$F$12)</x:f>
      </x:c>
      <x:c r="G12" s="34" t="str">
        <x:f>IF(OR('01_INPUT_COMPANIES'!$A$12="",'01_INPUT_COMPANIES'!$G$12=""),"",'01_INPUT_COMPANIES'!$G$12)</x:f>
      </x:c>
      <x:c r="H12" s="34" t="str">
        <x:f>IF(OR('01_INPUT_COMPANIES'!$A$12="",'01_INPUT_COMPANIES'!$H$12=""),"",'01_INPUT_COMPANIES'!$H$12)</x:f>
      </x:c>
      <x:c r="I12" s="34" t="str">
        <x:f>IF(OR('01_INPUT_COMPANIES'!$A$12="",'01_INPUT_COMPANIES'!$K$12=""),"",'01_INPUT_COMPANIES'!$K$12)</x:f>
      </x:c>
      <x:c r="J12" s="34" t="str">
        <x:f>IF(OR('01_INPUT_COMPANIES'!$A$12="",'01_INPUT_COMPANIES'!$M$12=""),"",'01_INPUT_COMPANIES'!$M$12)</x:f>
      </x:c>
      <x:c r="K12" s="34" t="str">
        <x:f>IF(OR(A12="",COUNTBLANK(D12:H12)&gt;0),"",LEN(D12)&amp;":"&amp;D12&amp;LEN(E12)&amp;":"&amp;E12&amp;LEN(F12)&amp;":"&amp;F12&amp;LEN(G12)&amp;":"&amp;G12&amp;LEN(H12)&amp;":"&amp;H12)</x:f>
      </x:c>
      <x:c r="L12" s="47" t="str">
        <x:f>IF(A12="","",'90_CALC_FEATURES'!$I$57)</x:f>
      </x:c>
      <x:c r="M12" s="47" t="str">
        <x:f>IF(A12="","",'90_CALC_FEATURES'!$I$58)</x:f>
      </x:c>
      <x:c r="N12" s="47" t="str">
        <x:f>IF(A12="","",'90_CALC_FEATURES'!$I$59)</x:f>
      </x:c>
      <x:c r="O12" s="47" t="str">
        <x:f>IF(A12="","",'90_CALC_FEATURES'!$I$60)</x:f>
      </x:c>
      <x:c r="P12" s="47" t="str">
        <x:f>IF(A12="","",'90_CALC_FEATURES'!$I$61)</x:f>
      </x:c>
      <x:c r="Q12" s="47" t="str">
        <x:f>IF(A12="","",'90_CALC_FEATURES'!$I$62)</x:f>
      </x:c>
      <x:c r="R12" s="47" t="str">
        <x:f>IF(A12="","",'90_CALC_FEATURES'!$I$63)</x:f>
      </x:c>
      <x:c r="S12" s="47" t="str">
        <x:f>IF(A12="","",'90_CALC_FEATURES'!$I$64)</x:f>
      </x:c>
      <x:c r="T12" s="47" t="str">
        <x:f>IF(A12="","",'90_CALC_FEATURES'!$I$65)</x:f>
      </x:c>
      <x:c r="U12" s="47" t="str">
        <x:f>IF(A12="","",'90_CALC_FEATURES'!$I$66)</x:f>
      </x:c>
      <x:c r="V12" s="47" t="str">
        <x:f>IF(COUNT(L12:N12)=3,100*AVERAGE(L12:N12),"")</x:f>
      </x:c>
      <x:c r="W12" s="47" t="str">
        <x:f>IF(COUNT(O12:R12)=4,100*AVERAGE(O12:R12),"")</x:f>
      </x:c>
      <x:c r="X12" s="47" t="str">
        <x:f>IF(COUNT(S12:U12)=3,100*AVERAGE(S12:U12),"")</x:f>
      </x:c>
      <x:c r="Y12" s="47" t="str">
        <x:f>IF(COUNT(V12:X12)=3,AVERAGE(V12:X12),"")</x:f>
      </x:c>
      <x:c r="Z12" s="47" t="str">
        <x:f>IF(OR(AND(EXACT(A12,"SYN-A"),COUNT('01_INPUT_COMPANIES'!$T$12:$AC$12)=10,'01_INPUT_COMPANIES'!$T$12=-0.02,'01_INPUT_COMPANIES'!$U$12=0.1332,'01_INPUT_COMPANIES'!$V$12=0.18,'01_INPUT_COMPANIES'!$W$12=0.42,'01_INPUT_COMPANIES'!$X$12=0.012,'01_INPUT_COMPANIES'!$Y$12=3.2,'01_INPUT_COMPANIES'!$Z$12=0.08,'01_INPUT_COMPANIES'!$AA$12=0.28,'01_INPUT_COMPANIES'!$AB$12=0.74,'01_INPUT_COMPANIES'!$AC$12=8.5),AND(EXACT(A12,"SYN-B"),COUNT('01_INPUT_COMPANIES'!$T$12:$AC$12)=10,'01_INPUT_COMPANIES'!$T$12=-0.055,'01_INPUT_COMPANIES'!$U$12=0.06405,'01_INPUT_COMPANIES'!$V$12=0.105,'01_INPUT_COMPANIES'!$W$12=0.73,'01_INPUT_COMPANIES'!$X$12=0.004,'01_INPUT_COMPANIES'!$Y$12=4.1,'01_INPUT_COMPANIES'!$Z$12=0.025,'01_INPUT_COMPANIES'!$AA$12=0.16,'01_INPUT_COMPANIES'!$AB$12=0.61,'01_INPUT_COMPANIES'!$AC$12=4),AND(EXACT(A12,"SYN-C"),COUNT('01_INPUT_COMPANIES'!$T$12:$AC$12)=10,'01_INPUT_COMPANIES'!$T$12=0.01,'01_INPUT_COMPANIES'!$U$12=0.0986,'01_INPUT_COMPANIES'!$V$12=0.145,'01_INPUT_COMPANIES'!$W$12=0.18,'01_INPUT_COMPANIES'!$X$12=0.018,'01_INPUT_COMPANIES'!$Y$12=2.65,'01_INPUT_COMPANIES'!$Z$12=0.11,'01_INPUT_COMPANIES'!$AA$12=0.34,'01_INPUT_COMPANIES'!$AB$12=0.68,'01_INPUT_COMPANIES'!$AC$12=6.8),AND(EXACT(A12,"SYN-D"),COUNT('01_INPUT_COMPANIES'!$T$12:$AC$12)=10,'01_INPUT_COMPANIES'!$T$12=-0.005,'01_INPUT_COMPANIES'!$U$12=0.1136,'01_INPUT_COMPANIES'!$V$12=0.16,'01_INPUT_COMPANIES'!$W$12=0.51,'01_INPUT_COMPANIES'!$X$12=0.009,'01_INPUT_COMPANIES'!$Y$12=3.55,'01_INPUT_COMPANIES'!$Z$12=0.065,'01_INPUT_COMPANIES'!$AA$12=0.24,'01_INPUT_COMPANIES'!$AB$12=0.71,'01_INPUT_COMPANIES'!$AC$12=7.4)),IFERROR(INDEX('94_EXPECTED_OUTPUTS'!$B$7:$B$10,MATCH(A12,'94_EXPECTED_OUTPUTS'!$A$7:$A$10,0)),""),"")</x:f>
      </x:c>
      <x:c r="AA12" s="47" t="str">
        <x:f>IF(OR(COUNT(Y12)=0,COUNT(Z12)=0),"",ABS(Y12-Z12))</x:f>
      </x:c>
      <x:c r="AB12" s="34" t="str">
        <x:f>IF(A12="","",IF(AD12&lt;&gt;"",AD12,IF('01_INPUT_COMPANIES'!$A$12="","",IF(OR(LEN(TRIM('01_INPUT_COMPANIES'!$A$12&amp;""))=0,LEN(TRIM('01_INPUT_COMPANIES'!$B$12&amp;""))=0,LEN(TRIM('01_INPUT_COMPANIES'!$C$12&amp;""))=0,LEN(TRIM('01_INPUT_COMPANIES'!$D$12&amp;""))=0,LEN(TRIM('01_INPUT_COMPANIES'!$E$12&amp;""))=0,LEN(TRIM('01_INPUT_COMPANIES'!$F$12&amp;""))=0,LEN(TRIM('01_INPUT_COMPANIES'!$G$12&amp;""))=0,LEN(TRIM('01_INPUT_COMPANIES'!$H$12&amp;""))=0,LEN(TRIM('01_INPUT_COMPANIES'!$I$12&amp;""))=0,LEN(TRIM('01_INPUT_COMPANIES'!$K$12&amp;""))=0,LEN(TRIM('01_INPUT_COMPANIES'!$L$12&amp;""))=0,LEN(TRIM('01_INPUT_COMPANIES'!$M$12&amp;""))=0,LEN(TRIM('01_INPUT_COMPANIES'!$N$12&amp;""))=0,LEN(TRIM('01_INPUT_COMPANIES'!$O$12&amp;""))=0,LEN(TRIM('01_INPUT_COMPANIES'!$Q$12&amp;""))=0,COUNTBLANK('01_INPUT_COMPANIES'!$A$12:$R$12)&gt;0),"INPUT REQUIRED",IF(OR('01_INPUT_COMPANIES'!$A$12&lt;&gt;TRIM('01_INPUT_COMPANIES'!$A$12),NOT(EXACT('01_INPUT_COMPANIES'!$A$12,UPPER('01_INPUT_COMPANIES'!$A$12))),LEN('01_INPUT_COMPANIES'!$A$12)&gt;64,ISNUMBER(FIND("*",'01_INPUT_COMPANIES'!$A$12)),ISNUMBER(FIND("?",'01_INPUT_COMPANIES'!$A$12)),ISNUMBER(FIND("~",'01_INPUT_COMPANIES'!$A$12))),"ERROR: ID FORMAT",IF(COUNTIF('01_INPUT_COMPANIES'!$A$7:$A$106,'01_INPUT_COMPANIES'!$A$12)&lt;&gt;1,"ERROR: DUPLICATE ID",IF(COUNT('01_INPUT_COMPANIES'!$T$12:$AC$12)&lt;&gt;10,"INPUT REQUIRED",IF(NOT(OR('01_INPUT_COMPANIES'!$C$12="domestic",'01_INPUT_COMPANIES'!$C$12="foreign",'01_INPUT_COMPANIES'!$C$12="other")),"ERROR: COMPANY GROUP",IF(OR(LEN('01_INPUT_COMPANIES'!$G$12)&lt;&gt;6,MID('01_INPUT_COMPANIES'!$G$12,5,1)&lt;&gt;"Q",IFERROR(VALUE(LEFT('01_INPUT_COMPANIES'!$G$12,4)),0)&lt;2000,IFERROR(VALUE(LEFT('01_INPUT_COMPANIES'!$G$12,4)),0)&gt;2100,IFERROR(VALUE(RIGHT('01_INPUT_COMPANIES'!$G$12,1)),0)&lt;1,IFERROR(VALUE(RIGHT('01_INPUT_COMPANIES'!$G$12,1)),0)&gt;4),"ERROR: REPORTING PERIOD",IF(OR(COUNTIFS('92_REF_VARIABLES'!$A$21:$A$21,'01_INPUT_COMPANIES'!$H$12,'92_REF_VARIABLES'!$B$21:$B$21,'01_INPUT_COMPANIES'!$D$12,'92_REF_VARIABLES'!$C$21:$C$21,'01_INPUT_COMPANIES'!$G$12)&lt;&gt;1,AND(IFERROR(INDEX('92_REF_VARIABLES'!$I$21:$I$21,MATCH('01_INPUT_COMPANIES'!$H$12,'92_REF_VARIABLES'!$A$21:$A$21,0)),"")="synthetic_only",'01_INPUT_COMPANIES'!$L$12&lt;&gt;"yes")),"ERROR: BENCHMARK",IF(COUNTIF('92_REF_VARIABLES'!$L$21:$L$50,'01_INPUT_COMPANIES'!$I$12)&lt;&gt;1,"ERROR: CURRENCY",IF(OR(NOT(ISNUMBER('01_INPUT_COMPANIES'!$J$12)),'01_INPUT_COMPANIES'!$J$12&lt;&gt;INT('01_INPUT_COMPANIES'!$J$12),'01_INPUT_COMPANIES'!$J$12&lt;2000,'01_INPUT_COMPANIES'!$J$12&gt;2100),"ERROR: PRICE YEAR",IF(NOT(OR('01_INPUT_COMPANIES'!$K$12="A",'01_INPUT_COMPANIES'!$K$12="B",'01_INPUT_COMPANIES'!$K$12="C",'01_INPUT_COMPANIES'!$K$12="SYNTHETIC")),"ERROR: QUALITY",IF(NOT(OR(AND('01_INPUT_COMPANIES'!$L$12="yes",'01_INPUT_COMPANIES'!$K$12="SYNTHETIC"),AND('01_INPUT_COMPANIES'!$L$12="no",'01_INPUT_COMPANIES'!$K$12&lt;&gt;"SYNTHETIC"))),"ERROR: SYNTHETIC FLAG",IF(NOT(OR('01_INPUT_COMPANIES'!$M$12="direct",'01_INPUT_COMPANIES'!$M$12="derived",'01_INPUT_COMPANIES'!$M$12="proxy",'01_INPUT_COMPANIES'!$M$12="mixed")),"ERROR: CONSTRUCTION MODE",IF(OR(NOT(ISNUMBER('01_INPUT_COMPANIES'!$P$12)),'01_INPUT_COMPANIES'!$P$12&lt;0,'01_INPUT_COMPANIES'!$P$12&lt;&gt;INT('01_INPUT_COMPANIES'!$P$12)),"ERROR: CARRY LAG",IF('01_INPUT_COMPANIES'!$Q$12&lt;&gt;"yes","ERROR: EXPOSURE ADJUSTMENT",IF(OR(NOT(ISNUMBER('01_INPUT_COMPANIES'!$R$12)),'01_INPUT_COMPANIES'!$R$12&lt;0,'01_INPUT_COMPANIES'!$R$12&gt;1),"ERROR: EXPOSURE FACTOR",IF(COUNT(Y12)=0,"ERROR: SCORE",IF(COUNT(Z12)=0,"READY",IF(AA12&lt;=0.0000000001,"PASS","CHECK"))&amp;IF('01_INPUT_COMPANIES'!$K$12="C"," | C QUALITY","")&amp;IF(OR('01_INPUT_COMPANIES'!$M$12="proxy",'01_INPUT_COMPANIES'!$M$12="mixed")," | PROXY/MIXED","")&amp;IF('01_INPUT_COMPANIES'!$P$12&gt;1," | CARRY&gt;1","")&amp;IF(OR(OR('01_INPUT_COMPANIES'!$T$12&lt;-1,'01_INPUT_COMPANIES'!$T$12&gt;1),OR('01_INPUT_COMPANIES'!$U$12&lt;0,'01_INPUT_COMPANIES'!$U$12&gt;1),OR('01_INPUT_COMPANIES'!$V$12&lt;0,'01_INPUT_COMPANIES'!$V$12&gt;1),OR('01_INPUT_COMPANIES'!$W$12&lt;-10,'01_INPUT_COMPANIES'!$W$12&gt;10),OR('01_INPUT_COMPANIES'!$X$12&lt;-1,'01_INPUT_COMPANIES'!$X$12&gt;1),OR('01_INPUT_COMPANIES'!$Y$12&lt;0,'01_INPUT_COMPANIES'!$Y$12&gt;20),OR('01_INPUT_COMPANIES'!$Z$12&lt;-2,'01_INPUT_COMPANIES'!$Z$12&gt;2),OR('01_INPUT_COMPANIES'!$AA$12&lt;0,'01_INPUT_COMPANIES'!$AA$12&gt;1),OR('01_INPUT_COMPANIES'!$AB$12&lt;0,'01_INPUT_COMPANIES'!$AB$12&gt;1),OR('01_INPUT_COMPANIES'!$AC$12&lt;0,'01_INPUT_COMPANIES'!$AC$12&gt;50))," | REVIEW RANGE","")&amp;IF(COUNTIF('90_CALC_FEATURES'!$J$57:$J$66,"WINSORIZED*")&gt;0," | WINSORIZED","")&amp;IF(ABS('01_INPUT_COMPANIES'!$U$12-'01_INPUT_COMPANIES'!$V$12*'01_INPUT_COMPANIES'!$AB$12)&gt;MAX(0.005,0.05*MAX(ABS('01_INPUT_COMPANIES'!$V$12*'01_INPUT_COMPANIES'!$AB$12),ABS('01_INPUT_COMPANIES'!$U$12),0.000000000001))," | DEPENDENCY",""))))))))))))))))))))</x:f>
      </x:c>
      <x:c r="AC12" s="34" t="str">
        <x:f>IF(A12="","",IF(OR(LEFT(AB12,4)="PASS",LEFT(AB12,5)="READY"),"RESEARCH BETA | 저지원 22.22% | 기업 백분위 N/A", "결과 사용 금지 | "&amp;AB12))</x:f>
      </x:c>
      <x:c r="AD12" s="34" t="str">
        <x:f>IF(A12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$12,TRIM('01_INPUT_COMPANIES'!$D$12)),EXACT('01_INPUT_COMPANIES'!$E$12,TRIM('01_INPUT_COMPANIES'!$E$12)),EXACT('01_INPUT_COMPANIES'!$F$12,TRIM('01_INPUT_COMPANIES'!$F$12)),EXACT('01_INPUT_COMPANIES'!$G$12,TRIM('01_INPUT_COMPANIES'!$G$12)),EXACT('01_INPUT_COMPANIES'!$H$12,TRIM('01_INPUT_COMPANIES'!$H$12)))),"ERROR: COHORT WHITESPACE",IF(NOT(IFERROR(AND(ISTEXT('01_INPUT_COMPANIES'!$O$12),LEN('01_INPUT_COMPANIES'!$O$12)=10,VALUE(LEFT('01_INPUT_COMPANIES'!$O$12,4))&gt;=2000,VALUE(LEFT('01_INPUT_COMPANIES'!$O$12,4))&lt;=2100,EXACT(TEXT(DATE(VALUE(LEFT('01_INPUT_COMPANIES'!$O$12,4)),VALUE(MID('01_INPUT_COMPANIES'!$O$12,6,2)),VALUE(RIGHT('01_INPUT_COMPANIES'!$O$12,2))),"yyyy-mm-dd"),'01_INPUT_COMPANIES'!$O$12)),FALSE)),"ERROR: SOURCE DATE",IF(NOT(AND(OR(EXACT('01_INPUT_COMPANIES'!$C$12,"domestic"),EXACT('01_INPUT_COMPANIES'!$C$12,"foreign"),EXACT('01_INPUT_COMPANIES'!$C$12,"other")),OR(EXACT('01_INPUT_COMPANIES'!$K$12,"A"),EXACT('01_INPUT_COMPANIES'!$K$12,"B"),EXACT('01_INPUT_COMPANIES'!$K$12,"C"),EXACT('01_INPUT_COMPANIES'!$K$12,"SYNTHETIC")),OR(EXACT('01_INPUT_COMPANIES'!$L$12,"yes"),EXACT('01_INPUT_COMPANIES'!$L$12,"no")),OR(EXACT('01_INPUT_COMPANIES'!$M$12,"direct"),EXACT('01_INPUT_COMPANIES'!$M$12,"derived"),EXACT('01_INPUT_COMPANIES'!$M$12,"proxy"),EXACT('01_INPUT_COMPANIES'!$M$12,"mixed")),OR(EXACT('01_INPUT_COMPANIES'!$Q$12,"yes")),EXACT('01_INPUT_COMPANIES'!$I$12,UPPER('01_INPUT_COMPANIES'!$I$12)))),"ERROR: EXACT ENUM",IF(NOT(IFERROR(OR(AND(EXACT('92_REF_VARIABLES'!$A$21,'01_INPUT_COMPANIES'!$H$12),EXACT('92_REF_VARIABLES'!$B$21,'01_INPUT_COMPANIES'!$D$12),EXACT('92_REF_VARIABLES'!$C$21,'01_INPUT_COMPANIES'!$G$12))),FALSE)),"ERROR: BENCHMARK",""))))))</x:f>
      </x:c>
    </x:row>
    <x:row r="13">
      <x:c r="A13" s="34" t="str">
        <x:f>IF(OR('01_INPUT_COMPANIES'!$A$13="",'01_INPUT_COMPANIES'!$A$13=""),"",'01_INPUT_COMPANIES'!$A$13)</x:f>
      </x:c>
      <x:c r="B13" s="34" t="str">
        <x:f>IF(OR('01_INPUT_COMPANIES'!$A$13="",'01_INPUT_COMPANIES'!$B$13=""),"",'01_INPUT_COMPANIES'!$B$13)</x:f>
      </x:c>
      <x:c r="C13" s="34" t="str">
        <x:f>IF(OR('01_INPUT_COMPANIES'!$A$13="",'01_INPUT_COMPANIES'!$C$13=""),"",'01_INPUT_COMPANIES'!$C$13)</x:f>
      </x:c>
      <x:c r="D13" s="34" t="str">
        <x:f>IF(OR('01_INPUT_COMPANIES'!$A$13="",'01_INPUT_COMPANIES'!$D$13=""),"",'01_INPUT_COMPANIES'!$D$13)</x:f>
      </x:c>
      <x:c r="E13" s="34" t="str">
        <x:f>IF(OR('01_INPUT_COMPANIES'!$A$13="",'01_INPUT_COMPANIES'!$E$13=""),"",'01_INPUT_COMPANIES'!$E$13)</x:f>
      </x:c>
      <x:c r="F13" s="34" t="str">
        <x:f>IF(OR('01_INPUT_COMPANIES'!$A$13="",'01_INPUT_COMPANIES'!$F$13=""),"",'01_INPUT_COMPANIES'!$F$13)</x:f>
      </x:c>
      <x:c r="G13" s="34" t="str">
        <x:f>IF(OR('01_INPUT_COMPANIES'!$A$13="",'01_INPUT_COMPANIES'!$G$13=""),"",'01_INPUT_COMPANIES'!$G$13)</x:f>
      </x:c>
      <x:c r="H13" s="34" t="str">
        <x:f>IF(OR('01_INPUT_COMPANIES'!$A$13="",'01_INPUT_COMPANIES'!$H$13=""),"",'01_INPUT_COMPANIES'!$H$13)</x:f>
      </x:c>
      <x:c r="I13" s="34" t="str">
        <x:f>IF(OR('01_INPUT_COMPANIES'!$A$13="",'01_INPUT_COMPANIES'!$K$13=""),"",'01_INPUT_COMPANIES'!$K$13)</x:f>
      </x:c>
      <x:c r="J13" s="34" t="str">
        <x:f>IF(OR('01_INPUT_COMPANIES'!$A$13="",'01_INPUT_COMPANIES'!$M$13=""),"",'01_INPUT_COMPANIES'!$M$13)</x:f>
      </x:c>
      <x:c r="K13" s="34" t="str">
        <x:f>IF(OR(A13="",COUNTBLANK(D13:H13)&gt;0),"",LEN(D13)&amp;":"&amp;D13&amp;LEN(E13)&amp;":"&amp;E13&amp;LEN(F13)&amp;":"&amp;F13&amp;LEN(G13)&amp;":"&amp;G13&amp;LEN(H13)&amp;":"&amp;H13)</x:f>
      </x:c>
      <x:c r="L13" s="47" t="str">
        <x:f>IF(A13="","",'90_CALC_FEATURES'!$I$67)</x:f>
      </x:c>
      <x:c r="M13" s="47" t="str">
        <x:f>IF(A13="","",'90_CALC_FEATURES'!$I$68)</x:f>
      </x:c>
      <x:c r="N13" s="47" t="str">
        <x:f>IF(A13="","",'90_CALC_FEATURES'!$I$69)</x:f>
      </x:c>
      <x:c r="O13" s="47" t="str">
        <x:f>IF(A13="","",'90_CALC_FEATURES'!$I$70)</x:f>
      </x:c>
      <x:c r="P13" s="47" t="str">
        <x:f>IF(A13="","",'90_CALC_FEATURES'!$I$71)</x:f>
      </x:c>
      <x:c r="Q13" s="47" t="str">
        <x:f>IF(A13="","",'90_CALC_FEATURES'!$I$72)</x:f>
      </x:c>
      <x:c r="R13" s="47" t="str">
        <x:f>IF(A13="","",'90_CALC_FEATURES'!$I$73)</x:f>
      </x:c>
      <x:c r="S13" s="47" t="str">
        <x:f>IF(A13="","",'90_CALC_FEATURES'!$I$74)</x:f>
      </x:c>
      <x:c r="T13" s="47" t="str">
        <x:f>IF(A13="","",'90_CALC_FEATURES'!$I$75)</x:f>
      </x:c>
      <x:c r="U13" s="47" t="str">
        <x:f>IF(A13="","",'90_CALC_FEATURES'!$I$76)</x:f>
      </x:c>
      <x:c r="V13" s="47" t="str">
        <x:f>IF(COUNT(L13:N13)=3,100*AVERAGE(L13:N13),"")</x:f>
      </x:c>
      <x:c r="W13" s="47" t="str">
        <x:f>IF(COUNT(O13:R13)=4,100*AVERAGE(O13:R13),"")</x:f>
      </x:c>
      <x:c r="X13" s="47" t="str">
        <x:f>IF(COUNT(S13:U13)=3,100*AVERAGE(S13:U13),"")</x:f>
      </x:c>
      <x:c r="Y13" s="47" t="str">
        <x:f>IF(COUNT(V13:X13)=3,AVERAGE(V13:X13),"")</x:f>
      </x:c>
      <x:c r="Z13" s="47" t="str">
        <x:f>IF(OR(AND(EXACT(A13,"SYN-A"),COUNT('01_INPUT_COMPANIES'!$T$13:$AC$13)=10,'01_INPUT_COMPANIES'!$T$13=-0.02,'01_INPUT_COMPANIES'!$U$13=0.1332,'01_INPUT_COMPANIES'!$V$13=0.18,'01_INPUT_COMPANIES'!$W$13=0.42,'01_INPUT_COMPANIES'!$X$13=0.012,'01_INPUT_COMPANIES'!$Y$13=3.2,'01_INPUT_COMPANIES'!$Z$13=0.08,'01_INPUT_COMPANIES'!$AA$13=0.28,'01_INPUT_COMPANIES'!$AB$13=0.74,'01_INPUT_COMPANIES'!$AC$13=8.5),AND(EXACT(A13,"SYN-B"),COUNT('01_INPUT_COMPANIES'!$T$13:$AC$13)=10,'01_INPUT_COMPANIES'!$T$13=-0.055,'01_INPUT_COMPANIES'!$U$13=0.06405,'01_INPUT_COMPANIES'!$V$13=0.105,'01_INPUT_COMPANIES'!$W$13=0.73,'01_INPUT_COMPANIES'!$X$13=0.004,'01_INPUT_COMPANIES'!$Y$13=4.1,'01_INPUT_COMPANIES'!$Z$13=0.025,'01_INPUT_COMPANIES'!$AA$13=0.16,'01_INPUT_COMPANIES'!$AB$13=0.61,'01_INPUT_COMPANIES'!$AC$13=4),AND(EXACT(A13,"SYN-C"),COUNT('01_INPUT_COMPANIES'!$T$13:$AC$13)=10,'01_INPUT_COMPANIES'!$T$13=0.01,'01_INPUT_COMPANIES'!$U$13=0.0986,'01_INPUT_COMPANIES'!$V$13=0.145,'01_INPUT_COMPANIES'!$W$13=0.18,'01_INPUT_COMPANIES'!$X$13=0.018,'01_INPUT_COMPANIES'!$Y$13=2.65,'01_INPUT_COMPANIES'!$Z$13=0.11,'01_INPUT_COMPANIES'!$AA$13=0.34,'01_INPUT_COMPANIES'!$AB$13=0.68,'01_INPUT_COMPANIES'!$AC$13=6.8),AND(EXACT(A13,"SYN-D"),COUNT('01_INPUT_COMPANIES'!$T$13:$AC$13)=10,'01_INPUT_COMPANIES'!$T$13=-0.005,'01_INPUT_COMPANIES'!$U$13=0.1136,'01_INPUT_COMPANIES'!$V$13=0.16,'01_INPUT_COMPANIES'!$W$13=0.51,'01_INPUT_COMPANIES'!$X$13=0.009,'01_INPUT_COMPANIES'!$Y$13=3.55,'01_INPUT_COMPANIES'!$Z$13=0.065,'01_INPUT_COMPANIES'!$AA$13=0.24,'01_INPUT_COMPANIES'!$AB$13=0.71,'01_INPUT_COMPANIES'!$AC$13=7.4)),IFERROR(INDEX('94_EXPECTED_OUTPUTS'!$B$7:$B$10,MATCH(A13,'94_EXPECTED_OUTPUTS'!$A$7:$A$10,0)),""),"")</x:f>
      </x:c>
      <x:c r="AA13" s="47" t="str">
        <x:f>IF(OR(COUNT(Y13)=0,COUNT(Z13)=0),"",ABS(Y13-Z13))</x:f>
      </x:c>
      <x:c r="AB13" s="34" t="str">
        <x:f>IF(A13="","",IF(AD13&lt;&gt;"",AD13,IF('01_INPUT_COMPANIES'!$A$13="","",IF(OR(LEN(TRIM('01_INPUT_COMPANIES'!$A$13&amp;""))=0,LEN(TRIM('01_INPUT_COMPANIES'!$B$13&amp;""))=0,LEN(TRIM('01_INPUT_COMPANIES'!$C$13&amp;""))=0,LEN(TRIM('01_INPUT_COMPANIES'!$D$13&amp;""))=0,LEN(TRIM('01_INPUT_COMPANIES'!$E$13&amp;""))=0,LEN(TRIM('01_INPUT_COMPANIES'!$F$13&amp;""))=0,LEN(TRIM('01_INPUT_COMPANIES'!$G$13&amp;""))=0,LEN(TRIM('01_INPUT_COMPANIES'!$H$13&amp;""))=0,LEN(TRIM('01_INPUT_COMPANIES'!$I$13&amp;""))=0,LEN(TRIM('01_INPUT_COMPANIES'!$K$13&amp;""))=0,LEN(TRIM('01_INPUT_COMPANIES'!$L$13&amp;""))=0,LEN(TRIM('01_INPUT_COMPANIES'!$M$13&amp;""))=0,LEN(TRIM('01_INPUT_COMPANIES'!$N$13&amp;""))=0,LEN(TRIM('01_INPUT_COMPANIES'!$O$13&amp;""))=0,LEN(TRIM('01_INPUT_COMPANIES'!$Q$13&amp;""))=0,COUNTBLANK('01_INPUT_COMPANIES'!$A$13:$R$13)&gt;0),"INPUT REQUIRED",IF(OR('01_INPUT_COMPANIES'!$A$13&lt;&gt;TRIM('01_INPUT_COMPANIES'!$A$13),NOT(EXACT('01_INPUT_COMPANIES'!$A$13,UPPER('01_INPUT_COMPANIES'!$A$13))),LEN('01_INPUT_COMPANIES'!$A$13)&gt;64,ISNUMBER(FIND("*",'01_INPUT_COMPANIES'!$A$13)),ISNUMBER(FIND("?",'01_INPUT_COMPANIES'!$A$13)),ISNUMBER(FIND("~",'01_INPUT_COMPANIES'!$A$13))),"ERROR: ID FORMAT",IF(COUNTIF('01_INPUT_COMPANIES'!$A$7:$A$106,'01_INPUT_COMPANIES'!$A$13)&lt;&gt;1,"ERROR: DUPLICATE ID",IF(COUNT('01_INPUT_COMPANIES'!$T$13:$AC$13)&lt;&gt;10,"INPUT REQUIRED",IF(NOT(OR('01_INPUT_COMPANIES'!$C$13="domestic",'01_INPUT_COMPANIES'!$C$13="foreign",'01_INPUT_COMPANIES'!$C$13="other")),"ERROR: COMPANY GROUP",IF(OR(LEN('01_INPUT_COMPANIES'!$G$13)&lt;&gt;6,MID('01_INPUT_COMPANIES'!$G$13,5,1)&lt;&gt;"Q",IFERROR(VALUE(LEFT('01_INPUT_COMPANIES'!$G$13,4)),0)&lt;2000,IFERROR(VALUE(LEFT('01_INPUT_COMPANIES'!$G$13,4)),0)&gt;2100,IFERROR(VALUE(RIGHT('01_INPUT_COMPANIES'!$G$13,1)),0)&lt;1,IFERROR(VALUE(RIGHT('01_INPUT_COMPANIES'!$G$13,1)),0)&gt;4),"ERROR: REPORTING PERIOD",IF(OR(COUNTIFS('92_REF_VARIABLES'!$A$21:$A$21,'01_INPUT_COMPANIES'!$H$13,'92_REF_VARIABLES'!$B$21:$B$21,'01_INPUT_COMPANIES'!$D$13,'92_REF_VARIABLES'!$C$21:$C$21,'01_INPUT_COMPANIES'!$G$13)&lt;&gt;1,AND(IFERROR(INDEX('92_REF_VARIABLES'!$I$21:$I$21,MATCH('01_INPUT_COMPANIES'!$H$13,'92_REF_VARIABLES'!$A$21:$A$21,0)),"")="synthetic_only",'01_INPUT_COMPANIES'!$L$13&lt;&gt;"yes")),"ERROR: BENCHMARK",IF(COUNTIF('92_REF_VARIABLES'!$L$21:$L$50,'01_INPUT_COMPANIES'!$I$13)&lt;&gt;1,"ERROR: CURRENCY",IF(OR(NOT(ISNUMBER('01_INPUT_COMPANIES'!$J$13)),'01_INPUT_COMPANIES'!$J$13&lt;&gt;INT('01_INPUT_COMPANIES'!$J$13),'01_INPUT_COMPANIES'!$J$13&lt;2000,'01_INPUT_COMPANIES'!$J$13&gt;2100),"ERROR: PRICE YEAR",IF(NOT(OR('01_INPUT_COMPANIES'!$K$13="A",'01_INPUT_COMPANIES'!$K$13="B",'01_INPUT_COMPANIES'!$K$13="C",'01_INPUT_COMPANIES'!$K$13="SYNTHETIC")),"ERROR: QUALITY",IF(NOT(OR(AND('01_INPUT_COMPANIES'!$L$13="yes",'01_INPUT_COMPANIES'!$K$13="SYNTHETIC"),AND('01_INPUT_COMPANIES'!$L$13="no",'01_INPUT_COMPANIES'!$K$13&lt;&gt;"SYNTHETIC"))),"ERROR: SYNTHETIC FLAG",IF(NOT(OR('01_INPUT_COMPANIES'!$M$13="direct",'01_INPUT_COMPANIES'!$M$13="derived",'01_INPUT_COMPANIES'!$M$13="proxy",'01_INPUT_COMPANIES'!$M$13="mixed")),"ERROR: CONSTRUCTION MODE",IF(OR(NOT(ISNUMBER('01_INPUT_COMPANIES'!$P$13)),'01_INPUT_COMPANIES'!$P$13&lt;0,'01_INPUT_COMPANIES'!$P$13&lt;&gt;INT('01_INPUT_COMPANIES'!$P$13)),"ERROR: CARRY LAG",IF('01_INPUT_COMPANIES'!$Q$13&lt;&gt;"yes","ERROR: EXPOSURE ADJUSTMENT",IF(OR(NOT(ISNUMBER('01_INPUT_COMPANIES'!$R$13)),'01_INPUT_COMPANIES'!$R$13&lt;0,'01_INPUT_COMPANIES'!$R$13&gt;1),"ERROR: EXPOSURE FACTOR",IF(COUNT(Y13)=0,"ERROR: SCORE",IF(COUNT(Z13)=0,"READY",IF(AA13&lt;=0.0000000001,"PASS","CHECK"))&amp;IF('01_INPUT_COMPANIES'!$K$13="C"," | C QUALITY","")&amp;IF(OR('01_INPUT_COMPANIES'!$M$13="proxy",'01_INPUT_COMPANIES'!$M$13="mixed")," | PROXY/MIXED","")&amp;IF('01_INPUT_COMPANIES'!$P$13&gt;1," | CARRY&gt;1","")&amp;IF(OR(OR('01_INPUT_COMPANIES'!$T$13&lt;-1,'01_INPUT_COMPANIES'!$T$13&gt;1),OR('01_INPUT_COMPANIES'!$U$13&lt;0,'01_INPUT_COMPANIES'!$U$13&gt;1),OR('01_INPUT_COMPANIES'!$V$13&lt;0,'01_INPUT_COMPANIES'!$V$13&gt;1),OR('01_INPUT_COMPANIES'!$W$13&lt;-10,'01_INPUT_COMPANIES'!$W$13&gt;10),OR('01_INPUT_COMPANIES'!$X$13&lt;-1,'01_INPUT_COMPANIES'!$X$13&gt;1),OR('01_INPUT_COMPANIES'!$Y$13&lt;0,'01_INPUT_COMPANIES'!$Y$13&gt;20),OR('01_INPUT_COMPANIES'!$Z$13&lt;-2,'01_INPUT_COMPANIES'!$Z$13&gt;2),OR('01_INPUT_COMPANIES'!$AA$13&lt;0,'01_INPUT_COMPANIES'!$AA$13&gt;1),OR('01_INPUT_COMPANIES'!$AB$13&lt;0,'01_INPUT_COMPANIES'!$AB$13&gt;1),OR('01_INPUT_COMPANIES'!$AC$13&lt;0,'01_INPUT_COMPANIES'!$AC$13&gt;50))," | REVIEW RANGE","")&amp;IF(COUNTIF('90_CALC_FEATURES'!$J$67:$J$76,"WINSORIZED*")&gt;0," | WINSORIZED","")&amp;IF(ABS('01_INPUT_COMPANIES'!$U$13-'01_INPUT_COMPANIES'!$V$13*'01_INPUT_COMPANIES'!$AB$13)&gt;MAX(0.005,0.05*MAX(ABS('01_INPUT_COMPANIES'!$V$13*'01_INPUT_COMPANIES'!$AB$13),ABS('01_INPUT_COMPANIES'!$U$13),0.000000000001))," | DEPENDENCY",""))))))))))))))))))))</x:f>
      </x:c>
      <x:c r="AC13" s="34" t="str">
        <x:f>IF(A13="","",IF(OR(LEFT(AB13,4)="PASS",LEFT(AB13,5)="READY"),"RESEARCH BETA | 저지원 22.22% | 기업 백분위 N/A", "결과 사용 금지 | "&amp;AB13))</x:f>
      </x:c>
      <x:c r="AD13" s="34" t="str">
        <x:f>IF(A13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$13,TRIM('01_INPUT_COMPANIES'!$D$13)),EXACT('01_INPUT_COMPANIES'!$E$13,TRIM('01_INPUT_COMPANIES'!$E$13)),EXACT('01_INPUT_COMPANIES'!$F$13,TRIM('01_INPUT_COMPANIES'!$F$13)),EXACT('01_INPUT_COMPANIES'!$G$13,TRIM('01_INPUT_COMPANIES'!$G$13)),EXACT('01_INPUT_COMPANIES'!$H$13,TRIM('01_INPUT_COMPANIES'!$H$13)))),"ERROR: COHORT WHITESPACE",IF(NOT(IFERROR(AND(ISTEXT('01_INPUT_COMPANIES'!$O$13),LEN('01_INPUT_COMPANIES'!$O$13)=10,VALUE(LEFT('01_INPUT_COMPANIES'!$O$13,4))&gt;=2000,VALUE(LEFT('01_INPUT_COMPANIES'!$O$13,4))&lt;=2100,EXACT(TEXT(DATE(VALUE(LEFT('01_INPUT_COMPANIES'!$O$13,4)),VALUE(MID('01_INPUT_COMPANIES'!$O$13,6,2)),VALUE(RIGHT('01_INPUT_COMPANIES'!$O$13,2))),"yyyy-mm-dd"),'01_INPUT_COMPANIES'!$O$13)),FALSE)),"ERROR: SOURCE DATE",IF(NOT(AND(OR(EXACT('01_INPUT_COMPANIES'!$C$13,"domestic"),EXACT('01_INPUT_COMPANIES'!$C$13,"foreign"),EXACT('01_INPUT_COMPANIES'!$C$13,"other")),OR(EXACT('01_INPUT_COMPANIES'!$K$13,"A"),EXACT('01_INPUT_COMPANIES'!$K$13,"B"),EXACT('01_INPUT_COMPANIES'!$K$13,"C"),EXACT('01_INPUT_COMPANIES'!$K$13,"SYNTHETIC")),OR(EXACT('01_INPUT_COMPANIES'!$L$13,"yes"),EXACT('01_INPUT_COMPANIES'!$L$13,"no")),OR(EXACT('01_INPUT_COMPANIES'!$M$13,"direct"),EXACT('01_INPUT_COMPANIES'!$M$13,"derived"),EXACT('01_INPUT_COMPANIES'!$M$13,"proxy"),EXACT('01_INPUT_COMPANIES'!$M$13,"mixed")),OR(EXACT('01_INPUT_COMPANIES'!$Q$13,"yes")),EXACT('01_INPUT_COMPANIES'!$I$13,UPPER('01_INPUT_COMPANIES'!$I$13)))),"ERROR: EXACT ENUM",IF(NOT(IFERROR(OR(AND(EXACT('92_REF_VARIABLES'!$A$21,'01_INPUT_COMPANIES'!$H$13),EXACT('92_REF_VARIABLES'!$B$21,'01_INPUT_COMPANIES'!$D$13),EXACT('92_REF_VARIABLES'!$C$21,'01_INPUT_COMPANIES'!$G$13))),FALSE)),"ERROR: BENCHMARK",""))))))</x:f>
      </x:c>
    </x:row>
    <x:row r="14">
      <x:c r="A14" s="34" t="str">
        <x:f>IF(OR('01_INPUT_COMPANIES'!$A$14="",'01_INPUT_COMPANIES'!$A$14=""),"",'01_INPUT_COMPANIES'!$A$14)</x:f>
      </x:c>
      <x:c r="B14" s="34" t="str">
        <x:f>IF(OR('01_INPUT_COMPANIES'!$A$14="",'01_INPUT_COMPANIES'!$B$14=""),"",'01_INPUT_COMPANIES'!$B$14)</x:f>
      </x:c>
      <x:c r="C14" s="34" t="str">
        <x:f>IF(OR('01_INPUT_COMPANIES'!$A$14="",'01_INPUT_COMPANIES'!$C$14=""),"",'01_INPUT_COMPANIES'!$C$14)</x:f>
      </x:c>
      <x:c r="D14" s="34" t="str">
        <x:f>IF(OR('01_INPUT_COMPANIES'!$A$14="",'01_INPUT_COMPANIES'!$D$14=""),"",'01_INPUT_COMPANIES'!$D$14)</x:f>
      </x:c>
      <x:c r="E14" s="34" t="str">
        <x:f>IF(OR('01_INPUT_COMPANIES'!$A$14="",'01_INPUT_COMPANIES'!$E$14=""),"",'01_INPUT_COMPANIES'!$E$14)</x:f>
      </x:c>
      <x:c r="F14" s="34" t="str">
        <x:f>IF(OR('01_INPUT_COMPANIES'!$A$14="",'01_INPUT_COMPANIES'!$F$14=""),"",'01_INPUT_COMPANIES'!$F$14)</x:f>
      </x:c>
      <x:c r="G14" s="34" t="str">
        <x:f>IF(OR('01_INPUT_COMPANIES'!$A$14="",'01_INPUT_COMPANIES'!$G$14=""),"",'01_INPUT_COMPANIES'!$G$14)</x:f>
      </x:c>
      <x:c r="H14" s="34" t="str">
        <x:f>IF(OR('01_INPUT_COMPANIES'!$A$14="",'01_INPUT_COMPANIES'!$H$14=""),"",'01_INPUT_COMPANIES'!$H$14)</x:f>
      </x:c>
      <x:c r="I14" s="34" t="str">
        <x:f>IF(OR('01_INPUT_COMPANIES'!$A$14="",'01_INPUT_COMPANIES'!$K$14=""),"",'01_INPUT_COMPANIES'!$K$14)</x:f>
      </x:c>
      <x:c r="J14" s="34" t="str">
        <x:f>IF(OR('01_INPUT_COMPANIES'!$A$14="",'01_INPUT_COMPANIES'!$M$14=""),"",'01_INPUT_COMPANIES'!$M$14)</x:f>
      </x:c>
      <x:c r="K14" s="34" t="str">
        <x:f>IF(OR(A14="",COUNTBLANK(D14:H14)&gt;0),"",LEN(D14)&amp;":"&amp;D14&amp;LEN(E14)&amp;":"&amp;E14&amp;LEN(F14)&amp;":"&amp;F14&amp;LEN(G14)&amp;":"&amp;G14&amp;LEN(H14)&amp;":"&amp;H14)</x:f>
      </x:c>
      <x:c r="L14" s="47" t="str">
        <x:f>IF(A14="","",'90_CALC_FEATURES'!$I$77)</x:f>
      </x:c>
      <x:c r="M14" s="47" t="str">
        <x:f>IF(A14="","",'90_CALC_FEATURES'!$I$78)</x:f>
      </x:c>
      <x:c r="N14" s="47" t="str">
        <x:f>IF(A14="","",'90_CALC_FEATURES'!$I$79)</x:f>
      </x:c>
      <x:c r="O14" s="47" t="str">
        <x:f>IF(A14="","",'90_CALC_FEATURES'!$I$80)</x:f>
      </x:c>
      <x:c r="P14" s="47" t="str">
        <x:f>IF(A14="","",'90_CALC_FEATURES'!$I$81)</x:f>
      </x:c>
      <x:c r="Q14" s="47" t="str">
        <x:f>IF(A14="","",'90_CALC_FEATURES'!$I$82)</x:f>
      </x:c>
      <x:c r="R14" s="47" t="str">
        <x:f>IF(A14="","",'90_CALC_FEATURES'!$I$83)</x:f>
      </x:c>
      <x:c r="S14" s="47" t="str">
        <x:f>IF(A14="","",'90_CALC_FEATURES'!$I$84)</x:f>
      </x:c>
      <x:c r="T14" s="47" t="str">
        <x:f>IF(A14="","",'90_CALC_FEATURES'!$I$85)</x:f>
      </x:c>
      <x:c r="U14" s="47" t="str">
        <x:f>IF(A14="","",'90_CALC_FEATURES'!$I$86)</x:f>
      </x:c>
      <x:c r="V14" s="47" t="str">
        <x:f>IF(COUNT(L14:N14)=3,100*AVERAGE(L14:N14),"")</x:f>
      </x:c>
      <x:c r="W14" s="47" t="str">
        <x:f>IF(COUNT(O14:R14)=4,100*AVERAGE(O14:R14),"")</x:f>
      </x:c>
      <x:c r="X14" s="47" t="str">
        <x:f>IF(COUNT(S14:U14)=3,100*AVERAGE(S14:U14),"")</x:f>
      </x:c>
      <x:c r="Y14" s="47" t="str">
        <x:f>IF(COUNT(V14:X14)=3,AVERAGE(V14:X14),"")</x:f>
      </x:c>
      <x:c r="Z14" s="47" t="str">
        <x:f>IF(OR(AND(EXACT(A14,"SYN-A"),COUNT('01_INPUT_COMPANIES'!$T$14:$AC$14)=10,'01_INPUT_COMPANIES'!$T$14=-0.02,'01_INPUT_COMPANIES'!$U$14=0.1332,'01_INPUT_COMPANIES'!$V$14=0.18,'01_INPUT_COMPANIES'!$W$14=0.42,'01_INPUT_COMPANIES'!$X$14=0.012,'01_INPUT_COMPANIES'!$Y$14=3.2,'01_INPUT_COMPANIES'!$Z$14=0.08,'01_INPUT_COMPANIES'!$AA$14=0.28,'01_INPUT_COMPANIES'!$AB$14=0.74,'01_INPUT_COMPANIES'!$AC$14=8.5),AND(EXACT(A14,"SYN-B"),COUNT('01_INPUT_COMPANIES'!$T$14:$AC$14)=10,'01_INPUT_COMPANIES'!$T$14=-0.055,'01_INPUT_COMPANIES'!$U$14=0.06405,'01_INPUT_COMPANIES'!$V$14=0.105,'01_INPUT_COMPANIES'!$W$14=0.73,'01_INPUT_COMPANIES'!$X$14=0.004,'01_INPUT_COMPANIES'!$Y$14=4.1,'01_INPUT_COMPANIES'!$Z$14=0.025,'01_INPUT_COMPANIES'!$AA$14=0.16,'01_INPUT_COMPANIES'!$AB$14=0.61,'01_INPUT_COMPANIES'!$AC$14=4),AND(EXACT(A14,"SYN-C"),COUNT('01_INPUT_COMPANIES'!$T$14:$AC$14)=10,'01_INPUT_COMPANIES'!$T$14=0.01,'01_INPUT_COMPANIES'!$U$14=0.0986,'01_INPUT_COMPANIES'!$V$14=0.145,'01_INPUT_COMPANIES'!$W$14=0.18,'01_INPUT_COMPANIES'!$X$14=0.018,'01_INPUT_COMPANIES'!$Y$14=2.65,'01_INPUT_COMPANIES'!$Z$14=0.11,'01_INPUT_COMPANIES'!$AA$14=0.34,'01_INPUT_COMPANIES'!$AB$14=0.68,'01_INPUT_COMPANIES'!$AC$14=6.8),AND(EXACT(A14,"SYN-D"),COUNT('01_INPUT_COMPANIES'!$T$14:$AC$14)=10,'01_INPUT_COMPANIES'!$T$14=-0.005,'01_INPUT_COMPANIES'!$U$14=0.1136,'01_INPUT_COMPANIES'!$V$14=0.16,'01_INPUT_COMPANIES'!$W$14=0.51,'01_INPUT_COMPANIES'!$X$14=0.009,'01_INPUT_COMPANIES'!$Y$14=3.55,'01_INPUT_COMPANIES'!$Z$14=0.065,'01_INPUT_COMPANIES'!$AA$14=0.24,'01_INPUT_COMPANIES'!$AB$14=0.71,'01_INPUT_COMPANIES'!$AC$14=7.4)),IFERROR(INDEX('94_EXPECTED_OUTPUTS'!$B$7:$B$10,MATCH(A14,'94_EXPECTED_OUTPUTS'!$A$7:$A$10,0)),""),"")</x:f>
      </x:c>
      <x:c r="AA14" s="47" t="str">
        <x:f>IF(OR(COUNT(Y14)=0,COUNT(Z14)=0),"",ABS(Y14-Z14))</x:f>
      </x:c>
      <x:c r="AB14" s="34" t="str">
        <x:f>IF(A14="","",IF(AD14&lt;&gt;"",AD14,IF('01_INPUT_COMPANIES'!$A$14="","",IF(OR(LEN(TRIM('01_INPUT_COMPANIES'!$A$14&amp;""))=0,LEN(TRIM('01_INPUT_COMPANIES'!$B$14&amp;""))=0,LEN(TRIM('01_INPUT_COMPANIES'!$C$14&amp;""))=0,LEN(TRIM('01_INPUT_COMPANIES'!$D$14&amp;""))=0,LEN(TRIM('01_INPUT_COMPANIES'!$E$14&amp;""))=0,LEN(TRIM('01_INPUT_COMPANIES'!$F$14&amp;""))=0,LEN(TRIM('01_INPUT_COMPANIES'!$G$14&amp;""))=0,LEN(TRIM('01_INPUT_COMPANIES'!$H$14&amp;""))=0,LEN(TRIM('01_INPUT_COMPANIES'!$I$14&amp;""))=0,LEN(TRIM('01_INPUT_COMPANIES'!$K$14&amp;""))=0,LEN(TRIM('01_INPUT_COMPANIES'!$L$14&amp;""))=0,LEN(TRIM('01_INPUT_COMPANIES'!$M$14&amp;""))=0,LEN(TRIM('01_INPUT_COMPANIES'!$N$14&amp;""))=0,LEN(TRIM('01_INPUT_COMPANIES'!$O$14&amp;""))=0,LEN(TRIM('01_INPUT_COMPANIES'!$Q$14&amp;""))=0,COUNTBLANK('01_INPUT_COMPANIES'!$A$14:$R$14)&gt;0),"INPUT REQUIRED",IF(OR('01_INPUT_COMPANIES'!$A$14&lt;&gt;TRIM('01_INPUT_COMPANIES'!$A$14),NOT(EXACT('01_INPUT_COMPANIES'!$A$14,UPPER('01_INPUT_COMPANIES'!$A$14))),LEN('01_INPUT_COMPANIES'!$A$14)&gt;64,ISNUMBER(FIND("*",'01_INPUT_COMPANIES'!$A$14)),ISNUMBER(FIND("?",'01_INPUT_COMPANIES'!$A$14)),ISNUMBER(FIND("~",'01_INPUT_COMPANIES'!$A$14))),"ERROR: ID FORMAT",IF(COUNTIF('01_INPUT_COMPANIES'!$A$7:$A$106,'01_INPUT_COMPANIES'!$A$14)&lt;&gt;1,"ERROR: DUPLICATE ID",IF(COUNT('01_INPUT_COMPANIES'!$T$14:$AC$14)&lt;&gt;10,"INPUT REQUIRED",IF(NOT(OR('01_INPUT_COMPANIES'!$C$14="domestic",'01_INPUT_COMPANIES'!$C$14="foreign",'01_INPUT_COMPANIES'!$C$14="other")),"ERROR: COMPANY GROUP",IF(OR(LEN('01_INPUT_COMPANIES'!$G$14)&lt;&gt;6,MID('01_INPUT_COMPANIES'!$G$14,5,1)&lt;&gt;"Q",IFERROR(VALUE(LEFT('01_INPUT_COMPANIES'!$G$14,4)),0)&lt;2000,IFERROR(VALUE(LEFT('01_INPUT_COMPANIES'!$G$14,4)),0)&gt;2100,IFERROR(VALUE(RIGHT('01_INPUT_COMPANIES'!$G$14,1)),0)&lt;1,IFERROR(VALUE(RIGHT('01_INPUT_COMPANIES'!$G$14,1)),0)&gt;4),"ERROR: REPORTING PERIOD",IF(OR(COUNTIFS('92_REF_VARIABLES'!$A$21:$A$21,'01_INPUT_COMPANIES'!$H$14,'92_REF_VARIABLES'!$B$21:$B$21,'01_INPUT_COMPANIES'!$D$14,'92_REF_VARIABLES'!$C$21:$C$21,'01_INPUT_COMPANIES'!$G$14)&lt;&gt;1,AND(IFERROR(INDEX('92_REF_VARIABLES'!$I$21:$I$21,MATCH('01_INPUT_COMPANIES'!$H$14,'92_REF_VARIABLES'!$A$21:$A$21,0)),"")="synthetic_only",'01_INPUT_COMPANIES'!$L$14&lt;&gt;"yes")),"ERROR: BENCHMARK",IF(COUNTIF('92_REF_VARIABLES'!$L$21:$L$50,'01_INPUT_COMPANIES'!$I$14)&lt;&gt;1,"ERROR: CURRENCY",IF(OR(NOT(ISNUMBER('01_INPUT_COMPANIES'!$J$14)),'01_INPUT_COMPANIES'!$J$14&lt;&gt;INT('01_INPUT_COMPANIES'!$J$14),'01_INPUT_COMPANIES'!$J$14&lt;2000,'01_INPUT_COMPANIES'!$J$14&gt;2100),"ERROR: PRICE YEAR",IF(NOT(OR('01_INPUT_COMPANIES'!$K$14="A",'01_INPUT_COMPANIES'!$K$14="B",'01_INPUT_COMPANIES'!$K$14="C",'01_INPUT_COMPANIES'!$K$14="SYNTHETIC")),"ERROR: QUALITY",IF(NOT(OR(AND('01_INPUT_COMPANIES'!$L$14="yes",'01_INPUT_COMPANIES'!$K$14="SYNTHETIC"),AND('01_INPUT_COMPANIES'!$L$14="no",'01_INPUT_COMPANIES'!$K$14&lt;&gt;"SYNTHETIC"))),"ERROR: SYNTHETIC FLAG",IF(NOT(OR('01_INPUT_COMPANIES'!$M$14="direct",'01_INPUT_COMPANIES'!$M$14="derived",'01_INPUT_COMPANIES'!$M$14="proxy",'01_INPUT_COMPANIES'!$M$14="mixed")),"ERROR: CONSTRUCTION MODE",IF(OR(NOT(ISNUMBER('01_INPUT_COMPANIES'!$P$14)),'01_INPUT_COMPANIES'!$P$14&lt;0,'01_INPUT_COMPANIES'!$P$14&lt;&gt;INT('01_INPUT_COMPANIES'!$P$14)),"ERROR: CARRY LAG",IF('01_INPUT_COMPANIES'!$Q$14&lt;&gt;"yes","ERROR: EXPOSURE ADJUSTMENT",IF(OR(NOT(ISNUMBER('01_INPUT_COMPANIES'!$R$14)),'01_INPUT_COMPANIES'!$R$14&lt;0,'01_INPUT_COMPANIES'!$R$14&gt;1),"ERROR: EXPOSURE FACTOR",IF(COUNT(Y14)=0,"ERROR: SCORE",IF(COUNT(Z14)=0,"READY",IF(AA14&lt;=0.0000000001,"PASS","CHECK"))&amp;IF('01_INPUT_COMPANIES'!$K$14="C"," | C QUALITY","")&amp;IF(OR('01_INPUT_COMPANIES'!$M$14="proxy",'01_INPUT_COMPANIES'!$M$14="mixed")," | PROXY/MIXED","")&amp;IF('01_INPUT_COMPANIES'!$P$14&gt;1," | CARRY&gt;1","")&amp;IF(OR(OR('01_INPUT_COMPANIES'!$T$14&lt;-1,'01_INPUT_COMPANIES'!$T$14&gt;1),OR('01_INPUT_COMPANIES'!$U$14&lt;0,'01_INPUT_COMPANIES'!$U$14&gt;1),OR('01_INPUT_COMPANIES'!$V$14&lt;0,'01_INPUT_COMPANIES'!$V$14&gt;1),OR('01_INPUT_COMPANIES'!$W$14&lt;-10,'01_INPUT_COMPANIES'!$W$14&gt;10),OR('01_INPUT_COMPANIES'!$X$14&lt;-1,'01_INPUT_COMPANIES'!$X$14&gt;1),OR('01_INPUT_COMPANIES'!$Y$14&lt;0,'01_INPUT_COMPANIES'!$Y$14&gt;20),OR('01_INPUT_COMPANIES'!$Z$14&lt;-2,'01_INPUT_COMPANIES'!$Z$14&gt;2),OR('01_INPUT_COMPANIES'!$AA$14&lt;0,'01_INPUT_COMPANIES'!$AA$14&gt;1),OR('01_INPUT_COMPANIES'!$AB$14&lt;0,'01_INPUT_COMPANIES'!$AB$14&gt;1),OR('01_INPUT_COMPANIES'!$AC$14&lt;0,'01_INPUT_COMPANIES'!$AC$14&gt;50))," | REVIEW RANGE","")&amp;IF(COUNTIF('90_CALC_FEATURES'!$J$77:$J$86,"WINSORIZED*")&gt;0," | WINSORIZED","")&amp;IF(ABS('01_INPUT_COMPANIES'!$U$14-'01_INPUT_COMPANIES'!$V$14*'01_INPUT_COMPANIES'!$AB$14)&gt;MAX(0.005,0.05*MAX(ABS('01_INPUT_COMPANIES'!$V$14*'01_INPUT_COMPANIES'!$AB$14),ABS('01_INPUT_COMPANIES'!$U$14),0.000000000001))," | DEPENDENCY",""))))))))))))))))))))</x:f>
      </x:c>
      <x:c r="AC14" s="34" t="str">
        <x:f>IF(A14="","",IF(OR(LEFT(AB14,4)="PASS",LEFT(AB14,5)="READY"),"RESEARCH BETA | 저지원 22.22% | 기업 백분위 N/A", "결과 사용 금지 | "&amp;AB14))</x:f>
      </x:c>
      <x:c r="AD14" s="34" t="str">
        <x:f>IF(A14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$14,TRIM('01_INPUT_COMPANIES'!$D$14)),EXACT('01_INPUT_COMPANIES'!$E$14,TRIM('01_INPUT_COMPANIES'!$E$14)),EXACT('01_INPUT_COMPANIES'!$F$14,TRIM('01_INPUT_COMPANIES'!$F$14)),EXACT('01_INPUT_COMPANIES'!$G$14,TRIM('01_INPUT_COMPANIES'!$G$14)),EXACT('01_INPUT_COMPANIES'!$H$14,TRIM('01_INPUT_COMPANIES'!$H$14)))),"ERROR: COHORT WHITESPACE",IF(NOT(IFERROR(AND(ISTEXT('01_INPUT_COMPANIES'!$O$14),LEN('01_INPUT_COMPANIES'!$O$14)=10,VALUE(LEFT('01_INPUT_COMPANIES'!$O$14,4))&gt;=2000,VALUE(LEFT('01_INPUT_COMPANIES'!$O$14,4))&lt;=2100,EXACT(TEXT(DATE(VALUE(LEFT('01_INPUT_COMPANIES'!$O$14,4)),VALUE(MID('01_INPUT_COMPANIES'!$O$14,6,2)),VALUE(RIGHT('01_INPUT_COMPANIES'!$O$14,2))),"yyyy-mm-dd"),'01_INPUT_COMPANIES'!$O$14)),FALSE)),"ERROR: SOURCE DATE",IF(NOT(AND(OR(EXACT('01_INPUT_COMPANIES'!$C$14,"domestic"),EXACT('01_INPUT_COMPANIES'!$C$14,"foreign"),EXACT('01_INPUT_COMPANIES'!$C$14,"other")),OR(EXACT('01_INPUT_COMPANIES'!$K$14,"A"),EXACT('01_INPUT_COMPANIES'!$K$14,"B"),EXACT('01_INPUT_COMPANIES'!$K$14,"C"),EXACT('01_INPUT_COMPANIES'!$K$14,"SYNTHETIC")),OR(EXACT('01_INPUT_COMPANIES'!$L$14,"yes"),EXACT('01_INPUT_COMPANIES'!$L$14,"no")),OR(EXACT('01_INPUT_COMPANIES'!$M$14,"direct"),EXACT('01_INPUT_COMPANIES'!$M$14,"derived"),EXACT('01_INPUT_COMPANIES'!$M$14,"proxy"),EXACT('01_INPUT_COMPANIES'!$M$14,"mixed")),OR(EXACT('01_INPUT_COMPANIES'!$Q$14,"yes")),EXACT('01_INPUT_COMPANIES'!$I$14,UPPER('01_INPUT_COMPANIES'!$I$14)))),"ERROR: EXACT ENUM",IF(NOT(IFERROR(OR(AND(EXACT('92_REF_VARIABLES'!$A$21,'01_INPUT_COMPANIES'!$H$14),EXACT('92_REF_VARIABLES'!$B$21,'01_INPUT_COMPANIES'!$D$14),EXACT('92_REF_VARIABLES'!$C$21,'01_INPUT_COMPANIES'!$G$14))),FALSE)),"ERROR: BENCHMARK",""))))))</x:f>
      </x:c>
    </x:row>
    <x:row r="15">
      <x:c r="A15" s="34" t="str">
        <x:f>IF(OR('01_INPUT_COMPANIES'!$A$15="",'01_INPUT_COMPANIES'!$A$15=""),"",'01_INPUT_COMPANIES'!$A$15)</x:f>
      </x:c>
      <x:c r="B15" s="34" t="str">
        <x:f>IF(OR('01_INPUT_COMPANIES'!$A$15="",'01_INPUT_COMPANIES'!$B$15=""),"",'01_INPUT_COMPANIES'!$B$15)</x:f>
      </x:c>
      <x:c r="C15" s="34" t="str">
        <x:f>IF(OR('01_INPUT_COMPANIES'!$A$15="",'01_INPUT_COMPANIES'!$C$15=""),"",'01_INPUT_COMPANIES'!$C$15)</x:f>
      </x:c>
      <x:c r="D15" s="34" t="str">
        <x:f>IF(OR('01_INPUT_COMPANIES'!$A$15="",'01_INPUT_COMPANIES'!$D$15=""),"",'01_INPUT_COMPANIES'!$D$15)</x:f>
      </x:c>
      <x:c r="E15" s="34" t="str">
        <x:f>IF(OR('01_INPUT_COMPANIES'!$A$15="",'01_INPUT_COMPANIES'!$E$15=""),"",'01_INPUT_COMPANIES'!$E$15)</x:f>
      </x:c>
      <x:c r="F15" s="34" t="str">
        <x:f>IF(OR('01_INPUT_COMPANIES'!$A$15="",'01_INPUT_COMPANIES'!$F$15=""),"",'01_INPUT_COMPANIES'!$F$15)</x:f>
      </x:c>
      <x:c r="G15" s="34" t="str">
        <x:f>IF(OR('01_INPUT_COMPANIES'!$A$15="",'01_INPUT_COMPANIES'!$G$15=""),"",'01_INPUT_COMPANIES'!$G$15)</x:f>
      </x:c>
      <x:c r="H15" s="34" t="str">
        <x:f>IF(OR('01_INPUT_COMPANIES'!$A$15="",'01_INPUT_COMPANIES'!$H$15=""),"",'01_INPUT_COMPANIES'!$H$15)</x:f>
      </x:c>
      <x:c r="I15" s="34" t="str">
        <x:f>IF(OR('01_INPUT_COMPANIES'!$A$15="",'01_INPUT_COMPANIES'!$K$15=""),"",'01_INPUT_COMPANIES'!$K$15)</x:f>
      </x:c>
      <x:c r="J15" s="34" t="str">
        <x:f>IF(OR('01_INPUT_COMPANIES'!$A$15="",'01_INPUT_COMPANIES'!$M$15=""),"",'01_INPUT_COMPANIES'!$M$15)</x:f>
      </x:c>
      <x:c r="K15" s="34" t="str">
        <x:f>IF(OR(A15="",COUNTBLANK(D15:H15)&gt;0),"",LEN(D15)&amp;":"&amp;D15&amp;LEN(E15)&amp;":"&amp;E15&amp;LEN(F15)&amp;":"&amp;F15&amp;LEN(G15)&amp;":"&amp;G15&amp;LEN(H15)&amp;":"&amp;H15)</x:f>
      </x:c>
      <x:c r="L15" s="47" t="str">
        <x:f>IF(A15="","",'90_CALC_FEATURES'!$I$87)</x:f>
      </x:c>
      <x:c r="M15" s="47" t="str">
        <x:f>IF(A15="","",'90_CALC_FEATURES'!$I$88)</x:f>
      </x:c>
      <x:c r="N15" s="47" t="str">
        <x:f>IF(A15="","",'90_CALC_FEATURES'!$I$89)</x:f>
      </x:c>
      <x:c r="O15" s="47" t="str">
        <x:f>IF(A15="","",'90_CALC_FEATURES'!$I$90)</x:f>
      </x:c>
      <x:c r="P15" s="47" t="str">
        <x:f>IF(A15="","",'90_CALC_FEATURES'!$I$91)</x:f>
      </x:c>
      <x:c r="Q15" s="47" t="str">
        <x:f>IF(A15="","",'90_CALC_FEATURES'!$I$92)</x:f>
      </x:c>
      <x:c r="R15" s="47" t="str">
        <x:f>IF(A15="","",'90_CALC_FEATURES'!$I$93)</x:f>
      </x:c>
      <x:c r="S15" s="47" t="str">
        <x:f>IF(A15="","",'90_CALC_FEATURES'!$I$94)</x:f>
      </x:c>
      <x:c r="T15" s="47" t="str">
        <x:f>IF(A15="","",'90_CALC_FEATURES'!$I$95)</x:f>
      </x:c>
      <x:c r="U15" s="47" t="str">
        <x:f>IF(A15="","",'90_CALC_FEATURES'!$I$96)</x:f>
      </x:c>
      <x:c r="V15" s="47" t="str">
        <x:f>IF(COUNT(L15:N15)=3,100*AVERAGE(L15:N15),"")</x:f>
      </x:c>
      <x:c r="W15" s="47" t="str">
        <x:f>IF(COUNT(O15:R15)=4,100*AVERAGE(O15:R15),"")</x:f>
      </x:c>
      <x:c r="X15" s="47" t="str">
        <x:f>IF(COUNT(S15:U15)=3,100*AVERAGE(S15:U15),"")</x:f>
      </x:c>
      <x:c r="Y15" s="47" t="str">
        <x:f>IF(COUNT(V15:X15)=3,AVERAGE(V15:X15),"")</x:f>
      </x:c>
      <x:c r="Z15" s="47" t="str">
        <x:f>IF(OR(AND(EXACT(A15,"SYN-A"),COUNT('01_INPUT_COMPANIES'!$T$15:$AC$15)=10,'01_INPUT_COMPANIES'!$T$15=-0.02,'01_INPUT_COMPANIES'!$U$15=0.1332,'01_INPUT_COMPANIES'!$V$15=0.18,'01_INPUT_COMPANIES'!$W$15=0.42,'01_INPUT_COMPANIES'!$X$15=0.012,'01_INPUT_COMPANIES'!$Y$15=3.2,'01_INPUT_COMPANIES'!$Z$15=0.08,'01_INPUT_COMPANIES'!$AA$15=0.28,'01_INPUT_COMPANIES'!$AB$15=0.74,'01_INPUT_COMPANIES'!$AC$15=8.5),AND(EXACT(A15,"SYN-B"),COUNT('01_INPUT_COMPANIES'!$T$15:$AC$15)=10,'01_INPUT_COMPANIES'!$T$15=-0.055,'01_INPUT_COMPANIES'!$U$15=0.06405,'01_INPUT_COMPANIES'!$V$15=0.105,'01_INPUT_COMPANIES'!$W$15=0.73,'01_INPUT_COMPANIES'!$X$15=0.004,'01_INPUT_COMPANIES'!$Y$15=4.1,'01_INPUT_COMPANIES'!$Z$15=0.025,'01_INPUT_COMPANIES'!$AA$15=0.16,'01_INPUT_COMPANIES'!$AB$15=0.61,'01_INPUT_COMPANIES'!$AC$15=4),AND(EXACT(A15,"SYN-C"),COUNT('01_INPUT_COMPANIES'!$T$15:$AC$15)=10,'01_INPUT_COMPANIES'!$T$15=0.01,'01_INPUT_COMPANIES'!$U$15=0.0986,'01_INPUT_COMPANIES'!$V$15=0.145,'01_INPUT_COMPANIES'!$W$15=0.18,'01_INPUT_COMPANIES'!$X$15=0.018,'01_INPUT_COMPANIES'!$Y$15=2.65,'01_INPUT_COMPANIES'!$Z$15=0.11,'01_INPUT_COMPANIES'!$AA$15=0.34,'01_INPUT_COMPANIES'!$AB$15=0.68,'01_INPUT_COMPANIES'!$AC$15=6.8),AND(EXACT(A15,"SYN-D"),COUNT('01_INPUT_COMPANIES'!$T$15:$AC$15)=10,'01_INPUT_COMPANIES'!$T$15=-0.005,'01_INPUT_COMPANIES'!$U$15=0.1136,'01_INPUT_COMPANIES'!$V$15=0.16,'01_INPUT_COMPANIES'!$W$15=0.51,'01_INPUT_COMPANIES'!$X$15=0.009,'01_INPUT_COMPANIES'!$Y$15=3.55,'01_INPUT_COMPANIES'!$Z$15=0.065,'01_INPUT_COMPANIES'!$AA$15=0.24,'01_INPUT_COMPANIES'!$AB$15=0.71,'01_INPUT_COMPANIES'!$AC$15=7.4)),IFERROR(INDEX('94_EXPECTED_OUTPUTS'!$B$7:$B$10,MATCH(A15,'94_EXPECTED_OUTPUTS'!$A$7:$A$10,0)),""),"")</x:f>
      </x:c>
      <x:c r="AA15" s="47" t="str">
        <x:f>IF(OR(COUNT(Y15)=0,COUNT(Z15)=0),"",ABS(Y15-Z15))</x:f>
      </x:c>
      <x:c r="AB15" s="34" t="str">
        <x:f>IF(A15="","",IF(AD15&lt;&gt;"",AD15,IF('01_INPUT_COMPANIES'!$A$15="","",IF(OR(LEN(TRIM('01_INPUT_COMPANIES'!$A$15&amp;""))=0,LEN(TRIM('01_INPUT_COMPANIES'!$B$15&amp;""))=0,LEN(TRIM('01_INPUT_COMPANIES'!$C$15&amp;""))=0,LEN(TRIM('01_INPUT_COMPANIES'!$D$15&amp;""))=0,LEN(TRIM('01_INPUT_COMPANIES'!$E$15&amp;""))=0,LEN(TRIM('01_INPUT_COMPANIES'!$F$15&amp;""))=0,LEN(TRIM('01_INPUT_COMPANIES'!$G$15&amp;""))=0,LEN(TRIM('01_INPUT_COMPANIES'!$H$15&amp;""))=0,LEN(TRIM('01_INPUT_COMPANIES'!$I$15&amp;""))=0,LEN(TRIM('01_INPUT_COMPANIES'!$K$15&amp;""))=0,LEN(TRIM('01_INPUT_COMPANIES'!$L$15&amp;""))=0,LEN(TRIM('01_INPUT_COMPANIES'!$M$15&amp;""))=0,LEN(TRIM('01_INPUT_COMPANIES'!$N$15&amp;""))=0,LEN(TRIM('01_INPUT_COMPANIES'!$O$15&amp;""))=0,LEN(TRIM('01_INPUT_COMPANIES'!$Q$15&amp;""))=0,COUNTBLANK('01_INPUT_COMPANIES'!$A$15:$R$15)&gt;0),"INPUT REQUIRED",IF(OR('01_INPUT_COMPANIES'!$A$15&lt;&gt;TRIM('01_INPUT_COMPANIES'!$A$15),NOT(EXACT('01_INPUT_COMPANIES'!$A$15,UPPER('01_INPUT_COMPANIES'!$A$15))),LEN('01_INPUT_COMPANIES'!$A$15)&gt;64,ISNUMBER(FIND("*",'01_INPUT_COMPANIES'!$A$15)),ISNUMBER(FIND("?",'01_INPUT_COMPANIES'!$A$15)),ISNUMBER(FIND("~",'01_INPUT_COMPANIES'!$A$15))),"ERROR: ID FORMAT",IF(COUNTIF('01_INPUT_COMPANIES'!$A$7:$A$106,'01_INPUT_COMPANIES'!$A$15)&lt;&gt;1,"ERROR: DUPLICATE ID",IF(COUNT('01_INPUT_COMPANIES'!$T$15:$AC$15)&lt;&gt;10,"INPUT REQUIRED",IF(NOT(OR('01_INPUT_COMPANIES'!$C$15="domestic",'01_INPUT_COMPANIES'!$C$15="foreign",'01_INPUT_COMPANIES'!$C$15="other")),"ERROR: COMPANY GROUP",IF(OR(LEN('01_INPUT_COMPANIES'!$G$15)&lt;&gt;6,MID('01_INPUT_COMPANIES'!$G$15,5,1)&lt;&gt;"Q",IFERROR(VALUE(LEFT('01_INPUT_COMPANIES'!$G$15,4)),0)&lt;2000,IFERROR(VALUE(LEFT('01_INPUT_COMPANIES'!$G$15,4)),0)&gt;2100,IFERROR(VALUE(RIGHT('01_INPUT_COMPANIES'!$G$15,1)),0)&lt;1,IFERROR(VALUE(RIGHT('01_INPUT_COMPANIES'!$G$15,1)),0)&gt;4),"ERROR: REPORTING PERIOD",IF(OR(COUNTIFS('92_REF_VARIABLES'!$A$21:$A$21,'01_INPUT_COMPANIES'!$H$15,'92_REF_VARIABLES'!$B$21:$B$21,'01_INPUT_COMPANIES'!$D$15,'92_REF_VARIABLES'!$C$21:$C$21,'01_INPUT_COMPANIES'!$G$15)&lt;&gt;1,AND(IFERROR(INDEX('92_REF_VARIABLES'!$I$21:$I$21,MATCH('01_INPUT_COMPANIES'!$H$15,'92_REF_VARIABLES'!$A$21:$A$21,0)),"")="synthetic_only",'01_INPUT_COMPANIES'!$L$15&lt;&gt;"yes")),"ERROR: BENCHMARK",IF(COUNTIF('92_REF_VARIABLES'!$L$21:$L$50,'01_INPUT_COMPANIES'!$I$15)&lt;&gt;1,"ERROR: CURRENCY",IF(OR(NOT(ISNUMBER('01_INPUT_COMPANIES'!$J$15)),'01_INPUT_COMPANIES'!$J$15&lt;&gt;INT('01_INPUT_COMPANIES'!$J$15),'01_INPUT_COMPANIES'!$J$15&lt;2000,'01_INPUT_COMPANIES'!$J$15&gt;2100),"ERROR: PRICE YEAR",IF(NOT(OR('01_INPUT_COMPANIES'!$K$15="A",'01_INPUT_COMPANIES'!$K$15="B",'01_INPUT_COMPANIES'!$K$15="C",'01_INPUT_COMPANIES'!$K$15="SYNTHETIC")),"ERROR: QUALITY",IF(NOT(OR(AND('01_INPUT_COMPANIES'!$L$15="yes",'01_INPUT_COMPANIES'!$K$15="SYNTHETIC"),AND('01_INPUT_COMPANIES'!$L$15="no",'01_INPUT_COMPANIES'!$K$15&lt;&gt;"SYNTHETIC"))),"ERROR: SYNTHETIC FLAG",IF(NOT(OR('01_INPUT_COMPANIES'!$M$15="direct",'01_INPUT_COMPANIES'!$M$15="derived",'01_INPUT_COMPANIES'!$M$15="proxy",'01_INPUT_COMPANIES'!$M$15="mixed")),"ERROR: CONSTRUCTION MODE",IF(OR(NOT(ISNUMBER('01_INPUT_COMPANIES'!$P$15)),'01_INPUT_COMPANIES'!$P$15&lt;0,'01_INPUT_COMPANIES'!$P$15&lt;&gt;INT('01_INPUT_COMPANIES'!$P$15)),"ERROR: CARRY LAG",IF('01_INPUT_COMPANIES'!$Q$15&lt;&gt;"yes","ERROR: EXPOSURE ADJUSTMENT",IF(OR(NOT(ISNUMBER('01_INPUT_COMPANIES'!$R$15)),'01_INPUT_COMPANIES'!$R$15&lt;0,'01_INPUT_COMPANIES'!$R$15&gt;1),"ERROR: EXPOSURE FACTOR",IF(COUNT(Y15)=0,"ERROR: SCORE",IF(COUNT(Z15)=0,"READY",IF(AA15&lt;=0.0000000001,"PASS","CHECK"))&amp;IF('01_INPUT_COMPANIES'!$K$15="C"," | C QUALITY","")&amp;IF(OR('01_INPUT_COMPANIES'!$M$15="proxy",'01_INPUT_COMPANIES'!$M$15="mixed")," | PROXY/MIXED","")&amp;IF('01_INPUT_COMPANIES'!$P$15&gt;1," | CARRY&gt;1","")&amp;IF(OR(OR('01_INPUT_COMPANIES'!$T$15&lt;-1,'01_INPUT_COMPANIES'!$T$15&gt;1),OR('01_INPUT_COMPANIES'!$U$15&lt;0,'01_INPUT_COMPANIES'!$U$15&gt;1),OR('01_INPUT_COMPANIES'!$V$15&lt;0,'01_INPUT_COMPANIES'!$V$15&gt;1),OR('01_INPUT_COMPANIES'!$W$15&lt;-10,'01_INPUT_COMPANIES'!$W$15&gt;10),OR('01_INPUT_COMPANIES'!$X$15&lt;-1,'01_INPUT_COMPANIES'!$X$15&gt;1),OR('01_INPUT_COMPANIES'!$Y$15&lt;0,'01_INPUT_COMPANIES'!$Y$15&gt;20),OR('01_INPUT_COMPANIES'!$Z$15&lt;-2,'01_INPUT_COMPANIES'!$Z$15&gt;2),OR('01_INPUT_COMPANIES'!$AA$15&lt;0,'01_INPUT_COMPANIES'!$AA$15&gt;1),OR('01_INPUT_COMPANIES'!$AB$15&lt;0,'01_INPUT_COMPANIES'!$AB$15&gt;1),OR('01_INPUT_COMPANIES'!$AC$15&lt;0,'01_INPUT_COMPANIES'!$AC$15&gt;50))," | REVIEW RANGE","")&amp;IF(COUNTIF('90_CALC_FEATURES'!$J$87:$J$96,"WINSORIZED*")&gt;0," | WINSORIZED","")&amp;IF(ABS('01_INPUT_COMPANIES'!$U$15-'01_INPUT_COMPANIES'!$V$15*'01_INPUT_COMPANIES'!$AB$15)&gt;MAX(0.005,0.05*MAX(ABS('01_INPUT_COMPANIES'!$V$15*'01_INPUT_COMPANIES'!$AB$15),ABS('01_INPUT_COMPANIES'!$U$15),0.000000000001))," | DEPENDENCY",""))))))))))))))))))))</x:f>
      </x:c>
      <x:c r="AC15" s="34" t="str">
        <x:f>IF(A15="","",IF(OR(LEFT(AB15,4)="PASS",LEFT(AB15,5)="READY"),"RESEARCH BETA | 저지원 22.22% | 기업 백분위 N/A", "결과 사용 금지 | "&amp;AB15))</x:f>
      </x:c>
      <x:c r="AD15" s="34" t="str">
        <x:f>IF(A15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$15,TRIM('01_INPUT_COMPANIES'!$D$15)),EXACT('01_INPUT_COMPANIES'!$E$15,TRIM('01_INPUT_COMPANIES'!$E$15)),EXACT('01_INPUT_COMPANIES'!$F$15,TRIM('01_INPUT_COMPANIES'!$F$15)),EXACT('01_INPUT_COMPANIES'!$G$15,TRIM('01_INPUT_COMPANIES'!$G$15)),EXACT('01_INPUT_COMPANIES'!$H$15,TRIM('01_INPUT_COMPANIES'!$H$15)))),"ERROR: COHORT WHITESPACE",IF(NOT(IFERROR(AND(ISTEXT('01_INPUT_COMPANIES'!$O$15),LEN('01_INPUT_COMPANIES'!$O$15)=10,VALUE(LEFT('01_INPUT_COMPANIES'!$O$15,4))&gt;=2000,VALUE(LEFT('01_INPUT_COMPANIES'!$O$15,4))&lt;=2100,EXACT(TEXT(DATE(VALUE(LEFT('01_INPUT_COMPANIES'!$O$15,4)),VALUE(MID('01_INPUT_COMPANIES'!$O$15,6,2)),VALUE(RIGHT('01_INPUT_COMPANIES'!$O$15,2))),"yyyy-mm-dd"),'01_INPUT_COMPANIES'!$O$15)),FALSE)),"ERROR: SOURCE DATE",IF(NOT(AND(OR(EXACT('01_INPUT_COMPANIES'!$C$15,"domestic"),EXACT('01_INPUT_COMPANIES'!$C$15,"foreign"),EXACT('01_INPUT_COMPANIES'!$C$15,"other")),OR(EXACT('01_INPUT_COMPANIES'!$K$15,"A"),EXACT('01_INPUT_COMPANIES'!$K$15,"B"),EXACT('01_INPUT_COMPANIES'!$K$15,"C"),EXACT('01_INPUT_COMPANIES'!$K$15,"SYNTHETIC")),OR(EXACT('01_INPUT_COMPANIES'!$L$15,"yes"),EXACT('01_INPUT_COMPANIES'!$L$15,"no")),OR(EXACT('01_INPUT_COMPANIES'!$M$15,"direct"),EXACT('01_INPUT_COMPANIES'!$M$15,"derived"),EXACT('01_INPUT_COMPANIES'!$M$15,"proxy"),EXACT('01_INPUT_COMPANIES'!$M$15,"mixed")),OR(EXACT('01_INPUT_COMPANIES'!$Q$15,"yes")),EXACT('01_INPUT_COMPANIES'!$I$15,UPPER('01_INPUT_COMPANIES'!$I$15)))),"ERROR: EXACT ENUM",IF(NOT(IFERROR(OR(AND(EXACT('92_REF_VARIABLES'!$A$21,'01_INPUT_COMPANIES'!$H$15),EXACT('92_REF_VARIABLES'!$B$21,'01_INPUT_COMPANIES'!$D$15),EXACT('92_REF_VARIABLES'!$C$21,'01_INPUT_COMPANIES'!$G$15))),FALSE)),"ERROR: BENCHMARK",""))))))</x:f>
      </x:c>
    </x:row>
    <x:row r="16">
      <x:c r="A16" s="34" t="str">
        <x:f>IF(OR('01_INPUT_COMPANIES'!$A$16="",'01_INPUT_COMPANIES'!$A$16=""),"",'01_INPUT_COMPANIES'!$A$16)</x:f>
      </x:c>
      <x:c r="B16" s="34" t="str">
        <x:f>IF(OR('01_INPUT_COMPANIES'!$A$16="",'01_INPUT_COMPANIES'!$B$16=""),"",'01_INPUT_COMPANIES'!$B$16)</x:f>
      </x:c>
      <x:c r="C16" s="34" t="str">
        <x:f>IF(OR('01_INPUT_COMPANIES'!$A$16="",'01_INPUT_COMPANIES'!$C$16=""),"",'01_INPUT_COMPANIES'!$C$16)</x:f>
      </x:c>
      <x:c r="D16" s="34" t="str">
        <x:f>IF(OR('01_INPUT_COMPANIES'!$A$16="",'01_INPUT_COMPANIES'!$D$16=""),"",'01_INPUT_COMPANIES'!$D$16)</x:f>
      </x:c>
      <x:c r="E16" s="34" t="str">
        <x:f>IF(OR('01_INPUT_COMPANIES'!$A$16="",'01_INPUT_COMPANIES'!$E$16=""),"",'01_INPUT_COMPANIES'!$E$16)</x:f>
      </x:c>
      <x:c r="F16" s="34" t="str">
        <x:f>IF(OR('01_INPUT_COMPANIES'!$A$16="",'01_INPUT_COMPANIES'!$F$16=""),"",'01_INPUT_COMPANIES'!$F$16)</x:f>
      </x:c>
      <x:c r="G16" s="34" t="str">
        <x:f>IF(OR('01_INPUT_COMPANIES'!$A$16="",'01_INPUT_COMPANIES'!$G$16=""),"",'01_INPUT_COMPANIES'!$G$16)</x:f>
      </x:c>
      <x:c r="H16" s="34" t="str">
        <x:f>IF(OR('01_INPUT_COMPANIES'!$A$16="",'01_INPUT_COMPANIES'!$H$16=""),"",'01_INPUT_COMPANIES'!$H$16)</x:f>
      </x:c>
      <x:c r="I16" s="34" t="str">
        <x:f>IF(OR('01_INPUT_COMPANIES'!$A$16="",'01_INPUT_COMPANIES'!$K$16=""),"",'01_INPUT_COMPANIES'!$K$16)</x:f>
      </x:c>
      <x:c r="J16" s="34" t="str">
        <x:f>IF(OR('01_INPUT_COMPANIES'!$A$16="",'01_INPUT_COMPANIES'!$M$16=""),"",'01_INPUT_COMPANIES'!$M$16)</x:f>
      </x:c>
      <x:c r="K16" s="34" t="str">
        <x:f>IF(OR(A16="",COUNTBLANK(D16:H16)&gt;0),"",LEN(D16)&amp;":"&amp;D16&amp;LEN(E16)&amp;":"&amp;E16&amp;LEN(F16)&amp;":"&amp;F16&amp;LEN(G16)&amp;":"&amp;G16&amp;LEN(H16)&amp;":"&amp;H16)</x:f>
      </x:c>
      <x:c r="L16" s="47" t="str">
        <x:f>IF(A16="","",'90_CALC_FEATURES'!$I$97)</x:f>
      </x:c>
      <x:c r="M16" s="47" t="str">
        <x:f>IF(A16="","",'90_CALC_FEATURES'!$I$98)</x:f>
      </x:c>
      <x:c r="N16" s="47" t="str">
        <x:f>IF(A16="","",'90_CALC_FEATURES'!$I$99)</x:f>
      </x:c>
      <x:c r="O16" s="47" t="str">
        <x:f>IF(A16="","",'90_CALC_FEATURES'!$I$100)</x:f>
      </x:c>
      <x:c r="P16" s="47" t="str">
        <x:f>IF(A16="","",'90_CALC_FEATURES'!$I$101)</x:f>
      </x:c>
      <x:c r="Q16" s="47" t="str">
        <x:f>IF(A16="","",'90_CALC_FEATURES'!$I$102)</x:f>
      </x:c>
      <x:c r="R16" s="47" t="str">
        <x:f>IF(A16="","",'90_CALC_FEATURES'!$I$103)</x:f>
      </x:c>
      <x:c r="S16" s="47" t="str">
        <x:f>IF(A16="","",'90_CALC_FEATURES'!$I$104)</x:f>
      </x:c>
      <x:c r="T16" s="47" t="str">
        <x:f>IF(A16="","",'90_CALC_FEATURES'!$I$105)</x:f>
      </x:c>
      <x:c r="U16" s="47" t="str">
        <x:f>IF(A16="","",'90_CALC_FEATURES'!$I$106)</x:f>
      </x:c>
      <x:c r="V16" s="47" t="str">
        <x:f>IF(COUNT(L16:N16)=3,100*AVERAGE(L16:N16),"")</x:f>
      </x:c>
      <x:c r="W16" s="47" t="str">
        <x:f>IF(COUNT(O16:R16)=4,100*AVERAGE(O16:R16),"")</x:f>
      </x:c>
      <x:c r="X16" s="47" t="str">
        <x:f>IF(COUNT(S16:U16)=3,100*AVERAGE(S16:U16),"")</x:f>
      </x:c>
      <x:c r="Y16" s="47" t="str">
        <x:f>IF(COUNT(V16:X16)=3,AVERAGE(V16:X16),"")</x:f>
      </x:c>
      <x:c r="Z16" s="47" t="str">
        <x:f>IF(OR(AND(EXACT(A16,"SYN-A"),COUNT('01_INPUT_COMPANIES'!$T$16:$AC$16)=10,'01_INPUT_COMPANIES'!$T$16=-0.02,'01_INPUT_COMPANIES'!$U$16=0.1332,'01_INPUT_COMPANIES'!$V$16=0.18,'01_INPUT_COMPANIES'!$W$16=0.42,'01_INPUT_COMPANIES'!$X$16=0.012,'01_INPUT_COMPANIES'!$Y$16=3.2,'01_INPUT_COMPANIES'!$Z$16=0.08,'01_INPUT_COMPANIES'!$AA$16=0.28,'01_INPUT_COMPANIES'!$AB$16=0.74,'01_INPUT_COMPANIES'!$AC$16=8.5),AND(EXACT(A16,"SYN-B"),COUNT('01_INPUT_COMPANIES'!$T$16:$AC$16)=10,'01_INPUT_COMPANIES'!$T$16=-0.055,'01_INPUT_COMPANIES'!$U$16=0.06405,'01_INPUT_COMPANIES'!$V$16=0.105,'01_INPUT_COMPANIES'!$W$16=0.73,'01_INPUT_COMPANIES'!$X$16=0.004,'01_INPUT_COMPANIES'!$Y$16=4.1,'01_INPUT_COMPANIES'!$Z$16=0.025,'01_INPUT_COMPANIES'!$AA$16=0.16,'01_INPUT_COMPANIES'!$AB$16=0.61,'01_INPUT_COMPANIES'!$AC$16=4),AND(EXACT(A16,"SYN-C"),COUNT('01_INPUT_COMPANIES'!$T$16:$AC$16)=10,'01_INPUT_COMPANIES'!$T$16=0.01,'01_INPUT_COMPANIES'!$U$16=0.0986,'01_INPUT_COMPANIES'!$V$16=0.145,'01_INPUT_COMPANIES'!$W$16=0.18,'01_INPUT_COMPANIES'!$X$16=0.018,'01_INPUT_COMPANIES'!$Y$16=2.65,'01_INPUT_COMPANIES'!$Z$16=0.11,'01_INPUT_COMPANIES'!$AA$16=0.34,'01_INPUT_COMPANIES'!$AB$16=0.68,'01_INPUT_COMPANIES'!$AC$16=6.8),AND(EXACT(A16,"SYN-D"),COUNT('01_INPUT_COMPANIES'!$T$16:$AC$16)=10,'01_INPUT_COMPANIES'!$T$16=-0.005,'01_INPUT_COMPANIES'!$U$16=0.1136,'01_INPUT_COMPANIES'!$V$16=0.16,'01_INPUT_COMPANIES'!$W$16=0.51,'01_INPUT_COMPANIES'!$X$16=0.009,'01_INPUT_COMPANIES'!$Y$16=3.55,'01_INPUT_COMPANIES'!$Z$16=0.065,'01_INPUT_COMPANIES'!$AA$16=0.24,'01_INPUT_COMPANIES'!$AB$16=0.71,'01_INPUT_COMPANIES'!$AC$16=7.4)),IFERROR(INDEX('94_EXPECTED_OUTPUTS'!$B$7:$B$10,MATCH(A16,'94_EXPECTED_OUTPUTS'!$A$7:$A$10,0)),""),"")</x:f>
      </x:c>
      <x:c r="AA16" s="47" t="str">
        <x:f>IF(OR(COUNT(Y16)=0,COUNT(Z16)=0),"",ABS(Y16-Z16))</x:f>
      </x:c>
      <x:c r="AB16" s="34" t="str">
        <x:f>IF(A16="","",IF(AD16&lt;&gt;"",AD16,IF('01_INPUT_COMPANIES'!$A$16="","",IF(OR(LEN(TRIM('01_INPUT_COMPANIES'!$A$16&amp;""))=0,LEN(TRIM('01_INPUT_COMPANIES'!$B$16&amp;""))=0,LEN(TRIM('01_INPUT_COMPANIES'!$C$16&amp;""))=0,LEN(TRIM('01_INPUT_COMPANIES'!$D$16&amp;""))=0,LEN(TRIM('01_INPUT_COMPANIES'!$E$16&amp;""))=0,LEN(TRIM('01_INPUT_COMPANIES'!$F$16&amp;""))=0,LEN(TRIM('01_INPUT_COMPANIES'!$G$16&amp;""))=0,LEN(TRIM('01_INPUT_COMPANIES'!$H$16&amp;""))=0,LEN(TRIM('01_INPUT_COMPANIES'!$I$16&amp;""))=0,LEN(TRIM('01_INPUT_COMPANIES'!$K$16&amp;""))=0,LEN(TRIM('01_INPUT_COMPANIES'!$L$16&amp;""))=0,LEN(TRIM('01_INPUT_COMPANIES'!$M$16&amp;""))=0,LEN(TRIM('01_INPUT_COMPANIES'!$N$16&amp;""))=0,LEN(TRIM('01_INPUT_COMPANIES'!$O$16&amp;""))=0,LEN(TRIM('01_INPUT_COMPANIES'!$Q$16&amp;""))=0,COUNTBLANK('01_INPUT_COMPANIES'!$A$16:$R$16)&gt;0),"INPUT REQUIRED",IF(OR('01_INPUT_COMPANIES'!$A$16&lt;&gt;TRIM('01_INPUT_COMPANIES'!$A$16),NOT(EXACT('01_INPUT_COMPANIES'!$A$16,UPPER('01_INPUT_COMPANIES'!$A$16))),LEN('01_INPUT_COMPANIES'!$A$16)&gt;64,ISNUMBER(FIND("*",'01_INPUT_COMPANIES'!$A$16)),ISNUMBER(FIND("?",'01_INPUT_COMPANIES'!$A$16)),ISNUMBER(FIND("~",'01_INPUT_COMPANIES'!$A$16))),"ERROR: ID FORMAT",IF(COUNTIF('01_INPUT_COMPANIES'!$A$7:$A$106,'01_INPUT_COMPANIES'!$A$16)&lt;&gt;1,"ERROR: DUPLICATE ID",IF(COUNT('01_INPUT_COMPANIES'!$T$16:$AC$16)&lt;&gt;10,"INPUT REQUIRED",IF(NOT(OR('01_INPUT_COMPANIES'!$C$16="domestic",'01_INPUT_COMPANIES'!$C$16="foreign",'01_INPUT_COMPANIES'!$C$16="other")),"ERROR: COMPANY GROUP",IF(OR(LEN('01_INPUT_COMPANIES'!$G$16)&lt;&gt;6,MID('01_INPUT_COMPANIES'!$G$16,5,1)&lt;&gt;"Q",IFERROR(VALUE(LEFT('01_INPUT_COMPANIES'!$G$16,4)),0)&lt;2000,IFERROR(VALUE(LEFT('01_INPUT_COMPANIES'!$G$16,4)),0)&gt;2100,IFERROR(VALUE(RIGHT('01_INPUT_COMPANIES'!$G$16,1)),0)&lt;1,IFERROR(VALUE(RIGHT('01_INPUT_COMPANIES'!$G$16,1)),0)&gt;4),"ERROR: REPORTING PERIOD",IF(OR(COUNTIFS('92_REF_VARIABLES'!$A$21:$A$21,'01_INPUT_COMPANIES'!$H$16,'92_REF_VARIABLES'!$B$21:$B$21,'01_INPUT_COMPANIES'!$D$16,'92_REF_VARIABLES'!$C$21:$C$21,'01_INPUT_COMPANIES'!$G$16)&lt;&gt;1,AND(IFERROR(INDEX('92_REF_VARIABLES'!$I$21:$I$21,MATCH('01_INPUT_COMPANIES'!$H$16,'92_REF_VARIABLES'!$A$21:$A$21,0)),"")="synthetic_only",'01_INPUT_COMPANIES'!$L$16&lt;&gt;"yes")),"ERROR: BENCHMARK",IF(COUNTIF('92_REF_VARIABLES'!$L$21:$L$50,'01_INPUT_COMPANIES'!$I$16)&lt;&gt;1,"ERROR: CURRENCY",IF(OR(NOT(ISNUMBER('01_INPUT_COMPANIES'!$J$16)),'01_INPUT_COMPANIES'!$J$16&lt;&gt;INT('01_INPUT_COMPANIES'!$J$16),'01_INPUT_COMPANIES'!$J$16&lt;2000,'01_INPUT_COMPANIES'!$J$16&gt;2100),"ERROR: PRICE YEAR",IF(NOT(OR('01_INPUT_COMPANIES'!$K$16="A",'01_INPUT_COMPANIES'!$K$16="B",'01_INPUT_COMPANIES'!$K$16="C",'01_INPUT_COMPANIES'!$K$16="SYNTHETIC")),"ERROR: QUALITY",IF(NOT(OR(AND('01_INPUT_COMPANIES'!$L$16="yes",'01_INPUT_COMPANIES'!$K$16="SYNTHETIC"),AND('01_INPUT_COMPANIES'!$L$16="no",'01_INPUT_COMPANIES'!$K$16&lt;&gt;"SYNTHETIC"))),"ERROR: SYNTHETIC FLAG",IF(NOT(OR('01_INPUT_COMPANIES'!$M$16="direct",'01_INPUT_COMPANIES'!$M$16="derived",'01_INPUT_COMPANIES'!$M$16="proxy",'01_INPUT_COMPANIES'!$M$16="mixed")),"ERROR: CONSTRUCTION MODE",IF(OR(NOT(ISNUMBER('01_INPUT_COMPANIES'!$P$16)),'01_INPUT_COMPANIES'!$P$16&lt;0,'01_INPUT_COMPANIES'!$P$16&lt;&gt;INT('01_INPUT_COMPANIES'!$P$16)),"ERROR: CARRY LAG",IF('01_INPUT_COMPANIES'!$Q$16&lt;&gt;"yes","ERROR: EXPOSURE ADJUSTMENT",IF(OR(NOT(ISNUMBER('01_INPUT_COMPANIES'!$R$16)),'01_INPUT_COMPANIES'!$R$16&lt;0,'01_INPUT_COMPANIES'!$R$16&gt;1),"ERROR: EXPOSURE FACTOR",IF(COUNT(Y16)=0,"ERROR: SCORE",IF(COUNT(Z16)=0,"READY",IF(AA16&lt;=0.0000000001,"PASS","CHECK"))&amp;IF('01_INPUT_COMPANIES'!$K$16="C"," | C QUALITY","")&amp;IF(OR('01_INPUT_COMPANIES'!$M$16="proxy",'01_INPUT_COMPANIES'!$M$16="mixed")," | PROXY/MIXED","")&amp;IF('01_INPUT_COMPANIES'!$P$16&gt;1," | CARRY&gt;1","")&amp;IF(OR(OR('01_INPUT_COMPANIES'!$T$16&lt;-1,'01_INPUT_COMPANIES'!$T$16&gt;1),OR('01_INPUT_COMPANIES'!$U$16&lt;0,'01_INPUT_COMPANIES'!$U$16&gt;1),OR('01_INPUT_COMPANIES'!$V$16&lt;0,'01_INPUT_COMPANIES'!$V$16&gt;1),OR('01_INPUT_COMPANIES'!$W$16&lt;-10,'01_INPUT_COMPANIES'!$W$16&gt;10),OR('01_INPUT_COMPANIES'!$X$16&lt;-1,'01_INPUT_COMPANIES'!$X$16&gt;1),OR('01_INPUT_COMPANIES'!$Y$16&lt;0,'01_INPUT_COMPANIES'!$Y$16&gt;20),OR('01_INPUT_COMPANIES'!$Z$16&lt;-2,'01_INPUT_COMPANIES'!$Z$16&gt;2),OR('01_INPUT_COMPANIES'!$AA$16&lt;0,'01_INPUT_COMPANIES'!$AA$16&gt;1),OR('01_INPUT_COMPANIES'!$AB$16&lt;0,'01_INPUT_COMPANIES'!$AB$16&gt;1),OR('01_INPUT_COMPANIES'!$AC$16&lt;0,'01_INPUT_COMPANIES'!$AC$16&gt;50))," | REVIEW RANGE","")&amp;IF(COUNTIF('90_CALC_FEATURES'!$J$97:$J$106,"WINSORIZED*")&gt;0," | WINSORIZED","")&amp;IF(ABS('01_INPUT_COMPANIES'!$U$16-'01_INPUT_COMPANIES'!$V$16*'01_INPUT_COMPANIES'!$AB$16)&gt;MAX(0.005,0.05*MAX(ABS('01_INPUT_COMPANIES'!$V$16*'01_INPUT_COMPANIES'!$AB$16),ABS('01_INPUT_COMPANIES'!$U$16),0.000000000001))," | DEPENDENCY",""))))))))))))))))))))</x:f>
      </x:c>
      <x:c r="AC16" s="34" t="str">
        <x:f>IF(A16="","",IF(OR(LEFT(AB16,4)="PASS",LEFT(AB16,5)="READY"),"RESEARCH BETA | 저지원 22.22% | 기업 백분위 N/A", "결과 사용 금지 | "&amp;AB16))</x:f>
      </x:c>
      <x:c r="AD16" s="34" t="str">
        <x:f>IF(A16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$16,TRIM('01_INPUT_COMPANIES'!$D$16)),EXACT('01_INPUT_COMPANIES'!$E$16,TRIM('01_INPUT_COMPANIES'!$E$16)),EXACT('01_INPUT_COMPANIES'!$F$16,TRIM('01_INPUT_COMPANIES'!$F$16)),EXACT('01_INPUT_COMPANIES'!$G$16,TRIM('01_INPUT_COMPANIES'!$G$16)),EXACT('01_INPUT_COMPANIES'!$H$16,TRIM('01_INPUT_COMPANIES'!$H$16)))),"ERROR: COHORT WHITESPACE",IF(NOT(IFERROR(AND(ISTEXT('01_INPUT_COMPANIES'!$O$16),LEN('01_INPUT_COMPANIES'!$O$16)=10,VALUE(LEFT('01_INPUT_COMPANIES'!$O$16,4))&gt;=2000,VALUE(LEFT('01_INPUT_COMPANIES'!$O$16,4))&lt;=2100,EXACT(TEXT(DATE(VALUE(LEFT('01_INPUT_COMPANIES'!$O$16,4)),VALUE(MID('01_INPUT_COMPANIES'!$O$16,6,2)),VALUE(RIGHT('01_INPUT_COMPANIES'!$O$16,2))),"yyyy-mm-dd"),'01_INPUT_COMPANIES'!$O$16)),FALSE)),"ERROR: SOURCE DATE",IF(NOT(AND(OR(EXACT('01_INPUT_COMPANIES'!$C$16,"domestic"),EXACT('01_INPUT_COMPANIES'!$C$16,"foreign"),EXACT('01_INPUT_COMPANIES'!$C$16,"other")),OR(EXACT('01_INPUT_COMPANIES'!$K$16,"A"),EXACT('01_INPUT_COMPANIES'!$K$16,"B"),EXACT('01_INPUT_COMPANIES'!$K$16,"C"),EXACT('01_INPUT_COMPANIES'!$K$16,"SYNTHETIC")),OR(EXACT('01_INPUT_COMPANIES'!$L$16,"yes"),EXACT('01_INPUT_COMPANIES'!$L$16,"no")),OR(EXACT('01_INPUT_COMPANIES'!$M$16,"direct"),EXACT('01_INPUT_COMPANIES'!$M$16,"derived"),EXACT('01_INPUT_COMPANIES'!$M$16,"proxy"),EXACT('01_INPUT_COMPANIES'!$M$16,"mixed")),OR(EXACT('01_INPUT_COMPANIES'!$Q$16,"yes")),EXACT('01_INPUT_COMPANIES'!$I$16,UPPER('01_INPUT_COMPANIES'!$I$16)))),"ERROR: EXACT ENUM",IF(NOT(IFERROR(OR(AND(EXACT('92_REF_VARIABLES'!$A$21,'01_INPUT_COMPANIES'!$H$16),EXACT('92_REF_VARIABLES'!$B$21,'01_INPUT_COMPANIES'!$D$16),EXACT('92_REF_VARIABLES'!$C$21,'01_INPUT_COMPANIES'!$G$16))),FALSE)),"ERROR: BENCHMARK",""))))))</x:f>
      </x:c>
    </x:row>
    <x:row r="17">
      <x:c r="A17" s="34" t="str">
        <x:f>IF(OR('01_INPUT_COMPANIES'!$A$17="",'01_INPUT_COMPANIES'!$A$17=""),"",'01_INPUT_COMPANIES'!$A$17)</x:f>
      </x:c>
      <x:c r="B17" s="34" t="str">
        <x:f>IF(OR('01_INPUT_COMPANIES'!$A$17="",'01_INPUT_COMPANIES'!$B$17=""),"",'01_INPUT_COMPANIES'!$B$17)</x:f>
      </x:c>
      <x:c r="C17" s="34" t="str">
        <x:f>IF(OR('01_INPUT_COMPANIES'!$A$17="",'01_INPUT_COMPANIES'!$C$17=""),"",'01_INPUT_COMPANIES'!$C$17)</x:f>
      </x:c>
      <x:c r="D17" s="34" t="str">
        <x:f>IF(OR('01_INPUT_COMPANIES'!$A$17="",'01_INPUT_COMPANIES'!$D$17=""),"",'01_INPUT_COMPANIES'!$D$17)</x:f>
      </x:c>
      <x:c r="E17" s="34" t="str">
        <x:f>IF(OR('01_INPUT_COMPANIES'!$A$17="",'01_INPUT_COMPANIES'!$E$17=""),"",'01_INPUT_COMPANIES'!$E$17)</x:f>
      </x:c>
      <x:c r="F17" s="34" t="str">
        <x:f>IF(OR('01_INPUT_COMPANIES'!$A$17="",'01_INPUT_COMPANIES'!$F$17=""),"",'01_INPUT_COMPANIES'!$F$17)</x:f>
      </x:c>
      <x:c r="G17" s="34" t="str">
        <x:f>IF(OR('01_INPUT_COMPANIES'!$A$17="",'01_INPUT_COMPANIES'!$G$17=""),"",'01_INPUT_COMPANIES'!$G$17)</x:f>
      </x:c>
      <x:c r="H17" s="34" t="str">
        <x:f>IF(OR('01_INPUT_COMPANIES'!$A$17="",'01_INPUT_COMPANIES'!$H$17=""),"",'01_INPUT_COMPANIES'!$H$17)</x:f>
      </x:c>
      <x:c r="I17" s="34" t="str">
        <x:f>IF(OR('01_INPUT_COMPANIES'!$A$17="",'01_INPUT_COMPANIES'!$K$17=""),"",'01_INPUT_COMPANIES'!$K$17)</x:f>
      </x:c>
      <x:c r="J17" s="34" t="str">
        <x:f>IF(OR('01_INPUT_COMPANIES'!$A$17="",'01_INPUT_COMPANIES'!$M$17=""),"",'01_INPUT_COMPANIES'!$M$17)</x:f>
      </x:c>
      <x:c r="K17" s="34" t="str">
        <x:f>IF(OR(A17="",COUNTBLANK(D17:H17)&gt;0),"",LEN(D17)&amp;":"&amp;D17&amp;LEN(E17)&amp;":"&amp;E17&amp;LEN(F17)&amp;":"&amp;F17&amp;LEN(G17)&amp;":"&amp;G17&amp;LEN(H17)&amp;":"&amp;H17)</x:f>
      </x:c>
      <x:c r="L17" s="47" t="str">
        <x:f>IF(A17="","",'90_CALC_FEATURES'!$I$107)</x:f>
      </x:c>
      <x:c r="M17" s="47" t="str">
        <x:f>IF(A17="","",'90_CALC_FEATURES'!$I$108)</x:f>
      </x:c>
      <x:c r="N17" s="47" t="str">
        <x:f>IF(A17="","",'90_CALC_FEATURES'!$I$109)</x:f>
      </x:c>
      <x:c r="O17" s="47" t="str">
        <x:f>IF(A17="","",'90_CALC_FEATURES'!$I$110)</x:f>
      </x:c>
      <x:c r="P17" s="47" t="str">
        <x:f>IF(A17="","",'90_CALC_FEATURES'!$I$111)</x:f>
      </x:c>
      <x:c r="Q17" s="47" t="str">
        <x:f>IF(A17="","",'90_CALC_FEATURES'!$I$112)</x:f>
      </x:c>
      <x:c r="R17" s="47" t="str">
        <x:f>IF(A17="","",'90_CALC_FEATURES'!$I$113)</x:f>
      </x:c>
      <x:c r="S17" s="47" t="str">
        <x:f>IF(A17="","",'90_CALC_FEATURES'!$I$114)</x:f>
      </x:c>
      <x:c r="T17" s="47" t="str">
        <x:f>IF(A17="","",'90_CALC_FEATURES'!$I$115)</x:f>
      </x:c>
      <x:c r="U17" s="47" t="str">
        <x:f>IF(A17="","",'90_CALC_FEATURES'!$I$116)</x:f>
      </x:c>
      <x:c r="V17" s="47" t="str">
        <x:f>IF(COUNT(L17:N17)=3,100*AVERAGE(L17:N17),"")</x:f>
      </x:c>
      <x:c r="W17" s="47" t="str">
        <x:f>IF(COUNT(O17:R17)=4,100*AVERAGE(O17:R17),"")</x:f>
      </x:c>
      <x:c r="X17" s="47" t="str">
        <x:f>IF(COUNT(S17:U17)=3,100*AVERAGE(S17:U17),"")</x:f>
      </x:c>
      <x:c r="Y17" s="47" t="str">
        <x:f>IF(COUNT(V17:X17)=3,AVERAGE(V17:X17),"")</x:f>
      </x:c>
      <x:c r="Z17" s="47" t="str">
        <x:f>IF(OR(AND(EXACT(A17,"SYN-A"),COUNT('01_INPUT_COMPANIES'!$T$17:$AC$17)=10,'01_INPUT_COMPANIES'!$T$17=-0.02,'01_INPUT_COMPANIES'!$U$17=0.1332,'01_INPUT_COMPANIES'!$V$17=0.18,'01_INPUT_COMPANIES'!$W$17=0.42,'01_INPUT_COMPANIES'!$X$17=0.012,'01_INPUT_COMPANIES'!$Y$17=3.2,'01_INPUT_COMPANIES'!$Z$17=0.08,'01_INPUT_COMPANIES'!$AA$17=0.28,'01_INPUT_COMPANIES'!$AB$17=0.74,'01_INPUT_COMPANIES'!$AC$17=8.5),AND(EXACT(A17,"SYN-B"),COUNT('01_INPUT_COMPANIES'!$T$17:$AC$17)=10,'01_INPUT_COMPANIES'!$T$17=-0.055,'01_INPUT_COMPANIES'!$U$17=0.06405,'01_INPUT_COMPANIES'!$V$17=0.105,'01_INPUT_COMPANIES'!$W$17=0.73,'01_INPUT_COMPANIES'!$X$17=0.004,'01_INPUT_COMPANIES'!$Y$17=4.1,'01_INPUT_COMPANIES'!$Z$17=0.025,'01_INPUT_COMPANIES'!$AA$17=0.16,'01_INPUT_COMPANIES'!$AB$17=0.61,'01_INPUT_COMPANIES'!$AC$17=4),AND(EXACT(A17,"SYN-C"),COUNT('01_INPUT_COMPANIES'!$T$17:$AC$17)=10,'01_INPUT_COMPANIES'!$T$17=0.01,'01_INPUT_COMPANIES'!$U$17=0.0986,'01_INPUT_COMPANIES'!$V$17=0.145,'01_INPUT_COMPANIES'!$W$17=0.18,'01_INPUT_COMPANIES'!$X$17=0.018,'01_INPUT_COMPANIES'!$Y$17=2.65,'01_INPUT_COMPANIES'!$Z$17=0.11,'01_INPUT_COMPANIES'!$AA$17=0.34,'01_INPUT_COMPANIES'!$AB$17=0.68,'01_INPUT_COMPANIES'!$AC$17=6.8),AND(EXACT(A17,"SYN-D"),COUNT('01_INPUT_COMPANIES'!$T$17:$AC$17)=10,'01_INPUT_COMPANIES'!$T$17=-0.005,'01_INPUT_COMPANIES'!$U$17=0.1136,'01_INPUT_COMPANIES'!$V$17=0.16,'01_INPUT_COMPANIES'!$W$17=0.51,'01_INPUT_COMPANIES'!$X$17=0.009,'01_INPUT_COMPANIES'!$Y$17=3.55,'01_INPUT_COMPANIES'!$Z$17=0.065,'01_INPUT_COMPANIES'!$AA$17=0.24,'01_INPUT_COMPANIES'!$AB$17=0.71,'01_INPUT_COMPANIES'!$AC$17=7.4)),IFERROR(INDEX('94_EXPECTED_OUTPUTS'!$B$7:$B$10,MATCH(A17,'94_EXPECTED_OUTPUTS'!$A$7:$A$10,0)),""),"")</x:f>
      </x:c>
      <x:c r="AA17" s="47" t="str">
        <x:f>IF(OR(COUNT(Y17)=0,COUNT(Z17)=0),"",ABS(Y17-Z17))</x:f>
      </x:c>
      <x:c r="AB17" s="34" t="str">
        <x:f>IF(A17="","",IF(AD17&lt;&gt;"",AD17,IF('01_INPUT_COMPANIES'!$A$17="","",IF(OR(LEN(TRIM('01_INPUT_COMPANIES'!$A$17&amp;""))=0,LEN(TRIM('01_INPUT_COMPANIES'!$B$17&amp;""))=0,LEN(TRIM('01_INPUT_COMPANIES'!$C$17&amp;""))=0,LEN(TRIM('01_INPUT_COMPANIES'!$D$17&amp;""))=0,LEN(TRIM('01_INPUT_COMPANIES'!$E$17&amp;""))=0,LEN(TRIM('01_INPUT_COMPANIES'!$F$17&amp;""))=0,LEN(TRIM('01_INPUT_COMPANIES'!$G$17&amp;""))=0,LEN(TRIM('01_INPUT_COMPANIES'!$H$17&amp;""))=0,LEN(TRIM('01_INPUT_COMPANIES'!$I$17&amp;""))=0,LEN(TRIM('01_INPUT_COMPANIES'!$K$17&amp;""))=0,LEN(TRIM('01_INPUT_COMPANIES'!$L$17&amp;""))=0,LEN(TRIM('01_INPUT_COMPANIES'!$M$17&amp;""))=0,LEN(TRIM('01_INPUT_COMPANIES'!$N$17&amp;""))=0,LEN(TRIM('01_INPUT_COMPANIES'!$O$17&amp;""))=0,LEN(TRIM('01_INPUT_COMPANIES'!$Q$17&amp;""))=0,COUNTBLANK('01_INPUT_COMPANIES'!$A$17:$R$17)&gt;0),"INPUT REQUIRED",IF(OR('01_INPUT_COMPANIES'!$A$17&lt;&gt;TRIM('01_INPUT_COMPANIES'!$A$17),NOT(EXACT('01_INPUT_COMPANIES'!$A$17,UPPER('01_INPUT_COMPANIES'!$A$17))),LEN('01_INPUT_COMPANIES'!$A$17)&gt;64,ISNUMBER(FIND("*",'01_INPUT_COMPANIES'!$A$17)),ISNUMBER(FIND("?",'01_INPUT_COMPANIES'!$A$17)),ISNUMBER(FIND("~",'01_INPUT_COMPANIES'!$A$17))),"ERROR: ID FORMAT",IF(COUNTIF('01_INPUT_COMPANIES'!$A$7:$A$106,'01_INPUT_COMPANIES'!$A$17)&lt;&gt;1,"ERROR: DUPLICATE ID",IF(COUNT('01_INPUT_COMPANIES'!$T$17:$AC$17)&lt;&gt;10,"INPUT REQUIRED",IF(NOT(OR('01_INPUT_COMPANIES'!$C$17="domestic",'01_INPUT_COMPANIES'!$C$17="foreign",'01_INPUT_COMPANIES'!$C$17="other")),"ERROR: COMPANY GROUP",IF(OR(LEN('01_INPUT_COMPANIES'!$G$17)&lt;&gt;6,MID('01_INPUT_COMPANIES'!$G$17,5,1)&lt;&gt;"Q",IFERROR(VALUE(LEFT('01_INPUT_COMPANIES'!$G$17,4)),0)&lt;2000,IFERROR(VALUE(LEFT('01_INPUT_COMPANIES'!$G$17,4)),0)&gt;2100,IFERROR(VALUE(RIGHT('01_INPUT_COMPANIES'!$G$17,1)),0)&lt;1,IFERROR(VALUE(RIGHT('01_INPUT_COMPANIES'!$G$17,1)),0)&gt;4),"ERROR: REPORTING PERIOD",IF(OR(COUNTIFS('92_REF_VARIABLES'!$A$21:$A$21,'01_INPUT_COMPANIES'!$H$17,'92_REF_VARIABLES'!$B$21:$B$21,'01_INPUT_COMPANIES'!$D$17,'92_REF_VARIABLES'!$C$21:$C$21,'01_INPUT_COMPANIES'!$G$17)&lt;&gt;1,AND(IFERROR(INDEX('92_REF_VARIABLES'!$I$21:$I$21,MATCH('01_INPUT_COMPANIES'!$H$17,'92_REF_VARIABLES'!$A$21:$A$21,0)),"")="synthetic_only",'01_INPUT_COMPANIES'!$L$17&lt;&gt;"yes")),"ERROR: BENCHMARK",IF(COUNTIF('92_REF_VARIABLES'!$L$21:$L$50,'01_INPUT_COMPANIES'!$I$17)&lt;&gt;1,"ERROR: CURRENCY",IF(OR(NOT(ISNUMBER('01_INPUT_COMPANIES'!$J$17)),'01_INPUT_COMPANIES'!$J$17&lt;&gt;INT('01_INPUT_COMPANIES'!$J$17),'01_INPUT_COMPANIES'!$J$17&lt;2000,'01_INPUT_COMPANIES'!$J$17&gt;2100),"ERROR: PRICE YEAR",IF(NOT(OR('01_INPUT_COMPANIES'!$K$17="A",'01_INPUT_COMPANIES'!$K$17="B",'01_INPUT_COMPANIES'!$K$17="C",'01_INPUT_COMPANIES'!$K$17="SYNTHETIC")),"ERROR: QUALITY",IF(NOT(OR(AND('01_INPUT_COMPANIES'!$L$17="yes",'01_INPUT_COMPANIES'!$K$17="SYNTHETIC"),AND('01_INPUT_COMPANIES'!$L$17="no",'01_INPUT_COMPANIES'!$K$17&lt;&gt;"SYNTHETIC"))),"ERROR: SYNTHETIC FLAG",IF(NOT(OR('01_INPUT_COMPANIES'!$M$17="direct",'01_INPUT_COMPANIES'!$M$17="derived",'01_INPUT_COMPANIES'!$M$17="proxy",'01_INPUT_COMPANIES'!$M$17="mixed")),"ERROR: CONSTRUCTION MODE",IF(OR(NOT(ISNUMBER('01_INPUT_COMPANIES'!$P$17)),'01_INPUT_COMPANIES'!$P$17&lt;0,'01_INPUT_COMPANIES'!$P$17&lt;&gt;INT('01_INPUT_COMPANIES'!$P$17)),"ERROR: CARRY LAG",IF('01_INPUT_COMPANIES'!$Q$17&lt;&gt;"yes","ERROR: EXPOSURE ADJUSTMENT",IF(OR(NOT(ISNUMBER('01_INPUT_COMPANIES'!$R$17)),'01_INPUT_COMPANIES'!$R$17&lt;0,'01_INPUT_COMPANIES'!$R$17&gt;1),"ERROR: EXPOSURE FACTOR",IF(COUNT(Y17)=0,"ERROR: SCORE",IF(COUNT(Z17)=0,"READY",IF(AA17&lt;=0.0000000001,"PASS","CHECK"))&amp;IF('01_INPUT_COMPANIES'!$K$17="C"," | C QUALITY","")&amp;IF(OR('01_INPUT_COMPANIES'!$M$17="proxy",'01_INPUT_COMPANIES'!$M$17="mixed")," | PROXY/MIXED","")&amp;IF('01_INPUT_COMPANIES'!$P$17&gt;1," | CARRY&gt;1","")&amp;IF(OR(OR('01_INPUT_COMPANIES'!$T$17&lt;-1,'01_INPUT_COMPANIES'!$T$17&gt;1),OR('01_INPUT_COMPANIES'!$U$17&lt;0,'01_INPUT_COMPANIES'!$U$17&gt;1),OR('01_INPUT_COMPANIES'!$V$17&lt;0,'01_INPUT_COMPANIES'!$V$17&gt;1),OR('01_INPUT_COMPANIES'!$W$17&lt;-10,'01_INPUT_COMPANIES'!$W$17&gt;10),OR('01_INPUT_COMPANIES'!$X$17&lt;-1,'01_INPUT_COMPANIES'!$X$17&gt;1),OR('01_INPUT_COMPANIES'!$Y$17&lt;0,'01_INPUT_COMPANIES'!$Y$17&gt;20),OR('01_INPUT_COMPANIES'!$Z$17&lt;-2,'01_INPUT_COMPANIES'!$Z$17&gt;2),OR('01_INPUT_COMPANIES'!$AA$17&lt;0,'01_INPUT_COMPANIES'!$AA$17&gt;1),OR('01_INPUT_COMPANIES'!$AB$17&lt;0,'01_INPUT_COMPANIES'!$AB$17&gt;1),OR('01_INPUT_COMPANIES'!$AC$17&lt;0,'01_INPUT_COMPANIES'!$AC$17&gt;50))," | REVIEW RANGE","")&amp;IF(COUNTIF('90_CALC_FEATURES'!$J$107:$J$116,"WINSORIZED*")&gt;0," | WINSORIZED","")&amp;IF(ABS('01_INPUT_COMPANIES'!$U$17-'01_INPUT_COMPANIES'!$V$17*'01_INPUT_COMPANIES'!$AB$17)&gt;MAX(0.005,0.05*MAX(ABS('01_INPUT_COMPANIES'!$V$17*'01_INPUT_COMPANIES'!$AB$17),ABS('01_INPUT_COMPANIES'!$U$17),0.000000000001))," | DEPENDENCY",""))))))))))))))))))))</x:f>
      </x:c>
      <x:c r="AC17" s="34" t="str">
        <x:f>IF(A17="","",IF(OR(LEFT(AB17,4)="PASS",LEFT(AB17,5)="READY"),"RESEARCH BETA | 저지원 22.22% | 기업 백분위 N/A", "결과 사용 금지 | "&amp;AB17))</x:f>
      </x:c>
      <x:c r="AD17" s="34" t="str">
        <x:f>IF(A17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$17,TRIM('01_INPUT_COMPANIES'!$D$17)),EXACT('01_INPUT_COMPANIES'!$E$17,TRIM('01_INPUT_COMPANIES'!$E$17)),EXACT('01_INPUT_COMPANIES'!$F$17,TRIM('01_INPUT_COMPANIES'!$F$17)),EXACT('01_INPUT_COMPANIES'!$G$17,TRIM('01_INPUT_COMPANIES'!$G$17)),EXACT('01_INPUT_COMPANIES'!$H$17,TRIM('01_INPUT_COMPANIES'!$H$17)))),"ERROR: COHORT WHITESPACE",IF(NOT(IFERROR(AND(ISTEXT('01_INPUT_COMPANIES'!$O$17),LEN('01_INPUT_COMPANIES'!$O$17)=10,VALUE(LEFT('01_INPUT_COMPANIES'!$O$17,4))&gt;=2000,VALUE(LEFT('01_INPUT_COMPANIES'!$O$17,4))&lt;=2100,EXACT(TEXT(DATE(VALUE(LEFT('01_INPUT_COMPANIES'!$O$17,4)),VALUE(MID('01_INPUT_COMPANIES'!$O$17,6,2)),VALUE(RIGHT('01_INPUT_COMPANIES'!$O$17,2))),"yyyy-mm-dd"),'01_INPUT_COMPANIES'!$O$17)),FALSE)),"ERROR: SOURCE DATE",IF(NOT(AND(OR(EXACT('01_INPUT_COMPANIES'!$C$17,"domestic"),EXACT('01_INPUT_COMPANIES'!$C$17,"foreign"),EXACT('01_INPUT_COMPANIES'!$C$17,"other")),OR(EXACT('01_INPUT_COMPANIES'!$K$17,"A"),EXACT('01_INPUT_COMPANIES'!$K$17,"B"),EXACT('01_INPUT_COMPANIES'!$K$17,"C"),EXACT('01_INPUT_COMPANIES'!$K$17,"SYNTHETIC")),OR(EXACT('01_INPUT_COMPANIES'!$L$17,"yes"),EXACT('01_INPUT_COMPANIES'!$L$17,"no")),OR(EXACT('01_INPUT_COMPANIES'!$M$17,"direct"),EXACT('01_INPUT_COMPANIES'!$M$17,"derived"),EXACT('01_INPUT_COMPANIES'!$M$17,"proxy"),EXACT('01_INPUT_COMPANIES'!$M$17,"mixed")),OR(EXACT('01_INPUT_COMPANIES'!$Q$17,"yes")),EXACT('01_INPUT_COMPANIES'!$I$17,UPPER('01_INPUT_COMPANIES'!$I$17)))),"ERROR: EXACT ENUM",IF(NOT(IFERROR(OR(AND(EXACT('92_REF_VARIABLES'!$A$21,'01_INPUT_COMPANIES'!$H$17),EXACT('92_REF_VARIABLES'!$B$21,'01_INPUT_COMPANIES'!$D$17),EXACT('92_REF_VARIABLES'!$C$21,'01_INPUT_COMPANIES'!$G$17))),FALSE)),"ERROR: BENCHMARK",""))))))</x:f>
      </x:c>
    </x:row>
    <x:row r="18">
      <x:c r="A18" s="34" t="str">
        <x:f>IF(OR('01_INPUT_COMPANIES'!$A$18="",'01_INPUT_COMPANIES'!$A$18=""),"",'01_INPUT_COMPANIES'!$A$18)</x:f>
      </x:c>
      <x:c r="B18" s="34" t="str">
        <x:f>IF(OR('01_INPUT_COMPANIES'!$A$18="",'01_INPUT_COMPANIES'!$B$18=""),"",'01_INPUT_COMPANIES'!$B$18)</x:f>
      </x:c>
      <x:c r="C18" s="34" t="str">
        <x:f>IF(OR('01_INPUT_COMPANIES'!$A$18="",'01_INPUT_COMPANIES'!$C$18=""),"",'01_INPUT_COMPANIES'!$C$18)</x:f>
      </x:c>
      <x:c r="D18" s="34" t="str">
        <x:f>IF(OR('01_INPUT_COMPANIES'!$A$18="",'01_INPUT_COMPANIES'!$D$18=""),"",'01_INPUT_COMPANIES'!$D$18)</x:f>
      </x:c>
      <x:c r="E18" s="34" t="str">
        <x:f>IF(OR('01_INPUT_COMPANIES'!$A$18="",'01_INPUT_COMPANIES'!$E$18=""),"",'01_INPUT_COMPANIES'!$E$18)</x:f>
      </x:c>
      <x:c r="F18" s="34" t="str">
        <x:f>IF(OR('01_INPUT_COMPANIES'!$A$18="",'01_INPUT_COMPANIES'!$F$18=""),"",'01_INPUT_COMPANIES'!$F$18)</x:f>
      </x:c>
      <x:c r="G18" s="34" t="str">
        <x:f>IF(OR('01_INPUT_COMPANIES'!$A$18="",'01_INPUT_COMPANIES'!$G$18=""),"",'01_INPUT_COMPANIES'!$G$18)</x:f>
      </x:c>
      <x:c r="H18" s="34" t="str">
        <x:f>IF(OR('01_INPUT_COMPANIES'!$A$18="",'01_INPUT_COMPANIES'!$H$18=""),"",'01_INPUT_COMPANIES'!$H$18)</x:f>
      </x:c>
      <x:c r="I18" s="34" t="str">
        <x:f>IF(OR('01_INPUT_COMPANIES'!$A$18="",'01_INPUT_COMPANIES'!$K$18=""),"",'01_INPUT_COMPANIES'!$K$18)</x:f>
      </x:c>
      <x:c r="J18" s="34" t="str">
        <x:f>IF(OR('01_INPUT_COMPANIES'!$A$18="",'01_INPUT_COMPANIES'!$M$18=""),"",'01_INPUT_COMPANIES'!$M$18)</x:f>
      </x:c>
      <x:c r="K18" s="34" t="str">
        <x:f>IF(OR(A18="",COUNTBLANK(D18:H18)&gt;0),"",LEN(D18)&amp;":"&amp;D18&amp;LEN(E18)&amp;":"&amp;E18&amp;LEN(F18)&amp;":"&amp;F18&amp;LEN(G18)&amp;":"&amp;G18&amp;LEN(H18)&amp;":"&amp;H18)</x:f>
      </x:c>
      <x:c r="L18" s="47" t="str">
        <x:f>IF(A18="","",'90_CALC_FEATURES'!$I$117)</x:f>
      </x:c>
      <x:c r="M18" s="47" t="str">
        <x:f>IF(A18="","",'90_CALC_FEATURES'!$I$118)</x:f>
      </x:c>
      <x:c r="N18" s="47" t="str">
        <x:f>IF(A18="","",'90_CALC_FEATURES'!$I$119)</x:f>
      </x:c>
      <x:c r="O18" s="47" t="str">
        <x:f>IF(A18="","",'90_CALC_FEATURES'!$I$120)</x:f>
      </x:c>
      <x:c r="P18" s="47" t="str">
        <x:f>IF(A18="","",'90_CALC_FEATURES'!$I$121)</x:f>
      </x:c>
      <x:c r="Q18" s="47" t="str">
        <x:f>IF(A18="","",'90_CALC_FEATURES'!$I$122)</x:f>
      </x:c>
      <x:c r="R18" s="47" t="str">
        <x:f>IF(A18="","",'90_CALC_FEATURES'!$I$123)</x:f>
      </x:c>
      <x:c r="S18" s="47" t="str">
        <x:f>IF(A18="","",'90_CALC_FEATURES'!$I$124)</x:f>
      </x:c>
      <x:c r="T18" s="47" t="str">
        <x:f>IF(A18="","",'90_CALC_FEATURES'!$I$125)</x:f>
      </x:c>
      <x:c r="U18" s="47" t="str">
        <x:f>IF(A18="","",'90_CALC_FEATURES'!$I$126)</x:f>
      </x:c>
      <x:c r="V18" s="47" t="str">
        <x:f>IF(COUNT(L18:N18)=3,100*AVERAGE(L18:N18),"")</x:f>
      </x:c>
      <x:c r="W18" s="47" t="str">
        <x:f>IF(COUNT(O18:R18)=4,100*AVERAGE(O18:R18),"")</x:f>
      </x:c>
      <x:c r="X18" s="47" t="str">
        <x:f>IF(COUNT(S18:U18)=3,100*AVERAGE(S18:U18),"")</x:f>
      </x:c>
      <x:c r="Y18" s="47" t="str">
        <x:f>IF(COUNT(V18:X18)=3,AVERAGE(V18:X18),"")</x:f>
      </x:c>
      <x:c r="Z18" s="47" t="str">
        <x:f>IF(OR(AND(EXACT(A18,"SYN-A"),COUNT('01_INPUT_COMPANIES'!$T$18:$AC$18)=10,'01_INPUT_COMPANIES'!$T$18=-0.02,'01_INPUT_COMPANIES'!$U$18=0.1332,'01_INPUT_COMPANIES'!$V$18=0.18,'01_INPUT_COMPANIES'!$W$18=0.42,'01_INPUT_COMPANIES'!$X$18=0.012,'01_INPUT_COMPANIES'!$Y$18=3.2,'01_INPUT_COMPANIES'!$Z$18=0.08,'01_INPUT_COMPANIES'!$AA$18=0.28,'01_INPUT_COMPANIES'!$AB$18=0.74,'01_INPUT_COMPANIES'!$AC$18=8.5),AND(EXACT(A18,"SYN-B"),COUNT('01_INPUT_COMPANIES'!$T$18:$AC$18)=10,'01_INPUT_COMPANIES'!$T$18=-0.055,'01_INPUT_COMPANIES'!$U$18=0.06405,'01_INPUT_COMPANIES'!$V$18=0.105,'01_INPUT_COMPANIES'!$W$18=0.73,'01_INPUT_COMPANIES'!$X$18=0.004,'01_INPUT_COMPANIES'!$Y$18=4.1,'01_INPUT_COMPANIES'!$Z$18=0.025,'01_INPUT_COMPANIES'!$AA$18=0.16,'01_INPUT_COMPANIES'!$AB$18=0.61,'01_INPUT_COMPANIES'!$AC$18=4),AND(EXACT(A18,"SYN-C"),COUNT('01_INPUT_COMPANIES'!$T$18:$AC$18)=10,'01_INPUT_COMPANIES'!$T$18=0.01,'01_INPUT_COMPANIES'!$U$18=0.0986,'01_INPUT_COMPANIES'!$V$18=0.145,'01_INPUT_COMPANIES'!$W$18=0.18,'01_INPUT_COMPANIES'!$X$18=0.018,'01_INPUT_COMPANIES'!$Y$18=2.65,'01_INPUT_COMPANIES'!$Z$18=0.11,'01_INPUT_COMPANIES'!$AA$18=0.34,'01_INPUT_COMPANIES'!$AB$18=0.68,'01_INPUT_COMPANIES'!$AC$18=6.8),AND(EXACT(A18,"SYN-D"),COUNT('01_INPUT_COMPANIES'!$T$18:$AC$18)=10,'01_INPUT_COMPANIES'!$T$18=-0.005,'01_INPUT_COMPANIES'!$U$18=0.1136,'01_INPUT_COMPANIES'!$V$18=0.16,'01_INPUT_COMPANIES'!$W$18=0.51,'01_INPUT_COMPANIES'!$X$18=0.009,'01_INPUT_COMPANIES'!$Y$18=3.55,'01_INPUT_COMPANIES'!$Z$18=0.065,'01_INPUT_COMPANIES'!$AA$18=0.24,'01_INPUT_COMPANIES'!$AB$18=0.71,'01_INPUT_COMPANIES'!$AC$18=7.4)),IFERROR(INDEX('94_EXPECTED_OUTPUTS'!$B$7:$B$10,MATCH(A18,'94_EXPECTED_OUTPUTS'!$A$7:$A$10,0)),""),"")</x:f>
      </x:c>
      <x:c r="AA18" s="47" t="str">
        <x:f>IF(OR(COUNT(Y18)=0,COUNT(Z18)=0),"",ABS(Y18-Z18))</x:f>
      </x:c>
      <x:c r="AB18" s="34" t="str">
        <x:f>IF(A18="","",IF(AD18&lt;&gt;"",AD18,IF('01_INPUT_COMPANIES'!$A$18="","",IF(OR(LEN(TRIM('01_INPUT_COMPANIES'!$A$18&amp;""))=0,LEN(TRIM('01_INPUT_COMPANIES'!$B$18&amp;""))=0,LEN(TRIM('01_INPUT_COMPANIES'!$C$18&amp;""))=0,LEN(TRIM('01_INPUT_COMPANIES'!$D$18&amp;""))=0,LEN(TRIM('01_INPUT_COMPANIES'!$E$18&amp;""))=0,LEN(TRIM('01_INPUT_COMPANIES'!$F$18&amp;""))=0,LEN(TRIM('01_INPUT_COMPANIES'!$G$18&amp;""))=0,LEN(TRIM('01_INPUT_COMPANIES'!$H$18&amp;""))=0,LEN(TRIM('01_INPUT_COMPANIES'!$I$18&amp;""))=0,LEN(TRIM('01_INPUT_COMPANIES'!$K$18&amp;""))=0,LEN(TRIM('01_INPUT_COMPANIES'!$L$18&amp;""))=0,LEN(TRIM('01_INPUT_COMPANIES'!$M$18&amp;""))=0,LEN(TRIM('01_INPUT_COMPANIES'!$N$18&amp;""))=0,LEN(TRIM('01_INPUT_COMPANIES'!$O$18&amp;""))=0,LEN(TRIM('01_INPUT_COMPANIES'!$Q$18&amp;""))=0,COUNTBLANK('01_INPUT_COMPANIES'!$A$18:$R$18)&gt;0),"INPUT REQUIRED",IF(OR('01_INPUT_COMPANIES'!$A$18&lt;&gt;TRIM('01_INPUT_COMPANIES'!$A$18),NOT(EXACT('01_INPUT_COMPANIES'!$A$18,UPPER('01_INPUT_COMPANIES'!$A$18))),LEN('01_INPUT_COMPANIES'!$A$18)&gt;64,ISNUMBER(FIND("*",'01_INPUT_COMPANIES'!$A$18)),ISNUMBER(FIND("?",'01_INPUT_COMPANIES'!$A$18)),ISNUMBER(FIND("~",'01_INPUT_COMPANIES'!$A$18))),"ERROR: ID FORMAT",IF(COUNTIF('01_INPUT_COMPANIES'!$A$7:$A$106,'01_INPUT_COMPANIES'!$A$18)&lt;&gt;1,"ERROR: DUPLICATE ID",IF(COUNT('01_INPUT_COMPANIES'!$T$18:$AC$18)&lt;&gt;10,"INPUT REQUIRED",IF(NOT(OR('01_INPUT_COMPANIES'!$C$18="domestic",'01_INPUT_COMPANIES'!$C$18="foreign",'01_INPUT_COMPANIES'!$C$18="other")),"ERROR: COMPANY GROUP",IF(OR(LEN('01_INPUT_COMPANIES'!$G$18)&lt;&gt;6,MID('01_INPUT_COMPANIES'!$G$18,5,1)&lt;&gt;"Q",IFERROR(VALUE(LEFT('01_INPUT_COMPANIES'!$G$18,4)),0)&lt;2000,IFERROR(VALUE(LEFT('01_INPUT_COMPANIES'!$G$18,4)),0)&gt;2100,IFERROR(VALUE(RIGHT('01_INPUT_COMPANIES'!$G$18,1)),0)&lt;1,IFERROR(VALUE(RIGHT('01_INPUT_COMPANIES'!$G$18,1)),0)&gt;4),"ERROR: REPORTING PERIOD",IF(OR(COUNTIFS('92_REF_VARIABLES'!$A$21:$A$21,'01_INPUT_COMPANIES'!$H$18,'92_REF_VARIABLES'!$B$21:$B$21,'01_INPUT_COMPANIES'!$D$18,'92_REF_VARIABLES'!$C$21:$C$21,'01_INPUT_COMPANIES'!$G$18)&lt;&gt;1,AND(IFERROR(INDEX('92_REF_VARIABLES'!$I$21:$I$21,MATCH('01_INPUT_COMPANIES'!$H$18,'92_REF_VARIABLES'!$A$21:$A$21,0)),"")="synthetic_only",'01_INPUT_COMPANIES'!$L$18&lt;&gt;"yes")),"ERROR: BENCHMARK",IF(COUNTIF('92_REF_VARIABLES'!$L$21:$L$50,'01_INPUT_COMPANIES'!$I$18)&lt;&gt;1,"ERROR: CURRENCY",IF(OR(NOT(ISNUMBER('01_INPUT_COMPANIES'!$J$18)),'01_INPUT_COMPANIES'!$J$18&lt;&gt;INT('01_INPUT_COMPANIES'!$J$18),'01_INPUT_COMPANIES'!$J$18&lt;2000,'01_INPUT_COMPANIES'!$J$18&gt;2100),"ERROR: PRICE YEAR",IF(NOT(OR('01_INPUT_COMPANIES'!$K$18="A",'01_INPUT_COMPANIES'!$K$18="B",'01_INPUT_COMPANIES'!$K$18="C",'01_INPUT_COMPANIES'!$K$18="SYNTHETIC")),"ERROR: QUALITY",IF(NOT(OR(AND('01_INPUT_COMPANIES'!$L$18="yes",'01_INPUT_COMPANIES'!$K$18="SYNTHETIC"),AND('01_INPUT_COMPANIES'!$L$18="no",'01_INPUT_COMPANIES'!$K$18&lt;&gt;"SYNTHETIC"))),"ERROR: SYNTHETIC FLAG",IF(NOT(OR('01_INPUT_COMPANIES'!$M$18="direct",'01_INPUT_COMPANIES'!$M$18="derived",'01_INPUT_COMPANIES'!$M$18="proxy",'01_INPUT_COMPANIES'!$M$18="mixed")),"ERROR: CONSTRUCTION MODE",IF(OR(NOT(ISNUMBER('01_INPUT_COMPANIES'!$P$18)),'01_INPUT_COMPANIES'!$P$18&lt;0,'01_INPUT_COMPANIES'!$P$18&lt;&gt;INT('01_INPUT_COMPANIES'!$P$18)),"ERROR: CARRY LAG",IF('01_INPUT_COMPANIES'!$Q$18&lt;&gt;"yes","ERROR: EXPOSURE ADJUSTMENT",IF(OR(NOT(ISNUMBER('01_INPUT_COMPANIES'!$R$18)),'01_INPUT_COMPANIES'!$R$18&lt;0,'01_INPUT_COMPANIES'!$R$18&gt;1),"ERROR: EXPOSURE FACTOR",IF(COUNT(Y18)=0,"ERROR: SCORE",IF(COUNT(Z18)=0,"READY",IF(AA18&lt;=0.0000000001,"PASS","CHECK"))&amp;IF('01_INPUT_COMPANIES'!$K$18="C"," | C QUALITY","")&amp;IF(OR('01_INPUT_COMPANIES'!$M$18="proxy",'01_INPUT_COMPANIES'!$M$18="mixed")," | PROXY/MIXED","")&amp;IF('01_INPUT_COMPANIES'!$P$18&gt;1," | CARRY&gt;1","")&amp;IF(OR(OR('01_INPUT_COMPANIES'!$T$18&lt;-1,'01_INPUT_COMPANIES'!$T$18&gt;1),OR('01_INPUT_COMPANIES'!$U$18&lt;0,'01_INPUT_COMPANIES'!$U$18&gt;1),OR('01_INPUT_COMPANIES'!$V$18&lt;0,'01_INPUT_COMPANIES'!$V$18&gt;1),OR('01_INPUT_COMPANIES'!$W$18&lt;-10,'01_INPUT_COMPANIES'!$W$18&gt;10),OR('01_INPUT_COMPANIES'!$X$18&lt;-1,'01_INPUT_COMPANIES'!$X$18&gt;1),OR('01_INPUT_COMPANIES'!$Y$18&lt;0,'01_INPUT_COMPANIES'!$Y$18&gt;20),OR('01_INPUT_COMPANIES'!$Z$18&lt;-2,'01_INPUT_COMPANIES'!$Z$18&gt;2),OR('01_INPUT_COMPANIES'!$AA$18&lt;0,'01_INPUT_COMPANIES'!$AA$18&gt;1),OR('01_INPUT_COMPANIES'!$AB$18&lt;0,'01_INPUT_COMPANIES'!$AB$18&gt;1),OR('01_INPUT_COMPANIES'!$AC$18&lt;0,'01_INPUT_COMPANIES'!$AC$18&gt;50))," | REVIEW RANGE","")&amp;IF(COUNTIF('90_CALC_FEATURES'!$J$117:$J$126,"WINSORIZED*")&gt;0," | WINSORIZED","")&amp;IF(ABS('01_INPUT_COMPANIES'!$U$18-'01_INPUT_COMPANIES'!$V$18*'01_INPUT_COMPANIES'!$AB$18)&gt;MAX(0.005,0.05*MAX(ABS('01_INPUT_COMPANIES'!$V$18*'01_INPUT_COMPANIES'!$AB$18),ABS('01_INPUT_COMPANIES'!$U$18),0.000000000001))," | DEPENDENCY",""))))))))))))))))))))</x:f>
      </x:c>
      <x:c r="AC18" s="34" t="str">
        <x:f>IF(A18="","",IF(OR(LEFT(AB18,4)="PASS",LEFT(AB18,5)="READY"),"RESEARCH BETA | 저지원 22.22% | 기업 백분위 N/A", "결과 사용 금지 | "&amp;AB18))</x:f>
      </x:c>
      <x:c r="AD18" s="34" t="str">
        <x:f>IF(A18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$18,TRIM('01_INPUT_COMPANIES'!$D$18)),EXACT('01_INPUT_COMPANIES'!$E$18,TRIM('01_INPUT_COMPANIES'!$E$18)),EXACT('01_INPUT_COMPANIES'!$F$18,TRIM('01_INPUT_COMPANIES'!$F$18)),EXACT('01_INPUT_COMPANIES'!$G$18,TRIM('01_INPUT_COMPANIES'!$G$18)),EXACT('01_INPUT_COMPANIES'!$H$18,TRIM('01_INPUT_COMPANIES'!$H$18)))),"ERROR: COHORT WHITESPACE",IF(NOT(IFERROR(AND(ISTEXT('01_INPUT_COMPANIES'!$O$18),LEN('01_INPUT_COMPANIES'!$O$18)=10,VALUE(LEFT('01_INPUT_COMPANIES'!$O$18,4))&gt;=2000,VALUE(LEFT('01_INPUT_COMPANIES'!$O$18,4))&lt;=2100,EXACT(TEXT(DATE(VALUE(LEFT('01_INPUT_COMPANIES'!$O$18,4)),VALUE(MID('01_INPUT_COMPANIES'!$O$18,6,2)),VALUE(RIGHT('01_INPUT_COMPANIES'!$O$18,2))),"yyyy-mm-dd"),'01_INPUT_COMPANIES'!$O$18)),FALSE)),"ERROR: SOURCE DATE",IF(NOT(AND(OR(EXACT('01_INPUT_COMPANIES'!$C$18,"domestic"),EXACT('01_INPUT_COMPANIES'!$C$18,"foreign"),EXACT('01_INPUT_COMPANIES'!$C$18,"other")),OR(EXACT('01_INPUT_COMPANIES'!$K$18,"A"),EXACT('01_INPUT_COMPANIES'!$K$18,"B"),EXACT('01_INPUT_COMPANIES'!$K$18,"C"),EXACT('01_INPUT_COMPANIES'!$K$18,"SYNTHETIC")),OR(EXACT('01_INPUT_COMPANIES'!$L$18,"yes"),EXACT('01_INPUT_COMPANIES'!$L$18,"no")),OR(EXACT('01_INPUT_COMPANIES'!$M$18,"direct"),EXACT('01_INPUT_COMPANIES'!$M$18,"derived"),EXACT('01_INPUT_COMPANIES'!$M$18,"proxy"),EXACT('01_INPUT_COMPANIES'!$M$18,"mixed")),OR(EXACT('01_INPUT_COMPANIES'!$Q$18,"yes")),EXACT('01_INPUT_COMPANIES'!$I$18,UPPER('01_INPUT_COMPANIES'!$I$18)))),"ERROR: EXACT ENUM",IF(NOT(IFERROR(OR(AND(EXACT('92_REF_VARIABLES'!$A$21,'01_INPUT_COMPANIES'!$H$18),EXACT('92_REF_VARIABLES'!$B$21,'01_INPUT_COMPANIES'!$D$18),EXACT('92_REF_VARIABLES'!$C$21,'01_INPUT_COMPANIES'!$G$18))),FALSE)),"ERROR: BENCHMARK",""))))))</x:f>
      </x:c>
    </x:row>
    <x:row r="19">
      <x:c r="A19" s="34" t="str">
        <x:f>IF(OR('01_INPUT_COMPANIES'!$A$19="",'01_INPUT_COMPANIES'!$A$19=""),"",'01_INPUT_COMPANIES'!$A$19)</x:f>
      </x:c>
      <x:c r="B19" s="34" t="str">
        <x:f>IF(OR('01_INPUT_COMPANIES'!$A$19="",'01_INPUT_COMPANIES'!$B$19=""),"",'01_INPUT_COMPANIES'!$B$19)</x:f>
      </x:c>
      <x:c r="C19" s="34" t="str">
        <x:f>IF(OR('01_INPUT_COMPANIES'!$A$19="",'01_INPUT_COMPANIES'!$C$19=""),"",'01_INPUT_COMPANIES'!$C$19)</x:f>
      </x:c>
      <x:c r="D19" s="34" t="str">
        <x:f>IF(OR('01_INPUT_COMPANIES'!$A$19="",'01_INPUT_COMPANIES'!$D$19=""),"",'01_INPUT_COMPANIES'!$D$19)</x:f>
      </x:c>
      <x:c r="E19" s="34" t="str">
        <x:f>IF(OR('01_INPUT_COMPANIES'!$A$19="",'01_INPUT_COMPANIES'!$E$19=""),"",'01_INPUT_COMPANIES'!$E$19)</x:f>
      </x:c>
      <x:c r="F19" s="34" t="str">
        <x:f>IF(OR('01_INPUT_COMPANIES'!$A$19="",'01_INPUT_COMPANIES'!$F$19=""),"",'01_INPUT_COMPANIES'!$F$19)</x:f>
      </x:c>
      <x:c r="G19" s="34" t="str">
        <x:f>IF(OR('01_INPUT_COMPANIES'!$A$19="",'01_INPUT_COMPANIES'!$G$19=""),"",'01_INPUT_COMPANIES'!$G$19)</x:f>
      </x:c>
      <x:c r="H19" s="34" t="str">
        <x:f>IF(OR('01_INPUT_COMPANIES'!$A$19="",'01_INPUT_COMPANIES'!$H$19=""),"",'01_INPUT_COMPANIES'!$H$19)</x:f>
      </x:c>
      <x:c r="I19" s="34" t="str">
        <x:f>IF(OR('01_INPUT_COMPANIES'!$A$19="",'01_INPUT_COMPANIES'!$K$19=""),"",'01_INPUT_COMPANIES'!$K$19)</x:f>
      </x:c>
      <x:c r="J19" s="34" t="str">
        <x:f>IF(OR('01_INPUT_COMPANIES'!$A$19="",'01_INPUT_COMPANIES'!$M$19=""),"",'01_INPUT_COMPANIES'!$M$19)</x:f>
      </x:c>
      <x:c r="K19" s="34" t="str">
        <x:f>IF(OR(A19="",COUNTBLANK(D19:H19)&gt;0),"",LEN(D19)&amp;":"&amp;D19&amp;LEN(E19)&amp;":"&amp;E19&amp;LEN(F19)&amp;":"&amp;F19&amp;LEN(G19)&amp;":"&amp;G19&amp;LEN(H19)&amp;":"&amp;H19)</x:f>
      </x:c>
      <x:c r="L19" s="47" t="str">
        <x:f>IF(A19="","",'90_CALC_FEATURES'!$I$127)</x:f>
      </x:c>
      <x:c r="M19" s="47" t="str">
        <x:f>IF(A19="","",'90_CALC_FEATURES'!$I$128)</x:f>
      </x:c>
      <x:c r="N19" s="47" t="str">
        <x:f>IF(A19="","",'90_CALC_FEATURES'!$I$129)</x:f>
      </x:c>
      <x:c r="O19" s="47" t="str">
        <x:f>IF(A19="","",'90_CALC_FEATURES'!$I$130)</x:f>
      </x:c>
      <x:c r="P19" s="47" t="str">
        <x:f>IF(A19="","",'90_CALC_FEATURES'!$I$131)</x:f>
      </x:c>
      <x:c r="Q19" s="47" t="str">
        <x:f>IF(A19="","",'90_CALC_FEATURES'!$I$132)</x:f>
      </x:c>
      <x:c r="R19" s="47" t="str">
        <x:f>IF(A19="","",'90_CALC_FEATURES'!$I$133)</x:f>
      </x:c>
      <x:c r="S19" s="47" t="str">
        <x:f>IF(A19="","",'90_CALC_FEATURES'!$I$134)</x:f>
      </x:c>
      <x:c r="T19" s="47" t="str">
        <x:f>IF(A19="","",'90_CALC_FEATURES'!$I$135)</x:f>
      </x:c>
      <x:c r="U19" s="47" t="str">
        <x:f>IF(A19="","",'90_CALC_FEATURES'!$I$136)</x:f>
      </x:c>
      <x:c r="V19" s="47" t="str">
        <x:f>IF(COUNT(L19:N19)=3,100*AVERAGE(L19:N19),"")</x:f>
      </x:c>
      <x:c r="W19" s="47" t="str">
        <x:f>IF(COUNT(O19:R19)=4,100*AVERAGE(O19:R19),"")</x:f>
      </x:c>
      <x:c r="X19" s="47" t="str">
        <x:f>IF(COUNT(S19:U19)=3,100*AVERAGE(S19:U19),"")</x:f>
      </x:c>
      <x:c r="Y19" s="47" t="str">
        <x:f>IF(COUNT(V19:X19)=3,AVERAGE(V19:X19),"")</x:f>
      </x:c>
      <x:c r="Z19" s="47" t="str">
        <x:f>IF(OR(AND(EXACT(A19,"SYN-A"),COUNT('01_INPUT_COMPANIES'!$T$19:$AC$19)=10,'01_INPUT_COMPANIES'!$T$19=-0.02,'01_INPUT_COMPANIES'!$U$19=0.1332,'01_INPUT_COMPANIES'!$V$19=0.18,'01_INPUT_COMPANIES'!$W$19=0.42,'01_INPUT_COMPANIES'!$X$19=0.012,'01_INPUT_COMPANIES'!$Y$19=3.2,'01_INPUT_COMPANIES'!$Z$19=0.08,'01_INPUT_COMPANIES'!$AA$19=0.28,'01_INPUT_COMPANIES'!$AB$19=0.74,'01_INPUT_COMPANIES'!$AC$19=8.5),AND(EXACT(A19,"SYN-B"),COUNT('01_INPUT_COMPANIES'!$T$19:$AC$19)=10,'01_INPUT_COMPANIES'!$T$19=-0.055,'01_INPUT_COMPANIES'!$U$19=0.06405,'01_INPUT_COMPANIES'!$V$19=0.105,'01_INPUT_COMPANIES'!$W$19=0.73,'01_INPUT_COMPANIES'!$X$19=0.004,'01_INPUT_COMPANIES'!$Y$19=4.1,'01_INPUT_COMPANIES'!$Z$19=0.025,'01_INPUT_COMPANIES'!$AA$19=0.16,'01_INPUT_COMPANIES'!$AB$19=0.61,'01_INPUT_COMPANIES'!$AC$19=4),AND(EXACT(A19,"SYN-C"),COUNT('01_INPUT_COMPANIES'!$T$19:$AC$19)=10,'01_INPUT_COMPANIES'!$T$19=0.01,'01_INPUT_COMPANIES'!$U$19=0.0986,'01_INPUT_COMPANIES'!$V$19=0.145,'01_INPUT_COMPANIES'!$W$19=0.18,'01_INPUT_COMPANIES'!$X$19=0.018,'01_INPUT_COMPANIES'!$Y$19=2.65,'01_INPUT_COMPANIES'!$Z$19=0.11,'01_INPUT_COMPANIES'!$AA$19=0.34,'01_INPUT_COMPANIES'!$AB$19=0.68,'01_INPUT_COMPANIES'!$AC$19=6.8),AND(EXACT(A19,"SYN-D"),COUNT('01_INPUT_COMPANIES'!$T$19:$AC$19)=10,'01_INPUT_COMPANIES'!$T$19=-0.005,'01_INPUT_COMPANIES'!$U$19=0.1136,'01_INPUT_COMPANIES'!$V$19=0.16,'01_INPUT_COMPANIES'!$W$19=0.51,'01_INPUT_COMPANIES'!$X$19=0.009,'01_INPUT_COMPANIES'!$Y$19=3.55,'01_INPUT_COMPANIES'!$Z$19=0.065,'01_INPUT_COMPANIES'!$AA$19=0.24,'01_INPUT_COMPANIES'!$AB$19=0.71,'01_INPUT_COMPANIES'!$AC$19=7.4)),IFERROR(INDEX('94_EXPECTED_OUTPUTS'!$B$7:$B$10,MATCH(A19,'94_EXPECTED_OUTPUTS'!$A$7:$A$10,0)),""),"")</x:f>
      </x:c>
      <x:c r="AA19" s="47" t="str">
        <x:f>IF(OR(COUNT(Y19)=0,COUNT(Z19)=0),"",ABS(Y19-Z19))</x:f>
      </x:c>
      <x:c r="AB19" s="34" t="str">
        <x:f>IF(A19="","",IF(AD19&lt;&gt;"",AD19,IF('01_INPUT_COMPANIES'!$A$19="","",IF(OR(LEN(TRIM('01_INPUT_COMPANIES'!$A$19&amp;""))=0,LEN(TRIM('01_INPUT_COMPANIES'!$B$19&amp;""))=0,LEN(TRIM('01_INPUT_COMPANIES'!$C$19&amp;""))=0,LEN(TRIM('01_INPUT_COMPANIES'!$D$19&amp;""))=0,LEN(TRIM('01_INPUT_COMPANIES'!$E$19&amp;""))=0,LEN(TRIM('01_INPUT_COMPANIES'!$F$19&amp;""))=0,LEN(TRIM('01_INPUT_COMPANIES'!$G$19&amp;""))=0,LEN(TRIM('01_INPUT_COMPANIES'!$H$19&amp;""))=0,LEN(TRIM('01_INPUT_COMPANIES'!$I$19&amp;""))=0,LEN(TRIM('01_INPUT_COMPANIES'!$K$19&amp;""))=0,LEN(TRIM('01_INPUT_COMPANIES'!$L$19&amp;""))=0,LEN(TRIM('01_INPUT_COMPANIES'!$M$19&amp;""))=0,LEN(TRIM('01_INPUT_COMPANIES'!$N$19&amp;""))=0,LEN(TRIM('01_INPUT_COMPANIES'!$O$19&amp;""))=0,LEN(TRIM('01_INPUT_COMPANIES'!$Q$19&amp;""))=0,COUNTBLANK('01_INPUT_COMPANIES'!$A$19:$R$19)&gt;0),"INPUT REQUIRED",IF(OR('01_INPUT_COMPANIES'!$A$19&lt;&gt;TRIM('01_INPUT_COMPANIES'!$A$19),NOT(EXACT('01_INPUT_COMPANIES'!$A$19,UPPER('01_INPUT_COMPANIES'!$A$19))),LEN('01_INPUT_COMPANIES'!$A$19)&gt;64,ISNUMBER(FIND("*",'01_INPUT_COMPANIES'!$A$19)),ISNUMBER(FIND("?",'01_INPUT_COMPANIES'!$A$19)),ISNUMBER(FIND("~",'01_INPUT_COMPANIES'!$A$19))),"ERROR: ID FORMAT",IF(COUNTIF('01_INPUT_COMPANIES'!$A$7:$A$106,'01_INPUT_COMPANIES'!$A$19)&lt;&gt;1,"ERROR: DUPLICATE ID",IF(COUNT('01_INPUT_COMPANIES'!$T$19:$AC$19)&lt;&gt;10,"INPUT REQUIRED",IF(NOT(OR('01_INPUT_COMPANIES'!$C$19="domestic",'01_INPUT_COMPANIES'!$C$19="foreign",'01_INPUT_COMPANIES'!$C$19="other")),"ERROR: COMPANY GROUP",IF(OR(LEN('01_INPUT_COMPANIES'!$G$19)&lt;&gt;6,MID('01_INPUT_COMPANIES'!$G$19,5,1)&lt;&gt;"Q",IFERROR(VALUE(LEFT('01_INPUT_COMPANIES'!$G$19,4)),0)&lt;2000,IFERROR(VALUE(LEFT('01_INPUT_COMPANIES'!$G$19,4)),0)&gt;2100,IFERROR(VALUE(RIGHT('01_INPUT_COMPANIES'!$G$19,1)),0)&lt;1,IFERROR(VALUE(RIGHT('01_INPUT_COMPANIES'!$G$19,1)),0)&gt;4),"ERROR: REPORTING PERIOD",IF(OR(COUNTIFS('92_REF_VARIABLES'!$A$21:$A$21,'01_INPUT_COMPANIES'!$H$19,'92_REF_VARIABLES'!$B$21:$B$21,'01_INPUT_COMPANIES'!$D$19,'92_REF_VARIABLES'!$C$21:$C$21,'01_INPUT_COMPANIES'!$G$19)&lt;&gt;1,AND(IFERROR(INDEX('92_REF_VARIABLES'!$I$21:$I$21,MATCH('01_INPUT_COMPANIES'!$H$19,'92_REF_VARIABLES'!$A$21:$A$21,0)),"")="synthetic_only",'01_INPUT_COMPANIES'!$L$19&lt;&gt;"yes")),"ERROR: BENCHMARK",IF(COUNTIF('92_REF_VARIABLES'!$L$21:$L$50,'01_INPUT_COMPANIES'!$I$19)&lt;&gt;1,"ERROR: CURRENCY",IF(OR(NOT(ISNUMBER('01_INPUT_COMPANIES'!$J$19)),'01_INPUT_COMPANIES'!$J$19&lt;&gt;INT('01_INPUT_COMPANIES'!$J$19),'01_INPUT_COMPANIES'!$J$19&lt;2000,'01_INPUT_COMPANIES'!$J$19&gt;2100),"ERROR: PRICE YEAR",IF(NOT(OR('01_INPUT_COMPANIES'!$K$19="A",'01_INPUT_COMPANIES'!$K$19="B",'01_INPUT_COMPANIES'!$K$19="C",'01_INPUT_COMPANIES'!$K$19="SYNTHETIC")),"ERROR: QUALITY",IF(NOT(OR(AND('01_INPUT_COMPANIES'!$L$19="yes",'01_INPUT_COMPANIES'!$K$19="SYNTHETIC"),AND('01_INPUT_COMPANIES'!$L$19="no",'01_INPUT_COMPANIES'!$K$19&lt;&gt;"SYNTHETIC"))),"ERROR: SYNTHETIC FLAG",IF(NOT(OR('01_INPUT_COMPANIES'!$M$19="direct",'01_INPUT_COMPANIES'!$M$19="derived",'01_INPUT_COMPANIES'!$M$19="proxy",'01_INPUT_COMPANIES'!$M$19="mixed")),"ERROR: CONSTRUCTION MODE",IF(OR(NOT(ISNUMBER('01_INPUT_COMPANIES'!$P$19)),'01_INPUT_COMPANIES'!$P$19&lt;0,'01_INPUT_COMPANIES'!$P$19&lt;&gt;INT('01_INPUT_COMPANIES'!$P$19)),"ERROR: CARRY LAG",IF('01_INPUT_COMPANIES'!$Q$19&lt;&gt;"yes","ERROR: EXPOSURE ADJUSTMENT",IF(OR(NOT(ISNUMBER('01_INPUT_COMPANIES'!$R$19)),'01_INPUT_COMPANIES'!$R$19&lt;0,'01_INPUT_COMPANIES'!$R$19&gt;1),"ERROR: EXPOSURE FACTOR",IF(COUNT(Y19)=0,"ERROR: SCORE",IF(COUNT(Z19)=0,"READY",IF(AA19&lt;=0.0000000001,"PASS","CHECK"))&amp;IF('01_INPUT_COMPANIES'!$K$19="C"," | C QUALITY","")&amp;IF(OR('01_INPUT_COMPANIES'!$M$19="proxy",'01_INPUT_COMPANIES'!$M$19="mixed")," | PROXY/MIXED","")&amp;IF('01_INPUT_COMPANIES'!$P$19&gt;1," | CARRY&gt;1","")&amp;IF(OR(OR('01_INPUT_COMPANIES'!$T$19&lt;-1,'01_INPUT_COMPANIES'!$T$19&gt;1),OR('01_INPUT_COMPANIES'!$U$19&lt;0,'01_INPUT_COMPANIES'!$U$19&gt;1),OR('01_INPUT_COMPANIES'!$V$19&lt;0,'01_INPUT_COMPANIES'!$V$19&gt;1),OR('01_INPUT_COMPANIES'!$W$19&lt;-10,'01_INPUT_COMPANIES'!$W$19&gt;10),OR('01_INPUT_COMPANIES'!$X$19&lt;-1,'01_INPUT_COMPANIES'!$X$19&gt;1),OR('01_INPUT_COMPANIES'!$Y$19&lt;0,'01_INPUT_COMPANIES'!$Y$19&gt;20),OR('01_INPUT_COMPANIES'!$Z$19&lt;-2,'01_INPUT_COMPANIES'!$Z$19&gt;2),OR('01_INPUT_COMPANIES'!$AA$19&lt;0,'01_INPUT_COMPANIES'!$AA$19&gt;1),OR('01_INPUT_COMPANIES'!$AB$19&lt;0,'01_INPUT_COMPANIES'!$AB$19&gt;1),OR('01_INPUT_COMPANIES'!$AC$19&lt;0,'01_INPUT_COMPANIES'!$AC$19&gt;50))," | REVIEW RANGE","")&amp;IF(COUNTIF('90_CALC_FEATURES'!$J$127:$J$136,"WINSORIZED*")&gt;0," | WINSORIZED","")&amp;IF(ABS('01_INPUT_COMPANIES'!$U$19-'01_INPUT_COMPANIES'!$V$19*'01_INPUT_COMPANIES'!$AB$19)&gt;MAX(0.005,0.05*MAX(ABS('01_INPUT_COMPANIES'!$V$19*'01_INPUT_COMPANIES'!$AB$19),ABS('01_INPUT_COMPANIES'!$U$19),0.000000000001))," | DEPENDENCY",""))))))))))))))))))))</x:f>
      </x:c>
      <x:c r="AC19" s="34" t="str">
        <x:f>IF(A19="","",IF(OR(LEFT(AB19,4)="PASS",LEFT(AB19,5)="READY"),"RESEARCH BETA | 저지원 22.22% | 기업 백분위 N/A", "결과 사용 금지 | "&amp;AB19))</x:f>
      </x:c>
      <x:c r="AD19" s="34" t="str">
        <x:f>IF(A19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$19,TRIM('01_INPUT_COMPANIES'!$D$19)),EXACT('01_INPUT_COMPANIES'!$E$19,TRIM('01_INPUT_COMPANIES'!$E$19)),EXACT('01_INPUT_COMPANIES'!$F$19,TRIM('01_INPUT_COMPANIES'!$F$19)),EXACT('01_INPUT_COMPANIES'!$G$19,TRIM('01_INPUT_COMPANIES'!$G$19)),EXACT('01_INPUT_COMPANIES'!$H$19,TRIM('01_INPUT_COMPANIES'!$H$19)))),"ERROR: COHORT WHITESPACE",IF(NOT(IFERROR(AND(ISTEXT('01_INPUT_COMPANIES'!$O$19),LEN('01_INPUT_COMPANIES'!$O$19)=10,VALUE(LEFT('01_INPUT_COMPANIES'!$O$19,4))&gt;=2000,VALUE(LEFT('01_INPUT_COMPANIES'!$O$19,4))&lt;=2100,EXACT(TEXT(DATE(VALUE(LEFT('01_INPUT_COMPANIES'!$O$19,4)),VALUE(MID('01_INPUT_COMPANIES'!$O$19,6,2)),VALUE(RIGHT('01_INPUT_COMPANIES'!$O$19,2))),"yyyy-mm-dd"),'01_INPUT_COMPANIES'!$O$19)),FALSE)),"ERROR: SOURCE DATE",IF(NOT(AND(OR(EXACT('01_INPUT_COMPANIES'!$C$19,"domestic"),EXACT('01_INPUT_COMPANIES'!$C$19,"foreign"),EXACT('01_INPUT_COMPANIES'!$C$19,"other")),OR(EXACT('01_INPUT_COMPANIES'!$K$19,"A"),EXACT('01_INPUT_COMPANIES'!$K$19,"B"),EXACT('01_INPUT_COMPANIES'!$K$19,"C"),EXACT('01_INPUT_COMPANIES'!$K$19,"SYNTHETIC")),OR(EXACT('01_INPUT_COMPANIES'!$L$19,"yes"),EXACT('01_INPUT_COMPANIES'!$L$19,"no")),OR(EXACT('01_INPUT_COMPANIES'!$M$19,"direct"),EXACT('01_INPUT_COMPANIES'!$M$19,"derived"),EXACT('01_INPUT_COMPANIES'!$M$19,"proxy"),EXACT('01_INPUT_COMPANIES'!$M$19,"mixed")),OR(EXACT('01_INPUT_COMPANIES'!$Q$19,"yes")),EXACT('01_INPUT_COMPANIES'!$I$19,UPPER('01_INPUT_COMPANIES'!$I$19)))),"ERROR: EXACT ENUM",IF(NOT(IFERROR(OR(AND(EXACT('92_REF_VARIABLES'!$A$21,'01_INPUT_COMPANIES'!$H$19),EXACT('92_REF_VARIABLES'!$B$21,'01_INPUT_COMPANIES'!$D$19),EXACT('92_REF_VARIABLES'!$C$21,'01_INPUT_COMPANIES'!$G$19))),FALSE)),"ERROR: BENCHMARK",""))))))</x:f>
      </x:c>
    </x:row>
    <x:row r="20">
      <x:c r="A20" s="34" t="str">
        <x:f>IF(OR('01_INPUT_COMPANIES'!$A$20="",'01_INPUT_COMPANIES'!$A$20=""),"",'01_INPUT_COMPANIES'!$A$20)</x:f>
      </x:c>
      <x:c r="B20" s="34" t="str">
        <x:f>IF(OR('01_INPUT_COMPANIES'!$A$20="",'01_INPUT_COMPANIES'!$B$20=""),"",'01_INPUT_COMPANIES'!$B$20)</x:f>
      </x:c>
      <x:c r="C20" s="34" t="str">
        <x:f>IF(OR('01_INPUT_COMPANIES'!$A$20="",'01_INPUT_COMPANIES'!$C$20=""),"",'01_INPUT_COMPANIES'!$C$20)</x:f>
      </x:c>
      <x:c r="D20" s="34" t="str">
        <x:f>IF(OR('01_INPUT_COMPANIES'!$A$20="",'01_INPUT_COMPANIES'!$D$20=""),"",'01_INPUT_COMPANIES'!$D$20)</x:f>
      </x:c>
      <x:c r="E20" s="34" t="str">
        <x:f>IF(OR('01_INPUT_COMPANIES'!$A$20="",'01_INPUT_COMPANIES'!$E$20=""),"",'01_INPUT_COMPANIES'!$E$20)</x:f>
      </x:c>
      <x:c r="F20" s="34" t="str">
        <x:f>IF(OR('01_INPUT_COMPANIES'!$A$20="",'01_INPUT_COMPANIES'!$F$20=""),"",'01_INPUT_COMPANIES'!$F$20)</x:f>
      </x:c>
      <x:c r="G20" s="34" t="str">
        <x:f>IF(OR('01_INPUT_COMPANIES'!$A$20="",'01_INPUT_COMPANIES'!$G$20=""),"",'01_INPUT_COMPANIES'!$G$20)</x:f>
      </x:c>
      <x:c r="H20" s="34" t="str">
        <x:f>IF(OR('01_INPUT_COMPANIES'!$A$20="",'01_INPUT_COMPANIES'!$H$20=""),"",'01_INPUT_COMPANIES'!$H$20)</x:f>
      </x:c>
      <x:c r="I20" s="34" t="str">
        <x:f>IF(OR('01_INPUT_COMPANIES'!$A$20="",'01_INPUT_COMPANIES'!$K$20=""),"",'01_INPUT_COMPANIES'!$K$20)</x:f>
      </x:c>
      <x:c r="J20" s="34" t="str">
        <x:f>IF(OR('01_INPUT_COMPANIES'!$A$20="",'01_INPUT_COMPANIES'!$M$20=""),"",'01_INPUT_COMPANIES'!$M$20)</x:f>
      </x:c>
      <x:c r="K20" s="34" t="str">
        <x:f>IF(OR(A20="",COUNTBLANK(D20:H20)&gt;0),"",LEN(D20)&amp;":"&amp;D20&amp;LEN(E20)&amp;":"&amp;E20&amp;LEN(F20)&amp;":"&amp;F20&amp;LEN(G20)&amp;":"&amp;G20&amp;LEN(H20)&amp;":"&amp;H20)</x:f>
      </x:c>
      <x:c r="L20" s="47" t="str">
        <x:f>IF(A20="","",'90_CALC_FEATURES'!$I$137)</x:f>
      </x:c>
      <x:c r="M20" s="47" t="str">
        <x:f>IF(A20="","",'90_CALC_FEATURES'!$I$138)</x:f>
      </x:c>
      <x:c r="N20" s="47" t="str">
        <x:f>IF(A20="","",'90_CALC_FEATURES'!$I$139)</x:f>
      </x:c>
      <x:c r="O20" s="47" t="str">
        <x:f>IF(A20="","",'90_CALC_FEATURES'!$I$140)</x:f>
      </x:c>
      <x:c r="P20" s="47" t="str">
        <x:f>IF(A20="","",'90_CALC_FEATURES'!$I$141)</x:f>
      </x:c>
      <x:c r="Q20" s="47" t="str">
        <x:f>IF(A20="","",'90_CALC_FEATURES'!$I$142)</x:f>
      </x:c>
      <x:c r="R20" s="47" t="str">
        <x:f>IF(A20="","",'90_CALC_FEATURES'!$I$143)</x:f>
      </x:c>
      <x:c r="S20" s="47" t="str">
        <x:f>IF(A20="","",'90_CALC_FEATURES'!$I$144)</x:f>
      </x:c>
      <x:c r="T20" s="47" t="str">
        <x:f>IF(A20="","",'90_CALC_FEATURES'!$I$145)</x:f>
      </x:c>
      <x:c r="U20" s="47" t="str">
        <x:f>IF(A20="","",'90_CALC_FEATURES'!$I$146)</x:f>
      </x:c>
      <x:c r="V20" s="47" t="str">
        <x:f>IF(COUNT(L20:N20)=3,100*AVERAGE(L20:N20),"")</x:f>
      </x:c>
      <x:c r="W20" s="47" t="str">
        <x:f>IF(COUNT(O20:R20)=4,100*AVERAGE(O20:R20),"")</x:f>
      </x:c>
      <x:c r="X20" s="47" t="str">
        <x:f>IF(COUNT(S20:U20)=3,100*AVERAGE(S20:U20),"")</x:f>
      </x:c>
      <x:c r="Y20" s="47" t="str">
        <x:f>IF(COUNT(V20:X20)=3,AVERAGE(V20:X20),"")</x:f>
      </x:c>
      <x:c r="Z20" s="47" t="str">
        <x:f>IF(OR(AND(EXACT(A20,"SYN-A"),COUNT('01_INPUT_COMPANIES'!$T$20:$AC$20)=10,'01_INPUT_COMPANIES'!$T$20=-0.02,'01_INPUT_COMPANIES'!$U$20=0.1332,'01_INPUT_COMPANIES'!$V$20=0.18,'01_INPUT_COMPANIES'!$W$20=0.42,'01_INPUT_COMPANIES'!$X$20=0.012,'01_INPUT_COMPANIES'!$Y$20=3.2,'01_INPUT_COMPANIES'!$Z$20=0.08,'01_INPUT_COMPANIES'!$AA$20=0.28,'01_INPUT_COMPANIES'!$AB$20=0.74,'01_INPUT_COMPANIES'!$AC$20=8.5),AND(EXACT(A20,"SYN-B"),COUNT('01_INPUT_COMPANIES'!$T$20:$AC$20)=10,'01_INPUT_COMPANIES'!$T$20=-0.055,'01_INPUT_COMPANIES'!$U$20=0.06405,'01_INPUT_COMPANIES'!$V$20=0.105,'01_INPUT_COMPANIES'!$W$20=0.73,'01_INPUT_COMPANIES'!$X$20=0.004,'01_INPUT_COMPANIES'!$Y$20=4.1,'01_INPUT_COMPANIES'!$Z$20=0.025,'01_INPUT_COMPANIES'!$AA$20=0.16,'01_INPUT_COMPANIES'!$AB$20=0.61,'01_INPUT_COMPANIES'!$AC$20=4),AND(EXACT(A20,"SYN-C"),COUNT('01_INPUT_COMPANIES'!$T$20:$AC$20)=10,'01_INPUT_COMPANIES'!$T$20=0.01,'01_INPUT_COMPANIES'!$U$20=0.0986,'01_INPUT_COMPANIES'!$V$20=0.145,'01_INPUT_COMPANIES'!$W$20=0.18,'01_INPUT_COMPANIES'!$X$20=0.018,'01_INPUT_COMPANIES'!$Y$20=2.65,'01_INPUT_COMPANIES'!$Z$20=0.11,'01_INPUT_COMPANIES'!$AA$20=0.34,'01_INPUT_COMPANIES'!$AB$20=0.68,'01_INPUT_COMPANIES'!$AC$20=6.8),AND(EXACT(A20,"SYN-D"),COUNT('01_INPUT_COMPANIES'!$T$20:$AC$20)=10,'01_INPUT_COMPANIES'!$T$20=-0.005,'01_INPUT_COMPANIES'!$U$20=0.1136,'01_INPUT_COMPANIES'!$V$20=0.16,'01_INPUT_COMPANIES'!$W$20=0.51,'01_INPUT_COMPANIES'!$X$20=0.009,'01_INPUT_COMPANIES'!$Y$20=3.55,'01_INPUT_COMPANIES'!$Z$20=0.065,'01_INPUT_COMPANIES'!$AA$20=0.24,'01_INPUT_COMPANIES'!$AB$20=0.71,'01_INPUT_COMPANIES'!$AC$20=7.4)),IFERROR(INDEX('94_EXPECTED_OUTPUTS'!$B$7:$B$10,MATCH(A20,'94_EXPECTED_OUTPUTS'!$A$7:$A$10,0)),""),"")</x:f>
      </x:c>
      <x:c r="AA20" s="47" t="str">
        <x:f>IF(OR(COUNT(Y20)=0,COUNT(Z20)=0),"",ABS(Y20-Z20))</x:f>
      </x:c>
      <x:c r="AB20" s="34" t="str">
        <x:f>IF(A20="","",IF(AD20&lt;&gt;"",AD20,IF('01_INPUT_COMPANIES'!$A$20="","",IF(OR(LEN(TRIM('01_INPUT_COMPANIES'!$A$20&amp;""))=0,LEN(TRIM('01_INPUT_COMPANIES'!$B$20&amp;""))=0,LEN(TRIM('01_INPUT_COMPANIES'!$C$20&amp;""))=0,LEN(TRIM('01_INPUT_COMPANIES'!$D$20&amp;""))=0,LEN(TRIM('01_INPUT_COMPANIES'!$E$20&amp;""))=0,LEN(TRIM('01_INPUT_COMPANIES'!$F$20&amp;""))=0,LEN(TRIM('01_INPUT_COMPANIES'!$G$20&amp;""))=0,LEN(TRIM('01_INPUT_COMPANIES'!$H$20&amp;""))=0,LEN(TRIM('01_INPUT_COMPANIES'!$I$20&amp;""))=0,LEN(TRIM('01_INPUT_COMPANIES'!$K$20&amp;""))=0,LEN(TRIM('01_INPUT_COMPANIES'!$L$20&amp;""))=0,LEN(TRIM('01_INPUT_COMPANIES'!$M$20&amp;""))=0,LEN(TRIM('01_INPUT_COMPANIES'!$N$20&amp;""))=0,LEN(TRIM('01_INPUT_COMPANIES'!$O$20&amp;""))=0,LEN(TRIM('01_INPUT_COMPANIES'!$Q$20&amp;""))=0,COUNTBLANK('01_INPUT_COMPANIES'!$A$20:$R$20)&gt;0),"INPUT REQUIRED",IF(OR('01_INPUT_COMPANIES'!$A$20&lt;&gt;TRIM('01_INPUT_COMPANIES'!$A$20),NOT(EXACT('01_INPUT_COMPANIES'!$A$20,UPPER('01_INPUT_COMPANIES'!$A$20))),LEN('01_INPUT_COMPANIES'!$A$20)&gt;64,ISNUMBER(FIND("*",'01_INPUT_COMPANIES'!$A$20)),ISNUMBER(FIND("?",'01_INPUT_COMPANIES'!$A$20)),ISNUMBER(FIND("~",'01_INPUT_COMPANIES'!$A$20))),"ERROR: ID FORMAT",IF(COUNTIF('01_INPUT_COMPANIES'!$A$7:$A$106,'01_INPUT_COMPANIES'!$A$20)&lt;&gt;1,"ERROR: DUPLICATE ID",IF(COUNT('01_INPUT_COMPANIES'!$T$20:$AC$20)&lt;&gt;10,"INPUT REQUIRED",IF(NOT(OR('01_INPUT_COMPANIES'!$C$20="domestic",'01_INPUT_COMPANIES'!$C$20="foreign",'01_INPUT_COMPANIES'!$C$20="other")),"ERROR: COMPANY GROUP",IF(OR(LEN('01_INPUT_COMPANIES'!$G$20)&lt;&gt;6,MID('01_INPUT_COMPANIES'!$G$20,5,1)&lt;&gt;"Q",IFERROR(VALUE(LEFT('01_INPUT_COMPANIES'!$G$20,4)),0)&lt;2000,IFERROR(VALUE(LEFT('01_INPUT_COMPANIES'!$G$20,4)),0)&gt;2100,IFERROR(VALUE(RIGHT('01_INPUT_COMPANIES'!$G$20,1)),0)&lt;1,IFERROR(VALUE(RIGHT('01_INPUT_COMPANIES'!$G$20,1)),0)&gt;4),"ERROR: REPORTING PERIOD",IF(OR(COUNTIFS('92_REF_VARIABLES'!$A$21:$A$21,'01_INPUT_COMPANIES'!$H$20,'92_REF_VARIABLES'!$B$21:$B$21,'01_INPUT_COMPANIES'!$D$20,'92_REF_VARIABLES'!$C$21:$C$21,'01_INPUT_COMPANIES'!$G$20)&lt;&gt;1,AND(IFERROR(INDEX('92_REF_VARIABLES'!$I$21:$I$21,MATCH('01_INPUT_COMPANIES'!$H$20,'92_REF_VARIABLES'!$A$21:$A$21,0)),"")="synthetic_only",'01_INPUT_COMPANIES'!$L$20&lt;&gt;"yes")),"ERROR: BENCHMARK",IF(COUNTIF('92_REF_VARIABLES'!$L$21:$L$50,'01_INPUT_COMPANIES'!$I$20)&lt;&gt;1,"ERROR: CURRENCY",IF(OR(NOT(ISNUMBER('01_INPUT_COMPANIES'!$J$20)),'01_INPUT_COMPANIES'!$J$20&lt;&gt;INT('01_INPUT_COMPANIES'!$J$20),'01_INPUT_COMPANIES'!$J$20&lt;2000,'01_INPUT_COMPANIES'!$J$20&gt;2100),"ERROR: PRICE YEAR",IF(NOT(OR('01_INPUT_COMPANIES'!$K$20="A",'01_INPUT_COMPANIES'!$K$20="B",'01_INPUT_COMPANIES'!$K$20="C",'01_INPUT_COMPANIES'!$K$20="SYNTHETIC")),"ERROR: QUALITY",IF(NOT(OR(AND('01_INPUT_COMPANIES'!$L$20="yes",'01_INPUT_COMPANIES'!$K$20="SYNTHETIC"),AND('01_INPUT_COMPANIES'!$L$20="no",'01_INPUT_COMPANIES'!$K$20&lt;&gt;"SYNTHETIC"))),"ERROR: SYNTHETIC FLAG",IF(NOT(OR('01_INPUT_COMPANIES'!$M$20="direct",'01_INPUT_COMPANIES'!$M$20="derived",'01_INPUT_COMPANIES'!$M$20="proxy",'01_INPUT_COMPANIES'!$M$20="mixed")),"ERROR: CONSTRUCTION MODE",IF(OR(NOT(ISNUMBER('01_INPUT_COMPANIES'!$P$20)),'01_INPUT_COMPANIES'!$P$20&lt;0,'01_INPUT_COMPANIES'!$P$20&lt;&gt;INT('01_INPUT_COMPANIES'!$P$20)),"ERROR: CARRY LAG",IF('01_INPUT_COMPANIES'!$Q$20&lt;&gt;"yes","ERROR: EXPOSURE ADJUSTMENT",IF(OR(NOT(ISNUMBER('01_INPUT_COMPANIES'!$R$20)),'01_INPUT_COMPANIES'!$R$20&lt;0,'01_INPUT_COMPANIES'!$R$20&gt;1),"ERROR: EXPOSURE FACTOR",IF(COUNT(Y20)=0,"ERROR: SCORE",IF(COUNT(Z20)=0,"READY",IF(AA20&lt;=0.0000000001,"PASS","CHECK"))&amp;IF('01_INPUT_COMPANIES'!$K$20="C"," | C QUALITY","")&amp;IF(OR('01_INPUT_COMPANIES'!$M$20="proxy",'01_INPUT_COMPANIES'!$M$20="mixed")," | PROXY/MIXED","")&amp;IF('01_INPUT_COMPANIES'!$P$20&gt;1," | CARRY&gt;1","")&amp;IF(OR(OR('01_INPUT_COMPANIES'!$T$20&lt;-1,'01_INPUT_COMPANIES'!$T$20&gt;1),OR('01_INPUT_COMPANIES'!$U$20&lt;0,'01_INPUT_COMPANIES'!$U$20&gt;1),OR('01_INPUT_COMPANIES'!$V$20&lt;0,'01_INPUT_COMPANIES'!$V$20&gt;1),OR('01_INPUT_COMPANIES'!$W$20&lt;-10,'01_INPUT_COMPANIES'!$W$20&gt;10),OR('01_INPUT_COMPANIES'!$X$20&lt;-1,'01_INPUT_COMPANIES'!$X$20&gt;1),OR('01_INPUT_COMPANIES'!$Y$20&lt;0,'01_INPUT_COMPANIES'!$Y$20&gt;20),OR('01_INPUT_COMPANIES'!$Z$20&lt;-2,'01_INPUT_COMPANIES'!$Z$20&gt;2),OR('01_INPUT_COMPANIES'!$AA$20&lt;0,'01_INPUT_COMPANIES'!$AA$20&gt;1),OR('01_INPUT_COMPANIES'!$AB$20&lt;0,'01_INPUT_COMPANIES'!$AB$20&gt;1),OR('01_INPUT_COMPANIES'!$AC$20&lt;0,'01_INPUT_COMPANIES'!$AC$20&gt;50))," | REVIEW RANGE","")&amp;IF(COUNTIF('90_CALC_FEATURES'!$J$137:$J$146,"WINSORIZED*")&gt;0," | WINSORIZED","")&amp;IF(ABS('01_INPUT_COMPANIES'!$U$20-'01_INPUT_COMPANIES'!$V$20*'01_INPUT_COMPANIES'!$AB$20)&gt;MAX(0.005,0.05*MAX(ABS('01_INPUT_COMPANIES'!$V$20*'01_INPUT_COMPANIES'!$AB$20),ABS('01_INPUT_COMPANIES'!$U$20),0.000000000001))," | DEPENDENCY",""))))))))))))))))))))</x:f>
      </x:c>
      <x:c r="AC20" s="34" t="str">
        <x:f>IF(A20="","",IF(OR(LEFT(AB20,4)="PASS",LEFT(AB20,5)="READY"),"RESEARCH BETA | 저지원 22.22% | 기업 백분위 N/A", "결과 사용 금지 | "&amp;AB20))</x:f>
      </x:c>
      <x:c r="AD20" s="34" t="str">
        <x:f>IF(A20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$20,TRIM('01_INPUT_COMPANIES'!$D$20)),EXACT('01_INPUT_COMPANIES'!$E$20,TRIM('01_INPUT_COMPANIES'!$E$20)),EXACT('01_INPUT_COMPANIES'!$F$20,TRIM('01_INPUT_COMPANIES'!$F$20)),EXACT('01_INPUT_COMPANIES'!$G$20,TRIM('01_INPUT_COMPANIES'!$G$20)),EXACT('01_INPUT_COMPANIES'!$H$20,TRIM('01_INPUT_COMPANIES'!$H$20)))),"ERROR: COHORT WHITESPACE",IF(NOT(IFERROR(AND(ISTEXT('01_INPUT_COMPANIES'!$O$20),LEN('01_INPUT_COMPANIES'!$O$20)=10,VALUE(LEFT('01_INPUT_COMPANIES'!$O$20,4))&gt;=2000,VALUE(LEFT('01_INPUT_COMPANIES'!$O$20,4))&lt;=2100,EXACT(TEXT(DATE(VALUE(LEFT('01_INPUT_COMPANIES'!$O$20,4)),VALUE(MID('01_INPUT_COMPANIES'!$O$20,6,2)),VALUE(RIGHT('01_INPUT_COMPANIES'!$O$20,2))),"yyyy-mm-dd"),'01_INPUT_COMPANIES'!$O$20)),FALSE)),"ERROR: SOURCE DATE",IF(NOT(AND(OR(EXACT('01_INPUT_COMPANIES'!$C$20,"domestic"),EXACT('01_INPUT_COMPANIES'!$C$20,"foreign"),EXACT('01_INPUT_COMPANIES'!$C$20,"other")),OR(EXACT('01_INPUT_COMPANIES'!$K$20,"A"),EXACT('01_INPUT_COMPANIES'!$K$20,"B"),EXACT('01_INPUT_COMPANIES'!$K$20,"C"),EXACT('01_INPUT_COMPANIES'!$K$20,"SYNTHETIC")),OR(EXACT('01_INPUT_COMPANIES'!$L$20,"yes"),EXACT('01_INPUT_COMPANIES'!$L$20,"no")),OR(EXACT('01_INPUT_COMPANIES'!$M$20,"direct"),EXACT('01_INPUT_COMPANIES'!$M$20,"derived"),EXACT('01_INPUT_COMPANIES'!$M$20,"proxy"),EXACT('01_INPUT_COMPANIES'!$M$20,"mixed")),OR(EXACT('01_INPUT_COMPANIES'!$Q$20,"yes")),EXACT('01_INPUT_COMPANIES'!$I$20,UPPER('01_INPUT_COMPANIES'!$I$20)))),"ERROR: EXACT ENUM",IF(NOT(IFERROR(OR(AND(EXACT('92_REF_VARIABLES'!$A$21,'01_INPUT_COMPANIES'!$H$20),EXACT('92_REF_VARIABLES'!$B$21,'01_INPUT_COMPANIES'!$D$20),EXACT('92_REF_VARIABLES'!$C$21,'01_INPUT_COMPANIES'!$G$20))),FALSE)),"ERROR: BENCHMARK",""))))))</x:f>
      </x:c>
    </x:row>
    <x:row r="21">
      <x:c r="A21" s="34" t="str">
        <x:f>IF(OR('01_INPUT_COMPANIES'!$A$21="",'01_INPUT_COMPANIES'!$A$21=""),"",'01_INPUT_COMPANIES'!$A$21)</x:f>
      </x:c>
      <x:c r="B21" s="34" t="str">
        <x:f>IF(OR('01_INPUT_COMPANIES'!$A$21="",'01_INPUT_COMPANIES'!$B$21=""),"",'01_INPUT_COMPANIES'!$B$21)</x:f>
      </x:c>
      <x:c r="C21" s="34" t="str">
        <x:f>IF(OR('01_INPUT_COMPANIES'!$A$21="",'01_INPUT_COMPANIES'!$C$21=""),"",'01_INPUT_COMPANIES'!$C$21)</x:f>
      </x:c>
      <x:c r="D21" s="34" t="str">
        <x:f>IF(OR('01_INPUT_COMPANIES'!$A$21="",'01_INPUT_COMPANIES'!$D$21=""),"",'01_INPUT_COMPANIES'!$D$21)</x:f>
      </x:c>
      <x:c r="E21" s="34" t="str">
        <x:f>IF(OR('01_INPUT_COMPANIES'!$A$21="",'01_INPUT_COMPANIES'!$E$21=""),"",'01_INPUT_COMPANIES'!$E$21)</x:f>
      </x:c>
      <x:c r="F21" s="34" t="str">
        <x:f>IF(OR('01_INPUT_COMPANIES'!$A$21="",'01_INPUT_COMPANIES'!$F$21=""),"",'01_INPUT_COMPANIES'!$F$21)</x:f>
      </x:c>
      <x:c r="G21" s="34" t="str">
        <x:f>IF(OR('01_INPUT_COMPANIES'!$A$21="",'01_INPUT_COMPANIES'!$G$21=""),"",'01_INPUT_COMPANIES'!$G$21)</x:f>
      </x:c>
      <x:c r="H21" s="34" t="str">
        <x:f>IF(OR('01_INPUT_COMPANIES'!$A$21="",'01_INPUT_COMPANIES'!$H$21=""),"",'01_INPUT_COMPANIES'!$H$21)</x:f>
      </x:c>
      <x:c r="I21" s="34" t="str">
        <x:f>IF(OR('01_INPUT_COMPANIES'!$A$21="",'01_INPUT_COMPANIES'!$K$21=""),"",'01_INPUT_COMPANIES'!$K$21)</x:f>
      </x:c>
      <x:c r="J21" s="34" t="str">
        <x:f>IF(OR('01_INPUT_COMPANIES'!$A$21="",'01_INPUT_COMPANIES'!$M$21=""),"",'01_INPUT_COMPANIES'!$M$21)</x:f>
      </x:c>
      <x:c r="K21" s="34" t="str">
        <x:f>IF(OR(A21="",COUNTBLANK(D21:H21)&gt;0),"",LEN(D21)&amp;":"&amp;D21&amp;LEN(E21)&amp;":"&amp;E21&amp;LEN(F21)&amp;":"&amp;F21&amp;LEN(G21)&amp;":"&amp;G21&amp;LEN(H21)&amp;":"&amp;H21)</x:f>
      </x:c>
      <x:c r="L21" s="47" t="str">
        <x:f>IF(A21="","",'90_CALC_FEATURES'!$I$147)</x:f>
      </x:c>
      <x:c r="M21" s="47" t="str">
        <x:f>IF(A21="","",'90_CALC_FEATURES'!$I$148)</x:f>
      </x:c>
      <x:c r="N21" s="47" t="str">
        <x:f>IF(A21="","",'90_CALC_FEATURES'!$I$149)</x:f>
      </x:c>
      <x:c r="O21" s="47" t="str">
        <x:f>IF(A21="","",'90_CALC_FEATURES'!$I$150)</x:f>
      </x:c>
      <x:c r="P21" s="47" t="str">
        <x:f>IF(A21="","",'90_CALC_FEATURES'!$I$151)</x:f>
      </x:c>
      <x:c r="Q21" s="47" t="str">
        <x:f>IF(A21="","",'90_CALC_FEATURES'!$I$152)</x:f>
      </x:c>
      <x:c r="R21" s="47" t="str">
        <x:f>IF(A21="","",'90_CALC_FEATURES'!$I$153)</x:f>
      </x:c>
      <x:c r="S21" s="47" t="str">
        <x:f>IF(A21="","",'90_CALC_FEATURES'!$I$154)</x:f>
      </x:c>
      <x:c r="T21" s="47" t="str">
        <x:f>IF(A21="","",'90_CALC_FEATURES'!$I$155)</x:f>
      </x:c>
      <x:c r="U21" s="47" t="str">
        <x:f>IF(A21="","",'90_CALC_FEATURES'!$I$156)</x:f>
      </x:c>
      <x:c r="V21" s="47" t="str">
        <x:f>IF(COUNT(L21:N21)=3,100*AVERAGE(L21:N21),"")</x:f>
      </x:c>
      <x:c r="W21" s="47" t="str">
        <x:f>IF(COUNT(O21:R21)=4,100*AVERAGE(O21:R21),"")</x:f>
      </x:c>
      <x:c r="X21" s="47" t="str">
        <x:f>IF(COUNT(S21:U21)=3,100*AVERAGE(S21:U21),"")</x:f>
      </x:c>
      <x:c r="Y21" s="47" t="str">
        <x:f>IF(COUNT(V21:X21)=3,AVERAGE(V21:X21),"")</x:f>
      </x:c>
      <x:c r="Z21" s="47" t="str">
        <x:f>IF(OR(AND(EXACT(A21,"SYN-A"),COUNT('01_INPUT_COMPANIES'!$T$21:$AC$21)=10,'01_INPUT_COMPANIES'!$T$21=-0.02,'01_INPUT_COMPANIES'!$U$21=0.1332,'01_INPUT_COMPANIES'!$V$21=0.18,'01_INPUT_COMPANIES'!$W$21=0.42,'01_INPUT_COMPANIES'!$X$21=0.012,'01_INPUT_COMPANIES'!$Y$21=3.2,'01_INPUT_COMPANIES'!$Z$21=0.08,'01_INPUT_COMPANIES'!$AA$21=0.28,'01_INPUT_COMPANIES'!$AB$21=0.74,'01_INPUT_COMPANIES'!$AC$21=8.5),AND(EXACT(A21,"SYN-B"),COUNT('01_INPUT_COMPANIES'!$T$21:$AC$21)=10,'01_INPUT_COMPANIES'!$T$21=-0.055,'01_INPUT_COMPANIES'!$U$21=0.06405,'01_INPUT_COMPANIES'!$V$21=0.105,'01_INPUT_COMPANIES'!$W$21=0.73,'01_INPUT_COMPANIES'!$X$21=0.004,'01_INPUT_COMPANIES'!$Y$21=4.1,'01_INPUT_COMPANIES'!$Z$21=0.025,'01_INPUT_COMPANIES'!$AA$21=0.16,'01_INPUT_COMPANIES'!$AB$21=0.61,'01_INPUT_COMPANIES'!$AC$21=4),AND(EXACT(A21,"SYN-C"),COUNT('01_INPUT_COMPANIES'!$T$21:$AC$21)=10,'01_INPUT_COMPANIES'!$T$21=0.01,'01_INPUT_COMPANIES'!$U$21=0.0986,'01_INPUT_COMPANIES'!$V$21=0.145,'01_INPUT_COMPANIES'!$W$21=0.18,'01_INPUT_COMPANIES'!$X$21=0.018,'01_INPUT_COMPANIES'!$Y$21=2.65,'01_INPUT_COMPANIES'!$Z$21=0.11,'01_INPUT_COMPANIES'!$AA$21=0.34,'01_INPUT_COMPANIES'!$AB$21=0.68,'01_INPUT_COMPANIES'!$AC$21=6.8),AND(EXACT(A21,"SYN-D"),COUNT('01_INPUT_COMPANIES'!$T$21:$AC$21)=10,'01_INPUT_COMPANIES'!$T$21=-0.005,'01_INPUT_COMPANIES'!$U$21=0.1136,'01_INPUT_COMPANIES'!$V$21=0.16,'01_INPUT_COMPANIES'!$W$21=0.51,'01_INPUT_COMPANIES'!$X$21=0.009,'01_INPUT_COMPANIES'!$Y$21=3.55,'01_INPUT_COMPANIES'!$Z$21=0.065,'01_INPUT_COMPANIES'!$AA$21=0.24,'01_INPUT_COMPANIES'!$AB$21=0.71,'01_INPUT_COMPANIES'!$AC$21=7.4)),IFERROR(INDEX('94_EXPECTED_OUTPUTS'!$B$7:$B$10,MATCH(A21,'94_EXPECTED_OUTPUTS'!$A$7:$A$10,0)),""),"")</x:f>
      </x:c>
      <x:c r="AA21" s="47" t="str">
        <x:f>IF(OR(COUNT(Y21)=0,COUNT(Z21)=0),"",ABS(Y21-Z21))</x:f>
      </x:c>
      <x:c r="AB21" s="34" t="str">
        <x:f>IF(A21="","",IF(AD21&lt;&gt;"",AD21,IF('01_INPUT_COMPANIES'!$A$21="","",IF(OR(LEN(TRIM('01_INPUT_COMPANIES'!$A$21&amp;""))=0,LEN(TRIM('01_INPUT_COMPANIES'!$B$21&amp;""))=0,LEN(TRIM('01_INPUT_COMPANIES'!$C$21&amp;""))=0,LEN(TRIM('01_INPUT_COMPANIES'!$D$21&amp;""))=0,LEN(TRIM('01_INPUT_COMPANIES'!$E$21&amp;""))=0,LEN(TRIM('01_INPUT_COMPANIES'!$F$21&amp;""))=0,LEN(TRIM('01_INPUT_COMPANIES'!$G$21&amp;""))=0,LEN(TRIM('01_INPUT_COMPANIES'!$H$21&amp;""))=0,LEN(TRIM('01_INPUT_COMPANIES'!$I$21&amp;""))=0,LEN(TRIM('01_INPUT_COMPANIES'!$K$21&amp;""))=0,LEN(TRIM('01_INPUT_COMPANIES'!$L$21&amp;""))=0,LEN(TRIM('01_INPUT_COMPANIES'!$M$21&amp;""))=0,LEN(TRIM('01_INPUT_COMPANIES'!$N$21&amp;""))=0,LEN(TRIM('01_INPUT_COMPANIES'!$O$21&amp;""))=0,LEN(TRIM('01_INPUT_COMPANIES'!$Q$21&amp;""))=0,COUNTBLANK('01_INPUT_COMPANIES'!$A$21:$R$21)&gt;0),"INPUT REQUIRED",IF(OR('01_INPUT_COMPANIES'!$A$21&lt;&gt;TRIM('01_INPUT_COMPANIES'!$A$21),NOT(EXACT('01_INPUT_COMPANIES'!$A$21,UPPER('01_INPUT_COMPANIES'!$A$21))),LEN('01_INPUT_COMPANIES'!$A$21)&gt;64,ISNUMBER(FIND("*",'01_INPUT_COMPANIES'!$A$21)),ISNUMBER(FIND("?",'01_INPUT_COMPANIES'!$A$21)),ISNUMBER(FIND("~",'01_INPUT_COMPANIES'!$A$21))),"ERROR: ID FORMAT",IF(COUNTIF('01_INPUT_COMPANIES'!$A$7:$A$106,'01_INPUT_COMPANIES'!$A$21)&lt;&gt;1,"ERROR: DUPLICATE ID",IF(COUNT('01_INPUT_COMPANIES'!$T$21:$AC$21)&lt;&gt;10,"INPUT REQUIRED",IF(NOT(OR('01_INPUT_COMPANIES'!$C$21="domestic",'01_INPUT_COMPANIES'!$C$21="foreign",'01_INPUT_COMPANIES'!$C$21="other")),"ERROR: COMPANY GROUP",IF(OR(LEN('01_INPUT_COMPANIES'!$G$21)&lt;&gt;6,MID('01_INPUT_COMPANIES'!$G$21,5,1)&lt;&gt;"Q",IFERROR(VALUE(LEFT('01_INPUT_COMPANIES'!$G$21,4)),0)&lt;2000,IFERROR(VALUE(LEFT('01_INPUT_COMPANIES'!$G$21,4)),0)&gt;2100,IFERROR(VALUE(RIGHT('01_INPUT_COMPANIES'!$G$21,1)),0)&lt;1,IFERROR(VALUE(RIGHT('01_INPUT_COMPANIES'!$G$21,1)),0)&gt;4),"ERROR: REPORTING PERIOD",IF(OR(COUNTIFS('92_REF_VARIABLES'!$A$21:$A$21,'01_INPUT_COMPANIES'!$H$21,'92_REF_VARIABLES'!$B$21:$B$21,'01_INPUT_COMPANIES'!$D$21,'92_REF_VARIABLES'!$C$21:$C$21,'01_INPUT_COMPANIES'!$G$21)&lt;&gt;1,AND(IFERROR(INDEX('92_REF_VARIABLES'!$I$21:$I$21,MATCH('01_INPUT_COMPANIES'!$H$21,'92_REF_VARIABLES'!$A$21:$A$21,0)),"")="synthetic_only",'01_INPUT_COMPANIES'!$L$21&lt;&gt;"yes")),"ERROR: BENCHMARK",IF(COUNTIF('92_REF_VARIABLES'!$L$21:$L$50,'01_INPUT_COMPANIES'!$I$21)&lt;&gt;1,"ERROR: CURRENCY",IF(OR(NOT(ISNUMBER('01_INPUT_COMPANIES'!$J$21)),'01_INPUT_COMPANIES'!$J$21&lt;&gt;INT('01_INPUT_COMPANIES'!$J$21),'01_INPUT_COMPANIES'!$J$21&lt;2000,'01_INPUT_COMPANIES'!$J$21&gt;2100),"ERROR: PRICE YEAR",IF(NOT(OR('01_INPUT_COMPANIES'!$K$21="A",'01_INPUT_COMPANIES'!$K$21="B",'01_INPUT_COMPANIES'!$K$21="C",'01_INPUT_COMPANIES'!$K$21="SYNTHETIC")),"ERROR: QUALITY",IF(NOT(OR(AND('01_INPUT_COMPANIES'!$L$21="yes",'01_INPUT_COMPANIES'!$K$21="SYNTHETIC"),AND('01_INPUT_COMPANIES'!$L$21="no",'01_INPUT_COMPANIES'!$K$21&lt;&gt;"SYNTHETIC"))),"ERROR: SYNTHETIC FLAG",IF(NOT(OR('01_INPUT_COMPANIES'!$M$21="direct",'01_INPUT_COMPANIES'!$M$21="derived",'01_INPUT_COMPANIES'!$M$21="proxy",'01_INPUT_COMPANIES'!$M$21="mixed")),"ERROR: CONSTRUCTION MODE",IF(OR(NOT(ISNUMBER('01_INPUT_COMPANIES'!$P$21)),'01_INPUT_COMPANIES'!$P$21&lt;0,'01_INPUT_COMPANIES'!$P$21&lt;&gt;INT('01_INPUT_COMPANIES'!$P$21)),"ERROR: CARRY LAG",IF('01_INPUT_COMPANIES'!$Q$21&lt;&gt;"yes","ERROR: EXPOSURE ADJUSTMENT",IF(OR(NOT(ISNUMBER('01_INPUT_COMPANIES'!$R$21)),'01_INPUT_COMPANIES'!$R$21&lt;0,'01_INPUT_COMPANIES'!$R$21&gt;1),"ERROR: EXPOSURE FACTOR",IF(COUNT(Y21)=0,"ERROR: SCORE",IF(COUNT(Z21)=0,"READY",IF(AA21&lt;=0.0000000001,"PASS","CHECK"))&amp;IF('01_INPUT_COMPANIES'!$K$21="C"," | C QUALITY","")&amp;IF(OR('01_INPUT_COMPANIES'!$M$21="proxy",'01_INPUT_COMPANIES'!$M$21="mixed")," | PROXY/MIXED","")&amp;IF('01_INPUT_COMPANIES'!$P$21&gt;1," | CARRY&gt;1","")&amp;IF(OR(OR('01_INPUT_COMPANIES'!$T$21&lt;-1,'01_INPUT_COMPANIES'!$T$21&gt;1),OR('01_INPUT_COMPANIES'!$U$21&lt;0,'01_INPUT_COMPANIES'!$U$21&gt;1),OR('01_INPUT_COMPANIES'!$V$21&lt;0,'01_INPUT_COMPANIES'!$V$21&gt;1),OR('01_INPUT_COMPANIES'!$W$21&lt;-10,'01_INPUT_COMPANIES'!$W$21&gt;10),OR('01_INPUT_COMPANIES'!$X$21&lt;-1,'01_INPUT_COMPANIES'!$X$21&gt;1),OR('01_INPUT_COMPANIES'!$Y$21&lt;0,'01_INPUT_COMPANIES'!$Y$21&gt;20),OR('01_INPUT_COMPANIES'!$Z$21&lt;-2,'01_INPUT_COMPANIES'!$Z$21&gt;2),OR('01_INPUT_COMPANIES'!$AA$21&lt;0,'01_INPUT_COMPANIES'!$AA$21&gt;1),OR('01_INPUT_COMPANIES'!$AB$21&lt;0,'01_INPUT_COMPANIES'!$AB$21&gt;1),OR('01_INPUT_COMPANIES'!$AC$21&lt;0,'01_INPUT_COMPANIES'!$AC$21&gt;50))," | REVIEW RANGE","")&amp;IF(COUNTIF('90_CALC_FEATURES'!$J$147:$J$156,"WINSORIZED*")&gt;0," | WINSORIZED","")&amp;IF(ABS('01_INPUT_COMPANIES'!$U$21-'01_INPUT_COMPANIES'!$V$21*'01_INPUT_COMPANIES'!$AB$21)&gt;MAX(0.005,0.05*MAX(ABS('01_INPUT_COMPANIES'!$V$21*'01_INPUT_COMPANIES'!$AB$21),ABS('01_INPUT_COMPANIES'!$U$21),0.000000000001))," | DEPENDENCY",""))))))))))))))))))))</x:f>
      </x:c>
      <x:c r="AC21" s="34" t="str">
        <x:f>IF(A21="","",IF(OR(LEFT(AB21,4)="PASS",LEFT(AB21,5)="READY"),"RESEARCH BETA | 저지원 22.22% | 기업 백분위 N/A", "결과 사용 금지 | "&amp;AB21))</x:f>
      </x:c>
      <x:c r="AD21" s="34" t="str">
        <x:f>IF(A21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$21,TRIM('01_INPUT_COMPANIES'!$D$21)),EXACT('01_INPUT_COMPANIES'!$E$21,TRIM('01_INPUT_COMPANIES'!$E$21)),EXACT('01_INPUT_COMPANIES'!$F$21,TRIM('01_INPUT_COMPANIES'!$F$21)),EXACT('01_INPUT_COMPANIES'!$G$21,TRIM('01_INPUT_COMPANIES'!$G$21)),EXACT('01_INPUT_COMPANIES'!$H$21,TRIM('01_INPUT_COMPANIES'!$H$21)))),"ERROR: COHORT WHITESPACE",IF(NOT(IFERROR(AND(ISTEXT('01_INPUT_COMPANIES'!$O$21),LEN('01_INPUT_COMPANIES'!$O$21)=10,VALUE(LEFT('01_INPUT_COMPANIES'!$O$21,4))&gt;=2000,VALUE(LEFT('01_INPUT_COMPANIES'!$O$21,4))&lt;=2100,EXACT(TEXT(DATE(VALUE(LEFT('01_INPUT_COMPANIES'!$O$21,4)),VALUE(MID('01_INPUT_COMPANIES'!$O$21,6,2)),VALUE(RIGHT('01_INPUT_COMPANIES'!$O$21,2))),"yyyy-mm-dd"),'01_INPUT_COMPANIES'!$O$21)),FALSE)),"ERROR: SOURCE DATE",IF(NOT(AND(OR(EXACT('01_INPUT_COMPANIES'!$C$21,"domestic"),EXACT('01_INPUT_COMPANIES'!$C$21,"foreign"),EXACT('01_INPUT_COMPANIES'!$C$21,"other")),OR(EXACT('01_INPUT_COMPANIES'!$K$21,"A"),EXACT('01_INPUT_COMPANIES'!$K$21,"B"),EXACT('01_INPUT_COMPANIES'!$K$21,"C"),EXACT('01_INPUT_COMPANIES'!$K$21,"SYNTHETIC")),OR(EXACT('01_INPUT_COMPANIES'!$L$21,"yes"),EXACT('01_INPUT_COMPANIES'!$L$21,"no")),OR(EXACT('01_INPUT_COMPANIES'!$M$21,"direct"),EXACT('01_INPUT_COMPANIES'!$M$21,"derived"),EXACT('01_INPUT_COMPANIES'!$M$21,"proxy"),EXACT('01_INPUT_COMPANIES'!$M$21,"mixed")),OR(EXACT('01_INPUT_COMPANIES'!$Q$21,"yes")),EXACT('01_INPUT_COMPANIES'!$I$21,UPPER('01_INPUT_COMPANIES'!$I$21)))),"ERROR: EXACT ENUM",IF(NOT(IFERROR(OR(AND(EXACT('92_REF_VARIABLES'!$A$21,'01_INPUT_COMPANIES'!$H$21),EXACT('92_REF_VARIABLES'!$B$21,'01_INPUT_COMPANIES'!$D$21),EXACT('92_REF_VARIABLES'!$C$21,'01_INPUT_COMPANIES'!$G$21))),FALSE)),"ERROR: BENCHMARK",""))))))</x:f>
      </x:c>
    </x:row>
    <x:row r="22">
      <x:c r="A22" s="34" t="str">
        <x:f>IF(OR('01_INPUT_COMPANIES'!$A$22="",'01_INPUT_COMPANIES'!$A$22=""),"",'01_INPUT_COMPANIES'!$A$22)</x:f>
      </x:c>
      <x:c r="B22" s="34" t="str">
        <x:f>IF(OR('01_INPUT_COMPANIES'!$A$22="",'01_INPUT_COMPANIES'!$B$22=""),"",'01_INPUT_COMPANIES'!$B$22)</x:f>
      </x:c>
      <x:c r="C22" s="34" t="str">
        <x:f>IF(OR('01_INPUT_COMPANIES'!$A$22="",'01_INPUT_COMPANIES'!$C$22=""),"",'01_INPUT_COMPANIES'!$C$22)</x:f>
      </x:c>
      <x:c r="D22" s="34" t="str">
        <x:f>IF(OR('01_INPUT_COMPANIES'!$A$22="",'01_INPUT_COMPANIES'!$D$22=""),"",'01_INPUT_COMPANIES'!$D$22)</x:f>
      </x:c>
      <x:c r="E22" s="34" t="str">
        <x:f>IF(OR('01_INPUT_COMPANIES'!$A$22="",'01_INPUT_COMPANIES'!$E$22=""),"",'01_INPUT_COMPANIES'!$E$22)</x:f>
      </x:c>
      <x:c r="F22" s="34" t="str">
        <x:f>IF(OR('01_INPUT_COMPANIES'!$A$22="",'01_INPUT_COMPANIES'!$F$22=""),"",'01_INPUT_COMPANIES'!$F$22)</x:f>
      </x:c>
      <x:c r="G22" s="34" t="str">
        <x:f>IF(OR('01_INPUT_COMPANIES'!$A$22="",'01_INPUT_COMPANIES'!$G$22=""),"",'01_INPUT_COMPANIES'!$G$22)</x:f>
      </x:c>
      <x:c r="H22" s="34" t="str">
        <x:f>IF(OR('01_INPUT_COMPANIES'!$A$22="",'01_INPUT_COMPANIES'!$H$22=""),"",'01_INPUT_COMPANIES'!$H$22)</x:f>
      </x:c>
      <x:c r="I22" s="34" t="str">
        <x:f>IF(OR('01_INPUT_COMPANIES'!$A$22="",'01_INPUT_COMPANIES'!$K$22=""),"",'01_INPUT_COMPANIES'!$K$22)</x:f>
      </x:c>
      <x:c r="J22" s="34" t="str">
        <x:f>IF(OR('01_INPUT_COMPANIES'!$A$22="",'01_INPUT_COMPANIES'!$M$22=""),"",'01_INPUT_COMPANIES'!$M$22)</x:f>
      </x:c>
      <x:c r="K22" s="34" t="str">
        <x:f>IF(OR(A22="",COUNTBLANK(D22:H22)&gt;0),"",LEN(D22)&amp;":"&amp;D22&amp;LEN(E22)&amp;":"&amp;E22&amp;LEN(F22)&amp;":"&amp;F22&amp;LEN(G22)&amp;":"&amp;G22&amp;LEN(H22)&amp;":"&amp;H22)</x:f>
      </x:c>
      <x:c r="L22" s="47" t="str">
        <x:f>IF(A22="","",'90_CALC_FEATURES'!$I$157)</x:f>
      </x:c>
      <x:c r="M22" s="47" t="str">
        <x:f>IF(A22="","",'90_CALC_FEATURES'!$I$158)</x:f>
      </x:c>
      <x:c r="N22" s="47" t="str">
        <x:f>IF(A22="","",'90_CALC_FEATURES'!$I$159)</x:f>
      </x:c>
      <x:c r="O22" s="47" t="str">
        <x:f>IF(A22="","",'90_CALC_FEATURES'!$I$160)</x:f>
      </x:c>
      <x:c r="P22" s="47" t="str">
        <x:f>IF(A22="","",'90_CALC_FEATURES'!$I$161)</x:f>
      </x:c>
      <x:c r="Q22" s="47" t="str">
        <x:f>IF(A22="","",'90_CALC_FEATURES'!$I$162)</x:f>
      </x:c>
      <x:c r="R22" s="47" t="str">
        <x:f>IF(A22="","",'90_CALC_FEATURES'!$I$163)</x:f>
      </x:c>
      <x:c r="S22" s="47" t="str">
        <x:f>IF(A22="","",'90_CALC_FEATURES'!$I$164)</x:f>
      </x:c>
      <x:c r="T22" s="47" t="str">
        <x:f>IF(A22="","",'90_CALC_FEATURES'!$I$165)</x:f>
      </x:c>
      <x:c r="U22" s="47" t="str">
        <x:f>IF(A22="","",'90_CALC_FEATURES'!$I$166)</x:f>
      </x:c>
      <x:c r="V22" s="47" t="str">
        <x:f>IF(COUNT(L22:N22)=3,100*AVERAGE(L22:N22),"")</x:f>
      </x:c>
      <x:c r="W22" s="47" t="str">
        <x:f>IF(COUNT(O22:R22)=4,100*AVERAGE(O22:R22),"")</x:f>
      </x:c>
      <x:c r="X22" s="47" t="str">
        <x:f>IF(COUNT(S22:U22)=3,100*AVERAGE(S22:U22),"")</x:f>
      </x:c>
      <x:c r="Y22" s="47" t="str">
        <x:f>IF(COUNT(V22:X22)=3,AVERAGE(V22:X22),"")</x:f>
      </x:c>
      <x:c r="Z22" s="47" t="str">
        <x:f>IF(OR(AND(EXACT(A22,"SYN-A"),COUNT('01_INPUT_COMPANIES'!$T$22:$AC$22)=10,'01_INPUT_COMPANIES'!$T$22=-0.02,'01_INPUT_COMPANIES'!$U$22=0.1332,'01_INPUT_COMPANIES'!$V$22=0.18,'01_INPUT_COMPANIES'!$W$22=0.42,'01_INPUT_COMPANIES'!$X$22=0.012,'01_INPUT_COMPANIES'!$Y$22=3.2,'01_INPUT_COMPANIES'!$Z$22=0.08,'01_INPUT_COMPANIES'!$AA$22=0.28,'01_INPUT_COMPANIES'!$AB$22=0.74,'01_INPUT_COMPANIES'!$AC$22=8.5),AND(EXACT(A22,"SYN-B"),COUNT('01_INPUT_COMPANIES'!$T$22:$AC$22)=10,'01_INPUT_COMPANIES'!$T$22=-0.055,'01_INPUT_COMPANIES'!$U$22=0.06405,'01_INPUT_COMPANIES'!$V$22=0.105,'01_INPUT_COMPANIES'!$W$22=0.73,'01_INPUT_COMPANIES'!$X$22=0.004,'01_INPUT_COMPANIES'!$Y$22=4.1,'01_INPUT_COMPANIES'!$Z$22=0.025,'01_INPUT_COMPANIES'!$AA$22=0.16,'01_INPUT_COMPANIES'!$AB$22=0.61,'01_INPUT_COMPANIES'!$AC$22=4),AND(EXACT(A22,"SYN-C"),COUNT('01_INPUT_COMPANIES'!$T$22:$AC$22)=10,'01_INPUT_COMPANIES'!$T$22=0.01,'01_INPUT_COMPANIES'!$U$22=0.0986,'01_INPUT_COMPANIES'!$V$22=0.145,'01_INPUT_COMPANIES'!$W$22=0.18,'01_INPUT_COMPANIES'!$X$22=0.018,'01_INPUT_COMPANIES'!$Y$22=2.65,'01_INPUT_COMPANIES'!$Z$22=0.11,'01_INPUT_COMPANIES'!$AA$22=0.34,'01_INPUT_COMPANIES'!$AB$22=0.68,'01_INPUT_COMPANIES'!$AC$22=6.8),AND(EXACT(A22,"SYN-D"),COUNT('01_INPUT_COMPANIES'!$T$22:$AC$22)=10,'01_INPUT_COMPANIES'!$T$22=-0.005,'01_INPUT_COMPANIES'!$U$22=0.1136,'01_INPUT_COMPANIES'!$V$22=0.16,'01_INPUT_COMPANIES'!$W$22=0.51,'01_INPUT_COMPANIES'!$X$22=0.009,'01_INPUT_COMPANIES'!$Y$22=3.55,'01_INPUT_COMPANIES'!$Z$22=0.065,'01_INPUT_COMPANIES'!$AA$22=0.24,'01_INPUT_COMPANIES'!$AB$22=0.71,'01_INPUT_COMPANIES'!$AC$22=7.4)),IFERROR(INDEX('94_EXPECTED_OUTPUTS'!$B$7:$B$10,MATCH(A22,'94_EXPECTED_OUTPUTS'!$A$7:$A$10,0)),""),"")</x:f>
      </x:c>
      <x:c r="AA22" s="47" t="str">
        <x:f>IF(OR(COUNT(Y22)=0,COUNT(Z22)=0),"",ABS(Y22-Z22))</x:f>
      </x:c>
      <x:c r="AB22" s="34" t="str">
        <x:f>IF(A22="","",IF(AD22&lt;&gt;"",AD22,IF('01_INPUT_COMPANIES'!$A$22="","",IF(OR(LEN(TRIM('01_INPUT_COMPANIES'!$A$22&amp;""))=0,LEN(TRIM('01_INPUT_COMPANIES'!$B$22&amp;""))=0,LEN(TRIM('01_INPUT_COMPANIES'!$C$22&amp;""))=0,LEN(TRIM('01_INPUT_COMPANIES'!$D$22&amp;""))=0,LEN(TRIM('01_INPUT_COMPANIES'!$E$22&amp;""))=0,LEN(TRIM('01_INPUT_COMPANIES'!$F$22&amp;""))=0,LEN(TRIM('01_INPUT_COMPANIES'!$G$22&amp;""))=0,LEN(TRIM('01_INPUT_COMPANIES'!$H$22&amp;""))=0,LEN(TRIM('01_INPUT_COMPANIES'!$I$22&amp;""))=0,LEN(TRIM('01_INPUT_COMPANIES'!$K$22&amp;""))=0,LEN(TRIM('01_INPUT_COMPANIES'!$L$22&amp;""))=0,LEN(TRIM('01_INPUT_COMPANIES'!$M$22&amp;""))=0,LEN(TRIM('01_INPUT_COMPANIES'!$N$22&amp;""))=0,LEN(TRIM('01_INPUT_COMPANIES'!$O$22&amp;""))=0,LEN(TRIM('01_INPUT_COMPANIES'!$Q$22&amp;""))=0,COUNTBLANK('01_INPUT_COMPANIES'!$A$22:$R$22)&gt;0),"INPUT REQUIRED",IF(OR('01_INPUT_COMPANIES'!$A$22&lt;&gt;TRIM('01_INPUT_COMPANIES'!$A$22),NOT(EXACT('01_INPUT_COMPANIES'!$A$22,UPPER('01_INPUT_COMPANIES'!$A$22))),LEN('01_INPUT_COMPANIES'!$A$22)&gt;64,ISNUMBER(FIND("*",'01_INPUT_COMPANIES'!$A$22)),ISNUMBER(FIND("?",'01_INPUT_COMPANIES'!$A$22)),ISNUMBER(FIND("~",'01_INPUT_COMPANIES'!$A$22))),"ERROR: ID FORMAT",IF(COUNTIF('01_INPUT_COMPANIES'!$A$7:$A$106,'01_INPUT_COMPANIES'!$A$22)&lt;&gt;1,"ERROR: DUPLICATE ID",IF(COUNT('01_INPUT_COMPANIES'!$T$22:$AC$22)&lt;&gt;10,"INPUT REQUIRED",IF(NOT(OR('01_INPUT_COMPANIES'!$C$22="domestic",'01_INPUT_COMPANIES'!$C$22="foreign",'01_INPUT_COMPANIES'!$C$22="other")),"ERROR: COMPANY GROUP",IF(OR(LEN('01_INPUT_COMPANIES'!$G$22)&lt;&gt;6,MID('01_INPUT_COMPANIES'!$G$22,5,1)&lt;&gt;"Q",IFERROR(VALUE(LEFT('01_INPUT_COMPANIES'!$G$22,4)),0)&lt;2000,IFERROR(VALUE(LEFT('01_INPUT_COMPANIES'!$G$22,4)),0)&gt;2100,IFERROR(VALUE(RIGHT('01_INPUT_COMPANIES'!$G$22,1)),0)&lt;1,IFERROR(VALUE(RIGHT('01_INPUT_COMPANIES'!$G$22,1)),0)&gt;4),"ERROR: REPORTING PERIOD",IF(OR(COUNTIFS('92_REF_VARIABLES'!$A$21:$A$21,'01_INPUT_COMPANIES'!$H$22,'92_REF_VARIABLES'!$B$21:$B$21,'01_INPUT_COMPANIES'!$D$22,'92_REF_VARIABLES'!$C$21:$C$21,'01_INPUT_COMPANIES'!$G$22)&lt;&gt;1,AND(IFERROR(INDEX('92_REF_VARIABLES'!$I$21:$I$21,MATCH('01_INPUT_COMPANIES'!$H$22,'92_REF_VARIABLES'!$A$21:$A$21,0)),"")="synthetic_only",'01_INPUT_COMPANIES'!$L$22&lt;&gt;"yes")),"ERROR: BENCHMARK",IF(COUNTIF('92_REF_VARIABLES'!$L$21:$L$50,'01_INPUT_COMPANIES'!$I$22)&lt;&gt;1,"ERROR: CURRENCY",IF(OR(NOT(ISNUMBER('01_INPUT_COMPANIES'!$J$22)),'01_INPUT_COMPANIES'!$J$22&lt;&gt;INT('01_INPUT_COMPANIES'!$J$22),'01_INPUT_COMPANIES'!$J$22&lt;2000,'01_INPUT_COMPANIES'!$J$22&gt;2100),"ERROR: PRICE YEAR",IF(NOT(OR('01_INPUT_COMPANIES'!$K$22="A",'01_INPUT_COMPANIES'!$K$22="B",'01_INPUT_COMPANIES'!$K$22="C",'01_INPUT_COMPANIES'!$K$22="SYNTHETIC")),"ERROR: QUALITY",IF(NOT(OR(AND('01_INPUT_COMPANIES'!$L$22="yes",'01_INPUT_COMPANIES'!$K$22="SYNTHETIC"),AND('01_INPUT_COMPANIES'!$L$22="no",'01_INPUT_COMPANIES'!$K$22&lt;&gt;"SYNTHETIC"))),"ERROR: SYNTHETIC FLAG",IF(NOT(OR('01_INPUT_COMPANIES'!$M$22="direct",'01_INPUT_COMPANIES'!$M$22="derived",'01_INPUT_COMPANIES'!$M$22="proxy",'01_INPUT_COMPANIES'!$M$22="mixed")),"ERROR: CONSTRUCTION MODE",IF(OR(NOT(ISNUMBER('01_INPUT_COMPANIES'!$P$22)),'01_INPUT_COMPANIES'!$P$22&lt;0,'01_INPUT_COMPANIES'!$P$22&lt;&gt;INT('01_INPUT_COMPANIES'!$P$22)),"ERROR: CARRY LAG",IF('01_INPUT_COMPANIES'!$Q$22&lt;&gt;"yes","ERROR: EXPOSURE ADJUSTMENT",IF(OR(NOT(ISNUMBER('01_INPUT_COMPANIES'!$R$22)),'01_INPUT_COMPANIES'!$R$22&lt;0,'01_INPUT_COMPANIES'!$R$22&gt;1),"ERROR: EXPOSURE FACTOR",IF(COUNT(Y22)=0,"ERROR: SCORE",IF(COUNT(Z22)=0,"READY",IF(AA22&lt;=0.0000000001,"PASS","CHECK"))&amp;IF('01_INPUT_COMPANIES'!$K$22="C"," | C QUALITY","")&amp;IF(OR('01_INPUT_COMPANIES'!$M$22="proxy",'01_INPUT_COMPANIES'!$M$22="mixed")," | PROXY/MIXED","")&amp;IF('01_INPUT_COMPANIES'!$P$22&gt;1," | CARRY&gt;1","")&amp;IF(OR(OR('01_INPUT_COMPANIES'!$T$22&lt;-1,'01_INPUT_COMPANIES'!$T$22&gt;1),OR('01_INPUT_COMPANIES'!$U$22&lt;0,'01_INPUT_COMPANIES'!$U$22&gt;1),OR('01_INPUT_COMPANIES'!$V$22&lt;0,'01_INPUT_COMPANIES'!$V$22&gt;1),OR('01_INPUT_COMPANIES'!$W$22&lt;-10,'01_INPUT_COMPANIES'!$W$22&gt;10),OR('01_INPUT_COMPANIES'!$X$22&lt;-1,'01_INPUT_COMPANIES'!$X$22&gt;1),OR('01_INPUT_COMPANIES'!$Y$22&lt;0,'01_INPUT_COMPANIES'!$Y$22&gt;20),OR('01_INPUT_COMPANIES'!$Z$22&lt;-2,'01_INPUT_COMPANIES'!$Z$22&gt;2),OR('01_INPUT_COMPANIES'!$AA$22&lt;0,'01_INPUT_COMPANIES'!$AA$22&gt;1),OR('01_INPUT_COMPANIES'!$AB$22&lt;0,'01_INPUT_COMPANIES'!$AB$22&gt;1),OR('01_INPUT_COMPANIES'!$AC$22&lt;0,'01_INPUT_COMPANIES'!$AC$22&gt;50))," | REVIEW RANGE","")&amp;IF(COUNTIF('90_CALC_FEATURES'!$J$157:$J$166,"WINSORIZED*")&gt;0," | WINSORIZED","")&amp;IF(ABS('01_INPUT_COMPANIES'!$U$22-'01_INPUT_COMPANIES'!$V$22*'01_INPUT_COMPANIES'!$AB$22)&gt;MAX(0.005,0.05*MAX(ABS('01_INPUT_COMPANIES'!$V$22*'01_INPUT_COMPANIES'!$AB$22),ABS('01_INPUT_COMPANIES'!$U$22),0.000000000001))," | DEPENDENCY",""))))))))))))))))))))</x:f>
      </x:c>
      <x:c r="AC22" s="34" t="str">
        <x:f>IF(A22="","",IF(OR(LEFT(AB22,4)="PASS",LEFT(AB22,5)="READY"),"RESEARCH BETA | 저지원 22.22% | 기업 백분위 N/A", "결과 사용 금지 | "&amp;AB22))</x:f>
      </x:c>
      <x:c r="AD22" s="34" t="str">
        <x:f>IF(A22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$22,TRIM('01_INPUT_COMPANIES'!$D$22)),EXACT('01_INPUT_COMPANIES'!$E$22,TRIM('01_INPUT_COMPANIES'!$E$22)),EXACT('01_INPUT_COMPANIES'!$F$22,TRIM('01_INPUT_COMPANIES'!$F$22)),EXACT('01_INPUT_COMPANIES'!$G$22,TRIM('01_INPUT_COMPANIES'!$G$22)),EXACT('01_INPUT_COMPANIES'!$H$22,TRIM('01_INPUT_COMPANIES'!$H$22)))),"ERROR: COHORT WHITESPACE",IF(NOT(IFERROR(AND(ISTEXT('01_INPUT_COMPANIES'!$O$22),LEN('01_INPUT_COMPANIES'!$O$22)=10,VALUE(LEFT('01_INPUT_COMPANIES'!$O$22,4))&gt;=2000,VALUE(LEFT('01_INPUT_COMPANIES'!$O$22,4))&lt;=2100,EXACT(TEXT(DATE(VALUE(LEFT('01_INPUT_COMPANIES'!$O$22,4)),VALUE(MID('01_INPUT_COMPANIES'!$O$22,6,2)),VALUE(RIGHT('01_INPUT_COMPANIES'!$O$22,2))),"yyyy-mm-dd"),'01_INPUT_COMPANIES'!$O$22)),FALSE)),"ERROR: SOURCE DATE",IF(NOT(AND(OR(EXACT('01_INPUT_COMPANIES'!$C$22,"domestic"),EXACT('01_INPUT_COMPANIES'!$C$22,"foreign"),EXACT('01_INPUT_COMPANIES'!$C$22,"other")),OR(EXACT('01_INPUT_COMPANIES'!$K$22,"A"),EXACT('01_INPUT_COMPANIES'!$K$22,"B"),EXACT('01_INPUT_COMPANIES'!$K$22,"C"),EXACT('01_INPUT_COMPANIES'!$K$22,"SYNTHETIC")),OR(EXACT('01_INPUT_COMPANIES'!$L$22,"yes"),EXACT('01_INPUT_COMPANIES'!$L$22,"no")),OR(EXACT('01_INPUT_COMPANIES'!$M$22,"direct"),EXACT('01_INPUT_COMPANIES'!$M$22,"derived"),EXACT('01_INPUT_COMPANIES'!$M$22,"proxy"),EXACT('01_INPUT_COMPANIES'!$M$22,"mixed")),OR(EXACT('01_INPUT_COMPANIES'!$Q$22,"yes")),EXACT('01_INPUT_COMPANIES'!$I$22,UPPER('01_INPUT_COMPANIES'!$I$22)))),"ERROR: EXACT ENUM",IF(NOT(IFERROR(OR(AND(EXACT('92_REF_VARIABLES'!$A$21,'01_INPUT_COMPANIES'!$H$22),EXACT('92_REF_VARIABLES'!$B$21,'01_INPUT_COMPANIES'!$D$22),EXACT('92_REF_VARIABLES'!$C$21,'01_INPUT_COMPANIES'!$G$22))),FALSE)),"ERROR: BENCHMARK",""))))))</x:f>
      </x:c>
    </x:row>
    <x:row r="23">
      <x:c r="A23" s="34" t="str">
        <x:f>IF(OR('01_INPUT_COMPANIES'!$A$23="",'01_INPUT_COMPANIES'!$A$23=""),"",'01_INPUT_COMPANIES'!$A$23)</x:f>
      </x:c>
      <x:c r="B23" s="34" t="str">
        <x:f>IF(OR('01_INPUT_COMPANIES'!$A$23="",'01_INPUT_COMPANIES'!$B$23=""),"",'01_INPUT_COMPANIES'!$B$23)</x:f>
      </x:c>
      <x:c r="C23" s="34" t="str">
        <x:f>IF(OR('01_INPUT_COMPANIES'!$A$23="",'01_INPUT_COMPANIES'!$C$23=""),"",'01_INPUT_COMPANIES'!$C$23)</x:f>
      </x:c>
      <x:c r="D23" s="34" t="str">
        <x:f>IF(OR('01_INPUT_COMPANIES'!$A$23="",'01_INPUT_COMPANIES'!$D$23=""),"",'01_INPUT_COMPANIES'!$D$23)</x:f>
      </x:c>
      <x:c r="E23" s="34" t="str">
        <x:f>IF(OR('01_INPUT_COMPANIES'!$A$23="",'01_INPUT_COMPANIES'!$E$23=""),"",'01_INPUT_COMPANIES'!$E$23)</x:f>
      </x:c>
      <x:c r="F23" s="34" t="str">
        <x:f>IF(OR('01_INPUT_COMPANIES'!$A$23="",'01_INPUT_COMPANIES'!$F$23=""),"",'01_INPUT_COMPANIES'!$F$23)</x:f>
      </x:c>
      <x:c r="G23" s="34" t="str">
        <x:f>IF(OR('01_INPUT_COMPANIES'!$A$23="",'01_INPUT_COMPANIES'!$G$23=""),"",'01_INPUT_COMPANIES'!$G$23)</x:f>
      </x:c>
      <x:c r="H23" s="34" t="str">
        <x:f>IF(OR('01_INPUT_COMPANIES'!$A$23="",'01_INPUT_COMPANIES'!$H$23=""),"",'01_INPUT_COMPANIES'!$H$23)</x:f>
      </x:c>
      <x:c r="I23" s="34" t="str">
        <x:f>IF(OR('01_INPUT_COMPANIES'!$A$23="",'01_INPUT_COMPANIES'!$K$23=""),"",'01_INPUT_COMPANIES'!$K$23)</x:f>
      </x:c>
      <x:c r="J23" s="34" t="str">
        <x:f>IF(OR('01_INPUT_COMPANIES'!$A$23="",'01_INPUT_COMPANIES'!$M$23=""),"",'01_INPUT_COMPANIES'!$M$23)</x:f>
      </x:c>
      <x:c r="K23" s="34" t="str">
        <x:f>IF(OR(A23="",COUNTBLANK(D23:H23)&gt;0),"",LEN(D23)&amp;":"&amp;D23&amp;LEN(E23)&amp;":"&amp;E23&amp;LEN(F23)&amp;":"&amp;F23&amp;LEN(G23)&amp;":"&amp;G23&amp;LEN(H23)&amp;":"&amp;H23)</x:f>
      </x:c>
      <x:c r="L23" s="47" t="str">
        <x:f>IF(A23="","",'90_CALC_FEATURES'!$I$167)</x:f>
      </x:c>
      <x:c r="M23" s="47" t="str">
        <x:f>IF(A23="","",'90_CALC_FEATURES'!$I$168)</x:f>
      </x:c>
      <x:c r="N23" s="47" t="str">
        <x:f>IF(A23="","",'90_CALC_FEATURES'!$I$169)</x:f>
      </x:c>
      <x:c r="O23" s="47" t="str">
        <x:f>IF(A23="","",'90_CALC_FEATURES'!$I$170)</x:f>
      </x:c>
      <x:c r="P23" s="47" t="str">
        <x:f>IF(A23="","",'90_CALC_FEATURES'!$I$171)</x:f>
      </x:c>
      <x:c r="Q23" s="47" t="str">
        <x:f>IF(A23="","",'90_CALC_FEATURES'!$I$172)</x:f>
      </x:c>
      <x:c r="R23" s="47" t="str">
        <x:f>IF(A23="","",'90_CALC_FEATURES'!$I$173)</x:f>
      </x:c>
      <x:c r="S23" s="47" t="str">
        <x:f>IF(A23="","",'90_CALC_FEATURES'!$I$174)</x:f>
      </x:c>
      <x:c r="T23" s="47" t="str">
        <x:f>IF(A23="","",'90_CALC_FEATURES'!$I$175)</x:f>
      </x:c>
      <x:c r="U23" s="47" t="str">
        <x:f>IF(A23="","",'90_CALC_FEATURES'!$I$176)</x:f>
      </x:c>
      <x:c r="V23" s="47" t="str">
        <x:f>IF(COUNT(L23:N23)=3,100*AVERAGE(L23:N23),"")</x:f>
      </x:c>
      <x:c r="W23" s="47" t="str">
        <x:f>IF(COUNT(O23:R23)=4,100*AVERAGE(O23:R23),"")</x:f>
      </x:c>
      <x:c r="X23" s="47" t="str">
        <x:f>IF(COUNT(S23:U23)=3,100*AVERAGE(S23:U23),"")</x:f>
      </x:c>
      <x:c r="Y23" s="47" t="str">
        <x:f>IF(COUNT(V23:X23)=3,AVERAGE(V23:X23),"")</x:f>
      </x:c>
      <x:c r="Z23" s="47" t="str">
        <x:f>IF(OR(AND(EXACT(A23,"SYN-A"),COUNT('01_INPUT_COMPANIES'!$T$23:$AC$23)=10,'01_INPUT_COMPANIES'!$T$23=-0.02,'01_INPUT_COMPANIES'!$U$23=0.1332,'01_INPUT_COMPANIES'!$V$23=0.18,'01_INPUT_COMPANIES'!$W$23=0.42,'01_INPUT_COMPANIES'!$X$23=0.012,'01_INPUT_COMPANIES'!$Y$23=3.2,'01_INPUT_COMPANIES'!$Z$23=0.08,'01_INPUT_COMPANIES'!$AA$23=0.28,'01_INPUT_COMPANIES'!$AB$23=0.74,'01_INPUT_COMPANIES'!$AC$23=8.5),AND(EXACT(A23,"SYN-B"),COUNT('01_INPUT_COMPANIES'!$T$23:$AC$23)=10,'01_INPUT_COMPANIES'!$T$23=-0.055,'01_INPUT_COMPANIES'!$U$23=0.06405,'01_INPUT_COMPANIES'!$V$23=0.105,'01_INPUT_COMPANIES'!$W$23=0.73,'01_INPUT_COMPANIES'!$X$23=0.004,'01_INPUT_COMPANIES'!$Y$23=4.1,'01_INPUT_COMPANIES'!$Z$23=0.025,'01_INPUT_COMPANIES'!$AA$23=0.16,'01_INPUT_COMPANIES'!$AB$23=0.61,'01_INPUT_COMPANIES'!$AC$23=4),AND(EXACT(A23,"SYN-C"),COUNT('01_INPUT_COMPANIES'!$T$23:$AC$23)=10,'01_INPUT_COMPANIES'!$T$23=0.01,'01_INPUT_COMPANIES'!$U$23=0.0986,'01_INPUT_COMPANIES'!$V$23=0.145,'01_INPUT_COMPANIES'!$W$23=0.18,'01_INPUT_COMPANIES'!$X$23=0.018,'01_INPUT_COMPANIES'!$Y$23=2.65,'01_INPUT_COMPANIES'!$Z$23=0.11,'01_INPUT_COMPANIES'!$AA$23=0.34,'01_INPUT_COMPANIES'!$AB$23=0.68,'01_INPUT_COMPANIES'!$AC$23=6.8),AND(EXACT(A23,"SYN-D"),COUNT('01_INPUT_COMPANIES'!$T$23:$AC$23)=10,'01_INPUT_COMPANIES'!$T$23=-0.005,'01_INPUT_COMPANIES'!$U$23=0.1136,'01_INPUT_COMPANIES'!$V$23=0.16,'01_INPUT_COMPANIES'!$W$23=0.51,'01_INPUT_COMPANIES'!$X$23=0.009,'01_INPUT_COMPANIES'!$Y$23=3.55,'01_INPUT_COMPANIES'!$Z$23=0.065,'01_INPUT_COMPANIES'!$AA$23=0.24,'01_INPUT_COMPANIES'!$AB$23=0.71,'01_INPUT_COMPANIES'!$AC$23=7.4)),IFERROR(INDEX('94_EXPECTED_OUTPUTS'!$B$7:$B$10,MATCH(A23,'94_EXPECTED_OUTPUTS'!$A$7:$A$10,0)),""),"")</x:f>
      </x:c>
      <x:c r="AA23" s="47" t="str">
        <x:f>IF(OR(COUNT(Y23)=0,COUNT(Z23)=0),"",ABS(Y23-Z23))</x:f>
      </x:c>
      <x:c r="AB23" s="34" t="str">
        <x:f>IF(A23="","",IF(AD23&lt;&gt;"",AD23,IF('01_INPUT_COMPANIES'!$A$23="","",IF(OR(LEN(TRIM('01_INPUT_COMPANIES'!$A$23&amp;""))=0,LEN(TRIM('01_INPUT_COMPANIES'!$B$23&amp;""))=0,LEN(TRIM('01_INPUT_COMPANIES'!$C$23&amp;""))=0,LEN(TRIM('01_INPUT_COMPANIES'!$D$23&amp;""))=0,LEN(TRIM('01_INPUT_COMPANIES'!$E$23&amp;""))=0,LEN(TRIM('01_INPUT_COMPANIES'!$F$23&amp;""))=0,LEN(TRIM('01_INPUT_COMPANIES'!$G$23&amp;""))=0,LEN(TRIM('01_INPUT_COMPANIES'!$H$23&amp;""))=0,LEN(TRIM('01_INPUT_COMPANIES'!$I$23&amp;""))=0,LEN(TRIM('01_INPUT_COMPANIES'!$K$23&amp;""))=0,LEN(TRIM('01_INPUT_COMPANIES'!$L$23&amp;""))=0,LEN(TRIM('01_INPUT_COMPANIES'!$M$23&amp;""))=0,LEN(TRIM('01_INPUT_COMPANIES'!$N$23&amp;""))=0,LEN(TRIM('01_INPUT_COMPANIES'!$O$23&amp;""))=0,LEN(TRIM('01_INPUT_COMPANIES'!$Q$23&amp;""))=0,COUNTBLANK('01_INPUT_COMPANIES'!$A$23:$R$23)&gt;0),"INPUT REQUIRED",IF(OR('01_INPUT_COMPANIES'!$A$23&lt;&gt;TRIM('01_INPUT_COMPANIES'!$A$23),NOT(EXACT('01_INPUT_COMPANIES'!$A$23,UPPER('01_INPUT_COMPANIES'!$A$23))),LEN('01_INPUT_COMPANIES'!$A$23)&gt;64,ISNUMBER(FIND("*",'01_INPUT_COMPANIES'!$A$23)),ISNUMBER(FIND("?",'01_INPUT_COMPANIES'!$A$23)),ISNUMBER(FIND("~",'01_INPUT_COMPANIES'!$A$23))),"ERROR: ID FORMAT",IF(COUNTIF('01_INPUT_COMPANIES'!$A$7:$A$106,'01_INPUT_COMPANIES'!$A$23)&lt;&gt;1,"ERROR: DUPLICATE ID",IF(COUNT('01_INPUT_COMPANIES'!$T$23:$AC$23)&lt;&gt;10,"INPUT REQUIRED",IF(NOT(OR('01_INPUT_COMPANIES'!$C$23="domestic",'01_INPUT_COMPANIES'!$C$23="foreign",'01_INPUT_COMPANIES'!$C$23="other")),"ERROR: COMPANY GROUP",IF(OR(LEN('01_INPUT_COMPANIES'!$G$23)&lt;&gt;6,MID('01_INPUT_COMPANIES'!$G$23,5,1)&lt;&gt;"Q",IFERROR(VALUE(LEFT('01_INPUT_COMPANIES'!$G$23,4)),0)&lt;2000,IFERROR(VALUE(LEFT('01_INPUT_COMPANIES'!$G$23,4)),0)&gt;2100,IFERROR(VALUE(RIGHT('01_INPUT_COMPANIES'!$G$23,1)),0)&lt;1,IFERROR(VALUE(RIGHT('01_INPUT_COMPANIES'!$G$23,1)),0)&gt;4),"ERROR: REPORTING PERIOD",IF(OR(COUNTIFS('92_REF_VARIABLES'!$A$21:$A$21,'01_INPUT_COMPANIES'!$H$23,'92_REF_VARIABLES'!$B$21:$B$21,'01_INPUT_COMPANIES'!$D$23,'92_REF_VARIABLES'!$C$21:$C$21,'01_INPUT_COMPANIES'!$G$23)&lt;&gt;1,AND(IFERROR(INDEX('92_REF_VARIABLES'!$I$21:$I$21,MATCH('01_INPUT_COMPANIES'!$H$23,'92_REF_VARIABLES'!$A$21:$A$21,0)),"")="synthetic_only",'01_INPUT_COMPANIES'!$L$23&lt;&gt;"yes")),"ERROR: BENCHMARK",IF(COUNTIF('92_REF_VARIABLES'!$L$21:$L$50,'01_INPUT_COMPANIES'!$I$23)&lt;&gt;1,"ERROR: CURRENCY",IF(OR(NOT(ISNUMBER('01_INPUT_COMPANIES'!$J$23)),'01_INPUT_COMPANIES'!$J$23&lt;&gt;INT('01_INPUT_COMPANIES'!$J$23),'01_INPUT_COMPANIES'!$J$23&lt;2000,'01_INPUT_COMPANIES'!$J$23&gt;2100),"ERROR: PRICE YEAR",IF(NOT(OR('01_INPUT_COMPANIES'!$K$23="A",'01_INPUT_COMPANIES'!$K$23="B",'01_INPUT_COMPANIES'!$K$23="C",'01_INPUT_COMPANIES'!$K$23="SYNTHETIC")),"ERROR: QUALITY",IF(NOT(OR(AND('01_INPUT_COMPANIES'!$L$23="yes",'01_INPUT_COMPANIES'!$K$23="SYNTHETIC"),AND('01_INPUT_COMPANIES'!$L$23="no",'01_INPUT_COMPANIES'!$K$23&lt;&gt;"SYNTHETIC"))),"ERROR: SYNTHETIC FLAG",IF(NOT(OR('01_INPUT_COMPANIES'!$M$23="direct",'01_INPUT_COMPANIES'!$M$23="derived",'01_INPUT_COMPANIES'!$M$23="proxy",'01_INPUT_COMPANIES'!$M$23="mixed")),"ERROR: CONSTRUCTION MODE",IF(OR(NOT(ISNUMBER('01_INPUT_COMPANIES'!$P$23)),'01_INPUT_COMPANIES'!$P$23&lt;0,'01_INPUT_COMPANIES'!$P$23&lt;&gt;INT('01_INPUT_COMPANIES'!$P$23)),"ERROR: CARRY LAG",IF('01_INPUT_COMPANIES'!$Q$23&lt;&gt;"yes","ERROR: EXPOSURE ADJUSTMENT",IF(OR(NOT(ISNUMBER('01_INPUT_COMPANIES'!$R$23)),'01_INPUT_COMPANIES'!$R$23&lt;0,'01_INPUT_COMPANIES'!$R$23&gt;1),"ERROR: EXPOSURE FACTOR",IF(COUNT(Y23)=0,"ERROR: SCORE",IF(COUNT(Z23)=0,"READY",IF(AA23&lt;=0.0000000001,"PASS","CHECK"))&amp;IF('01_INPUT_COMPANIES'!$K$23="C"," | C QUALITY","")&amp;IF(OR('01_INPUT_COMPANIES'!$M$23="proxy",'01_INPUT_COMPANIES'!$M$23="mixed")," | PROXY/MIXED","")&amp;IF('01_INPUT_COMPANIES'!$P$23&gt;1," | CARRY&gt;1","")&amp;IF(OR(OR('01_INPUT_COMPANIES'!$T$23&lt;-1,'01_INPUT_COMPANIES'!$T$23&gt;1),OR('01_INPUT_COMPANIES'!$U$23&lt;0,'01_INPUT_COMPANIES'!$U$23&gt;1),OR('01_INPUT_COMPANIES'!$V$23&lt;0,'01_INPUT_COMPANIES'!$V$23&gt;1),OR('01_INPUT_COMPANIES'!$W$23&lt;-10,'01_INPUT_COMPANIES'!$W$23&gt;10),OR('01_INPUT_COMPANIES'!$X$23&lt;-1,'01_INPUT_COMPANIES'!$X$23&gt;1),OR('01_INPUT_COMPANIES'!$Y$23&lt;0,'01_INPUT_COMPANIES'!$Y$23&gt;20),OR('01_INPUT_COMPANIES'!$Z$23&lt;-2,'01_INPUT_COMPANIES'!$Z$23&gt;2),OR('01_INPUT_COMPANIES'!$AA$23&lt;0,'01_INPUT_COMPANIES'!$AA$23&gt;1),OR('01_INPUT_COMPANIES'!$AB$23&lt;0,'01_INPUT_COMPANIES'!$AB$23&gt;1),OR('01_INPUT_COMPANIES'!$AC$23&lt;0,'01_INPUT_COMPANIES'!$AC$23&gt;50))," | REVIEW RANGE","")&amp;IF(COUNTIF('90_CALC_FEATURES'!$J$167:$J$176,"WINSORIZED*")&gt;0," | WINSORIZED","")&amp;IF(ABS('01_INPUT_COMPANIES'!$U$23-'01_INPUT_COMPANIES'!$V$23*'01_INPUT_COMPANIES'!$AB$23)&gt;MAX(0.005,0.05*MAX(ABS('01_INPUT_COMPANIES'!$V$23*'01_INPUT_COMPANIES'!$AB$23),ABS('01_INPUT_COMPANIES'!$U$23),0.000000000001))," | DEPENDENCY",""))))))))))))))))))))</x:f>
      </x:c>
      <x:c r="AC23" s="34" t="str">
        <x:f>IF(A23="","",IF(OR(LEFT(AB23,4)="PASS",LEFT(AB23,5)="READY"),"RESEARCH BETA | 저지원 22.22% | 기업 백분위 N/A", "결과 사용 금지 | "&amp;AB23))</x:f>
      </x:c>
      <x:c r="AD23" s="34" t="str">
        <x:f>IF(A23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$23,TRIM('01_INPUT_COMPANIES'!$D$23)),EXACT('01_INPUT_COMPANIES'!$E$23,TRIM('01_INPUT_COMPANIES'!$E$23)),EXACT('01_INPUT_COMPANIES'!$F$23,TRIM('01_INPUT_COMPANIES'!$F$23)),EXACT('01_INPUT_COMPANIES'!$G$23,TRIM('01_INPUT_COMPANIES'!$G$23)),EXACT('01_INPUT_COMPANIES'!$H$23,TRIM('01_INPUT_COMPANIES'!$H$23)))),"ERROR: COHORT WHITESPACE",IF(NOT(IFERROR(AND(ISTEXT('01_INPUT_COMPANIES'!$O$23),LEN('01_INPUT_COMPANIES'!$O$23)=10,VALUE(LEFT('01_INPUT_COMPANIES'!$O$23,4))&gt;=2000,VALUE(LEFT('01_INPUT_COMPANIES'!$O$23,4))&lt;=2100,EXACT(TEXT(DATE(VALUE(LEFT('01_INPUT_COMPANIES'!$O$23,4)),VALUE(MID('01_INPUT_COMPANIES'!$O$23,6,2)),VALUE(RIGHT('01_INPUT_COMPANIES'!$O$23,2))),"yyyy-mm-dd"),'01_INPUT_COMPANIES'!$O$23)),FALSE)),"ERROR: SOURCE DATE",IF(NOT(AND(OR(EXACT('01_INPUT_COMPANIES'!$C$23,"domestic"),EXACT('01_INPUT_COMPANIES'!$C$23,"foreign"),EXACT('01_INPUT_COMPANIES'!$C$23,"other")),OR(EXACT('01_INPUT_COMPANIES'!$K$23,"A"),EXACT('01_INPUT_COMPANIES'!$K$23,"B"),EXACT('01_INPUT_COMPANIES'!$K$23,"C"),EXACT('01_INPUT_COMPANIES'!$K$23,"SYNTHETIC")),OR(EXACT('01_INPUT_COMPANIES'!$L$23,"yes"),EXACT('01_INPUT_COMPANIES'!$L$23,"no")),OR(EXACT('01_INPUT_COMPANIES'!$M$23,"direct"),EXACT('01_INPUT_COMPANIES'!$M$23,"derived"),EXACT('01_INPUT_COMPANIES'!$M$23,"proxy"),EXACT('01_INPUT_COMPANIES'!$M$23,"mixed")),OR(EXACT('01_INPUT_COMPANIES'!$Q$23,"yes")),EXACT('01_INPUT_COMPANIES'!$I$23,UPPER('01_INPUT_COMPANIES'!$I$23)))),"ERROR: EXACT ENUM",IF(NOT(IFERROR(OR(AND(EXACT('92_REF_VARIABLES'!$A$21,'01_INPUT_COMPANIES'!$H$23),EXACT('92_REF_VARIABLES'!$B$21,'01_INPUT_COMPANIES'!$D$23),EXACT('92_REF_VARIABLES'!$C$21,'01_INPUT_COMPANIES'!$G$23))),FALSE)),"ERROR: BENCHMARK",""))))))</x:f>
      </x:c>
    </x:row>
    <x:row r="24">
      <x:c r="A24" s="34" t="str">
        <x:f>IF(OR('01_INPUT_COMPANIES'!$A$24="",'01_INPUT_COMPANIES'!$A$24=""),"",'01_INPUT_COMPANIES'!$A$24)</x:f>
      </x:c>
      <x:c r="B24" s="34" t="str">
        <x:f>IF(OR('01_INPUT_COMPANIES'!$A$24="",'01_INPUT_COMPANIES'!$B$24=""),"",'01_INPUT_COMPANIES'!$B$24)</x:f>
      </x:c>
      <x:c r="C24" s="34" t="str">
        <x:f>IF(OR('01_INPUT_COMPANIES'!$A$24="",'01_INPUT_COMPANIES'!$C$24=""),"",'01_INPUT_COMPANIES'!$C$24)</x:f>
      </x:c>
      <x:c r="D24" s="34" t="str">
        <x:f>IF(OR('01_INPUT_COMPANIES'!$A$24="",'01_INPUT_COMPANIES'!$D$24=""),"",'01_INPUT_COMPANIES'!$D$24)</x:f>
      </x:c>
      <x:c r="E24" s="34" t="str">
        <x:f>IF(OR('01_INPUT_COMPANIES'!$A$24="",'01_INPUT_COMPANIES'!$E$24=""),"",'01_INPUT_COMPANIES'!$E$24)</x:f>
      </x:c>
      <x:c r="F24" s="34" t="str">
        <x:f>IF(OR('01_INPUT_COMPANIES'!$A$24="",'01_INPUT_COMPANIES'!$F$24=""),"",'01_INPUT_COMPANIES'!$F$24)</x:f>
      </x:c>
      <x:c r="G24" s="34" t="str">
        <x:f>IF(OR('01_INPUT_COMPANIES'!$A$24="",'01_INPUT_COMPANIES'!$G$24=""),"",'01_INPUT_COMPANIES'!$G$24)</x:f>
      </x:c>
      <x:c r="H24" s="34" t="str">
        <x:f>IF(OR('01_INPUT_COMPANIES'!$A$24="",'01_INPUT_COMPANIES'!$H$24=""),"",'01_INPUT_COMPANIES'!$H$24)</x:f>
      </x:c>
      <x:c r="I24" s="34" t="str">
        <x:f>IF(OR('01_INPUT_COMPANIES'!$A$24="",'01_INPUT_COMPANIES'!$K$24=""),"",'01_INPUT_COMPANIES'!$K$24)</x:f>
      </x:c>
      <x:c r="J24" s="34" t="str">
        <x:f>IF(OR('01_INPUT_COMPANIES'!$A$24="",'01_INPUT_COMPANIES'!$M$24=""),"",'01_INPUT_COMPANIES'!$M$24)</x:f>
      </x:c>
      <x:c r="K24" s="34" t="str">
        <x:f>IF(OR(A24="",COUNTBLANK(D24:H24)&gt;0),"",LEN(D24)&amp;":"&amp;D24&amp;LEN(E24)&amp;":"&amp;E24&amp;LEN(F24)&amp;":"&amp;F24&amp;LEN(G24)&amp;":"&amp;G24&amp;LEN(H24)&amp;":"&amp;H24)</x:f>
      </x:c>
      <x:c r="L24" s="47" t="str">
        <x:f>IF(A24="","",'90_CALC_FEATURES'!$I$177)</x:f>
      </x:c>
      <x:c r="M24" s="47" t="str">
        <x:f>IF(A24="","",'90_CALC_FEATURES'!$I$178)</x:f>
      </x:c>
      <x:c r="N24" s="47" t="str">
        <x:f>IF(A24="","",'90_CALC_FEATURES'!$I$179)</x:f>
      </x:c>
      <x:c r="O24" s="47" t="str">
        <x:f>IF(A24="","",'90_CALC_FEATURES'!$I$180)</x:f>
      </x:c>
      <x:c r="P24" s="47" t="str">
        <x:f>IF(A24="","",'90_CALC_FEATURES'!$I$181)</x:f>
      </x:c>
      <x:c r="Q24" s="47" t="str">
        <x:f>IF(A24="","",'90_CALC_FEATURES'!$I$182)</x:f>
      </x:c>
      <x:c r="R24" s="47" t="str">
        <x:f>IF(A24="","",'90_CALC_FEATURES'!$I$183)</x:f>
      </x:c>
      <x:c r="S24" s="47" t="str">
        <x:f>IF(A24="","",'90_CALC_FEATURES'!$I$184)</x:f>
      </x:c>
      <x:c r="T24" s="47" t="str">
        <x:f>IF(A24="","",'90_CALC_FEATURES'!$I$185)</x:f>
      </x:c>
      <x:c r="U24" s="47" t="str">
        <x:f>IF(A24="","",'90_CALC_FEATURES'!$I$186)</x:f>
      </x:c>
      <x:c r="V24" s="47" t="str">
        <x:f>IF(COUNT(L24:N24)=3,100*AVERAGE(L24:N24),"")</x:f>
      </x:c>
      <x:c r="W24" s="47" t="str">
        <x:f>IF(COUNT(O24:R24)=4,100*AVERAGE(O24:R24),"")</x:f>
      </x:c>
      <x:c r="X24" s="47" t="str">
        <x:f>IF(COUNT(S24:U24)=3,100*AVERAGE(S24:U24),"")</x:f>
      </x:c>
      <x:c r="Y24" s="47" t="str">
        <x:f>IF(COUNT(V24:X24)=3,AVERAGE(V24:X24),"")</x:f>
      </x:c>
      <x:c r="Z24" s="47" t="str">
        <x:f>IF(OR(AND(EXACT(A24,"SYN-A"),COUNT('01_INPUT_COMPANIES'!$T$24:$AC$24)=10,'01_INPUT_COMPANIES'!$T$24=-0.02,'01_INPUT_COMPANIES'!$U$24=0.1332,'01_INPUT_COMPANIES'!$V$24=0.18,'01_INPUT_COMPANIES'!$W$24=0.42,'01_INPUT_COMPANIES'!$X$24=0.012,'01_INPUT_COMPANIES'!$Y$24=3.2,'01_INPUT_COMPANIES'!$Z$24=0.08,'01_INPUT_COMPANIES'!$AA$24=0.28,'01_INPUT_COMPANIES'!$AB$24=0.74,'01_INPUT_COMPANIES'!$AC$24=8.5),AND(EXACT(A24,"SYN-B"),COUNT('01_INPUT_COMPANIES'!$T$24:$AC$24)=10,'01_INPUT_COMPANIES'!$T$24=-0.055,'01_INPUT_COMPANIES'!$U$24=0.06405,'01_INPUT_COMPANIES'!$V$24=0.105,'01_INPUT_COMPANIES'!$W$24=0.73,'01_INPUT_COMPANIES'!$X$24=0.004,'01_INPUT_COMPANIES'!$Y$24=4.1,'01_INPUT_COMPANIES'!$Z$24=0.025,'01_INPUT_COMPANIES'!$AA$24=0.16,'01_INPUT_COMPANIES'!$AB$24=0.61,'01_INPUT_COMPANIES'!$AC$24=4),AND(EXACT(A24,"SYN-C"),COUNT('01_INPUT_COMPANIES'!$T$24:$AC$24)=10,'01_INPUT_COMPANIES'!$T$24=0.01,'01_INPUT_COMPANIES'!$U$24=0.0986,'01_INPUT_COMPANIES'!$V$24=0.145,'01_INPUT_COMPANIES'!$W$24=0.18,'01_INPUT_COMPANIES'!$X$24=0.018,'01_INPUT_COMPANIES'!$Y$24=2.65,'01_INPUT_COMPANIES'!$Z$24=0.11,'01_INPUT_COMPANIES'!$AA$24=0.34,'01_INPUT_COMPANIES'!$AB$24=0.68,'01_INPUT_COMPANIES'!$AC$24=6.8),AND(EXACT(A24,"SYN-D"),COUNT('01_INPUT_COMPANIES'!$T$24:$AC$24)=10,'01_INPUT_COMPANIES'!$T$24=-0.005,'01_INPUT_COMPANIES'!$U$24=0.1136,'01_INPUT_COMPANIES'!$V$24=0.16,'01_INPUT_COMPANIES'!$W$24=0.51,'01_INPUT_COMPANIES'!$X$24=0.009,'01_INPUT_COMPANIES'!$Y$24=3.55,'01_INPUT_COMPANIES'!$Z$24=0.065,'01_INPUT_COMPANIES'!$AA$24=0.24,'01_INPUT_COMPANIES'!$AB$24=0.71,'01_INPUT_COMPANIES'!$AC$24=7.4)),IFERROR(INDEX('94_EXPECTED_OUTPUTS'!$B$7:$B$10,MATCH(A24,'94_EXPECTED_OUTPUTS'!$A$7:$A$10,0)),""),"")</x:f>
      </x:c>
      <x:c r="AA24" s="47" t="str">
        <x:f>IF(OR(COUNT(Y24)=0,COUNT(Z24)=0),"",ABS(Y24-Z24))</x:f>
      </x:c>
      <x:c r="AB24" s="34" t="str">
        <x:f>IF(A24="","",IF(AD24&lt;&gt;"",AD24,IF('01_INPUT_COMPANIES'!$A$24="","",IF(OR(LEN(TRIM('01_INPUT_COMPANIES'!$A$24&amp;""))=0,LEN(TRIM('01_INPUT_COMPANIES'!$B$24&amp;""))=0,LEN(TRIM('01_INPUT_COMPANIES'!$C$24&amp;""))=0,LEN(TRIM('01_INPUT_COMPANIES'!$D$24&amp;""))=0,LEN(TRIM('01_INPUT_COMPANIES'!$E$24&amp;""))=0,LEN(TRIM('01_INPUT_COMPANIES'!$F$24&amp;""))=0,LEN(TRIM('01_INPUT_COMPANIES'!$G$24&amp;""))=0,LEN(TRIM('01_INPUT_COMPANIES'!$H$24&amp;""))=0,LEN(TRIM('01_INPUT_COMPANIES'!$I$24&amp;""))=0,LEN(TRIM('01_INPUT_COMPANIES'!$K$24&amp;""))=0,LEN(TRIM('01_INPUT_COMPANIES'!$L$24&amp;""))=0,LEN(TRIM('01_INPUT_COMPANIES'!$M$24&amp;""))=0,LEN(TRIM('01_INPUT_COMPANIES'!$N$24&amp;""))=0,LEN(TRIM('01_INPUT_COMPANIES'!$O$24&amp;""))=0,LEN(TRIM('01_INPUT_COMPANIES'!$Q$24&amp;""))=0,COUNTBLANK('01_INPUT_COMPANIES'!$A$24:$R$24)&gt;0),"INPUT REQUIRED",IF(OR('01_INPUT_COMPANIES'!$A$24&lt;&gt;TRIM('01_INPUT_COMPANIES'!$A$24),NOT(EXACT('01_INPUT_COMPANIES'!$A$24,UPPER('01_INPUT_COMPANIES'!$A$24))),LEN('01_INPUT_COMPANIES'!$A$24)&gt;64,ISNUMBER(FIND("*",'01_INPUT_COMPANIES'!$A$24)),ISNUMBER(FIND("?",'01_INPUT_COMPANIES'!$A$24)),ISNUMBER(FIND("~",'01_INPUT_COMPANIES'!$A$24))),"ERROR: ID FORMAT",IF(COUNTIF('01_INPUT_COMPANIES'!$A$7:$A$106,'01_INPUT_COMPANIES'!$A$24)&lt;&gt;1,"ERROR: DUPLICATE ID",IF(COUNT('01_INPUT_COMPANIES'!$T$24:$AC$24)&lt;&gt;10,"INPUT REQUIRED",IF(NOT(OR('01_INPUT_COMPANIES'!$C$24="domestic",'01_INPUT_COMPANIES'!$C$24="foreign",'01_INPUT_COMPANIES'!$C$24="other")),"ERROR: COMPANY GROUP",IF(OR(LEN('01_INPUT_COMPANIES'!$G$24)&lt;&gt;6,MID('01_INPUT_COMPANIES'!$G$24,5,1)&lt;&gt;"Q",IFERROR(VALUE(LEFT('01_INPUT_COMPANIES'!$G$24,4)),0)&lt;2000,IFERROR(VALUE(LEFT('01_INPUT_COMPANIES'!$G$24,4)),0)&gt;2100,IFERROR(VALUE(RIGHT('01_INPUT_COMPANIES'!$G$24,1)),0)&lt;1,IFERROR(VALUE(RIGHT('01_INPUT_COMPANIES'!$G$24,1)),0)&gt;4),"ERROR: REPORTING PERIOD",IF(OR(COUNTIFS('92_REF_VARIABLES'!$A$21:$A$21,'01_INPUT_COMPANIES'!$H$24,'92_REF_VARIABLES'!$B$21:$B$21,'01_INPUT_COMPANIES'!$D$24,'92_REF_VARIABLES'!$C$21:$C$21,'01_INPUT_COMPANIES'!$G$24)&lt;&gt;1,AND(IFERROR(INDEX('92_REF_VARIABLES'!$I$21:$I$21,MATCH('01_INPUT_COMPANIES'!$H$24,'92_REF_VARIABLES'!$A$21:$A$21,0)),"")="synthetic_only",'01_INPUT_COMPANIES'!$L$24&lt;&gt;"yes")),"ERROR: BENCHMARK",IF(COUNTIF('92_REF_VARIABLES'!$L$21:$L$50,'01_INPUT_COMPANIES'!$I$24)&lt;&gt;1,"ERROR: CURRENCY",IF(OR(NOT(ISNUMBER('01_INPUT_COMPANIES'!$J$24)),'01_INPUT_COMPANIES'!$J$24&lt;&gt;INT('01_INPUT_COMPANIES'!$J$24),'01_INPUT_COMPANIES'!$J$24&lt;2000,'01_INPUT_COMPANIES'!$J$24&gt;2100),"ERROR: PRICE YEAR",IF(NOT(OR('01_INPUT_COMPANIES'!$K$24="A",'01_INPUT_COMPANIES'!$K$24="B",'01_INPUT_COMPANIES'!$K$24="C",'01_INPUT_COMPANIES'!$K$24="SYNTHETIC")),"ERROR: QUALITY",IF(NOT(OR(AND('01_INPUT_COMPANIES'!$L$24="yes",'01_INPUT_COMPANIES'!$K$24="SYNTHETIC"),AND('01_INPUT_COMPANIES'!$L$24="no",'01_INPUT_COMPANIES'!$K$24&lt;&gt;"SYNTHETIC"))),"ERROR: SYNTHETIC FLAG",IF(NOT(OR('01_INPUT_COMPANIES'!$M$24="direct",'01_INPUT_COMPANIES'!$M$24="derived",'01_INPUT_COMPANIES'!$M$24="proxy",'01_INPUT_COMPANIES'!$M$24="mixed")),"ERROR: CONSTRUCTION MODE",IF(OR(NOT(ISNUMBER('01_INPUT_COMPANIES'!$P$24)),'01_INPUT_COMPANIES'!$P$24&lt;0,'01_INPUT_COMPANIES'!$P$24&lt;&gt;INT('01_INPUT_COMPANIES'!$P$24)),"ERROR: CARRY LAG",IF('01_INPUT_COMPANIES'!$Q$24&lt;&gt;"yes","ERROR: EXPOSURE ADJUSTMENT",IF(OR(NOT(ISNUMBER('01_INPUT_COMPANIES'!$R$24)),'01_INPUT_COMPANIES'!$R$24&lt;0,'01_INPUT_COMPANIES'!$R$24&gt;1),"ERROR: EXPOSURE FACTOR",IF(COUNT(Y24)=0,"ERROR: SCORE",IF(COUNT(Z24)=0,"READY",IF(AA24&lt;=0.0000000001,"PASS","CHECK"))&amp;IF('01_INPUT_COMPANIES'!$K$24="C"," | C QUALITY","")&amp;IF(OR('01_INPUT_COMPANIES'!$M$24="proxy",'01_INPUT_COMPANIES'!$M$24="mixed")," | PROXY/MIXED","")&amp;IF('01_INPUT_COMPANIES'!$P$24&gt;1," | CARRY&gt;1","")&amp;IF(OR(OR('01_INPUT_COMPANIES'!$T$24&lt;-1,'01_INPUT_COMPANIES'!$T$24&gt;1),OR('01_INPUT_COMPANIES'!$U$24&lt;0,'01_INPUT_COMPANIES'!$U$24&gt;1),OR('01_INPUT_COMPANIES'!$V$24&lt;0,'01_INPUT_COMPANIES'!$V$24&gt;1),OR('01_INPUT_COMPANIES'!$W$24&lt;-10,'01_INPUT_COMPANIES'!$W$24&gt;10),OR('01_INPUT_COMPANIES'!$X$24&lt;-1,'01_INPUT_COMPANIES'!$X$24&gt;1),OR('01_INPUT_COMPANIES'!$Y$24&lt;0,'01_INPUT_COMPANIES'!$Y$24&gt;20),OR('01_INPUT_COMPANIES'!$Z$24&lt;-2,'01_INPUT_COMPANIES'!$Z$24&gt;2),OR('01_INPUT_COMPANIES'!$AA$24&lt;0,'01_INPUT_COMPANIES'!$AA$24&gt;1),OR('01_INPUT_COMPANIES'!$AB$24&lt;0,'01_INPUT_COMPANIES'!$AB$24&gt;1),OR('01_INPUT_COMPANIES'!$AC$24&lt;0,'01_INPUT_COMPANIES'!$AC$24&gt;50))," | REVIEW RANGE","")&amp;IF(COUNTIF('90_CALC_FEATURES'!$J$177:$J$186,"WINSORIZED*")&gt;0," | WINSORIZED","")&amp;IF(ABS('01_INPUT_COMPANIES'!$U$24-'01_INPUT_COMPANIES'!$V$24*'01_INPUT_COMPANIES'!$AB$24)&gt;MAX(0.005,0.05*MAX(ABS('01_INPUT_COMPANIES'!$V$24*'01_INPUT_COMPANIES'!$AB$24),ABS('01_INPUT_COMPANIES'!$U$24),0.000000000001))," | DEPENDENCY",""))))))))))))))))))))</x:f>
      </x:c>
      <x:c r="AC24" s="34" t="str">
        <x:f>IF(A24="","",IF(OR(LEFT(AB24,4)="PASS",LEFT(AB24,5)="READY"),"RESEARCH BETA | 저지원 22.22% | 기업 백분위 N/A", "결과 사용 금지 | "&amp;AB24))</x:f>
      </x:c>
      <x:c r="AD24" s="34" t="str">
        <x:f>IF(A24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$24,TRIM('01_INPUT_COMPANIES'!$D$24)),EXACT('01_INPUT_COMPANIES'!$E$24,TRIM('01_INPUT_COMPANIES'!$E$24)),EXACT('01_INPUT_COMPANIES'!$F$24,TRIM('01_INPUT_COMPANIES'!$F$24)),EXACT('01_INPUT_COMPANIES'!$G$24,TRIM('01_INPUT_COMPANIES'!$G$24)),EXACT('01_INPUT_COMPANIES'!$H$24,TRIM('01_INPUT_COMPANIES'!$H$24)))),"ERROR: COHORT WHITESPACE",IF(NOT(IFERROR(AND(ISTEXT('01_INPUT_COMPANIES'!$O$24),LEN('01_INPUT_COMPANIES'!$O$24)=10,VALUE(LEFT('01_INPUT_COMPANIES'!$O$24,4))&gt;=2000,VALUE(LEFT('01_INPUT_COMPANIES'!$O$24,4))&lt;=2100,EXACT(TEXT(DATE(VALUE(LEFT('01_INPUT_COMPANIES'!$O$24,4)),VALUE(MID('01_INPUT_COMPANIES'!$O$24,6,2)),VALUE(RIGHT('01_INPUT_COMPANIES'!$O$24,2))),"yyyy-mm-dd"),'01_INPUT_COMPANIES'!$O$24)),FALSE)),"ERROR: SOURCE DATE",IF(NOT(AND(OR(EXACT('01_INPUT_COMPANIES'!$C$24,"domestic"),EXACT('01_INPUT_COMPANIES'!$C$24,"foreign"),EXACT('01_INPUT_COMPANIES'!$C$24,"other")),OR(EXACT('01_INPUT_COMPANIES'!$K$24,"A"),EXACT('01_INPUT_COMPANIES'!$K$24,"B"),EXACT('01_INPUT_COMPANIES'!$K$24,"C"),EXACT('01_INPUT_COMPANIES'!$K$24,"SYNTHETIC")),OR(EXACT('01_INPUT_COMPANIES'!$L$24,"yes"),EXACT('01_INPUT_COMPANIES'!$L$24,"no")),OR(EXACT('01_INPUT_COMPANIES'!$M$24,"direct"),EXACT('01_INPUT_COMPANIES'!$M$24,"derived"),EXACT('01_INPUT_COMPANIES'!$M$24,"proxy"),EXACT('01_INPUT_COMPANIES'!$M$24,"mixed")),OR(EXACT('01_INPUT_COMPANIES'!$Q$24,"yes")),EXACT('01_INPUT_COMPANIES'!$I$24,UPPER('01_INPUT_COMPANIES'!$I$24)))),"ERROR: EXACT ENUM",IF(NOT(IFERROR(OR(AND(EXACT('92_REF_VARIABLES'!$A$21,'01_INPUT_COMPANIES'!$H$24),EXACT('92_REF_VARIABLES'!$B$21,'01_INPUT_COMPANIES'!$D$24),EXACT('92_REF_VARIABLES'!$C$21,'01_INPUT_COMPANIES'!$G$24))),FALSE)),"ERROR: BENCHMARK",""))))))</x:f>
      </x:c>
    </x:row>
    <x:row r="25">
      <x:c r="A25" s="34" t="str">
        <x:f>IF(OR('01_INPUT_COMPANIES'!$A$25="",'01_INPUT_COMPANIES'!$A$25=""),"",'01_INPUT_COMPANIES'!$A$25)</x:f>
      </x:c>
      <x:c r="B25" s="34" t="str">
        <x:f>IF(OR('01_INPUT_COMPANIES'!$A$25="",'01_INPUT_COMPANIES'!$B$25=""),"",'01_INPUT_COMPANIES'!$B$25)</x:f>
      </x:c>
      <x:c r="C25" s="34" t="str">
        <x:f>IF(OR('01_INPUT_COMPANIES'!$A$25="",'01_INPUT_COMPANIES'!$C$25=""),"",'01_INPUT_COMPANIES'!$C$25)</x:f>
      </x:c>
      <x:c r="D25" s="34" t="str">
        <x:f>IF(OR('01_INPUT_COMPANIES'!$A$25="",'01_INPUT_COMPANIES'!$D$25=""),"",'01_INPUT_COMPANIES'!$D$25)</x:f>
      </x:c>
      <x:c r="E25" s="34" t="str">
        <x:f>IF(OR('01_INPUT_COMPANIES'!$A$25="",'01_INPUT_COMPANIES'!$E$25=""),"",'01_INPUT_COMPANIES'!$E$25)</x:f>
      </x:c>
      <x:c r="F25" s="34" t="str">
        <x:f>IF(OR('01_INPUT_COMPANIES'!$A$25="",'01_INPUT_COMPANIES'!$F$25=""),"",'01_INPUT_COMPANIES'!$F$25)</x:f>
      </x:c>
      <x:c r="G25" s="34" t="str">
        <x:f>IF(OR('01_INPUT_COMPANIES'!$A$25="",'01_INPUT_COMPANIES'!$G$25=""),"",'01_INPUT_COMPANIES'!$G$25)</x:f>
      </x:c>
      <x:c r="H25" s="34" t="str">
        <x:f>IF(OR('01_INPUT_COMPANIES'!$A$25="",'01_INPUT_COMPANIES'!$H$25=""),"",'01_INPUT_COMPANIES'!$H$25)</x:f>
      </x:c>
      <x:c r="I25" s="34" t="str">
        <x:f>IF(OR('01_INPUT_COMPANIES'!$A$25="",'01_INPUT_COMPANIES'!$K$25=""),"",'01_INPUT_COMPANIES'!$K$25)</x:f>
      </x:c>
      <x:c r="J25" s="34" t="str">
        <x:f>IF(OR('01_INPUT_COMPANIES'!$A$25="",'01_INPUT_COMPANIES'!$M$25=""),"",'01_INPUT_COMPANIES'!$M$25)</x:f>
      </x:c>
      <x:c r="K25" s="34" t="str">
        <x:f>IF(OR(A25="",COUNTBLANK(D25:H25)&gt;0),"",LEN(D25)&amp;":"&amp;D25&amp;LEN(E25)&amp;":"&amp;E25&amp;LEN(F25)&amp;":"&amp;F25&amp;LEN(G25)&amp;":"&amp;G25&amp;LEN(H25)&amp;":"&amp;H25)</x:f>
      </x:c>
      <x:c r="L25" s="47" t="str">
        <x:f>IF(A25="","",'90_CALC_FEATURES'!$I$187)</x:f>
      </x:c>
      <x:c r="M25" s="47" t="str">
        <x:f>IF(A25="","",'90_CALC_FEATURES'!$I$188)</x:f>
      </x:c>
      <x:c r="N25" s="47" t="str">
        <x:f>IF(A25="","",'90_CALC_FEATURES'!$I$189)</x:f>
      </x:c>
      <x:c r="O25" s="47" t="str">
        <x:f>IF(A25="","",'90_CALC_FEATURES'!$I$190)</x:f>
      </x:c>
      <x:c r="P25" s="47" t="str">
        <x:f>IF(A25="","",'90_CALC_FEATURES'!$I$191)</x:f>
      </x:c>
      <x:c r="Q25" s="47" t="str">
        <x:f>IF(A25="","",'90_CALC_FEATURES'!$I$192)</x:f>
      </x:c>
      <x:c r="R25" s="47" t="str">
        <x:f>IF(A25="","",'90_CALC_FEATURES'!$I$193)</x:f>
      </x:c>
      <x:c r="S25" s="47" t="str">
        <x:f>IF(A25="","",'90_CALC_FEATURES'!$I$194)</x:f>
      </x:c>
      <x:c r="T25" s="47" t="str">
        <x:f>IF(A25="","",'90_CALC_FEATURES'!$I$195)</x:f>
      </x:c>
      <x:c r="U25" s="47" t="str">
        <x:f>IF(A25="","",'90_CALC_FEATURES'!$I$196)</x:f>
      </x:c>
      <x:c r="V25" s="47" t="str">
        <x:f>IF(COUNT(L25:N25)=3,100*AVERAGE(L25:N25),"")</x:f>
      </x:c>
      <x:c r="W25" s="47" t="str">
        <x:f>IF(COUNT(O25:R25)=4,100*AVERAGE(O25:R25),"")</x:f>
      </x:c>
      <x:c r="X25" s="47" t="str">
        <x:f>IF(COUNT(S25:U25)=3,100*AVERAGE(S25:U25),"")</x:f>
      </x:c>
      <x:c r="Y25" s="47" t="str">
        <x:f>IF(COUNT(V25:X25)=3,AVERAGE(V25:X25),"")</x:f>
      </x:c>
      <x:c r="Z25" s="47" t="str">
        <x:f>IF(OR(AND(EXACT(A25,"SYN-A"),COUNT('01_INPUT_COMPANIES'!$T$25:$AC$25)=10,'01_INPUT_COMPANIES'!$T$25=-0.02,'01_INPUT_COMPANIES'!$U$25=0.1332,'01_INPUT_COMPANIES'!$V$25=0.18,'01_INPUT_COMPANIES'!$W$25=0.42,'01_INPUT_COMPANIES'!$X$25=0.012,'01_INPUT_COMPANIES'!$Y$25=3.2,'01_INPUT_COMPANIES'!$Z$25=0.08,'01_INPUT_COMPANIES'!$AA$25=0.28,'01_INPUT_COMPANIES'!$AB$25=0.74,'01_INPUT_COMPANIES'!$AC$25=8.5),AND(EXACT(A25,"SYN-B"),COUNT('01_INPUT_COMPANIES'!$T$25:$AC$25)=10,'01_INPUT_COMPANIES'!$T$25=-0.055,'01_INPUT_COMPANIES'!$U$25=0.06405,'01_INPUT_COMPANIES'!$V$25=0.105,'01_INPUT_COMPANIES'!$W$25=0.73,'01_INPUT_COMPANIES'!$X$25=0.004,'01_INPUT_COMPANIES'!$Y$25=4.1,'01_INPUT_COMPANIES'!$Z$25=0.025,'01_INPUT_COMPANIES'!$AA$25=0.16,'01_INPUT_COMPANIES'!$AB$25=0.61,'01_INPUT_COMPANIES'!$AC$25=4),AND(EXACT(A25,"SYN-C"),COUNT('01_INPUT_COMPANIES'!$T$25:$AC$25)=10,'01_INPUT_COMPANIES'!$T$25=0.01,'01_INPUT_COMPANIES'!$U$25=0.0986,'01_INPUT_COMPANIES'!$V$25=0.145,'01_INPUT_COMPANIES'!$W$25=0.18,'01_INPUT_COMPANIES'!$X$25=0.018,'01_INPUT_COMPANIES'!$Y$25=2.65,'01_INPUT_COMPANIES'!$Z$25=0.11,'01_INPUT_COMPANIES'!$AA$25=0.34,'01_INPUT_COMPANIES'!$AB$25=0.68,'01_INPUT_COMPANIES'!$AC$25=6.8),AND(EXACT(A25,"SYN-D"),COUNT('01_INPUT_COMPANIES'!$T$25:$AC$25)=10,'01_INPUT_COMPANIES'!$T$25=-0.005,'01_INPUT_COMPANIES'!$U$25=0.1136,'01_INPUT_COMPANIES'!$V$25=0.16,'01_INPUT_COMPANIES'!$W$25=0.51,'01_INPUT_COMPANIES'!$X$25=0.009,'01_INPUT_COMPANIES'!$Y$25=3.55,'01_INPUT_COMPANIES'!$Z$25=0.065,'01_INPUT_COMPANIES'!$AA$25=0.24,'01_INPUT_COMPANIES'!$AB$25=0.71,'01_INPUT_COMPANIES'!$AC$25=7.4)),IFERROR(INDEX('94_EXPECTED_OUTPUTS'!$B$7:$B$10,MATCH(A25,'94_EXPECTED_OUTPUTS'!$A$7:$A$10,0)),""),"")</x:f>
      </x:c>
      <x:c r="AA25" s="47" t="str">
        <x:f>IF(OR(COUNT(Y25)=0,COUNT(Z25)=0),"",ABS(Y25-Z25))</x:f>
      </x:c>
      <x:c r="AB25" s="34" t="str">
        <x:f>IF(A25="","",IF(AD25&lt;&gt;"",AD25,IF('01_INPUT_COMPANIES'!$A$25="","",IF(OR(LEN(TRIM('01_INPUT_COMPANIES'!$A$25&amp;""))=0,LEN(TRIM('01_INPUT_COMPANIES'!$B$25&amp;""))=0,LEN(TRIM('01_INPUT_COMPANIES'!$C$25&amp;""))=0,LEN(TRIM('01_INPUT_COMPANIES'!$D$25&amp;""))=0,LEN(TRIM('01_INPUT_COMPANIES'!$E$25&amp;""))=0,LEN(TRIM('01_INPUT_COMPANIES'!$F$25&amp;""))=0,LEN(TRIM('01_INPUT_COMPANIES'!$G$25&amp;""))=0,LEN(TRIM('01_INPUT_COMPANIES'!$H$25&amp;""))=0,LEN(TRIM('01_INPUT_COMPANIES'!$I$25&amp;""))=0,LEN(TRIM('01_INPUT_COMPANIES'!$K$25&amp;""))=0,LEN(TRIM('01_INPUT_COMPANIES'!$L$25&amp;""))=0,LEN(TRIM('01_INPUT_COMPANIES'!$M$25&amp;""))=0,LEN(TRIM('01_INPUT_COMPANIES'!$N$25&amp;""))=0,LEN(TRIM('01_INPUT_COMPANIES'!$O$25&amp;""))=0,LEN(TRIM('01_INPUT_COMPANIES'!$Q$25&amp;""))=0,COUNTBLANK('01_INPUT_COMPANIES'!$A$25:$R$25)&gt;0),"INPUT REQUIRED",IF(OR('01_INPUT_COMPANIES'!$A$25&lt;&gt;TRIM('01_INPUT_COMPANIES'!$A$25),NOT(EXACT('01_INPUT_COMPANIES'!$A$25,UPPER('01_INPUT_COMPANIES'!$A$25))),LEN('01_INPUT_COMPANIES'!$A$25)&gt;64,ISNUMBER(FIND("*",'01_INPUT_COMPANIES'!$A$25)),ISNUMBER(FIND("?",'01_INPUT_COMPANIES'!$A$25)),ISNUMBER(FIND("~",'01_INPUT_COMPANIES'!$A$25))),"ERROR: ID FORMAT",IF(COUNTIF('01_INPUT_COMPANIES'!$A$7:$A$106,'01_INPUT_COMPANIES'!$A$25)&lt;&gt;1,"ERROR: DUPLICATE ID",IF(COUNT('01_INPUT_COMPANIES'!$T$25:$AC$25)&lt;&gt;10,"INPUT REQUIRED",IF(NOT(OR('01_INPUT_COMPANIES'!$C$25="domestic",'01_INPUT_COMPANIES'!$C$25="foreign",'01_INPUT_COMPANIES'!$C$25="other")),"ERROR: COMPANY GROUP",IF(OR(LEN('01_INPUT_COMPANIES'!$G$25)&lt;&gt;6,MID('01_INPUT_COMPANIES'!$G$25,5,1)&lt;&gt;"Q",IFERROR(VALUE(LEFT('01_INPUT_COMPANIES'!$G$25,4)),0)&lt;2000,IFERROR(VALUE(LEFT('01_INPUT_COMPANIES'!$G$25,4)),0)&gt;2100,IFERROR(VALUE(RIGHT('01_INPUT_COMPANIES'!$G$25,1)),0)&lt;1,IFERROR(VALUE(RIGHT('01_INPUT_COMPANIES'!$G$25,1)),0)&gt;4),"ERROR: REPORTING PERIOD",IF(OR(COUNTIFS('92_REF_VARIABLES'!$A$21:$A$21,'01_INPUT_COMPANIES'!$H$25,'92_REF_VARIABLES'!$B$21:$B$21,'01_INPUT_COMPANIES'!$D$25,'92_REF_VARIABLES'!$C$21:$C$21,'01_INPUT_COMPANIES'!$G$25)&lt;&gt;1,AND(IFERROR(INDEX('92_REF_VARIABLES'!$I$21:$I$21,MATCH('01_INPUT_COMPANIES'!$H$25,'92_REF_VARIABLES'!$A$21:$A$21,0)),"")="synthetic_only",'01_INPUT_COMPANIES'!$L$25&lt;&gt;"yes")),"ERROR: BENCHMARK",IF(COUNTIF('92_REF_VARIABLES'!$L$21:$L$50,'01_INPUT_COMPANIES'!$I$25)&lt;&gt;1,"ERROR: CURRENCY",IF(OR(NOT(ISNUMBER('01_INPUT_COMPANIES'!$J$25)),'01_INPUT_COMPANIES'!$J$25&lt;&gt;INT('01_INPUT_COMPANIES'!$J$25),'01_INPUT_COMPANIES'!$J$25&lt;2000,'01_INPUT_COMPANIES'!$J$25&gt;2100),"ERROR: PRICE YEAR",IF(NOT(OR('01_INPUT_COMPANIES'!$K$25="A",'01_INPUT_COMPANIES'!$K$25="B",'01_INPUT_COMPANIES'!$K$25="C",'01_INPUT_COMPANIES'!$K$25="SYNTHETIC")),"ERROR: QUALITY",IF(NOT(OR(AND('01_INPUT_COMPANIES'!$L$25="yes",'01_INPUT_COMPANIES'!$K$25="SYNTHETIC"),AND('01_INPUT_COMPANIES'!$L$25="no",'01_INPUT_COMPANIES'!$K$25&lt;&gt;"SYNTHETIC"))),"ERROR: SYNTHETIC FLAG",IF(NOT(OR('01_INPUT_COMPANIES'!$M$25="direct",'01_INPUT_COMPANIES'!$M$25="derived",'01_INPUT_COMPANIES'!$M$25="proxy",'01_INPUT_COMPANIES'!$M$25="mixed")),"ERROR: CONSTRUCTION MODE",IF(OR(NOT(ISNUMBER('01_INPUT_COMPANIES'!$P$25)),'01_INPUT_COMPANIES'!$P$25&lt;0,'01_INPUT_COMPANIES'!$P$25&lt;&gt;INT('01_INPUT_COMPANIES'!$P$25)),"ERROR: CARRY LAG",IF('01_INPUT_COMPANIES'!$Q$25&lt;&gt;"yes","ERROR: EXPOSURE ADJUSTMENT",IF(OR(NOT(ISNUMBER('01_INPUT_COMPANIES'!$R$25)),'01_INPUT_COMPANIES'!$R$25&lt;0,'01_INPUT_COMPANIES'!$R$25&gt;1),"ERROR: EXPOSURE FACTOR",IF(COUNT(Y25)=0,"ERROR: SCORE",IF(COUNT(Z25)=0,"READY",IF(AA25&lt;=0.0000000001,"PASS","CHECK"))&amp;IF('01_INPUT_COMPANIES'!$K$25="C"," | C QUALITY","")&amp;IF(OR('01_INPUT_COMPANIES'!$M$25="proxy",'01_INPUT_COMPANIES'!$M$25="mixed")," | PROXY/MIXED","")&amp;IF('01_INPUT_COMPANIES'!$P$25&gt;1," | CARRY&gt;1","")&amp;IF(OR(OR('01_INPUT_COMPANIES'!$T$25&lt;-1,'01_INPUT_COMPANIES'!$T$25&gt;1),OR('01_INPUT_COMPANIES'!$U$25&lt;0,'01_INPUT_COMPANIES'!$U$25&gt;1),OR('01_INPUT_COMPANIES'!$V$25&lt;0,'01_INPUT_COMPANIES'!$V$25&gt;1),OR('01_INPUT_COMPANIES'!$W$25&lt;-10,'01_INPUT_COMPANIES'!$W$25&gt;10),OR('01_INPUT_COMPANIES'!$X$25&lt;-1,'01_INPUT_COMPANIES'!$X$25&gt;1),OR('01_INPUT_COMPANIES'!$Y$25&lt;0,'01_INPUT_COMPANIES'!$Y$25&gt;20),OR('01_INPUT_COMPANIES'!$Z$25&lt;-2,'01_INPUT_COMPANIES'!$Z$25&gt;2),OR('01_INPUT_COMPANIES'!$AA$25&lt;0,'01_INPUT_COMPANIES'!$AA$25&gt;1),OR('01_INPUT_COMPANIES'!$AB$25&lt;0,'01_INPUT_COMPANIES'!$AB$25&gt;1),OR('01_INPUT_COMPANIES'!$AC$25&lt;0,'01_INPUT_COMPANIES'!$AC$25&gt;50))," | REVIEW RANGE","")&amp;IF(COUNTIF('90_CALC_FEATURES'!$J$187:$J$196,"WINSORIZED*")&gt;0," | WINSORIZED","")&amp;IF(ABS('01_INPUT_COMPANIES'!$U$25-'01_INPUT_COMPANIES'!$V$25*'01_INPUT_COMPANIES'!$AB$25)&gt;MAX(0.005,0.05*MAX(ABS('01_INPUT_COMPANIES'!$V$25*'01_INPUT_COMPANIES'!$AB$25),ABS('01_INPUT_COMPANIES'!$U$25),0.000000000001))," | DEPENDENCY",""))))))))))))))))))))</x:f>
      </x:c>
      <x:c r="AC25" s="34" t="str">
        <x:f>IF(A25="","",IF(OR(LEFT(AB25,4)="PASS",LEFT(AB25,5)="READY"),"RESEARCH BETA | 저지원 22.22% | 기업 백분위 N/A", "결과 사용 금지 | "&amp;AB25))</x:f>
      </x:c>
      <x:c r="AD25" s="34" t="str">
        <x:f>IF(A25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$25,TRIM('01_INPUT_COMPANIES'!$D$25)),EXACT('01_INPUT_COMPANIES'!$E$25,TRIM('01_INPUT_COMPANIES'!$E$25)),EXACT('01_INPUT_COMPANIES'!$F$25,TRIM('01_INPUT_COMPANIES'!$F$25)),EXACT('01_INPUT_COMPANIES'!$G$25,TRIM('01_INPUT_COMPANIES'!$G$25)),EXACT('01_INPUT_COMPANIES'!$H$25,TRIM('01_INPUT_COMPANIES'!$H$25)))),"ERROR: COHORT WHITESPACE",IF(NOT(IFERROR(AND(ISTEXT('01_INPUT_COMPANIES'!$O$25),LEN('01_INPUT_COMPANIES'!$O$25)=10,VALUE(LEFT('01_INPUT_COMPANIES'!$O$25,4))&gt;=2000,VALUE(LEFT('01_INPUT_COMPANIES'!$O$25,4))&lt;=2100,EXACT(TEXT(DATE(VALUE(LEFT('01_INPUT_COMPANIES'!$O$25,4)),VALUE(MID('01_INPUT_COMPANIES'!$O$25,6,2)),VALUE(RIGHT('01_INPUT_COMPANIES'!$O$25,2))),"yyyy-mm-dd"),'01_INPUT_COMPANIES'!$O$25)),FALSE)),"ERROR: SOURCE DATE",IF(NOT(AND(OR(EXACT('01_INPUT_COMPANIES'!$C$25,"domestic"),EXACT('01_INPUT_COMPANIES'!$C$25,"foreign"),EXACT('01_INPUT_COMPANIES'!$C$25,"other")),OR(EXACT('01_INPUT_COMPANIES'!$K$25,"A"),EXACT('01_INPUT_COMPANIES'!$K$25,"B"),EXACT('01_INPUT_COMPANIES'!$K$25,"C"),EXACT('01_INPUT_COMPANIES'!$K$25,"SYNTHETIC")),OR(EXACT('01_INPUT_COMPANIES'!$L$25,"yes"),EXACT('01_INPUT_COMPANIES'!$L$25,"no")),OR(EXACT('01_INPUT_COMPANIES'!$M$25,"direct"),EXACT('01_INPUT_COMPANIES'!$M$25,"derived"),EXACT('01_INPUT_COMPANIES'!$M$25,"proxy"),EXACT('01_INPUT_COMPANIES'!$M$25,"mixed")),OR(EXACT('01_INPUT_COMPANIES'!$Q$25,"yes")),EXACT('01_INPUT_COMPANIES'!$I$25,UPPER('01_INPUT_COMPANIES'!$I$25)))),"ERROR: EXACT ENUM",IF(NOT(IFERROR(OR(AND(EXACT('92_REF_VARIABLES'!$A$21,'01_INPUT_COMPANIES'!$H$25),EXACT('92_REF_VARIABLES'!$B$21,'01_INPUT_COMPANIES'!$D$25),EXACT('92_REF_VARIABLES'!$C$21,'01_INPUT_COMPANIES'!$G$25))),FALSE)),"ERROR: BENCHMARK",""))))))</x:f>
      </x:c>
    </x:row>
    <x:row r="26">
      <x:c r="A26" s="34" t="str">
        <x:f>IF(OR('01_INPUT_COMPANIES'!$A$26="",'01_INPUT_COMPANIES'!$A$26=""),"",'01_INPUT_COMPANIES'!$A$26)</x:f>
      </x:c>
      <x:c r="B26" s="34" t="str">
        <x:f>IF(OR('01_INPUT_COMPANIES'!$A$26="",'01_INPUT_COMPANIES'!$B$26=""),"",'01_INPUT_COMPANIES'!$B$26)</x:f>
      </x:c>
      <x:c r="C26" s="34" t="str">
        <x:f>IF(OR('01_INPUT_COMPANIES'!$A$26="",'01_INPUT_COMPANIES'!$C$26=""),"",'01_INPUT_COMPANIES'!$C$26)</x:f>
      </x:c>
      <x:c r="D26" s="34" t="str">
        <x:f>IF(OR('01_INPUT_COMPANIES'!$A$26="",'01_INPUT_COMPANIES'!$D$26=""),"",'01_INPUT_COMPANIES'!$D$26)</x:f>
      </x:c>
      <x:c r="E26" s="34" t="str">
        <x:f>IF(OR('01_INPUT_COMPANIES'!$A$26="",'01_INPUT_COMPANIES'!$E$26=""),"",'01_INPUT_COMPANIES'!$E$26)</x:f>
      </x:c>
      <x:c r="F26" s="34" t="str">
        <x:f>IF(OR('01_INPUT_COMPANIES'!$A$26="",'01_INPUT_COMPANIES'!$F$26=""),"",'01_INPUT_COMPANIES'!$F$26)</x:f>
      </x:c>
      <x:c r="G26" s="34" t="str">
        <x:f>IF(OR('01_INPUT_COMPANIES'!$A$26="",'01_INPUT_COMPANIES'!$G$26=""),"",'01_INPUT_COMPANIES'!$G$26)</x:f>
      </x:c>
      <x:c r="H26" s="34" t="str">
        <x:f>IF(OR('01_INPUT_COMPANIES'!$A$26="",'01_INPUT_COMPANIES'!$H$26=""),"",'01_INPUT_COMPANIES'!$H$26)</x:f>
      </x:c>
      <x:c r="I26" s="34" t="str">
        <x:f>IF(OR('01_INPUT_COMPANIES'!$A$26="",'01_INPUT_COMPANIES'!$K$26=""),"",'01_INPUT_COMPANIES'!$K$26)</x:f>
      </x:c>
      <x:c r="J26" s="34" t="str">
        <x:f>IF(OR('01_INPUT_COMPANIES'!$A$26="",'01_INPUT_COMPANIES'!$M$26=""),"",'01_INPUT_COMPANIES'!$M$26)</x:f>
      </x:c>
      <x:c r="K26" s="34" t="str">
        <x:f>IF(OR(A26="",COUNTBLANK(D26:H26)&gt;0),"",LEN(D26)&amp;":"&amp;D26&amp;LEN(E26)&amp;":"&amp;E26&amp;LEN(F26)&amp;":"&amp;F26&amp;LEN(G26)&amp;":"&amp;G26&amp;LEN(H26)&amp;":"&amp;H26)</x:f>
      </x:c>
      <x:c r="L26" s="47" t="str">
        <x:f>IF(A26="","",'90_CALC_FEATURES'!$I$197)</x:f>
      </x:c>
      <x:c r="M26" s="47" t="str">
        <x:f>IF(A26="","",'90_CALC_FEATURES'!$I$198)</x:f>
      </x:c>
      <x:c r="N26" s="47" t="str">
        <x:f>IF(A26="","",'90_CALC_FEATURES'!$I$199)</x:f>
      </x:c>
      <x:c r="O26" s="47" t="str">
        <x:f>IF(A26="","",'90_CALC_FEATURES'!$I$200)</x:f>
      </x:c>
      <x:c r="P26" s="47" t="str">
        <x:f>IF(A26="","",'90_CALC_FEATURES'!$I$201)</x:f>
      </x:c>
      <x:c r="Q26" s="47" t="str">
        <x:f>IF(A26="","",'90_CALC_FEATURES'!$I$202)</x:f>
      </x:c>
      <x:c r="R26" s="47" t="str">
        <x:f>IF(A26="","",'90_CALC_FEATURES'!$I$203)</x:f>
      </x:c>
      <x:c r="S26" s="47" t="str">
        <x:f>IF(A26="","",'90_CALC_FEATURES'!$I$204)</x:f>
      </x:c>
      <x:c r="T26" s="47" t="str">
        <x:f>IF(A26="","",'90_CALC_FEATURES'!$I$205)</x:f>
      </x:c>
      <x:c r="U26" s="47" t="str">
        <x:f>IF(A26="","",'90_CALC_FEATURES'!$I$206)</x:f>
      </x:c>
      <x:c r="V26" s="47" t="str">
        <x:f>IF(COUNT(L26:N26)=3,100*AVERAGE(L26:N26),"")</x:f>
      </x:c>
      <x:c r="W26" s="47" t="str">
        <x:f>IF(COUNT(O26:R26)=4,100*AVERAGE(O26:R26),"")</x:f>
      </x:c>
      <x:c r="X26" s="47" t="str">
        <x:f>IF(COUNT(S26:U26)=3,100*AVERAGE(S26:U26),"")</x:f>
      </x:c>
      <x:c r="Y26" s="47" t="str">
        <x:f>IF(COUNT(V26:X26)=3,AVERAGE(V26:X26),"")</x:f>
      </x:c>
      <x:c r="Z26" s="47" t="str">
        <x:f>IF(OR(AND(EXACT(A26,"SYN-A"),COUNT('01_INPUT_COMPANIES'!$T$26:$AC$26)=10,'01_INPUT_COMPANIES'!$T$26=-0.02,'01_INPUT_COMPANIES'!$U$26=0.1332,'01_INPUT_COMPANIES'!$V$26=0.18,'01_INPUT_COMPANIES'!$W$26=0.42,'01_INPUT_COMPANIES'!$X$26=0.012,'01_INPUT_COMPANIES'!$Y$26=3.2,'01_INPUT_COMPANIES'!$Z$26=0.08,'01_INPUT_COMPANIES'!$AA$26=0.28,'01_INPUT_COMPANIES'!$AB$26=0.74,'01_INPUT_COMPANIES'!$AC$26=8.5),AND(EXACT(A26,"SYN-B"),COUNT('01_INPUT_COMPANIES'!$T$26:$AC$26)=10,'01_INPUT_COMPANIES'!$T$26=-0.055,'01_INPUT_COMPANIES'!$U$26=0.06405,'01_INPUT_COMPANIES'!$V$26=0.105,'01_INPUT_COMPANIES'!$W$26=0.73,'01_INPUT_COMPANIES'!$X$26=0.004,'01_INPUT_COMPANIES'!$Y$26=4.1,'01_INPUT_COMPANIES'!$Z$26=0.025,'01_INPUT_COMPANIES'!$AA$26=0.16,'01_INPUT_COMPANIES'!$AB$26=0.61,'01_INPUT_COMPANIES'!$AC$26=4),AND(EXACT(A26,"SYN-C"),COUNT('01_INPUT_COMPANIES'!$T$26:$AC$26)=10,'01_INPUT_COMPANIES'!$T$26=0.01,'01_INPUT_COMPANIES'!$U$26=0.0986,'01_INPUT_COMPANIES'!$V$26=0.145,'01_INPUT_COMPANIES'!$W$26=0.18,'01_INPUT_COMPANIES'!$X$26=0.018,'01_INPUT_COMPANIES'!$Y$26=2.65,'01_INPUT_COMPANIES'!$Z$26=0.11,'01_INPUT_COMPANIES'!$AA$26=0.34,'01_INPUT_COMPANIES'!$AB$26=0.68,'01_INPUT_COMPANIES'!$AC$26=6.8),AND(EXACT(A26,"SYN-D"),COUNT('01_INPUT_COMPANIES'!$T$26:$AC$26)=10,'01_INPUT_COMPANIES'!$T$26=-0.005,'01_INPUT_COMPANIES'!$U$26=0.1136,'01_INPUT_COMPANIES'!$V$26=0.16,'01_INPUT_COMPANIES'!$W$26=0.51,'01_INPUT_COMPANIES'!$X$26=0.009,'01_INPUT_COMPANIES'!$Y$26=3.55,'01_INPUT_COMPANIES'!$Z$26=0.065,'01_INPUT_COMPANIES'!$AA$26=0.24,'01_INPUT_COMPANIES'!$AB$26=0.71,'01_INPUT_COMPANIES'!$AC$26=7.4)),IFERROR(INDEX('94_EXPECTED_OUTPUTS'!$B$7:$B$10,MATCH(A26,'94_EXPECTED_OUTPUTS'!$A$7:$A$10,0)),""),"")</x:f>
      </x:c>
      <x:c r="AA26" s="47" t="str">
        <x:f>IF(OR(COUNT(Y26)=0,COUNT(Z26)=0),"",ABS(Y26-Z26))</x:f>
      </x:c>
      <x:c r="AB26" s="34" t="str">
        <x:f>IF(A26="","",IF(AD26&lt;&gt;"",AD26,IF('01_INPUT_COMPANIES'!$A$26="","",IF(OR(LEN(TRIM('01_INPUT_COMPANIES'!$A$26&amp;""))=0,LEN(TRIM('01_INPUT_COMPANIES'!$B$26&amp;""))=0,LEN(TRIM('01_INPUT_COMPANIES'!$C$26&amp;""))=0,LEN(TRIM('01_INPUT_COMPANIES'!$D$26&amp;""))=0,LEN(TRIM('01_INPUT_COMPANIES'!$E$26&amp;""))=0,LEN(TRIM('01_INPUT_COMPANIES'!$F$26&amp;""))=0,LEN(TRIM('01_INPUT_COMPANIES'!$G$26&amp;""))=0,LEN(TRIM('01_INPUT_COMPANIES'!$H$26&amp;""))=0,LEN(TRIM('01_INPUT_COMPANIES'!$I$26&amp;""))=0,LEN(TRIM('01_INPUT_COMPANIES'!$K$26&amp;""))=0,LEN(TRIM('01_INPUT_COMPANIES'!$L$26&amp;""))=0,LEN(TRIM('01_INPUT_COMPANIES'!$M$26&amp;""))=0,LEN(TRIM('01_INPUT_COMPANIES'!$N$26&amp;""))=0,LEN(TRIM('01_INPUT_COMPANIES'!$O$26&amp;""))=0,LEN(TRIM('01_INPUT_COMPANIES'!$Q$26&amp;""))=0,COUNTBLANK('01_INPUT_COMPANIES'!$A$26:$R$26)&gt;0),"INPUT REQUIRED",IF(OR('01_INPUT_COMPANIES'!$A$26&lt;&gt;TRIM('01_INPUT_COMPANIES'!$A$26),NOT(EXACT('01_INPUT_COMPANIES'!$A$26,UPPER('01_INPUT_COMPANIES'!$A$26))),LEN('01_INPUT_COMPANIES'!$A$26)&gt;64,ISNUMBER(FIND("*",'01_INPUT_COMPANIES'!$A$26)),ISNUMBER(FIND("?",'01_INPUT_COMPANIES'!$A$26)),ISNUMBER(FIND("~",'01_INPUT_COMPANIES'!$A$26))),"ERROR: ID FORMAT",IF(COUNTIF('01_INPUT_COMPANIES'!$A$7:$A$106,'01_INPUT_COMPANIES'!$A$26)&lt;&gt;1,"ERROR: DUPLICATE ID",IF(COUNT('01_INPUT_COMPANIES'!$T$26:$AC$26)&lt;&gt;10,"INPUT REQUIRED",IF(NOT(OR('01_INPUT_COMPANIES'!$C$26="domestic",'01_INPUT_COMPANIES'!$C$26="foreign",'01_INPUT_COMPANIES'!$C$26="other")),"ERROR: COMPANY GROUP",IF(OR(LEN('01_INPUT_COMPANIES'!$G$26)&lt;&gt;6,MID('01_INPUT_COMPANIES'!$G$26,5,1)&lt;&gt;"Q",IFERROR(VALUE(LEFT('01_INPUT_COMPANIES'!$G$26,4)),0)&lt;2000,IFERROR(VALUE(LEFT('01_INPUT_COMPANIES'!$G$26,4)),0)&gt;2100,IFERROR(VALUE(RIGHT('01_INPUT_COMPANIES'!$G$26,1)),0)&lt;1,IFERROR(VALUE(RIGHT('01_INPUT_COMPANIES'!$G$26,1)),0)&gt;4),"ERROR: REPORTING PERIOD",IF(OR(COUNTIFS('92_REF_VARIABLES'!$A$21:$A$21,'01_INPUT_COMPANIES'!$H$26,'92_REF_VARIABLES'!$B$21:$B$21,'01_INPUT_COMPANIES'!$D$26,'92_REF_VARIABLES'!$C$21:$C$21,'01_INPUT_COMPANIES'!$G$26)&lt;&gt;1,AND(IFERROR(INDEX('92_REF_VARIABLES'!$I$21:$I$21,MATCH('01_INPUT_COMPANIES'!$H$26,'92_REF_VARIABLES'!$A$21:$A$21,0)),"")="synthetic_only",'01_INPUT_COMPANIES'!$L$26&lt;&gt;"yes")),"ERROR: BENCHMARK",IF(COUNTIF('92_REF_VARIABLES'!$L$21:$L$50,'01_INPUT_COMPANIES'!$I$26)&lt;&gt;1,"ERROR: CURRENCY",IF(OR(NOT(ISNUMBER('01_INPUT_COMPANIES'!$J$26)),'01_INPUT_COMPANIES'!$J$26&lt;&gt;INT('01_INPUT_COMPANIES'!$J$26),'01_INPUT_COMPANIES'!$J$26&lt;2000,'01_INPUT_COMPANIES'!$J$26&gt;2100),"ERROR: PRICE YEAR",IF(NOT(OR('01_INPUT_COMPANIES'!$K$26="A",'01_INPUT_COMPANIES'!$K$26="B",'01_INPUT_COMPANIES'!$K$26="C",'01_INPUT_COMPANIES'!$K$26="SYNTHETIC")),"ERROR: QUALITY",IF(NOT(OR(AND('01_INPUT_COMPANIES'!$L$26="yes",'01_INPUT_COMPANIES'!$K$26="SYNTHETIC"),AND('01_INPUT_COMPANIES'!$L$26="no",'01_INPUT_COMPANIES'!$K$26&lt;&gt;"SYNTHETIC"))),"ERROR: SYNTHETIC FLAG",IF(NOT(OR('01_INPUT_COMPANIES'!$M$26="direct",'01_INPUT_COMPANIES'!$M$26="derived",'01_INPUT_COMPANIES'!$M$26="proxy",'01_INPUT_COMPANIES'!$M$26="mixed")),"ERROR: CONSTRUCTION MODE",IF(OR(NOT(ISNUMBER('01_INPUT_COMPANIES'!$P$26)),'01_INPUT_COMPANIES'!$P$26&lt;0,'01_INPUT_COMPANIES'!$P$26&lt;&gt;INT('01_INPUT_COMPANIES'!$P$26)),"ERROR: CARRY LAG",IF('01_INPUT_COMPANIES'!$Q$26&lt;&gt;"yes","ERROR: EXPOSURE ADJUSTMENT",IF(OR(NOT(ISNUMBER('01_INPUT_COMPANIES'!$R$26)),'01_INPUT_COMPANIES'!$R$26&lt;0,'01_INPUT_COMPANIES'!$R$26&gt;1),"ERROR: EXPOSURE FACTOR",IF(COUNT(Y26)=0,"ERROR: SCORE",IF(COUNT(Z26)=0,"READY",IF(AA26&lt;=0.0000000001,"PASS","CHECK"))&amp;IF('01_INPUT_COMPANIES'!$K$26="C"," | C QUALITY","")&amp;IF(OR('01_INPUT_COMPANIES'!$M$26="proxy",'01_INPUT_COMPANIES'!$M$26="mixed")," | PROXY/MIXED","")&amp;IF('01_INPUT_COMPANIES'!$P$26&gt;1," | CARRY&gt;1","")&amp;IF(OR(OR('01_INPUT_COMPANIES'!$T$26&lt;-1,'01_INPUT_COMPANIES'!$T$26&gt;1),OR('01_INPUT_COMPANIES'!$U$26&lt;0,'01_INPUT_COMPANIES'!$U$26&gt;1),OR('01_INPUT_COMPANIES'!$V$26&lt;0,'01_INPUT_COMPANIES'!$V$26&gt;1),OR('01_INPUT_COMPANIES'!$W$26&lt;-10,'01_INPUT_COMPANIES'!$W$26&gt;10),OR('01_INPUT_COMPANIES'!$X$26&lt;-1,'01_INPUT_COMPANIES'!$X$26&gt;1),OR('01_INPUT_COMPANIES'!$Y$26&lt;0,'01_INPUT_COMPANIES'!$Y$26&gt;20),OR('01_INPUT_COMPANIES'!$Z$26&lt;-2,'01_INPUT_COMPANIES'!$Z$26&gt;2),OR('01_INPUT_COMPANIES'!$AA$26&lt;0,'01_INPUT_COMPANIES'!$AA$26&gt;1),OR('01_INPUT_COMPANIES'!$AB$26&lt;0,'01_INPUT_COMPANIES'!$AB$26&gt;1),OR('01_INPUT_COMPANIES'!$AC$26&lt;0,'01_INPUT_COMPANIES'!$AC$26&gt;50))," | REVIEW RANGE","")&amp;IF(COUNTIF('90_CALC_FEATURES'!$J$197:$J$206,"WINSORIZED*")&gt;0," | WINSORIZED","")&amp;IF(ABS('01_INPUT_COMPANIES'!$U$26-'01_INPUT_COMPANIES'!$V$26*'01_INPUT_COMPANIES'!$AB$26)&gt;MAX(0.005,0.05*MAX(ABS('01_INPUT_COMPANIES'!$V$26*'01_INPUT_COMPANIES'!$AB$26),ABS('01_INPUT_COMPANIES'!$U$26),0.000000000001))," | DEPENDENCY",""))))))))))))))))))))</x:f>
      </x:c>
      <x:c r="AC26" s="34" t="str">
        <x:f>IF(A26="","",IF(OR(LEFT(AB26,4)="PASS",LEFT(AB26,5)="READY"),"RESEARCH BETA | 저지원 22.22% | 기업 백분위 N/A", "결과 사용 금지 | "&amp;AB26))</x:f>
      </x:c>
      <x:c r="AD26" s="34" t="str">
        <x:f>IF(A26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$26,TRIM('01_INPUT_COMPANIES'!$D$26)),EXACT('01_INPUT_COMPANIES'!$E$26,TRIM('01_INPUT_COMPANIES'!$E$26)),EXACT('01_INPUT_COMPANIES'!$F$26,TRIM('01_INPUT_COMPANIES'!$F$26)),EXACT('01_INPUT_COMPANIES'!$G$26,TRIM('01_INPUT_COMPANIES'!$G$26)),EXACT('01_INPUT_COMPANIES'!$H$26,TRIM('01_INPUT_COMPANIES'!$H$26)))),"ERROR: COHORT WHITESPACE",IF(NOT(IFERROR(AND(ISTEXT('01_INPUT_COMPANIES'!$O$26),LEN('01_INPUT_COMPANIES'!$O$26)=10,VALUE(LEFT('01_INPUT_COMPANIES'!$O$26,4))&gt;=2000,VALUE(LEFT('01_INPUT_COMPANIES'!$O$26,4))&lt;=2100,EXACT(TEXT(DATE(VALUE(LEFT('01_INPUT_COMPANIES'!$O$26,4)),VALUE(MID('01_INPUT_COMPANIES'!$O$26,6,2)),VALUE(RIGHT('01_INPUT_COMPANIES'!$O$26,2))),"yyyy-mm-dd"),'01_INPUT_COMPANIES'!$O$26)),FALSE)),"ERROR: SOURCE DATE",IF(NOT(AND(OR(EXACT('01_INPUT_COMPANIES'!$C$26,"domestic"),EXACT('01_INPUT_COMPANIES'!$C$26,"foreign"),EXACT('01_INPUT_COMPANIES'!$C$26,"other")),OR(EXACT('01_INPUT_COMPANIES'!$K$26,"A"),EXACT('01_INPUT_COMPANIES'!$K$26,"B"),EXACT('01_INPUT_COMPANIES'!$K$26,"C"),EXACT('01_INPUT_COMPANIES'!$K$26,"SYNTHETIC")),OR(EXACT('01_INPUT_COMPANIES'!$L$26,"yes"),EXACT('01_INPUT_COMPANIES'!$L$26,"no")),OR(EXACT('01_INPUT_COMPANIES'!$M$26,"direct"),EXACT('01_INPUT_COMPANIES'!$M$26,"derived"),EXACT('01_INPUT_COMPANIES'!$M$26,"proxy"),EXACT('01_INPUT_COMPANIES'!$M$26,"mixed")),OR(EXACT('01_INPUT_COMPANIES'!$Q$26,"yes")),EXACT('01_INPUT_COMPANIES'!$I$26,UPPER('01_INPUT_COMPANIES'!$I$26)))),"ERROR: EXACT ENUM",IF(NOT(IFERROR(OR(AND(EXACT('92_REF_VARIABLES'!$A$21,'01_INPUT_COMPANIES'!$H$26),EXACT('92_REF_VARIABLES'!$B$21,'01_INPUT_COMPANIES'!$D$26),EXACT('92_REF_VARIABLES'!$C$21,'01_INPUT_COMPANIES'!$G$26))),FALSE)),"ERROR: BENCHMARK",""))))))</x:f>
      </x:c>
    </x:row>
    <x:row r="27">
      <x:c r="A27" s="34" t="str">
        <x:f>IF(OR('01_INPUT_COMPANIES'!$A$27="",'01_INPUT_COMPANIES'!$A$27=""),"",'01_INPUT_COMPANIES'!$A$27)</x:f>
      </x:c>
      <x:c r="B27" s="34" t="str">
        <x:f>IF(OR('01_INPUT_COMPANIES'!$A$27="",'01_INPUT_COMPANIES'!$B$27=""),"",'01_INPUT_COMPANIES'!$B$27)</x:f>
      </x:c>
      <x:c r="C27" s="34" t="str">
        <x:f>IF(OR('01_INPUT_COMPANIES'!$A$27="",'01_INPUT_COMPANIES'!$C$27=""),"",'01_INPUT_COMPANIES'!$C$27)</x:f>
      </x:c>
      <x:c r="D27" s="34" t="str">
        <x:f>IF(OR('01_INPUT_COMPANIES'!$A$27="",'01_INPUT_COMPANIES'!$D$27=""),"",'01_INPUT_COMPANIES'!$D$27)</x:f>
      </x:c>
      <x:c r="E27" s="34" t="str">
        <x:f>IF(OR('01_INPUT_COMPANIES'!$A$27="",'01_INPUT_COMPANIES'!$E$27=""),"",'01_INPUT_COMPANIES'!$E$27)</x:f>
      </x:c>
      <x:c r="F27" s="34" t="str">
        <x:f>IF(OR('01_INPUT_COMPANIES'!$A$27="",'01_INPUT_COMPANIES'!$F$27=""),"",'01_INPUT_COMPANIES'!$F$27)</x:f>
      </x:c>
      <x:c r="G27" s="34" t="str">
        <x:f>IF(OR('01_INPUT_COMPANIES'!$A$27="",'01_INPUT_COMPANIES'!$G$27=""),"",'01_INPUT_COMPANIES'!$G$27)</x:f>
      </x:c>
      <x:c r="H27" s="34" t="str">
        <x:f>IF(OR('01_INPUT_COMPANIES'!$A$27="",'01_INPUT_COMPANIES'!$H$27=""),"",'01_INPUT_COMPANIES'!$H$27)</x:f>
      </x:c>
      <x:c r="I27" s="34" t="str">
        <x:f>IF(OR('01_INPUT_COMPANIES'!$A$27="",'01_INPUT_COMPANIES'!$K$27=""),"",'01_INPUT_COMPANIES'!$K$27)</x:f>
      </x:c>
      <x:c r="J27" s="34" t="str">
        <x:f>IF(OR('01_INPUT_COMPANIES'!$A$27="",'01_INPUT_COMPANIES'!$M$27=""),"",'01_INPUT_COMPANIES'!$M$27)</x:f>
      </x:c>
      <x:c r="K27" s="34" t="str">
        <x:f>IF(OR(A27="",COUNTBLANK(D27:H27)&gt;0),"",LEN(D27)&amp;":"&amp;D27&amp;LEN(E27)&amp;":"&amp;E27&amp;LEN(F27)&amp;":"&amp;F27&amp;LEN(G27)&amp;":"&amp;G27&amp;LEN(H27)&amp;":"&amp;H27)</x:f>
      </x:c>
      <x:c r="L27" s="47" t="str">
        <x:f>IF(A27="","",'90_CALC_FEATURES'!$I$207)</x:f>
      </x:c>
      <x:c r="M27" s="47" t="str">
        <x:f>IF(A27="","",'90_CALC_FEATURES'!$I$208)</x:f>
      </x:c>
      <x:c r="N27" s="47" t="str">
        <x:f>IF(A27="","",'90_CALC_FEATURES'!$I$209)</x:f>
      </x:c>
      <x:c r="O27" s="47" t="str">
        <x:f>IF(A27="","",'90_CALC_FEATURES'!$I$210)</x:f>
      </x:c>
      <x:c r="P27" s="47" t="str">
        <x:f>IF(A27="","",'90_CALC_FEATURES'!$I$211)</x:f>
      </x:c>
      <x:c r="Q27" s="47" t="str">
        <x:f>IF(A27="","",'90_CALC_FEATURES'!$I$212)</x:f>
      </x:c>
      <x:c r="R27" s="47" t="str">
        <x:f>IF(A27="","",'90_CALC_FEATURES'!$I$213)</x:f>
      </x:c>
      <x:c r="S27" s="47" t="str">
        <x:f>IF(A27="","",'90_CALC_FEATURES'!$I$214)</x:f>
      </x:c>
      <x:c r="T27" s="47" t="str">
        <x:f>IF(A27="","",'90_CALC_FEATURES'!$I$215)</x:f>
      </x:c>
      <x:c r="U27" s="47" t="str">
        <x:f>IF(A27="","",'90_CALC_FEATURES'!$I$216)</x:f>
      </x:c>
      <x:c r="V27" s="47" t="str">
        <x:f>IF(COUNT(L27:N27)=3,100*AVERAGE(L27:N27),"")</x:f>
      </x:c>
      <x:c r="W27" s="47" t="str">
        <x:f>IF(COUNT(O27:R27)=4,100*AVERAGE(O27:R27),"")</x:f>
      </x:c>
      <x:c r="X27" s="47" t="str">
        <x:f>IF(COUNT(S27:U27)=3,100*AVERAGE(S27:U27),"")</x:f>
      </x:c>
      <x:c r="Y27" s="47" t="str">
        <x:f>IF(COUNT(V27:X27)=3,AVERAGE(V27:X27),"")</x:f>
      </x:c>
      <x:c r="Z27" s="47" t="str">
        <x:f>IF(OR(AND(EXACT(A27,"SYN-A"),COUNT('01_INPUT_COMPANIES'!$T$27:$AC$27)=10,'01_INPUT_COMPANIES'!$T$27=-0.02,'01_INPUT_COMPANIES'!$U$27=0.1332,'01_INPUT_COMPANIES'!$V$27=0.18,'01_INPUT_COMPANIES'!$W$27=0.42,'01_INPUT_COMPANIES'!$X$27=0.012,'01_INPUT_COMPANIES'!$Y$27=3.2,'01_INPUT_COMPANIES'!$Z$27=0.08,'01_INPUT_COMPANIES'!$AA$27=0.28,'01_INPUT_COMPANIES'!$AB$27=0.74,'01_INPUT_COMPANIES'!$AC$27=8.5),AND(EXACT(A27,"SYN-B"),COUNT('01_INPUT_COMPANIES'!$T$27:$AC$27)=10,'01_INPUT_COMPANIES'!$T$27=-0.055,'01_INPUT_COMPANIES'!$U$27=0.06405,'01_INPUT_COMPANIES'!$V$27=0.105,'01_INPUT_COMPANIES'!$W$27=0.73,'01_INPUT_COMPANIES'!$X$27=0.004,'01_INPUT_COMPANIES'!$Y$27=4.1,'01_INPUT_COMPANIES'!$Z$27=0.025,'01_INPUT_COMPANIES'!$AA$27=0.16,'01_INPUT_COMPANIES'!$AB$27=0.61,'01_INPUT_COMPANIES'!$AC$27=4),AND(EXACT(A27,"SYN-C"),COUNT('01_INPUT_COMPANIES'!$T$27:$AC$27)=10,'01_INPUT_COMPANIES'!$T$27=0.01,'01_INPUT_COMPANIES'!$U$27=0.0986,'01_INPUT_COMPANIES'!$V$27=0.145,'01_INPUT_COMPANIES'!$W$27=0.18,'01_INPUT_COMPANIES'!$X$27=0.018,'01_INPUT_COMPANIES'!$Y$27=2.65,'01_INPUT_COMPANIES'!$Z$27=0.11,'01_INPUT_COMPANIES'!$AA$27=0.34,'01_INPUT_COMPANIES'!$AB$27=0.68,'01_INPUT_COMPANIES'!$AC$27=6.8),AND(EXACT(A27,"SYN-D"),COUNT('01_INPUT_COMPANIES'!$T$27:$AC$27)=10,'01_INPUT_COMPANIES'!$T$27=-0.005,'01_INPUT_COMPANIES'!$U$27=0.1136,'01_INPUT_COMPANIES'!$V$27=0.16,'01_INPUT_COMPANIES'!$W$27=0.51,'01_INPUT_COMPANIES'!$X$27=0.009,'01_INPUT_COMPANIES'!$Y$27=3.55,'01_INPUT_COMPANIES'!$Z$27=0.065,'01_INPUT_COMPANIES'!$AA$27=0.24,'01_INPUT_COMPANIES'!$AB$27=0.71,'01_INPUT_COMPANIES'!$AC$27=7.4)),IFERROR(INDEX('94_EXPECTED_OUTPUTS'!$B$7:$B$10,MATCH(A27,'94_EXPECTED_OUTPUTS'!$A$7:$A$10,0)),""),"")</x:f>
      </x:c>
      <x:c r="AA27" s="47" t="str">
        <x:f>IF(OR(COUNT(Y27)=0,COUNT(Z27)=0),"",ABS(Y27-Z27))</x:f>
      </x:c>
      <x:c r="AB27" s="34" t="str">
        <x:f>IF(A27="","",IF(AD27&lt;&gt;"",AD27,IF('01_INPUT_COMPANIES'!$A$27="","",IF(OR(LEN(TRIM('01_INPUT_COMPANIES'!$A$27&amp;""))=0,LEN(TRIM('01_INPUT_COMPANIES'!$B$27&amp;""))=0,LEN(TRIM('01_INPUT_COMPANIES'!$C$27&amp;""))=0,LEN(TRIM('01_INPUT_COMPANIES'!$D$27&amp;""))=0,LEN(TRIM('01_INPUT_COMPANIES'!$E$27&amp;""))=0,LEN(TRIM('01_INPUT_COMPANIES'!$F$27&amp;""))=0,LEN(TRIM('01_INPUT_COMPANIES'!$G$27&amp;""))=0,LEN(TRIM('01_INPUT_COMPANIES'!$H$27&amp;""))=0,LEN(TRIM('01_INPUT_COMPANIES'!$I$27&amp;""))=0,LEN(TRIM('01_INPUT_COMPANIES'!$K$27&amp;""))=0,LEN(TRIM('01_INPUT_COMPANIES'!$L$27&amp;""))=0,LEN(TRIM('01_INPUT_COMPANIES'!$M$27&amp;""))=0,LEN(TRIM('01_INPUT_COMPANIES'!$N$27&amp;""))=0,LEN(TRIM('01_INPUT_COMPANIES'!$O$27&amp;""))=0,LEN(TRIM('01_INPUT_COMPANIES'!$Q$27&amp;""))=0,COUNTBLANK('01_INPUT_COMPANIES'!$A$27:$R$27)&gt;0),"INPUT REQUIRED",IF(OR('01_INPUT_COMPANIES'!$A$27&lt;&gt;TRIM('01_INPUT_COMPANIES'!$A$27),NOT(EXACT('01_INPUT_COMPANIES'!$A$27,UPPER('01_INPUT_COMPANIES'!$A$27))),LEN('01_INPUT_COMPANIES'!$A$27)&gt;64,ISNUMBER(FIND("*",'01_INPUT_COMPANIES'!$A$27)),ISNUMBER(FIND("?",'01_INPUT_COMPANIES'!$A$27)),ISNUMBER(FIND("~",'01_INPUT_COMPANIES'!$A$27))),"ERROR: ID FORMAT",IF(COUNTIF('01_INPUT_COMPANIES'!$A$7:$A$106,'01_INPUT_COMPANIES'!$A$27)&lt;&gt;1,"ERROR: DUPLICATE ID",IF(COUNT('01_INPUT_COMPANIES'!$T$27:$AC$27)&lt;&gt;10,"INPUT REQUIRED",IF(NOT(OR('01_INPUT_COMPANIES'!$C$27="domestic",'01_INPUT_COMPANIES'!$C$27="foreign",'01_INPUT_COMPANIES'!$C$27="other")),"ERROR: COMPANY GROUP",IF(OR(LEN('01_INPUT_COMPANIES'!$G$27)&lt;&gt;6,MID('01_INPUT_COMPANIES'!$G$27,5,1)&lt;&gt;"Q",IFERROR(VALUE(LEFT('01_INPUT_COMPANIES'!$G$27,4)),0)&lt;2000,IFERROR(VALUE(LEFT('01_INPUT_COMPANIES'!$G$27,4)),0)&gt;2100,IFERROR(VALUE(RIGHT('01_INPUT_COMPANIES'!$G$27,1)),0)&lt;1,IFERROR(VALUE(RIGHT('01_INPUT_COMPANIES'!$G$27,1)),0)&gt;4),"ERROR: REPORTING PERIOD",IF(OR(COUNTIFS('92_REF_VARIABLES'!$A$21:$A$21,'01_INPUT_COMPANIES'!$H$27,'92_REF_VARIABLES'!$B$21:$B$21,'01_INPUT_COMPANIES'!$D$27,'92_REF_VARIABLES'!$C$21:$C$21,'01_INPUT_COMPANIES'!$G$27)&lt;&gt;1,AND(IFERROR(INDEX('92_REF_VARIABLES'!$I$21:$I$21,MATCH('01_INPUT_COMPANIES'!$H$27,'92_REF_VARIABLES'!$A$21:$A$21,0)),"")="synthetic_only",'01_INPUT_COMPANIES'!$L$27&lt;&gt;"yes")),"ERROR: BENCHMARK",IF(COUNTIF('92_REF_VARIABLES'!$L$21:$L$50,'01_INPUT_COMPANIES'!$I$27)&lt;&gt;1,"ERROR: CURRENCY",IF(OR(NOT(ISNUMBER('01_INPUT_COMPANIES'!$J$27)),'01_INPUT_COMPANIES'!$J$27&lt;&gt;INT('01_INPUT_COMPANIES'!$J$27),'01_INPUT_COMPANIES'!$J$27&lt;2000,'01_INPUT_COMPANIES'!$J$27&gt;2100),"ERROR: PRICE YEAR",IF(NOT(OR('01_INPUT_COMPANIES'!$K$27="A",'01_INPUT_COMPANIES'!$K$27="B",'01_INPUT_COMPANIES'!$K$27="C",'01_INPUT_COMPANIES'!$K$27="SYNTHETIC")),"ERROR: QUALITY",IF(NOT(OR(AND('01_INPUT_COMPANIES'!$L$27="yes",'01_INPUT_COMPANIES'!$K$27="SYNTHETIC"),AND('01_INPUT_COMPANIES'!$L$27="no",'01_INPUT_COMPANIES'!$K$27&lt;&gt;"SYNTHETIC"))),"ERROR: SYNTHETIC FLAG",IF(NOT(OR('01_INPUT_COMPANIES'!$M$27="direct",'01_INPUT_COMPANIES'!$M$27="derived",'01_INPUT_COMPANIES'!$M$27="proxy",'01_INPUT_COMPANIES'!$M$27="mixed")),"ERROR: CONSTRUCTION MODE",IF(OR(NOT(ISNUMBER('01_INPUT_COMPANIES'!$P$27)),'01_INPUT_COMPANIES'!$P$27&lt;0,'01_INPUT_COMPANIES'!$P$27&lt;&gt;INT('01_INPUT_COMPANIES'!$P$27)),"ERROR: CARRY LAG",IF('01_INPUT_COMPANIES'!$Q$27&lt;&gt;"yes","ERROR: EXPOSURE ADJUSTMENT",IF(OR(NOT(ISNUMBER('01_INPUT_COMPANIES'!$R$27)),'01_INPUT_COMPANIES'!$R$27&lt;0,'01_INPUT_COMPANIES'!$R$27&gt;1),"ERROR: EXPOSURE FACTOR",IF(COUNT(Y27)=0,"ERROR: SCORE",IF(COUNT(Z27)=0,"READY",IF(AA27&lt;=0.0000000001,"PASS","CHECK"))&amp;IF('01_INPUT_COMPANIES'!$K$27="C"," | C QUALITY","")&amp;IF(OR('01_INPUT_COMPANIES'!$M$27="proxy",'01_INPUT_COMPANIES'!$M$27="mixed")," | PROXY/MIXED","")&amp;IF('01_INPUT_COMPANIES'!$P$27&gt;1," | CARRY&gt;1","")&amp;IF(OR(OR('01_INPUT_COMPANIES'!$T$27&lt;-1,'01_INPUT_COMPANIES'!$T$27&gt;1),OR('01_INPUT_COMPANIES'!$U$27&lt;0,'01_INPUT_COMPANIES'!$U$27&gt;1),OR('01_INPUT_COMPANIES'!$V$27&lt;0,'01_INPUT_COMPANIES'!$V$27&gt;1),OR('01_INPUT_COMPANIES'!$W$27&lt;-10,'01_INPUT_COMPANIES'!$W$27&gt;10),OR('01_INPUT_COMPANIES'!$X$27&lt;-1,'01_INPUT_COMPANIES'!$X$27&gt;1),OR('01_INPUT_COMPANIES'!$Y$27&lt;0,'01_INPUT_COMPANIES'!$Y$27&gt;20),OR('01_INPUT_COMPANIES'!$Z$27&lt;-2,'01_INPUT_COMPANIES'!$Z$27&gt;2),OR('01_INPUT_COMPANIES'!$AA$27&lt;0,'01_INPUT_COMPANIES'!$AA$27&gt;1),OR('01_INPUT_COMPANIES'!$AB$27&lt;0,'01_INPUT_COMPANIES'!$AB$27&gt;1),OR('01_INPUT_COMPANIES'!$AC$27&lt;0,'01_INPUT_COMPANIES'!$AC$27&gt;50))," | REVIEW RANGE","")&amp;IF(COUNTIF('90_CALC_FEATURES'!$J$207:$J$216,"WINSORIZED*")&gt;0," | WINSORIZED","")&amp;IF(ABS('01_INPUT_COMPANIES'!$U$27-'01_INPUT_COMPANIES'!$V$27*'01_INPUT_COMPANIES'!$AB$27)&gt;MAX(0.005,0.05*MAX(ABS('01_INPUT_COMPANIES'!$V$27*'01_INPUT_COMPANIES'!$AB$27),ABS('01_INPUT_COMPANIES'!$U$27),0.000000000001))," | DEPENDENCY",""))))))))))))))))))))</x:f>
      </x:c>
      <x:c r="AC27" s="34" t="str">
        <x:f>IF(A27="","",IF(OR(LEFT(AB27,4)="PASS",LEFT(AB27,5)="READY"),"RESEARCH BETA | 저지원 22.22% | 기업 백분위 N/A", "결과 사용 금지 | "&amp;AB27))</x:f>
      </x:c>
      <x:c r="AD27" s="34" t="str">
        <x:f>IF(A27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$27,TRIM('01_INPUT_COMPANIES'!$D$27)),EXACT('01_INPUT_COMPANIES'!$E$27,TRIM('01_INPUT_COMPANIES'!$E$27)),EXACT('01_INPUT_COMPANIES'!$F$27,TRIM('01_INPUT_COMPANIES'!$F$27)),EXACT('01_INPUT_COMPANIES'!$G$27,TRIM('01_INPUT_COMPANIES'!$G$27)),EXACT('01_INPUT_COMPANIES'!$H$27,TRIM('01_INPUT_COMPANIES'!$H$27)))),"ERROR: COHORT WHITESPACE",IF(NOT(IFERROR(AND(ISTEXT('01_INPUT_COMPANIES'!$O$27),LEN('01_INPUT_COMPANIES'!$O$27)=10,VALUE(LEFT('01_INPUT_COMPANIES'!$O$27,4))&gt;=2000,VALUE(LEFT('01_INPUT_COMPANIES'!$O$27,4))&lt;=2100,EXACT(TEXT(DATE(VALUE(LEFT('01_INPUT_COMPANIES'!$O$27,4)),VALUE(MID('01_INPUT_COMPANIES'!$O$27,6,2)),VALUE(RIGHT('01_INPUT_COMPANIES'!$O$27,2))),"yyyy-mm-dd"),'01_INPUT_COMPANIES'!$O$27)),FALSE)),"ERROR: SOURCE DATE",IF(NOT(AND(OR(EXACT('01_INPUT_COMPANIES'!$C$27,"domestic"),EXACT('01_INPUT_COMPANIES'!$C$27,"foreign"),EXACT('01_INPUT_COMPANIES'!$C$27,"other")),OR(EXACT('01_INPUT_COMPANIES'!$K$27,"A"),EXACT('01_INPUT_COMPANIES'!$K$27,"B"),EXACT('01_INPUT_COMPANIES'!$K$27,"C"),EXACT('01_INPUT_COMPANIES'!$K$27,"SYNTHETIC")),OR(EXACT('01_INPUT_COMPANIES'!$L$27,"yes"),EXACT('01_INPUT_COMPANIES'!$L$27,"no")),OR(EXACT('01_INPUT_COMPANIES'!$M$27,"direct"),EXACT('01_INPUT_COMPANIES'!$M$27,"derived"),EXACT('01_INPUT_COMPANIES'!$M$27,"proxy"),EXACT('01_INPUT_COMPANIES'!$M$27,"mixed")),OR(EXACT('01_INPUT_COMPANIES'!$Q$27,"yes")),EXACT('01_INPUT_COMPANIES'!$I$27,UPPER('01_INPUT_COMPANIES'!$I$27)))),"ERROR: EXACT ENUM",IF(NOT(IFERROR(OR(AND(EXACT('92_REF_VARIABLES'!$A$21,'01_INPUT_COMPANIES'!$H$27),EXACT('92_REF_VARIABLES'!$B$21,'01_INPUT_COMPANIES'!$D$27),EXACT('92_REF_VARIABLES'!$C$21,'01_INPUT_COMPANIES'!$G$27))),FALSE)),"ERROR: BENCHMARK",""))))))</x:f>
      </x:c>
    </x:row>
    <x:row r="28">
      <x:c r="A28" s="34" t="str">
        <x:f>IF(OR('01_INPUT_COMPANIES'!$A$28="",'01_INPUT_COMPANIES'!$A$28=""),"",'01_INPUT_COMPANIES'!$A$28)</x:f>
      </x:c>
      <x:c r="B28" s="34" t="str">
        <x:f>IF(OR('01_INPUT_COMPANIES'!$A$28="",'01_INPUT_COMPANIES'!$B$28=""),"",'01_INPUT_COMPANIES'!$B$28)</x:f>
      </x:c>
      <x:c r="C28" s="34" t="str">
        <x:f>IF(OR('01_INPUT_COMPANIES'!$A$28="",'01_INPUT_COMPANIES'!$C$28=""),"",'01_INPUT_COMPANIES'!$C$28)</x:f>
      </x:c>
      <x:c r="D28" s="34" t="str">
        <x:f>IF(OR('01_INPUT_COMPANIES'!$A$28="",'01_INPUT_COMPANIES'!$D$28=""),"",'01_INPUT_COMPANIES'!$D$28)</x:f>
      </x:c>
      <x:c r="E28" s="34" t="str">
        <x:f>IF(OR('01_INPUT_COMPANIES'!$A$28="",'01_INPUT_COMPANIES'!$E$28=""),"",'01_INPUT_COMPANIES'!$E$28)</x:f>
      </x:c>
      <x:c r="F28" s="34" t="str">
        <x:f>IF(OR('01_INPUT_COMPANIES'!$A$28="",'01_INPUT_COMPANIES'!$F$28=""),"",'01_INPUT_COMPANIES'!$F$28)</x:f>
      </x:c>
      <x:c r="G28" s="34" t="str">
        <x:f>IF(OR('01_INPUT_COMPANIES'!$A$28="",'01_INPUT_COMPANIES'!$G$28=""),"",'01_INPUT_COMPANIES'!$G$28)</x:f>
      </x:c>
      <x:c r="H28" s="34" t="str">
        <x:f>IF(OR('01_INPUT_COMPANIES'!$A$28="",'01_INPUT_COMPANIES'!$H$28=""),"",'01_INPUT_COMPANIES'!$H$28)</x:f>
      </x:c>
      <x:c r="I28" s="34" t="str">
        <x:f>IF(OR('01_INPUT_COMPANIES'!$A$28="",'01_INPUT_COMPANIES'!$K$28=""),"",'01_INPUT_COMPANIES'!$K$28)</x:f>
      </x:c>
      <x:c r="J28" s="34" t="str">
        <x:f>IF(OR('01_INPUT_COMPANIES'!$A$28="",'01_INPUT_COMPANIES'!$M$28=""),"",'01_INPUT_COMPANIES'!$M$28)</x:f>
      </x:c>
      <x:c r="K28" s="34" t="str">
        <x:f>IF(OR(A28="",COUNTBLANK(D28:H28)&gt;0),"",LEN(D28)&amp;":"&amp;D28&amp;LEN(E28)&amp;":"&amp;E28&amp;LEN(F28)&amp;":"&amp;F28&amp;LEN(G28)&amp;":"&amp;G28&amp;LEN(H28)&amp;":"&amp;H28)</x:f>
      </x:c>
      <x:c r="L28" s="47" t="str">
        <x:f>IF(A28="","",'90_CALC_FEATURES'!$I$217)</x:f>
      </x:c>
      <x:c r="M28" s="47" t="str">
        <x:f>IF(A28="","",'90_CALC_FEATURES'!$I$218)</x:f>
      </x:c>
      <x:c r="N28" s="47" t="str">
        <x:f>IF(A28="","",'90_CALC_FEATURES'!$I$219)</x:f>
      </x:c>
      <x:c r="O28" s="47" t="str">
        <x:f>IF(A28="","",'90_CALC_FEATURES'!$I$220)</x:f>
      </x:c>
      <x:c r="P28" s="47" t="str">
        <x:f>IF(A28="","",'90_CALC_FEATURES'!$I$221)</x:f>
      </x:c>
      <x:c r="Q28" s="47" t="str">
        <x:f>IF(A28="","",'90_CALC_FEATURES'!$I$222)</x:f>
      </x:c>
      <x:c r="R28" s="47" t="str">
        <x:f>IF(A28="","",'90_CALC_FEATURES'!$I$223)</x:f>
      </x:c>
      <x:c r="S28" s="47" t="str">
        <x:f>IF(A28="","",'90_CALC_FEATURES'!$I$224)</x:f>
      </x:c>
      <x:c r="T28" s="47" t="str">
        <x:f>IF(A28="","",'90_CALC_FEATURES'!$I$225)</x:f>
      </x:c>
      <x:c r="U28" s="47" t="str">
        <x:f>IF(A28="","",'90_CALC_FEATURES'!$I$226)</x:f>
      </x:c>
      <x:c r="V28" s="47" t="str">
        <x:f>IF(COUNT(L28:N28)=3,100*AVERAGE(L28:N28),"")</x:f>
      </x:c>
      <x:c r="W28" s="47" t="str">
        <x:f>IF(COUNT(O28:R28)=4,100*AVERAGE(O28:R28),"")</x:f>
      </x:c>
      <x:c r="X28" s="47" t="str">
        <x:f>IF(COUNT(S28:U28)=3,100*AVERAGE(S28:U28),"")</x:f>
      </x:c>
      <x:c r="Y28" s="47" t="str">
        <x:f>IF(COUNT(V28:X28)=3,AVERAGE(V28:X28),"")</x:f>
      </x:c>
      <x:c r="Z28" s="47" t="str">
        <x:f>IF(OR(AND(EXACT(A28,"SYN-A"),COUNT('01_INPUT_COMPANIES'!$T$28:$AC$28)=10,'01_INPUT_COMPANIES'!$T$28=-0.02,'01_INPUT_COMPANIES'!$U$28=0.1332,'01_INPUT_COMPANIES'!$V$28=0.18,'01_INPUT_COMPANIES'!$W$28=0.42,'01_INPUT_COMPANIES'!$X$28=0.012,'01_INPUT_COMPANIES'!$Y$28=3.2,'01_INPUT_COMPANIES'!$Z$28=0.08,'01_INPUT_COMPANIES'!$AA$28=0.28,'01_INPUT_COMPANIES'!$AB$28=0.74,'01_INPUT_COMPANIES'!$AC$28=8.5),AND(EXACT(A28,"SYN-B"),COUNT('01_INPUT_COMPANIES'!$T$28:$AC$28)=10,'01_INPUT_COMPANIES'!$T$28=-0.055,'01_INPUT_COMPANIES'!$U$28=0.06405,'01_INPUT_COMPANIES'!$V$28=0.105,'01_INPUT_COMPANIES'!$W$28=0.73,'01_INPUT_COMPANIES'!$X$28=0.004,'01_INPUT_COMPANIES'!$Y$28=4.1,'01_INPUT_COMPANIES'!$Z$28=0.025,'01_INPUT_COMPANIES'!$AA$28=0.16,'01_INPUT_COMPANIES'!$AB$28=0.61,'01_INPUT_COMPANIES'!$AC$28=4),AND(EXACT(A28,"SYN-C"),COUNT('01_INPUT_COMPANIES'!$T$28:$AC$28)=10,'01_INPUT_COMPANIES'!$T$28=0.01,'01_INPUT_COMPANIES'!$U$28=0.0986,'01_INPUT_COMPANIES'!$V$28=0.145,'01_INPUT_COMPANIES'!$W$28=0.18,'01_INPUT_COMPANIES'!$X$28=0.018,'01_INPUT_COMPANIES'!$Y$28=2.65,'01_INPUT_COMPANIES'!$Z$28=0.11,'01_INPUT_COMPANIES'!$AA$28=0.34,'01_INPUT_COMPANIES'!$AB$28=0.68,'01_INPUT_COMPANIES'!$AC$28=6.8),AND(EXACT(A28,"SYN-D"),COUNT('01_INPUT_COMPANIES'!$T$28:$AC$28)=10,'01_INPUT_COMPANIES'!$T$28=-0.005,'01_INPUT_COMPANIES'!$U$28=0.1136,'01_INPUT_COMPANIES'!$V$28=0.16,'01_INPUT_COMPANIES'!$W$28=0.51,'01_INPUT_COMPANIES'!$X$28=0.009,'01_INPUT_COMPANIES'!$Y$28=3.55,'01_INPUT_COMPANIES'!$Z$28=0.065,'01_INPUT_COMPANIES'!$AA$28=0.24,'01_INPUT_COMPANIES'!$AB$28=0.71,'01_INPUT_COMPANIES'!$AC$28=7.4)),IFERROR(INDEX('94_EXPECTED_OUTPUTS'!$B$7:$B$10,MATCH(A28,'94_EXPECTED_OUTPUTS'!$A$7:$A$10,0)),""),"")</x:f>
      </x:c>
      <x:c r="AA28" s="47" t="str">
        <x:f>IF(OR(COUNT(Y28)=0,COUNT(Z28)=0),"",ABS(Y28-Z28))</x:f>
      </x:c>
      <x:c r="AB28" s="34" t="str">
        <x:f>IF(A28="","",IF(AD28&lt;&gt;"",AD28,IF('01_INPUT_COMPANIES'!$A$28="","",IF(OR(LEN(TRIM('01_INPUT_COMPANIES'!$A$28&amp;""))=0,LEN(TRIM('01_INPUT_COMPANIES'!$B$28&amp;""))=0,LEN(TRIM('01_INPUT_COMPANIES'!$C$28&amp;""))=0,LEN(TRIM('01_INPUT_COMPANIES'!$D$28&amp;""))=0,LEN(TRIM('01_INPUT_COMPANIES'!$E$28&amp;""))=0,LEN(TRIM('01_INPUT_COMPANIES'!$F$28&amp;""))=0,LEN(TRIM('01_INPUT_COMPANIES'!$G$28&amp;""))=0,LEN(TRIM('01_INPUT_COMPANIES'!$H$28&amp;""))=0,LEN(TRIM('01_INPUT_COMPANIES'!$I$28&amp;""))=0,LEN(TRIM('01_INPUT_COMPANIES'!$K$28&amp;""))=0,LEN(TRIM('01_INPUT_COMPANIES'!$L$28&amp;""))=0,LEN(TRIM('01_INPUT_COMPANIES'!$M$28&amp;""))=0,LEN(TRIM('01_INPUT_COMPANIES'!$N$28&amp;""))=0,LEN(TRIM('01_INPUT_COMPANIES'!$O$28&amp;""))=0,LEN(TRIM('01_INPUT_COMPANIES'!$Q$28&amp;""))=0,COUNTBLANK('01_INPUT_COMPANIES'!$A$28:$R$28)&gt;0),"INPUT REQUIRED",IF(OR('01_INPUT_COMPANIES'!$A$28&lt;&gt;TRIM('01_INPUT_COMPANIES'!$A$28),NOT(EXACT('01_INPUT_COMPANIES'!$A$28,UPPER('01_INPUT_COMPANIES'!$A$28))),LEN('01_INPUT_COMPANIES'!$A$28)&gt;64,ISNUMBER(FIND("*",'01_INPUT_COMPANIES'!$A$28)),ISNUMBER(FIND("?",'01_INPUT_COMPANIES'!$A$28)),ISNUMBER(FIND("~",'01_INPUT_COMPANIES'!$A$28))),"ERROR: ID FORMAT",IF(COUNTIF('01_INPUT_COMPANIES'!$A$7:$A$106,'01_INPUT_COMPANIES'!$A$28)&lt;&gt;1,"ERROR: DUPLICATE ID",IF(COUNT('01_INPUT_COMPANIES'!$T$28:$AC$28)&lt;&gt;10,"INPUT REQUIRED",IF(NOT(OR('01_INPUT_COMPANIES'!$C$28="domestic",'01_INPUT_COMPANIES'!$C$28="foreign",'01_INPUT_COMPANIES'!$C$28="other")),"ERROR: COMPANY GROUP",IF(OR(LEN('01_INPUT_COMPANIES'!$G$28)&lt;&gt;6,MID('01_INPUT_COMPANIES'!$G$28,5,1)&lt;&gt;"Q",IFERROR(VALUE(LEFT('01_INPUT_COMPANIES'!$G$28,4)),0)&lt;2000,IFERROR(VALUE(LEFT('01_INPUT_COMPANIES'!$G$28,4)),0)&gt;2100,IFERROR(VALUE(RIGHT('01_INPUT_COMPANIES'!$G$28,1)),0)&lt;1,IFERROR(VALUE(RIGHT('01_INPUT_COMPANIES'!$G$28,1)),0)&gt;4),"ERROR: REPORTING PERIOD",IF(OR(COUNTIFS('92_REF_VARIABLES'!$A$21:$A$21,'01_INPUT_COMPANIES'!$H$28,'92_REF_VARIABLES'!$B$21:$B$21,'01_INPUT_COMPANIES'!$D$28,'92_REF_VARIABLES'!$C$21:$C$21,'01_INPUT_COMPANIES'!$G$28)&lt;&gt;1,AND(IFERROR(INDEX('92_REF_VARIABLES'!$I$21:$I$21,MATCH('01_INPUT_COMPANIES'!$H$28,'92_REF_VARIABLES'!$A$21:$A$21,0)),"")="synthetic_only",'01_INPUT_COMPANIES'!$L$28&lt;&gt;"yes")),"ERROR: BENCHMARK",IF(COUNTIF('92_REF_VARIABLES'!$L$21:$L$50,'01_INPUT_COMPANIES'!$I$28)&lt;&gt;1,"ERROR: CURRENCY",IF(OR(NOT(ISNUMBER('01_INPUT_COMPANIES'!$J$28)),'01_INPUT_COMPANIES'!$J$28&lt;&gt;INT('01_INPUT_COMPANIES'!$J$28),'01_INPUT_COMPANIES'!$J$28&lt;2000,'01_INPUT_COMPANIES'!$J$28&gt;2100),"ERROR: PRICE YEAR",IF(NOT(OR('01_INPUT_COMPANIES'!$K$28="A",'01_INPUT_COMPANIES'!$K$28="B",'01_INPUT_COMPANIES'!$K$28="C",'01_INPUT_COMPANIES'!$K$28="SYNTHETIC")),"ERROR: QUALITY",IF(NOT(OR(AND('01_INPUT_COMPANIES'!$L$28="yes",'01_INPUT_COMPANIES'!$K$28="SYNTHETIC"),AND('01_INPUT_COMPANIES'!$L$28="no",'01_INPUT_COMPANIES'!$K$28&lt;&gt;"SYNTHETIC"))),"ERROR: SYNTHETIC FLAG",IF(NOT(OR('01_INPUT_COMPANIES'!$M$28="direct",'01_INPUT_COMPANIES'!$M$28="derived",'01_INPUT_COMPANIES'!$M$28="proxy",'01_INPUT_COMPANIES'!$M$28="mixed")),"ERROR: CONSTRUCTION MODE",IF(OR(NOT(ISNUMBER('01_INPUT_COMPANIES'!$P$28)),'01_INPUT_COMPANIES'!$P$28&lt;0,'01_INPUT_COMPANIES'!$P$28&lt;&gt;INT('01_INPUT_COMPANIES'!$P$28)),"ERROR: CARRY LAG",IF('01_INPUT_COMPANIES'!$Q$28&lt;&gt;"yes","ERROR: EXPOSURE ADJUSTMENT",IF(OR(NOT(ISNUMBER('01_INPUT_COMPANIES'!$R$28)),'01_INPUT_COMPANIES'!$R$28&lt;0,'01_INPUT_COMPANIES'!$R$28&gt;1),"ERROR: EXPOSURE FACTOR",IF(COUNT(Y28)=0,"ERROR: SCORE",IF(COUNT(Z28)=0,"READY",IF(AA28&lt;=0.0000000001,"PASS","CHECK"))&amp;IF('01_INPUT_COMPANIES'!$K$28="C"," | C QUALITY","")&amp;IF(OR('01_INPUT_COMPANIES'!$M$28="proxy",'01_INPUT_COMPANIES'!$M$28="mixed")," | PROXY/MIXED","")&amp;IF('01_INPUT_COMPANIES'!$P$28&gt;1," | CARRY&gt;1","")&amp;IF(OR(OR('01_INPUT_COMPANIES'!$T$28&lt;-1,'01_INPUT_COMPANIES'!$T$28&gt;1),OR('01_INPUT_COMPANIES'!$U$28&lt;0,'01_INPUT_COMPANIES'!$U$28&gt;1),OR('01_INPUT_COMPANIES'!$V$28&lt;0,'01_INPUT_COMPANIES'!$V$28&gt;1),OR('01_INPUT_COMPANIES'!$W$28&lt;-10,'01_INPUT_COMPANIES'!$W$28&gt;10),OR('01_INPUT_COMPANIES'!$X$28&lt;-1,'01_INPUT_COMPANIES'!$X$28&gt;1),OR('01_INPUT_COMPANIES'!$Y$28&lt;0,'01_INPUT_COMPANIES'!$Y$28&gt;20),OR('01_INPUT_COMPANIES'!$Z$28&lt;-2,'01_INPUT_COMPANIES'!$Z$28&gt;2),OR('01_INPUT_COMPANIES'!$AA$28&lt;0,'01_INPUT_COMPANIES'!$AA$28&gt;1),OR('01_INPUT_COMPANIES'!$AB$28&lt;0,'01_INPUT_COMPANIES'!$AB$28&gt;1),OR('01_INPUT_COMPANIES'!$AC$28&lt;0,'01_INPUT_COMPANIES'!$AC$28&gt;50))," | REVIEW RANGE","")&amp;IF(COUNTIF('90_CALC_FEATURES'!$J$217:$J$226,"WINSORIZED*")&gt;0," | WINSORIZED","")&amp;IF(ABS('01_INPUT_COMPANIES'!$U$28-'01_INPUT_COMPANIES'!$V$28*'01_INPUT_COMPANIES'!$AB$28)&gt;MAX(0.005,0.05*MAX(ABS('01_INPUT_COMPANIES'!$V$28*'01_INPUT_COMPANIES'!$AB$28),ABS('01_INPUT_COMPANIES'!$U$28),0.000000000001))," | DEPENDENCY",""))))))))))))))))))))</x:f>
      </x:c>
      <x:c r="AC28" s="34" t="str">
        <x:f>IF(A28="","",IF(OR(LEFT(AB28,4)="PASS",LEFT(AB28,5)="READY"),"RESEARCH BETA | 저지원 22.22% | 기업 백분위 N/A", "결과 사용 금지 | "&amp;AB28))</x:f>
      </x:c>
      <x:c r="AD28" s="34" t="str">
        <x:f>IF(A28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$28,TRIM('01_INPUT_COMPANIES'!$D$28)),EXACT('01_INPUT_COMPANIES'!$E$28,TRIM('01_INPUT_COMPANIES'!$E$28)),EXACT('01_INPUT_COMPANIES'!$F$28,TRIM('01_INPUT_COMPANIES'!$F$28)),EXACT('01_INPUT_COMPANIES'!$G$28,TRIM('01_INPUT_COMPANIES'!$G$28)),EXACT('01_INPUT_COMPANIES'!$H$28,TRIM('01_INPUT_COMPANIES'!$H$28)))),"ERROR: COHORT WHITESPACE",IF(NOT(IFERROR(AND(ISTEXT('01_INPUT_COMPANIES'!$O$28),LEN('01_INPUT_COMPANIES'!$O$28)=10,VALUE(LEFT('01_INPUT_COMPANIES'!$O$28,4))&gt;=2000,VALUE(LEFT('01_INPUT_COMPANIES'!$O$28,4))&lt;=2100,EXACT(TEXT(DATE(VALUE(LEFT('01_INPUT_COMPANIES'!$O$28,4)),VALUE(MID('01_INPUT_COMPANIES'!$O$28,6,2)),VALUE(RIGHT('01_INPUT_COMPANIES'!$O$28,2))),"yyyy-mm-dd"),'01_INPUT_COMPANIES'!$O$28)),FALSE)),"ERROR: SOURCE DATE",IF(NOT(AND(OR(EXACT('01_INPUT_COMPANIES'!$C$28,"domestic"),EXACT('01_INPUT_COMPANIES'!$C$28,"foreign"),EXACT('01_INPUT_COMPANIES'!$C$28,"other")),OR(EXACT('01_INPUT_COMPANIES'!$K$28,"A"),EXACT('01_INPUT_COMPANIES'!$K$28,"B"),EXACT('01_INPUT_COMPANIES'!$K$28,"C"),EXACT('01_INPUT_COMPANIES'!$K$28,"SYNTHETIC")),OR(EXACT('01_INPUT_COMPANIES'!$L$28,"yes"),EXACT('01_INPUT_COMPANIES'!$L$28,"no")),OR(EXACT('01_INPUT_COMPANIES'!$M$28,"direct"),EXACT('01_INPUT_COMPANIES'!$M$28,"derived"),EXACT('01_INPUT_COMPANIES'!$M$28,"proxy"),EXACT('01_INPUT_COMPANIES'!$M$28,"mixed")),OR(EXACT('01_INPUT_COMPANIES'!$Q$28,"yes")),EXACT('01_INPUT_COMPANIES'!$I$28,UPPER('01_INPUT_COMPANIES'!$I$28)))),"ERROR: EXACT ENUM",IF(NOT(IFERROR(OR(AND(EXACT('92_REF_VARIABLES'!$A$21,'01_INPUT_COMPANIES'!$H$28),EXACT('92_REF_VARIABLES'!$B$21,'01_INPUT_COMPANIES'!$D$28),EXACT('92_REF_VARIABLES'!$C$21,'01_INPUT_COMPANIES'!$G$28))),FALSE)),"ERROR: BENCHMARK",""))))))</x:f>
      </x:c>
    </x:row>
    <x:row r="29">
      <x:c r="A29" s="34" t="str">
        <x:f>IF(OR('01_INPUT_COMPANIES'!$A$29="",'01_INPUT_COMPANIES'!$A$29=""),"",'01_INPUT_COMPANIES'!$A$29)</x:f>
      </x:c>
      <x:c r="B29" s="34" t="str">
        <x:f>IF(OR('01_INPUT_COMPANIES'!$A$29="",'01_INPUT_COMPANIES'!$B$29=""),"",'01_INPUT_COMPANIES'!$B$29)</x:f>
      </x:c>
      <x:c r="C29" s="34" t="str">
        <x:f>IF(OR('01_INPUT_COMPANIES'!$A$29="",'01_INPUT_COMPANIES'!$C$29=""),"",'01_INPUT_COMPANIES'!$C$29)</x:f>
      </x:c>
      <x:c r="D29" s="34" t="str">
        <x:f>IF(OR('01_INPUT_COMPANIES'!$A$29="",'01_INPUT_COMPANIES'!$D$29=""),"",'01_INPUT_COMPANIES'!$D$29)</x:f>
      </x:c>
      <x:c r="E29" s="34" t="str">
        <x:f>IF(OR('01_INPUT_COMPANIES'!$A$29="",'01_INPUT_COMPANIES'!$E$29=""),"",'01_INPUT_COMPANIES'!$E$29)</x:f>
      </x:c>
      <x:c r="F29" s="34" t="str">
        <x:f>IF(OR('01_INPUT_COMPANIES'!$A$29="",'01_INPUT_COMPANIES'!$F$29=""),"",'01_INPUT_COMPANIES'!$F$29)</x:f>
      </x:c>
      <x:c r="G29" s="34" t="str">
        <x:f>IF(OR('01_INPUT_COMPANIES'!$A$29="",'01_INPUT_COMPANIES'!$G$29=""),"",'01_INPUT_COMPANIES'!$G$29)</x:f>
      </x:c>
      <x:c r="H29" s="34" t="str">
        <x:f>IF(OR('01_INPUT_COMPANIES'!$A$29="",'01_INPUT_COMPANIES'!$H$29=""),"",'01_INPUT_COMPANIES'!$H$29)</x:f>
      </x:c>
      <x:c r="I29" s="34" t="str">
        <x:f>IF(OR('01_INPUT_COMPANIES'!$A$29="",'01_INPUT_COMPANIES'!$K$29=""),"",'01_INPUT_COMPANIES'!$K$29)</x:f>
      </x:c>
      <x:c r="J29" s="34" t="str">
        <x:f>IF(OR('01_INPUT_COMPANIES'!$A$29="",'01_INPUT_COMPANIES'!$M$29=""),"",'01_INPUT_COMPANIES'!$M$29)</x:f>
      </x:c>
      <x:c r="K29" s="34" t="str">
        <x:f>IF(OR(A29="",COUNTBLANK(D29:H29)&gt;0),"",LEN(D29)&amp;":"&amp;D29&amp;LEN(E29)&amp;":"&amp;E29&amp;LEN(F29)&amp;":"&amp;F29&amp;LEN(G29)&amp;":"&amp;G29&amp;LEN(H29)&amp;":"&amp;H29)</x:f>
      </x:c>
      <x:c r="L29" s="47" t="str">
        <x:f>IF(A29="","",'90_CALC_FEATURES'!$I$227)</x:f>
      </x:c>
      <x:c r="M29" s="47" t="str">
        <x:f>IF(A29="","",'90_CALC_FEATURES'!$I$228)</x:f>
      </x:c>
      <x:c r="N29" s="47" t="str">
        <x:f>IF(A29="","",'90_CALC_FEATURES'!$I$229)</x:f>
      </x:c>
      <x:c r="O29" s="47" t="str">
        <x:f>IF(A29="","",'90_CALC_FEATURES'!$I$230)</x:f>
      </x:c>
      <x:c r="P29" s="47" t="str">
        <x:f>IF(A29="","",'90_CALC_FEATURES'!$I$231)</x:f>
      </x:c>
      <x:c r="Q29" s="47" t="str">
        <x:f>IF(A29="","",'90_CALC_FEATURES'!$I$232)</x:f>
      </x:c>
      <x:c r="R29" s="47" t="str">
        <x:f>IF(A29="","",'90_CALC_FEATURES'!$I$233)</x:f>
      </x:c>
      <x:c r="S29" s="47" t="str">
        <x:f>IF(A29="","",'90_CALC_FEATURES'!$I$234)</x:f>
      </x:c>
      <x:c r="T29" s="47" t="str">
        <x:f>IF(A29="","",'90_CALC_FEATURES'!$I$235)</x:f>
      </x:c>
      <x:c r="U29" s="47" t="str">
        <x:f>IF(A29="","",'90_CALC_FEATURES'!$I$236)</x:f>
      </x:c>
      <x:c r="V29" s="47" t="str">
        <x:f>IF(COUNT(L29:N29)=3,100*AVERAGE(L29:N29),"")</x:f>
      </x:c>
      <x:c r="W29" s="47" t="str">
        <x:f>IF(COUNT(O29:R29)=4,100*AVERAGE(O29:R29),"")</x:f>
      </x:c>
      <x:c r="X29" s="47" t="str">
        <x:f>IF(COUNT(S29:U29)=3,100*AVERAGE(S29:U29),"")</x:f>
      </x:c>
      <x:c r="Y29" s="47" t="str">
        <x:f>IF(COUNT(V29:X29)=3,AVERAGE(V29:X29),"")</x:f>
      </x:c>
      <x:c r="Z29" s="47" t="str">
        <x:f>IF(OR(AND(EXACT(A29,"SYN-A"),COUNT('01_INPUT_COMPANIES'!$T$29:$AC$29)=10,'01_INPUT_COMPANIES'!$T$29=-0.02,'01_INPUT_COMPANIES'!$U$29=0.1332,'01_INPUT_COMPANIES'!$V$29=0.18,'01_INPUT_COMPANIES'!$W$29=0.42,'01_INPUT_COMPANIES'!$X$29=0.012,'01_INPUT_COMPANIES'!$Y$29=3.2,'01_INPUT_COMPANIES'!$Z$29=0.08,'01_INPUT_COMPANIES'!$AA$29=0.28,'01_INPUT_COMPANIES'!$AB$29=0.74,'01_INPUT_COMPANIES'!$AC$29=8.5),AND(EXACT(A29,"SYN-B"),COUNT('01_INPUT_COMPANIES'!$T$29:$AC$29)=10,'01_INPUT_COMPANIES'!$T$29=-0.055,'01_INPUT_COMPANIES'!$U$29=0.06405,'01_INPUT_COMPANIES'!$V$29=0.105,'01_INPUT_COMPANIES'!$W$29=0.73,'01_INPUT_COMPANIES'!$X$29=0.004,'01_INPUT_COMPANIES'!$Y$29=4.1,'01_INPUT_COMPANIES'!$Z$29=0.025,'01_INPUT_COMPANIES'!$AA$29=0.16,'01_INPUT_COMPANIES'!$AB$29=0.61,'01_INPUT_COMPANIES'!$AC$29=4),AND(EXACT(A29,"SYN-C"),COUNT('01_INPUT_COMPANIES'!$T$29:$AC$29)=10,'01_INPUT_COMPANIES'!$T$29=0.01,'01_INPUT_COMPANIES'!$U$29=0.0986,'01_INPUT_COMPANIES'!$V$29=0.145,'01_INPUT_COMPANIES'!$W$29=0.18,'01_INPUT_COMPANIES'!$X$29=0.018,'01_INPUT_COMPANIES'!$Y$29=2.65,'01_INPUT_COMPANIES'!$Z$29=0.11,'01_INPUT_COMPANIES'!$AA$29=0.34,'01_INPUT_COMPANIES'!$AB$29=0.68,'01_INPUT_COMPANIES'!$AC$29=6.8),AND(EXACT(A29,"SYN-D"),COUNT('01_INPUT_COMPANIES'!$T$29:$AC$29)=10,'01_INPUT_COMPANIES'!$T$29=-0.005,'01_INPUT_COMPANIES'!$U$29=0.1136,'01_INPUT_COMPANIES'!$V$29=0.16,'01_INPUT_COMPANIES'!$W$29=0.51,'01_INPUT_COMPANIES'!$X$29=0.009,'01_INPUT_COMPANIES'!$Y$29=3.55,'01_INPUT_COMPANIES'!$Z$29=0.065,'01_INPUT_COMPANIES'!$AA$29=0.24,'01_INPUT_COMPANIES'!$AB$29=0.71,'01_INPUT_COMPANIES'!$AC$29=7.4)),IFERROR(INDEX('94_EXPECTED_OUTPUTS'!$B$7:$B$10,MATCH(A29,'94_EXPECTED_OUTPUTS'!$A$7:$A$10,0)),""),"")</x:f>
      </x:c>
      <x:c r="AA29" s="47" t="str">
        <x:f>IF(OR(COUNT(Y29)=0,COUNT(Z29)=0),"",ABS(Y29-Z29))</x:f>
      </x:c>
      <x:c r="AB29" s="34" t="str">
        <x:f>IF(A29="","",IF(AD29&lt;&gt;"",AD29,IF('01_INPUT_COMPANIES'!$A$29="","",IF(OR(LEN(TRIM('01_INPUT_COMPANIES'!$A$29&amp;""))=0,LEN(TRIM('01_INPUT_COMPANIES'!$B$29&amp;""))=0,LEN(TRIM('01_INPUT_COMPANIES'!$C$29&amp;""))=0,LEN(TRIM('01_INPUT_COMPANIES'!$D$29&amp;""))=0,LEN(TRIM('01_INPUT_COMPANIES'!$E$29&amp;""))=0,LEN(TRIM('01_INPUT_COMPANIES'!$F$29&amp;""))=0,LEN(TRIM('01_INPUT_COMPANIES'!$G$29&amp;""))=0,LEN(TRIM('01_INPUT_COMPANIES'!$H$29&amp;""))=0,LEN(TRIM('01_INPUT_COMPANIES'!$I$29&amp;""))=0,LEN(TRIM('01_INPUT_COMPANIES'!$K$29&amp;""))=0,LEN(TRIM('01_INPUT_COMPANIES'!$L$29&amp;""))=0,LEN(TRIM('01_INPUT_COMPANIES'!$M$29&amp;""))=0,LEN(TRIM('01_INPUT_COMPANIES'!$N$29&amp;""))=0,LEN(TRIM('01_INPUT_COMPANIES'!$O$29&amp;""))=0,LEN(TRIM('01_INPUT_COMPANIES'!$Q$29&amp;""))=0,COUNTBLANK('01_INPUT_COMPANIES'!$A$29:$R$29)&gt;0),"INPUT REQUIRED",IF(OR('01_INPUT_COMPANIES'!$A$29&lt;&gt;TRIM('01_INPUT_COMPANIES'!$A$29),NOT(EXACT('01_INPUT_COMPANIES'!$A$29,UPPER('01_INPUT_COMPANIES'!$A$29))),LEN('01_INPUT_COMPANIES'!$A$29)&gt;64,ISNUMBER(FIND("*",'01_INPUT_COMPANIES'!$A$29)),ISNUMBER(FIND("?",'01_INPUT_COMPANIES'!$A$29)),ISNUMBER(FIND("~",'01_INPUT_COMPANIES'!$A$29))),"ERROR: ID FORMAT",IF(COUNTIF('01_INPUT_COMPANIES'!$A$7:$A$106,'01_INPUT_COMPANIES'!$A$29)&lt;&gt;1,"ERROR: DUPLICATE ID",IF(COUNT('01_INPUT_COMPANIES'!$T$29:$AC$29)&lt;&gt;10,"INPUT REQUIRED",IF(NOT(OR('01_INPUT_COMPANIES'!$C$29="domestic",'01_INPUT_COMPANIES'!$C$29="foreign",'01_INPUT_COMPANIES'!$C$29="other")),"ERROR: COMPANY GROUP",IF(OR(LEN('01_INPUT_COMPANIES'!$G$29)&lt;&gt;6,MID('01_INPUT_COMPANIES'!$G$29,5,1)&lt;&gt;"Q",IFERROR(VALUE(LEFT('01_INPUT_COMPANIES'!$G$29,4)),0)&lt;2000,IFERROR(VALUE(LEFT('01_INPUT_COMPANIES'!$G$29,4)),0)&gt;2100,IFERROR(VALUE(RIGHT('01_INPUT_COMPANIES'!$G$29,1)),0)&lt;1,IFERROR(VALUE(RIGHT('01_INPUT_COMPANIES'!$G$29,1)),0)&gt;4),"ERROR: REPORTING PERIOD",IF(OR(COUNTIFS('92_REF_VARIABLES'!$A$21:$A$21,'01_INPUT_COMPANIES'!$H$29,'92_REF_VARIABLES'!$B$21:$B$21,'01_INPUT_COMPANIES'!$D$29,'92_REF_VARIABLES'!$C$21:$C$21,'01_INPUT_COMPANIES'!$G$29)&lt;&gt;1,AND(IFERROR(INDEX('92_REF_VARIABLES'!$I$21:$I$21,MATCH('01_INPUT_COMPANIES'!$H$29,'92_REF_VARIABLES'!$A$21:$A$21,0)),"")="synthetic_only",'01_INPUT_COMPANIES'!$L$29&lt;&gt;"yes")),"ERROR: BENCHMARK",IF(COUNTIF('92_REF_VARIABLES'!$L$21:$L$50,'01_INPUT_COMPANIES'!$I$29)&lt;&gt;1,"ERROR: CURRENCY",IF(OR(NOT(ISNUMBER('01_INPUT_COMPANIES'!$J$29)),'01_INPUT_COMPANIES'!$J$29&lt;&gt;INT('01_INPUT_COMPANIES'!$J$29),'01_INPUT_COMPANIES'!$J$29&lt;2000,'01_INPUT_COMPANIES'!$J$29&gt;2100),"ERROR: PRICE YEAR",IF(NOT(OR('01_INPUT_COMPANIES'!$K$29="A",'01_INPUT_COMPANIES'!$K$29="B",'01_INPUT_COMPANIES'!$K$29="C",'01_INPUT_COMPANIES'!$K$29="SYNTHETIC")),"ERROR: QUALITY",IF(NOT(OR(AND('01_INPUT_COMPANIES'!$L$29="yes",'01_INPUT_COMPANIES'!$K$29="SYNTHETIC"),AND('01_INPUT_COMPANIES'!$L$29="no",'01_INPUT_COMPANIES'!$K$29&lt;&gt;"SYNTHETIC"))),"ERROR: SYNTHETIC FLAG",IF(NOT(OR('01_INPUT_COMPANIES'!$M$29="direct",'01_INPUT_COMPANIES'!$M$29="derived",'01_INPUT_COMPANIES'!$M$29="proxy",'01_INPUT_COMPANIES'!$M$29="mixed")),"ERROR: CONSTRUCTION MODE",IF(OR(NOT(ISNUMBER('01_INPUT_COMPANIES'!$P$29)),'01_INPUT_COMPANIES'!$P$29&lt;0,'01_INPUT_COMPANIES'!$P$29&lt;&gt;INT('01_INPUT_COMPANIES'!$P$29)),"ERROR: CARRY LAG",IF('01_INPUT_COMPANIES'!$Q$29&lt;&gt;"yes","ERROR: EXPOSURE ADJUSTMENT",IF(OR(NOT(ISNUMBER('01_INPUT_COMPANIES'!$R$29)),'01_INPUT_COMPANIES'!$R$29&lt;0,'01_INPUT_COMPANIES'!$R$29&gt;1),"ERROR: EXPOSURE FACTOR",IF(COUNT(Y29)=0,"ERROR: SCORE",IF(COUNT(Z29)=0,"READY",IF(AA29&lt;=0.0000000001,"PASS","CHECK"))&amp;IF('01_INPUT_COMPANIES'!$K$29="C"," | C QUALITY","")&amp;IF(OR('01_INPUT_COMPANIES'!$M$29="proxy",'01_INPUT_COMPANIES'!$M$29="mixed")," | PROXY/MIXED","")&amp;IF('01_INPUT_COMPANIES'!$P$29&gt;1," | CARRY&gt;1","")&amp;IF(OR(OR('01_INPUT_COMPANIES'!$T$29&lt;-1,'01_INPUT_COMPANIES'!$T$29&gt;1),OR('01_INPUT_COMPANIES'!$U$29&lt;0,'01_INPUT_COMPANIES'!$U$29&gt;1),OR('01_INPUT_COMPANIES'!$V$29&lt;0,'01_INPUT_COMPANIES'!$V$29&gt;1),OR('01_INPUT_COMPANIES'!$W$29&lt;-10,'01_INPUT_COMPANIES'!$W$29&gt;10),OR('01_INPUT_COMPANIES'!$X$29&lt;-1,'01_INPUT_COMPANIES'!$X$29&gt;1),OR('01_INPUT_COMPANIES'!$Y$29&lt;0,'01_INPUT_COMPANIES'!$Y$29&gt;20),OR('01_INPUT_COMPANIES'!$Z$29&lt;-2,'01_INPUT_COMPANIES'!$Z$29&gt;2),OR('01_INPUT_COMPANIES'!$AA$29&lt;0,'01_INPUT_COMPANIES'!$AA$29&gt;1),OR('01_INPUT_COMPANIES'!$AB$29&lt;0,'01_INPUT_COMPANIES'!$AB$29&gt;1),OR('01_INPUT_COMPANIES'!$AC$29&lt;0,'01_INPUT_COMPANIES'!$AC$29&gt;50))," | REVIEW RANGE","")&amp;IF(COUNTIF('90_CALC_FEATURES'!$J$227:$J$236,"WINSORIZED*")&gt;0," | WINSORIZED","")&amp;IF(ABS('01_INPUT_COMPANIES'!$U$29-'01_INPUT_COMPANIES'!$V$29*'01_INPUT_COMPANIES'!$AB$29)&gt;MAX(0.005,0.05*MAX(ABS('01_INPUT_COMPANIES'!$V$29*'01_INPUT_COMPANIES'!$AB$29),ABS('01_INPUT_COMPANIES'!$U$29),0.000000000001))," | DEPENDENCY",""))))))))))))))))))))</x:f>
      </x:c>
      <x:c r="AC29" s="34" t="str">
        <x:f>IF(A29="","",IF(OR(LEFT(AB29,4)="PASS",LEFT(AB29,5)="READY"),"RESEARCH BETA | 저지원 22.22% | 기업 백분위 N/A", "결과 사용 금지 | "&amp;AB29))</x:f>
      </x:c>
      <x:c r="AD29" s="34" t="str">
        <x:f>IF(A29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$29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$29,TRIM('01_INPUT_COMPANIES'!$D$29)),EXACT('01_INPUT_COMPANIES'!$E$29,TRIM('01_INPUT_COMPANIES'!$E$29)),EXACT('01_INPUT_COMPANIES'!$F$29,TRIM('01_INPUT_COMPANIES'!$F$29)),EXACT('01_INPUT_COMPANIES'!$G$29,TRIM('01_INPUT_COMPANIES'!$G$29)),EXACT('01_INPUT_COMPANIES'!$H$29,TRIM('01_INPUT_COMPANIES'!$H$29)))),"ERROR: COHORT WHITESPACE",IF(NOT(IFERROR(AND(ISTEXT('01_INPUT_COMPANIES'!$O$29),LEN('01_INPUT_COMPANIES'!$O$29)=10,VALUE(LEFT('01_INPUT_COMPANIES'!$O$29,4))&gt;=2000,VALUE(LEFT('01_INPUT_COMPANIES'!$O$29,4))&lt;=2100,EXACT(TEXT(DATE(VALUE(LEFT('01_INPUT_COMPANIES'!$O$29,4)),VALUE(MID('01_INPUT_COMPANIES'!$O$29,6,2)),VALUE(RIGHT('01_INPUT_COMPANIES'!$O$29,2))),"yyyy-mm-dd"),'01_INPUT_COMPANIES'!$O$29)),FALSE)),"ERROR: SOURCE DATE",IF(NOT(AND(OR(EXACT('01_INPUT_COMPANIES'!$C$29,"domestic"),EXACT('01_INPUT_COMPANIES'!$C$29,"foreign"),EXACT('01_INPUT_COMPANIES'!$C$29,"other")),OR(EXACT('01_INPUT_COMPANIES'!$K$29,"A"),EXACT('01_INPUT_COMPANIES'!$K$29,"B"),EXACT('01_INPUT_COMPANIES'!$K$29,"C"),EXACT('01_INPUT_COMPANIES'!$K$29,"SYNTHETIC")),OR(EXACT('01_INPUT_COMPANIES'!$L$29,"yes"),EXACT('01_INPUT_COMPANIES'!$L$29,"no")),OR(EXACT('01_INPUT_COMPANIES'!$M$29,"direct"),EXACT('01_INPUT_COMPANIES'!$M$29,"derived"),EXACT('01_INPUT_COMPANIES'!$M$29,"proxy"),EXACT('01_INPUT_COMPANIES'!$M$29,"mixed")),OR(EXACT('01_INPUT_COMPANIES'!$Q$29,"yes")),EXACT('01_INPUT_COMPANIES'!$I$29,UPPER('01_INPUT_COMPANIES'!$I$29)))),"ERROR: EXACT ENUM",IF(NOT(IFERROR(OR(AND(EXACT('92_REF_VARIABLES'!$A$21,'01_INPUT_COMPANIES'!$H$29),EXACT('92_REF_VARIABLES'!$B$21,'01_INPUT_COMPANIES'!$D$29),EXACT('92_REF_VARIABLES'!$C$21,'01_INPUT_COMPANIES'!$G$29))),FALSE)),"ERROR: BENCHMARK",""))))))</x:f>
      </x:c>
    </x:row>
    <x:row r="30">
      <x:c r="A30" s="34" t="str">
        <x:f>IF(OR('01_INPUT_COMPANIES'!$A$30="",'01_INPUT_COMPANIES'!$A$30=""),"",'01_INPUT_COMPANIES'!$A$30)</x:f>
      </x:c>
      <x:c r="B30" s="34" t="str">
        <x:f>IF(OR('01_INPUT_COMPANIES'!$A$30="",'01_INPUT_COMPANIES'!$B$30=""),"",'01_INPUT_COMPANIES'!$B$30)</x:f>
      </x:c>
      <x:c r="C30" s="34" t="str">
        <x:f>IF(OR('01_INPUT_COMPANIES'!$A$30="",'01_INPUT_COMPANIES'!$C$30=""),"",'01_INPUT_COMPANIES'!$C$30)</x:f>
      </x:c>
      <x:c r="D30" s="34" t="str">
        <x:f>IF(OR('01_INPUT_COMPANIES'!$A$30="",'01_INPUT_COMPANIES'!$D$30=""),"",'01_INPUT_COMPANIES'!$D$30)</x:f>
      </x:c>
      <x:c r="E30" s="34" t="str">
        <x:f>IF(OR('01_INPUT_COMPANIES'!$A$30="",'01_INPUT_COMPANIES'!$E$30=""),"",'01_INPUT_COMPANIES'!$E$30)</x:f>
      </x:c>
      <x:c r="F30" s="34" t="str">
        <x:f>IF(OR('01_INPUT_COMPANIES'!$A$30="",'01_INPUT_COMPANIES'!$F$30=""),"",'01_INPUT_COMPANIES'!$F$30)</x:f>
      </x:c>
      <x:c r="G30" s="34" t="str">
        <x:f>IF(OR('01_INPUT_COMPANIES'!$A$30="",'01_INPUT_COMPANIES'!$G$30=""),"",'01_INPUT_COMPANIES'!$G$30)</x:f>
      </x:c>
      <x:c r="H30" s="34" t="str">
        <x:f>IF(OR('01_INPUT_COMPANIES'!$A$30="",'01_INPUT_COMPANIES'!$H$30=""),"",'01_INPUT_COMPANIES'!$H$30)</x:f>
      </x:c>
      <x:c r="I30" s="34" t="str">
        <x:f>IF(OR('01_INPUT_COMPANIES'!$A$30="",'01_INPUT_COMPANIES'!$K$30=""),"",'01_INPUT_COMPANIES'!$K$30)</x:f>
      </x:c>
      <x:c r="J30" s="34" t="str">
        <x:f>IF(OR('01_INPUT_COMPANIES'!$A$30="",'01_INPUT_COMPANIES'!$M$30=""),"",'01_INPUT_COMPANIES'!$M$30)</x:f>
      </x:c>
      <x:c r="K30" s="34" t="str">
        <x:f>IF(OR(A30="",COUNTBLANK(D30:H30)&gt;0),"",LEN(D30)&amp;":"&amp;D30&amp;LEN(E30)&amp;":"&amp;E30&amp;LEN(F30)&amp;":"&amp;F30&amp;LEN(G30)&amp;":"&amp;G30&amp;LEN(H30)&amp;":"&amp;H30)</x:f>
      </x:c>
      <x:c r="L30" s="47" t="str">
        <x:f>IF(A30="","",'90_CALC_FEATURES'!$I$237)</x:f>
      </x:c>
      <x:c r="M30" s="47" t="str">
        <x:f>IF(A30="","",'90_CALC_FEATURES'!$I$238)</x:f>
      </x:c>
      <x:c r="N30" s="47" t="str">
        <x:f>IF(A30="","",'90_CALC_FEATURES'!$I$239)</x:f>
      </x:c>
      <x:c r="O30" s="47" t="str">
        <x:f>IF(A30="","",'90_CALC_FEATURES'!$I$240)</x:f>
      </x:c>
      <x:c r="P30" s="47" t="str">
        <x:f>IF(A30="","",'90_CALC_FEATURES'!$I$241)</x:f>
      </x:c>
      <x:c r="Q30" s="47" t="str">
        <x:f>IF(A30="","",'90_CALC_FEATURES'!$I$242)</x:f>
      </x:c>
      <x:c r="R30" s="47" t="str">
        <x:f>IF(A30="","",'90_CALC_FEATURES'!$I$243)</x:f>
      </x:c>
      <x:c r="S30" s="47" t="str">
        <x:f>IF(A30="","",'90_CALC_FEATURES'!$I$244)</x:f>
      </x:c>
      <x:c r="T30" s="47" t="str">
        <x:f>IF(A30="","",'90_CALC_FEATURES'!$I$245)</x:f>
      </x:c>
      <x:c r="U30" s="47" t="str">
        <x:f>IF(A30="","",'90_CALC_FEATURES'!$I$246)</x:f>
      </x:c>
      <x:c r="V30" s="47" t="str">
        <x:f>IF(COUNT(L30:N30)=3,100*AVERAGE(L30:N30),"")</x:f>
      </x:c>
      <x:c r="W30" s="47" t="str">
        <x:f>IF(COUNT(O30:R30)=4,100*AVERAGE(O30:R30),"")</x:f>
      </x:c>
      <x:c r="X30" s="47" t="str">
        <x:f>IF(COUNT(S30:U30)=3,100*AVERAGE(S30:U30),"")</x:f>
      </x:c>
      <x:c r="Y30" s="47" t="str">
        <x:f>IF(COUNT(V30:X30)=3,AVERAGE(V30:X30),"")</x:f>
      </x:c>
      <x:c r="Z30" s="47" t="str">
        <x:f>IF(OR(AND(EXACT(A30,"SYN-A"),COUNT('01_INPUT_COMPANIES'!$T$30:$AC$30)=10,'01_INPUT_COMPANIES'!$T$30=-0.02,'01_INPUT_COMPANIES'!$U$30=0.1332,'01_INPUT_COMPANIES'!$V$30=0.18,'01_INPUT_COMPANIES'!$W$30=0.42,'01_INPUT_COMPANIES'!$X$30=0.012,'01_INPUT_COMPANIES'!$Y$30=3.2,'01_INPUT_COMPANIES'!$Z$30=0.08,'01_INPUT_COMPANIES'!$AA$30=0.28,'01_INPUT_COMPANIES'!$AB$30=0.74,'01_INPUT_COMPANIES'!$AC$30=8.5),AND(EXACT(A30,"SYN-B"),COUNT('01_INPUT_COMPANIES'!$T$30:$AC$30)=10,'01_INPUT_COMPANIES'!$T$30=-0.055,'01_INPUT_COMPANIES'!$U$30=0.06405,'01_INPUT_COMPANIES'!$V$30=0.105,'01_INPUT_COMPANIES'!$W$30=0.73,'01_INPUT_COMPANIES'!$X$30=0.004,'01_INPUT_COMPANIES'!$Y$30=4.1,'01_INPUT_COMPANIES'!$Z$30=0.025,'01_INPUT_COMPANIES'!$AA$30=0.16,'01_INPUT_COMPANIES'!$AB$30=0.61,'01_INPUT_COMPANIES'!$AC$30=4),AND(EXACT(A30,"SYN-C"),COUNT('01_INPUT_COMPANIES'!$T$30:$AC$30)=10,'01_INPUT_COMPANIES'!$T$30=0.01,'01_INPUT_COMPANIES'!$U$30=0.0986,'01_INPUT_COMPANIES'!$V$30=0.145,'01_INPUT_COMPANIES'!$W$30=0.18,'01_INPUT_COMPANIES'!$X$30=0.018,'01_INPUT_COMPANIES'!$Y$30=2.65,'01_INPUT_COMPANIES'!$Z$30=0.11,'01_INPUT_COMPANIES'!$AA$30=0.34,'01_INPUT_COMPANIES'!$AB$30=0.68,'01_INPUT_COMPANIES'!$AC$30=6.8),AND(EXACT(A30,"SYN-D"),COUNT('01_INPUT_COMPANIES'!$T$30:$AC$30)=10,'01_INPUT_COMPANIES'!$T$30=-0.005,'01_INPUT_COMPANIES'!$U$30=0.1136,'01_INPUT_COMPANIES'!$V$30=0.16,'01_INPUT_COMPANIES'!$W$30=0.51,'01_INPUT_COMPANIES'!$X$30=0.009,'01_INPUT_COMPANIES'!$Y$30=3.55,'01_INPUT_COMPANIES'!$Z$30=0.065,'01_INPUT_COMPANIES'!$AA$30=0.24,'01_INPUT_COMPANIES'!$AB$30=0.71,'01_INPUT_COMPANIES'!$AC$30=7.4)),IFERROR(INDEX('94_EXPECTED_OUTPUTS'!$B$7:$B$10,MATCH(A30,'94_EXPECTED_OUTPUTS'!$A$7:$A$10,0)),""),"")</x:f>
      </x:c>
      <x:c r="AA30" s="47" t="str">
        <x:f>IF(OR(COUNT(Y30)=0,COUNT(Z30)=0),"",ABS(Y30-Z30))</x:f>
      </x:c>
      <x:c r="AB30" s="34" t="str">
        <x:f>IF(A30="","",IF(AD30&lt;&gt;"",AD30,IF('01_INPUT_COMPANIES'!$A$30="","",IF(OR(LEN(TRIM('01_INPUT_COMPANIES'!$A$30&amp;""))=0,LEN(TRIM('01_INPUT_COMPANIES'!$B$30&amp;""))=0,LEN(TRIM('01_INPUT_COMPANIES'!$C$30&amp;""))=0,LEN(TRIM('01_INPUT_COMPANIES'!$D$30&amp;""))=0,LEN(TRIM('01_INPUT_COMPANIES'!$E$30&amp;""))=0,LEN(TRIM('01_INPUT_COMPANIES'!$F$30&amp;""))=0,LEN(TRIM('01_INPUT_COMPANIES'!$G$30&amp;""))=0,LEN(TRIM('01_INPUT_COMPANIES'!$H$30&amp;""))=0,LEN(TRIM('01_INPUT_COMPANIES'!$I$30&amp;""))=0,LEN(TRIM('01_INPUT_COMPANIES'!$K$30&amp;""))=0,LEN(TRIM('01_INPUT_COMPANIES'!$L$30&amp;""))=0,LEN(TRIM('01_INPUT_COMPANIES'!$M$30&amp;""))=0,LEN(TRIM('01_INPUT_COMPANIES'!$N$30&amp;""))=0,LEN(TRIM('01_INPUT_COMPANIES'!$O$30&amp;""))=0,LEN(TRIM('01_INPUT_COMPANIES'!$Q$30&amp;""))=0,COUNTBLANK('01_INPUT_COMPANIES'!$A$30:$R$30)&gt;0),"INPUT REQUIRED",IF(OR('01_INPUT_COMPANIES'!$A$30&lt;&gt;TRIM('01_INPUT_COMPANIES'!$A$30),NOT(EXACT('01_INPUT_COMPANIES'!$A$30,UPPER('01_INPUT_COMPANIES'!$A$30))),LEN('01_INPUT_COMPANIES'!$A$30)&gt;64,ISNUMBER(FIND("*",'01_INPUT_COMPANIES'!$A$30)),ISNUMBER(FIND("?",'01_INPUT_COMPANIES'!$A$30)),ISNUMBER(FIND("~",'01_INPUT_COMPANIES'!$A$30))),"ERROR: ID FORMAT",IF(COUNTIF('01_INPUT_COMPANIES'!$A$7:$A$106,'01_INPUT_COMPANIES'!$A$30)&lt;&gt;1,"ERROR: DUPLICATE ID",IF(COUNT('01_INPUT_COMPANIES'!$T$30:$AC$30)&lt;&gt;10,"INPUT REQUIRED",IF(NOT(OR('01_INPUT_COMPANIES'!$C$30="domestic",'01_INPUT_COMPANIES'!$C$30="foreign",'01_INPUT_COMPANIES'!$C$30="other")),"ERROR: COMPANY GROUP",IF(OR(LEN('01_INPUT_COMPANIES'!$G$30)&lt;&gt;6,MID('01_INPUT_COMPANIES'!$G$30,5,1)&lt;&gt;"Q",IFERROR(VALUE(LEFT('01_INPUT_COMPANIES'!$G$30,4)),0)&lt;2000,IFERROR(VALUE(LEFT('01_INPUT_COMPANIES'!$G$30,4)),0)&gt;2100,IFERROR(VALUE(RIGHT('01_INPUT_COMPANIES'!$G$30,1)),0)&lt;1,IFERROR(VALUE(RIGHT('01_INPUT_COMPANIES'!$G$30,1)),0)&gt;4),"ERROR: REPORTING PERIOD",IF(OR(COUNTIFS('92_REF_VARIABLES'!$A$21:$A$21,'01_INPUT_COMPANIES'!$H$30,'92_REF_VARIABLES'!$B$21:$B$21,'01_INPUT_COMPANIES'!$D$30,'92_REF_VARIABLES'!$C$21:$C$21,'01_INPUT_COMPANIES'!$G$30)&lt;&gt;1,AND(IFERROR(INDEX('92_REF_VARIABLES'!$I$21:$I$21,MATCH('01_INPUT_COMPANIES'!$H$30,'92_REF_VARIABLES'!$A$21:$A$21,0)),"")="synthetic_only",'01_INPUT_COMPANIES'!$L$30&lt;&gt;"yes")),"ERROR: BENCHMARK",IF(COUNTIF('92_REF_VARIABLES'!$L$21:$L$50,'01_INPUT_COMPANIES'!$I$30)&lt;&gt;1,"ERROR: CURRENCY",IF(OR(NOT(ISNUMBER('01_INPUT_COMPANIES'!$J$30)),'01_INPUT_COMPANIES'!$J$30&lt;&gt;INT('01_INPUT_COMPANIES'!$J$30),'01_INPUT_COMPANIES'!$J$30&lt;2000,'01_INPUT_COMPANIES'!$J$30&gt;2100),"ERROR: PRICE YEAR",IF(NOT(OR('01_INPUT_COMPANIES'!$K$30="A",'01_INPUT_COMPANIES'!$K$30="B",'01_INPUT_COMPANIES'!$K$30="C",'01_INPUT_COMPANIES'!$K$30="SYNTHETIC")),"ERROR: QUALITY",IF(NOT(OR(AND('01_INPUT_COMPANIES'!$L$30="yes",'01_INPUT_COMPANIES'!$K$30="SYNTHETIC"),AND('01_INPUT_COMPANIES'!$L$30="no",'01_INPUT_COMPANIES'!$K$30&lt;&gt;"SYNTHETIC"))),"ERROR: SYNTHETIC FLAG",IF(NOT(OR('01_INPUT_COMPANIES'!$M$30="direct",'01_INPUT_COMPANIES'!$M$30="derived",'01_INPUT_COMPANIES'!$M$30="proxy",'01_INPUT_COMPANIES'!$M$30="mixed")),"ERROR: CONSTRUCTION MODE",IF(OR(NOT(ISNUMBER('01_INPUT_COMPANIES'!$P$30)),'01_INPUT_COMPANIES'!$P$30&lt;0,'01_INPUT_COMPANIES'!$P$30&lt;&gt;INT('01_INPUT_COMPANIES'!$P$30)),"ERROR: CARRY LAG",IF('01_INPUT_COMPANIES'!$Q$30&lt;&gt;"yes","ERROR: EXPOSURE ADJUSTMENT",IF(OR(NOT(ISNUMBER('01_INPUT_COMPANIES'!$R$30)),'01_INPUT_COMPANIES'!$R$30&lt;0,'01_INPUT_COMPANIES'!$R$30&gt;1),"ERROR: EXPOSURE FACTOR",IF(COUNT(Y30)=0,"ERROR: SCORE",IF(COUNT(Z30)=0,"READY",IF(AA30&lt;=0.0000000001,"PASS","CHECK"))&amp;IF('01_INPUT_COMPANIES'!$K$30="C"," | C QUALITY","")&amp;IF(OR('01_INPUT_COMPANIES'!$M$30="proxy",'01_INPUT_COMPANIES'!$M$30="mixed")," | PROXY/MIXED","")&amp;IF('01_INPUT_COMPANIES'!$P$30&gt;1," | CARRY&gt;1","")&amp;IF(OR(OR('01_INPUT_COMPANIES'!$T$30&lt;-1,'01_INPUT_COMPANIES'!$T$30&gt;1),OR('01_INPUT_COMPANIES'!$U$30&lt;0,'01_INPUT_COMPANIES'!$U$30&gt;1),OR('01_INPUT_COMPANIES'!$V$30&lt;0,'01_INPUT_COMPANIES'!$V$30&gt;1),OR('01_INPUT_COMPANIES'!$W$30&lt;-10,'01_INPUT_COMPANIES'!$W$30&gt;10),OR('01_INPUT_COMPANIES'!$X$30&lt;-1,'01_INPUT_COMPANIES'!$X$30&gt;1),OR('01_INPUT_COMPANIES'!$Y$30&lt;0,'01_INPUT_COMPANIES'!$Y$30&gt;20),OR('01_INPUT_COMPANIES'!$Z$30&lt;-2,'01_INPUT_COMPANIES'!$Z$30&gt;2),OR('01_INPUT_COMPANIES'!$AA$30&lt;0,'01_INPUT_COMPANIES'!$AA$30&gt;1),OR('01_INPUT_COMPANIES'!$AB$30&lt;0,'01_INPUT_COMPANIES'!$AB$30&gt;1),OR('01_INPUT_COMPANIES'!$AC$30&lt;0,'01_INPUT_COMPANIES'!$AC$30&gt;50))," | REVIEW RANGE","")&amp;IF(COUNTIF('90_CALC_FEATURES'!$J$237:$J$246,"WINSORIZED*")&gt;0," | WINSORIZED","")&amp;IF(ABS('01_INPUT_COMPANIES'!$U$30-'01_INPUT_COMPANIES'!$V$30*'01_INPUT_COMPANIES'!$AB$30)&gt;MAX(0.005,0.05*MAX(ABS('01_INPUT_COMPANIES'!$V$30*'01_INPUT_COMPANIES'!$AB$30),ABS('01_INPUT_COMPANIES'!$U$30),0.000000000001))," | DEPENDENCY",""))))))))))))))))))))</x:f>
      </x:c>
      <x:c r="AC30" s="34" t="str">
        <x:f>IF(A30="","",IF(OR(LEFT(AB30,4)="PASS",LEFT(AB30,5)="READY"),"RESEARCH BETA | 저지원 22.22% | 기업 백분위 N/A", "결과 사용 금지 | "&amp;AB30))</x:f>
      </x:c>
      <x:c r="AD30" s="34" t="str">
        <x:f>IF(A30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$30,TRIM('01_INPUT_COMPANIES'!$D$30)),EXACT('01_INPUT_COMPANIES'!$E$30,TRIM('01_INPUT_COMPANIES'!$E$30)),EXACT('01_INPUT_COMPANIES'!$F$30,TRIM('01_INPUT_COMPANIES'!$F$30)),EXACT('01_INPUT_COMPANIES'!$G$30,TRIM('01_INPUT_COMPANIES'!$G$30)),EXACT('01_INPUT_COMPANIES'!$H$30,TRIM('01_INPUT_COMPANIES'!$H$30)))),"ERROR: COHORT WHITESPACE",IF(NOT(IFERROR(AND(ISTEXT('01_INPUT_COMPANIES'!$O$30),LEN('01_INPUT_COMPANIES'!$O$30)=10,VALUE(LEFT('01_INPUT_COMPANIES'!$O$30,4))&gt;=2000,VALUE(LEFT('01_INPUT_COMPANIES'!$O$30,4))&lt;=2100,EXACT(TEXT(DATE(VALUE(LEFT('01_INPUT_COMPANIES'!$O$30,4)),VALUE(MID('01_INPUT_COMPANIES'!$O$30,6,2)),VALUE(RIGHT('01_INPUT_COMPANIES'!$O$30,2))),"yyyy-mm-dd"),'01_INPUT_COMPANIES'!$O$30)),FALSE)),"ERROR: SOURCE DATE",IF(NOT(AND(OR(EXACT('01_INPUT_COMPANIES'!$C$30,"domestic"),EXACT('01_INPUT_COMPANIES'!$C$30,"foreign"),EXACT('01_INPUT_COMPANIES'!$C$30,"other")),OR(EXACT('01_INPUT_COMPANIES'!$K$30,"A"),EXACT('01_INPUT_COMPANIES'!$K$30,"B"),EXACT('01_INPUT_COMPANIES'!$K$30,"C"),EXACT('01_INPUT_COMPANIES'!$K$30,"SYNTHETIC")),OR(EXACT('01_INPUT_COMPANIES'!$L$30,"yes"),EXACT('01_INPUT_COMPANIES'!$L$30,"no")),OR(EXACT('01_INPUT_COMPANIES'!$M$30,"direct"),EXACT('01_INPUT_COMPANIES'!$M$30,"derived"),EXACT('01_INPUT_COMPANIES'!$M$30,"proxy"),EXACT('01_INPUT_COMPANIES'!$M$30,"mixed")),OR(EXACT('01_INPUT_COMPANIES'!$Q$30,"yes")),EXACT('01_INPUT_COMPANIES'!$I$30,UPPER('01_INPUT_COMPANIES'!$I$30)))),"ERROR: EXACT ENUM",IF(NOT(IFERROR(OR(AND(EXACT('92_REF_VARIABLES'!$A$21,'01_INPUT_COMPANIES'!$H$30),EXACT('92_REF_VARIABLES'!$B$21,'01_INPUT_COMPANIES'!$D$30),EXACT('92_REF_VARIABLES'!$C$21,'01_INPUT_COMPANIES'!$G$30))),FALSE)),"ERROR: BENCHMARK",""))))))</x:f>
      </x:c>
    </x:row>
    <x:row r="31">
      <x:c r="A31" s="34" t="str">
        <x:f>IF(OR('01_INPUT_COMPANIES'!$A$31="",'01_INPUT_COMPANIES'!$A$31=""),"",'01_INPUT_COMPANIES'!$A$31)</x:f>
      </x:c>
      <x:c r="B31" s="34" t="str">
        <x:f>IF(OR('01_INPUT_COMPANIES'!$A$31="",'01_INPUT_COMPANIES'!$B$31=""),"",'01_INPUT_COMPANIES'!$B$31)</x:f>
      </x:c>
      <x:c r="C31" s="34" t="str">
        <x:f>IF(OR('01_INPUT_COMPANIES'!$A$31="",'01_INPUT_COMPANIES'!$C$31=""),"",'01_INPUT_COMPANIES'!$C$31)</x:f>
      </x:c>
      <x:c r="D31" s="34" t="str">
        <x:f>IF(OR('01_INPUT_COMPANIES'!$A$31="",'01_INPUT_COMPANIES'!$D$31=""),"",'01_INPUT_COMPANIES'!$D$31)</x:f>
      </x:c>
      <x:c r="E31" s="34" t="str">
        <x:f>IF(OR('01_INPUT_COMPANIES'!$A$31="",'01_INPUT_COMPANIES'!$E$31=""),"",'01_INPUT_COMPANIES'!$E$31)</x:f>
      </x:c>
      <x:c r="F31" s="34" t="str">
        <x:f>IF(OR('01_INPUT_COMPANIES'!$A$31="",'01_INPUT_COMPANIES'!$F$31=""),"",'01_INPUT_COMPANIES'!$F$31)</x:f>
      </x:c>
      <x:c r="G31" s="34" t="str">
        <x:f>IF(OR('01_INPUT_COMPANIES'!$A$31="",'01_INPUT_COMPANIES'!$G$31=""),"",'01_INPUT_COMPANIES'!$G$31)</x:f>
      </x:c>
      <x:c r="H31" s="34" t="str">
        <x:f>IF(OR('01_INPUT_COMPANIES'!$A$31="",'01_INPUT_COMPANIES'!$H$31=""),"",'01_INPUT_COMPANIES'!$H$31)</x:f>
      </x:c>
      <x:c r="I31" s="34" t="str">
        <x:f>IF(OR('01_INPUT_COMPANIES'!$A$31="",'01_INPUT_COMPANIES'!$K$31=""),"",'01_INPUT_COMPANIES'!$K$31)</x:f>
      </x:c>
      <x:c r="J31" s="34" t="str">
        <x:f>IF(OR('01_INPUT_COMPANIES'!$A$31="",'01_INPUT_COMPANIES'!$M$31=""),"",'01_INPUT_COMPANIES'!$M$31)</x:f>
      </x:c>
      <x:c r="K31" s="34" t="str">
        <x:f>IF(OR(A31="",COUNTBLANK(D31:H31)&gt;0),"",LEN(D31)&amp;":"&amp;D31&amp;LEN(E31)&amp;":"&amp;E31&amp;LEN(F31)&amp;":"&amp;F31&amp;LEN(G31)&amp;":"&amp;G31&amp;LEN(H31)&amp;":"&amp;H31)</x:f>
      </x:c>
      <x:c r="L31" s="47" t="str">
        <x:f>IF(A31="","",'90_CALC_FEATURES'!$I$247)</x:f>
      </x:c>
      <x:c r="M31" s="47" t="str">
        <x:f>IF(A31="","",'90_CALC_FEATURES'!$I$248)</x:f>
      </x:c>
      <x:c r="N31" s="47" t="str">
        <x:f>IF(A31="","",'90_CALC_FEATURES'!$I$249)</x:f>
      </x:c>
      <x:c r="O31" s="47" t="str">
        <x:f>IF(A31="","",'90_CALC_FEATURES'!$I$250)</x:f>
      </x:c>
      <x:c r="P31" s="47" t="str">
        <x:f>IF(A31="","",'90_CALC_FEATURES'!$I$251)</x:f>
      </x:c>
      <x:c r="Q31" s="47" t="str">
        <x:f>IF(A31="","",'90_CALC_FEATURES'!$I$252)</x:f>
      </x:c>
      <x:c r="R31" s="47" t="str">
        <x:f>IF(A31="","",'90_CALC_FEATURES'!$I$253)</x:f>
      </x:c>
      <x:c r="S31" s="47" t="str">
        <x:f>IF(A31="","",'90_CALC_FEATURES'!$I$254)</x:f>
      </x:c>
      <x:c r="T31" s="47" t="str">
        <x:f>IF(A31="","",'90_CALC_FEATURES'!$I$255)</x:f>
      </x:c>
      <x:c r="U31" s="47" t="str">
        <x:f>IF(A31="","",'90_CALC_FEATURES'!$I$256)</x:f>
      </x:c>
      <x:c r="V31" s="47" t="str">
        <x:f>IF(COUNT(L31:N31)=3,100*AVERAGE(L31:N31),"")</x:f>
      </x:c>
      <x:c r="W31" s="47" t="str">
        <x:f>IF(COUNT(O31:R31)=4,100*AVERAGE(O31:R31),"")</x:f>
      </x:c>
      <x:c r="X31" s="47" t="str">
        <x:f>IF(COUNT(S31:U31)=3,100*AVERAGE(S31:U31),"")</x:f>
      </x:c>
      <x:c r="Y31" s="47" t="str">
        <x:f>IF(COUNT(V31:X31)=3,AVERAGE(V31:X31),"")</x:f>
      </x:c>
      <x:c r="Z31" s="47" t="str">
        <x:f>IF(OR(AND(EXACT(A31,"SYN-A"),COUNT('01_INPUT_COMPANIES'!$T$31:$AC$31)=10,'01_INPUT_COMPANIES'!$T$31=-0.02,'01_INPUT_COMPANIES'!$U$31=0.1332,'01_INPUT_COMPANIES'!$V$31=0.18,'01_INPUT_COMPANIES'!$W$31=0.42,'01_INPUT_COMPANIES'!$X$31=0.012,'01_INPUT_COMPANIES'!$Y$31=3.2,'01_INPUT_COMPANIES'!$Z$31=0.08,'01_INPUT_COMPANIES'!$AA$31=0.28,'01_INPUT_COMPANIES'!$AB$31=0.74,'01_INPUT_COMPANIES'!$AC$31=8.5),AND(EXACT(A31,"SYN-B"),COUNT('01_INPUT_COMPANIES'!$T$31:$AC$31)=10,'01_INPUT_COMPANIES'!$T$31=-0.055,'01_INPUT_COMPANIES'!$U$31=0.06405,'01_INPUT_COMPANIES'!$V$31=0.105,'01_INPUT_COMPANIES'!$W$31=0.73,'01_INPUT_COMPANIES'!$X$31=0.004,'01_INPUT_COMPANIES'!$Y$31=4.1,'01_INPUT_COMPANIES'!$Z$31=0.025,'01_INPUT_COMPANIES'!$AA$31=0.16,'01_INPUT_COMPANIES'!$AB$31=0.61,'01_INPUT_COMPANIES'!$AC$31=4),AND(EXACT(A31,"SYN-C"),COUNT('01_INPUT_COMPANIES'!$T$31:$AC$31)=10,'01_INPUT_COMPANIES'!$T$31=0.01,'01_INPUT_COMPANIES'!$U$31=0.0986,'01_INPUT_COMPANIES'!$V$31=0.145,'01_INPUT_COMPANIES'!$W$31=0.18,'01_INPUT_COMPANIES'!$X$31=0.018,'01_INPUT_COMPANIES'!$Y$31=2.65,'01_INPUT_COMPANIES'!$Z$31=0.11,'01_INPUT_COMPANIES'!$AA$31=0.34,'01_INPUT_COMPANIES'!$AB$31=0.68,'01_INPUT_COMPANIES'!$AC$31=6.8),AND(EXACT(A31,"SYN-D"),COUNT('01_INPUT_COMPANIES'!$T$31:$AC$31)=10,'01_INPUT_COMPANIES'!$T$31=-0.005,'01_INPUT_COMPANIES'!$U$31=0.1136,'01_INPUT_COMPANIES'!$V$31=0.16,'01_INPUT_COMPANIES'!$W$31=0.51,'01_INPUT_COMPANIES'!$X$31=0.009,'01_INPUT_COMPANIES'!$Y$31=3.55,'01_INPUT_COMPANIES'!$Z$31=0.065,'01_INPUT_COMPANIES'!$AA$31=0.24,'01_INPUT_COMPANIES'!$AB$31=0.71,'01_INPUT_COMPANIES'!$AC$31=7.4)),IFERROR(INDEX('94_EXPECTED_OUTPUTS'!$B$7:$B$10,MATCH(A31,'94_EXPECTED_OUTPUTS'!$A$7:$A$10,0)),""),"")</x:f>
      </x:c>
      <x:c r="AA31" s="47" t="str">
        <x:f>IF(OR(COUNT(Y31)=0,COUNT(Z31)=0),"",ABS(Y31-Z31))</x:f>
      </x:c>
      <x:c r="AB31" s="34" t="str">
        <x:f>IF(A31="","",IF(AD31&lt;&gt;"",AD31,IF('01_INPUT_COMPANIES'!$A$31="","",IF(OR(LEN(TRIM('01_INPUT_COMPANIES'!$A$31&amp;""))=0,LEN(TRIM('01_INPUT_COMPANIES'!$B$31&amp;""))=0,LEN(TRIM('01_INPUT_COMPANIES'!$C$31&amp;""))=0,LEN(TRIM('01_INPUT_COMPANIES'!$D$31&amp;""))=0,LEN(TRIM('01_INPUT_COMPANIES'!$E$31&amp;""))=0,LEN(TRIM('01_INPUT_COMPANIES'!$F$31&amp;""))=0,LEN(TRIM('01_INPUT_COMPANIES'!$G$31&amp;""))=0,LEN(TRIM('01_INPUT_COMPANIES'!$H$31&amp;""))=0,LEN(TRIM('01_INPUT_COMPANIES'!$I$31&amp;""))=0,LEN(TRIM('01_INPUT_COMPANIES'!$K$31&amp;""))=0,LEN(TRIM('01_INPUT_COMPANIES'!$L$31&amp;""))=0,LEN(TRIM('01_INPUT_COMPANIES'!$M$31&amp;""))=0,LEN(TRIM('01_INPUT_COMPANIES'!$N$31&amp;""))=0,LEN(TRIM('01_INPUT_COMPANIES'!$O$31&amp;""))=0,LEN(TRIM('01_INPUT_COMPANIES'!$Q$31&amp;""))=0,COUNTBLANK('01_INPUT_COMPANIES'!$A$31:$R$31)&gt;0),"INPUT REQUIRED",IF(OR('01_INPUT_COMPANIES'!$A$31&lt;&gt;TRIM('01_INPUT_COMPANIES'!$A$31),NOT(EXACT('01_INPUT_COMPANIES'!$A$31,UPPER('01_INPUT_COMPANIES'!$A$31))),LEN('01_INPUT_COMPANIES'!$A$31)&gt;64,ISNUMBER(FIND("*",'01_INPUT_COMPANIES'!$A$31)),ISNUMBER(FIND("?",'01_INPUT_COMPANIES'!$A$31)),ISNUMBER(FIND("~",'01_INPUT_COMPANIES'!$A$31))),"ERROR: ID FORMAT",IF(COUNTIF('01_INPUT_COMPANIES'!$A$7:$A$106,'01_INPUT_COMPANIES'!$A$31)&lt;&gt;1,"ERROR: DUPLICATE ID",IF(COUNT('01_INPUT_COMPANIES'!$T$31:$AC$31)&lt;&gt;10,"INPUT REQUIRED",IF(NOT(OR('01_INPUT_COMPANIES'!$C$31="domestic",'01_INPUT_COMPANIES'!$C$31="foreign",'01_INPUT_COMPANIES'!$C$31="other")),"ERROR: COMPANY GROUP",IF(OR(LEN('01_INPUT_COMPANIES'!$G$31)&lt;&gt;6,MID('01_INPUT_COMPANIES'!$G$31,5,1)&lt;&gt;"Q",IFERROR(VALUE(LEFT('01_INPUT_COMPANIES'!$G$31,4)),0)&lt;2000,IFERROR(VALUE(LEFT('01_INPUT_COMPANIES'!$G$31,4)),0)&gt;2100,IFERROR(VALUE(RIGHT('01_INPUT_COMPANIES'!$G$31,1)),0)&lt;1,IFERROR(VALUE(RIGHT('01_INPUT_COMPANIES'!$G$31,1)),0)&gt;4),"ERROR: REPORTING PERIOD",IF(OR(COUNTIFS('92_REF_VARIABLES'!$A$21:$A$21,'01_INPUT_COMPANIES'!$H$31,'92_REF_VARIABLES'!$B$21:$B$21,'01_INPUT_COMPANIES'!$D$31,'92_REF_VARIABLES'!$C$21:$C$21,'01_INPUT_COMPANIES'!$G$31)&lt;&gt;1,AND(IFERROR(INDEX('92_REF_VARIABLES'!$I$21:$I$21,MATCH('01_INPUT_COMPANIES'!$H$31,'92_REF_VARIABLES'!$A$21:$A$21,0)),"")="synthetic_only",'01_INPUT_COMPANIES'!$L$31&lt;&gt;"yes")),"ERROR: BENCHMARK",IF(COUNTIF('92_REF_VARIABLES'!$L$21:$L$50,'01_INPUT_COMPANIES'!$I$31)&lt;&gt;1,"ERROR: CURRENCY",IF(OR(NOT(ISNUMBER('01_INPUT_COMPANIES'!$J$31)),'01_INPUT_COMPANIES'!$J$31&lt;&gt;INT('01_INPUT_COMPANIES'!$J$31),'01_INPUT_COMPANIES'!$J$31&lt;2000,'01_INPUT_COMPANIES'!$J$31&gt;2100),"ERROR: PRICE YEAR",IF(NOT(OR('01_INPUT_COMPANIES'!$K$31="A",'01_INPUT_COMPANIES'!$K$31="B",'01_INPUT_COMPANIES'!$K$31="C",'01_INPUT_COMPANIES'!$K$31="SYNTHETIC")),"ERROR: QUALITY",IF(NOT(OR(AND('01_INPUT_COMPANIES'!$L$31="yes",'01_INPUT_COMPANIES'!$K$31="SYNTHETIC"),AND('01_INPUT_COMPANIES'!$L$31="no",'01_INPUT_COMPANIES'!$K$31&lt;&gt;"SYNTHETIC"))),"ERROR: SYNTHETIC FLAG",IF(NOT(OR('01_INPUT_COMPANIES'!$M$31="direct",'01_INPUT_COMPANIES'!$M$31="derived",'01_INPUT_COMPANIES'!$M$31="proxy",'01_INPUT_COMPANIES'!$M$31="mixed")),"ERROR: CONSTRUCTION MODE",IF(OR(NOT(ISNUMBER('01_INPUT_COMPANIES'!$P$31)),'01_INPUT_COMPANIES'!$P$31&lt;0,'01_INPUT_COMPANIES'!$P$31&lt;&gt;INT('01_INPUT_COMPANIES'!$P$31)),"ERROR: CARRY LAG",IF('01_INPUT_COMPANIES'!$Q$31&lt;&gt;"yes","ERROR: EXPOSURE ADJUSTMENT",IF(OR(NOT(ISNUMBER('01_INPUT_COMPANIES'!$R$31)),'01_INPUT_COMPANIES'!$R$31&lt;0,'01_INPUT_COMPANIES'!$R$31&gt;1),"ERROR: EXPOSURE FACTOR",IF(COUNT(Y31)=0,"ERROR: SCORE",IF(COUNT(Z31)=0,"READY",IF(AA31&lt;=0.0000000001,"PASS","CHECK"))&amp;IF('01_INPUT_COMPANIES'!$K$31="C"," | C QUALITY","")&amp;IF(OR('01_INPUT_COMPANIES'!$M$31="proxy",'01_INPUT_COMPANIES'!$M$31="mixed")," | PROXY/MIXED","")&amp;IF('01_INPUT_COMPANIES'!$P$31&gt;1," | CARRY&gt;1","")&amp;IF(OR(OR('01_INPUT_COMPANIES'!$T$31&lt;-1,'01_INPUT_COMPANIES'!$T$31&gt;1),OR('01_INPUT_COMPANIES'!$U$31&lt;0,'01_INPUT_COMPANIES'!$U$31&gt;1),OR('01_INPUT_COMPANIES'!$V$31&lt;0,'01_INPUT_COMPANIES'!$V$31&gt;1),OR('01_INPUT_COMPANIES'!$W$31&lt;-10,'01_INPUT_COMPANIES'!$W$31&gt;10),OR('01_INPUT_COMPANIES'!$X$31&lt;-1,'01_INPUT_COMPANIES'!$X$31&gt;1),OR('01_INPUT_COMPANIES'!$Y$31&lt;0,'01_INPUT_COMPANIES'!$Y$31&gt;20),OR('01_INPUT_COMPANIES'!$Z$31&lt;-2,'01_INPUT_COMPANIES'!$Z$31&gt;2),OR('01_INPUT_COMPANIES'!$AA$31&lt;0,'01_INPUT_COMPANIES'!$AA$31&gt;1),OR('01_INPUT_COMPANIES'!$AB$31&lt;0,'01_INPUT_COMPANIES'!$AB$31&gt;1),OR('01_INPUT_COMPANIES'!$AC$31&lt;0,'01_INPUT_COMPANIES'!$AC$31&gt;50))," | REVIEW RANGE","")&amp;IF(COUNTIF('90_CALC_FEATURES'!$J$247:$J$256,"WINSORIZED*")&gt;0," | WINSORIZED","")&amp;IF(ABS('01_INPUT_COMPANIES'!$U$31-'01_INPUT_COMPANIES'!$V$31*'01_INPUT_COMPANIES'!$AB$31)&gt;MAX(0.005,0.05*MAX(ABS('01_INPUT_COMPANIES'!$V$31*'01_INPUT_COMPANIES'!$AB$31),ABS('01_INPUT_COMPANIES'!$U$31),0.000000000001))," | DEPENDENCY",""))))))))))))))))))))</x:f>
      </x:c>
      <x:c r="AC31" s="34" t="str">
        <x:f>IF(A31="","",IF(OR(LEFT(AB31,4)="PASS",LEFT(AB31,5)="READY"),"RESEARCH BETA | 저지원 22.22% | 기업 백분위 N/A", "결과 사용 금지 | "&amp;AB31))</x:f>
      </x:c>
      <x:c r="AD31" s="34" t="str">
        <x:f>IF(A31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$31,TRIM('01_INPUT_COMPANIES'!$D$31)),EXACT('01_INPUT_COMPANIES'!$E$31,TRIM('01_INPUT_COMPANIES'!$E$31)),EXACT('01_INPUT_COMPANIES'!$F$31,TRIM('01_INPUT_COMPANIES'!$F$31)),EXACT('01_INPUT_COMPANIES'!$G$31,TRIM('01_INPUT_COMPANIES'!$G$31)),EXACT('01_INPUT_COMPANIES'!$H$31,TRIM('01_INPUT_COMPANIES'!$H$31)))),"ERROR: COHORT WHITESPACE",IF(NOT(IFERROR(AND(ISTEXT('01_INPUT_COMPANIES'!$O$31),LEN('01_INPUT_COMPANIES'!$O$31)=10,VALUE(LEFT('01_INPUT_COMPANIES'!$O$31,4))&gt;=2000,VALUE(LEFT('01_INPUT_COMPANIES'!$O$31,4))&lt;=2100,EXACT(TEXT(DATE(VALUE(LEFT('01_INPUT_COMPANIES'!$O$31,4)),VALUE(MID('01_INPUT_COMPANIES'!$O$31,6,2)),VALUE(RIGHT('01_INPUT_COMPANIES'!$O$31,2))),"yyyy-mm-dd"),'01_INPUT_COMPANIES'!$O$31)),FALSE)),"ERROR: SOURCE DATE",IF(NOT(AND(OR(EXACT('01_INPUT_COMPANIES'!$C$31,"domestic"),EXACT('01_INPUT_COMPANIES'!$C$31,"foreign"),EXACT('01_INPUT_COMPANIES'!$C$31,"other")),OR(EXACT('01_INPUT_COMPANIES'!$K$31,"A"),EXACT('01_INPUT_COMPANIES'!$K$31,"B"),EXACT('01_INPUT_COMPANIES'!$K$31,"C"),EXACT('01_INPUT_COMPANIES'!$K$31,"SYNTHETIC")),OR(EXACT('01_INPUT_COMPANIES'!$L$31,"yes"),EXACT('01_INPUT_COMPANIES'!$L$31,"no")),OR(EXACT('01_INPUT_COMPANIES'!$M$31,"direct"),EXACT('01_INPUT_COMPANIES'!$M$31,"derived"),EXACT('01_INPUT_COMPANIES'!$M$31,"proxy"),EXACT('01_INPUT_COMPANIES'!$M$31,"mixed")),OR(EXACT('01_INPUT_COMPANIES'!$Q$31,"yes")),EXACT('01_INPUT_COMPANIES'!$I$31,UPPER('01_INPUT_COMPANIES'!$I$31)))),"ERROR: EXACT ENUM",IF(NOT(IFERROR(OR(AND(EXACT('92_REF_VARIABLES'!$A$21,'01_INPUT_COMPANIES'!$H$31),EXACT('92_REF_VARIABLES'!$B$21,'01_INPUT_COMPANIES'!$D$31),EXACT('92_REF_VARIABLES'!$C$21,'01_INPUT_COMPANIES'!$G$31))),FALSE)),"ERROR: BENCHMARK",""))))))</x:f>
      </x:c>
    </x:row>
    <x:row r="32">
      <x:c r="A32" s="34" t="str">
        <x:f>IF(OR('01_INPUT_COMPANIES'!$A$32="",'01_INPUT_COMPANIES'!$A$32=""),"",'01_INPUT_COMPANIES'!$A$32)</x:f>
      </x:c>
      <x:c r="B32" s="34" t="str">
        <x:f>IF(OR('01_INPUT_COMPANIES'!$A$32="",'01_INPUT_COMPANIES'!$B$32=""),"",'01_INPUT_COMPANIES'!$B$32)</x:f>
      </x:c>
      <x:c r="C32" s="34" t="str">
        <x:f>IF(OR('01_INPUT_COMPANIES'!$A$32="",'01_INPUT_COMPANIES'!$C$32=""),"",'01_INPUT_COMPANIES'!$C$32)</x:f>
      </x:c>
      <x:c r="D32" s="34" t="str">
        <x:f>IF(OR('01_INPUT_COMPANIES'!$A$32="",'01_INPUT_COMPANIES'!$D$32=""),"",'01_INPUT_COMPANIES'!$D$32)</x:f>
      </x:c>
      <x:c r="E32" s="34" t="str">
        <x:f>IF(OR('01_INPUT_COMPANIES'!$A$32="",'01_INPUT_COMPANIES'!$E$32=""),"",'01_INPUT_COMPANIES'!$E$32)</x:f>
      </x:c>
      <x:c r="F32" s="34" t="str">
        <x:f>IF(OR('01_INPUT_COMPANIES'!$A$32="",'01_INPUT_COMPANIES'!$F$32=""),"",'01_INPUT_COMPANIES'!$F$32)</x:f>
      </x:c>
      <x:c r="G32" s="34" t="str">
        <x:f>IF(OR('01_INPUT_COMPANIES'!$A$32="",'01_INPUT_COMPANIES'!$G$32=""),"",'01_INPUT_COMPANIES'!$G$32)</x:f>
      </x:c>
      <x:c r="H32" s="34" t="str">
        <x:f>IF(OR('01_INPUT_COMPANIES'!$A$32="",'01_INPUT_COMPANIES'!$H$32=""),"",'01_INPUT_COMPANIES'!$H$32)</x:f>
      </x:c>
      <x:c r="I32" s="34" t="str">
        <x:f>IF(OR('01_INPUT_COMPANIES'!$A$32="",'01_INPUT_COMPANIES'!$K$32=""),"",'01_INPUT_COMPANIES'!$K$32)</x:f>
      </x:c>
      <x:c r="J32" s="34" t="str">
        <x:f>IF(OR('01_INPUT_COMPANIES'!$A$32="",'01_INPUT_COMPANIES'!$M$32=""),"",'01_INPUT_COMPANIES'!$M$32)</x:f>
      </x:c>
      <x:c r="K32" s="34" t="str">
        <x:f>IF(OR(A32="",COUNTBLANK(D32:H32)&gt;0),"",LEN(D32)&amp;":"&amp;D32&amp;LEN(E32)&amp;":"&amp;E32&amp;LEN(F32)&amp;":"&amp;F32&amp;LEN(G32)&amp;":"&amp;G32&amp;LEN(H32)&amp;":"&amp;H32)</x:f>
      </x:c>
      <x:c r="L32" s="47" t="str">
        <x:f>IF(A32="","",'90_CALC_FEATURES'!$I$257)</x:f>
      </x:c>
      <x:c r="M32" s="47" t="str">
        <x:f>IF(A32="","",'90_CALC_FEATURES'!$I$258)</x:f>
      </x:c>
      <x:c r="N32" s="47" t="str">
        <x:f>IF(A32="","",'90_CALC_FEATURES'!$I$259)</x:f>
      </x:c>
      <x:c r="O32" s="47" t="str">
        <x:f>IF(A32="","",'90_CALC_FEATURES'!$I$260)</x:f>
      </x:c>
      <x:c r="P32" s="47" t="str">
        <x:f>IF(A32="","",'90_CALC_FEATURES'!$I$261)</x:f>
      </x:c>
      <x:c r="Q32" s="47" t="str">
        <x:f>IF(A32="","",'90_CALC_FEATURES'!$I$262)</x:f>
      </x:c>
      <x:c r="R32" s="47" t="str">
        <x:f>IF(A32="","",'90_CALC_FEATURES'!$I$263)</x:f>
      </x:c>
      <x:c r="S32" s="47" t="str">
        <x:f>IF(A32="","",'90_CALC_FEATURES'!$I$264)</x:f>
      </x:c>
      <x:c r="T32" s="47" t="str">
        <x:f>IF(A32="","",'90_CALC_FEATURES'!$I$265)</x:f>
      </x:c>
      <x:c r="U32" s="47" t="str">
        <x:f>IF(A32="","",'90_CALC_FEATURES'!$I$266)</x:f>
      </x:c>
      <x:c r="V32" s="47" t="str">
        <x:f>IF(COUNT(L32:N32)=3,100*AVERAGE(L32:N32),"")</x:f>
      </x:c>
      <x:c r="W32" s="47" t="str">
        <x:f>IF(COUNT(O32:R32)=4,100*AVERAGE(O32:R32),"")</x:f>
      </x:c>
      <x:c r="X32" s="47" t="str">
        <x:f>IF(COUNT(S32:U32)=3,100*AVERAGE(S32:U32),"")</x:f>
      </x:c>
      <x:c r="Y32" s="47" t="str">
        <x:f>IF(COUNT(V32:X32)=3,AVERAGE(V32:X32),"")</x:f>
      </x:c>
      <x:c r="Z32" s="47" t="str">
        <x:f>IF(OR(AND(EXACT(A32,"SYN-A"),COUNT('01_INPUT_COMPANIES'!$T$32:$AC$32)=10,'01_INPUT_COMPANIES'!$T$32=-0.02,'01_INPUT_COMPANIES'!$U$32=0.1332,'01_INPUT_COMPANIES'!$V$32=0.18,'01_INPUT_COMPANIES'!$W$32=0.42,'01_INPUT_COMPANIES'!$X$32=0.012,'01_INPUT_COMPANIES'!$Y$32=3.2,'01_INPUT_COMPANIES'!$Z$32=0.08,'01_INPUT_COMPANIES'!$AA$32=0.28,'01_INPUT_COMPANIES'!$AB$32=0.74,'01_INPUT_COMPANIES'!$AC$32=8.5),AND(EXACT(A32,"SYN-B"),COUNT('01_INPUT_COMPANIES'!$T$32:$AC$32)=10,'01_INPUT_COMPANIES'!$T$32=-0.055,'01_INPUT_COMPANIES'!$U$32=0.06405,'01_INPUT_COMPANIES'!$V$32=0.105,'01_INPUT_COMPANIES'!$W$32=0.73,'01_INPUT_COMPANIES'!$X$32=0.004,'01_INPUT_COMPANIES'!$Y$32=4.1,'01_INPUT_COMPANIES'!$Z$32=0.025,'01_INPUT_COMPANIES'!$AA$32=0.16,'01_INPUT_COMPANIES'!$AB$32=0.61,'01_INPUT_COMPANIES'!$AC$32=4),AND(EXACT(A32,"SYN-C"),COUNT('01_INPUT_COMPANIES'!$T$32:$AC$32)=10,'01_INPUT_COMPANIES'!$T$32=0.01,'01_INPUT_COMPANIES'!$U$32=0.0986,'01_INPUT_COMPANIES'!$V$32=0.145,'01_INPUT_COMPANIES'!$W$32=0.18,'01_INPUT_COMPANIES'!$X$32=0.018,'01_INPUT_COMPANIES'!$Y$32=2.65,'01_INPUT_COMPANIES'!$Z$32=0.11,'01_INPUT_COMPANIES'!$AA$32=0.34,'01_INPUT_COMPANIES'!$AB$32=0.68,'01_INPUT_COMPANIES'!$AC$32=6.8),AND(EXACT(A32,"SYN-D"),COUNT('01_INPUT_COMPANIES'!$T$32:$AC$32)=10,'01_INPUT_COMPANIES'!$T$32=-0.005,'01_INPUT_COMPANIES'!$U$32=0.1136,'01_INPUT_COMPANIES'!$V$32=0.16,'01_INPUT_COMPANIES'!$W$32=0.51,'01_INPUT_COMPANIES'!$X$32=0.009,'01_INPUT_COMPANIES'!$Y$32=3.55,'01_INPUT_COMPANIES'!$Z$32=0.065,'01_INPUT_COMPANIES'!$AA$32=0.24,'01_INPUT_COMPANIES'!$AB$32=0.71,'01_INPUT_COMPANIES'!$AC$32=7.4)),IFERROR(INDEX('94_EXPECTED_OUTPUTS'!$B$7:$B$10,MATCH(A32,'94_EXPECTED_OUTPUTS'!$A$7:$A$10,0)),""),"")</x:f>
      </x:c>
      <x:c r="AA32" s="47" t="str">
        <x:f>IF(OR(COUNT(Y32)=0,COUNT(Z32)=0),"",ABS(Y32-Z32))</x:f>
      </x:c>
      <x:c r="AB32" s="34" t="str">
        <x:f>IF(A32="","",IF(AD32&lt;&gt;"",AD32,IF('01_INPUT_COMPANIES'!$A$32="","",IF(OR(LEN(TRIM('01_INPUT_COMPANIES'!$A$32&amp;""))=0,LEN(TRIM('01_INPUT_COMPANIES'!$B$32&amp;""))=0,LEN(TRIM('01_INPUT_COMPANIES'!$C$32&amp;""))=0,LEN(TRIM('01_INPUT_COMPANIES'!$D$32&amp;""))=0,LEN(TRIM('01_INPUT_COMPANIES'!$E$32&amp;""))=0,LEN(TRIM('01_INPUT_COMPANIES'!$F$32&amp;""))=0,LEN(TRIM('01_INPUT_COMPANIES'!$G$32&amp;""))=0,LEN(TRIM('01_INPUT_COMPANIES'!$H$32&amp;""))=0,LEN(TRIM('01_INPUT_COMPANIES'!$I$32&amp;""))=0,LEN(TRIM('01_INPUT_COMPANIES'!$K$32&amp;""))=0,LEN(TRIM('01_INPUT_COMPANIES'!$L$32&amp;""))=0,LEN(TRIM('01_INPUT_COMPANIES'!$M$32&amp;""))=0,LEN(TRIM('01_INPUT_COMPANIES'!$N$32&amp;""))=0,LEN(TRIM('01_INPUT_COMPANIES'!$O$32&amp;""))=0,LEN(TRIM('01_INPUT_COMPANIES'!$Q$32&amp;""))=0,COUNTBLANK('01_INPUT_COMPANIES'!$A$32:$R$32)&gt;0),"INPUT REQUIRED",IF(OR('01_INPUT_COMPANIES'!$A$32&lt;&gt;TRIM('01_INPUT_COMPANIES'!$A$32),NOT(EXACT('01_INPUT_COMPANIES'!$A$32,UPPER('01_INPUT_COMPANIES'!$A$32))),LEN('01_INPUT_COMPANIES'!$A$32)&gt;64,ISNUMBER(FIND("*",'01_INPUT_COMPANIES'!$A$32)),ISNUMBER(FIND("?",'01_INPUT_COMPANIES'!$A$32)),ISNUMBER(FIND("~",'01_INPUT_COMPANIES'!$A$32))),"ERROR: ID FORMAT",IF(COUNTIF('01_INPUT_COMPANIES'!$A$7:$A$106,'01_INPUT_COMPANIES'!$A$32)&lt;&gt;1,"ERROR: DUPLICATE ID",IF(COUNT('01_INPUT_COMPANIES'!$T$32:$AC$32)&lt;&gt;10,"INPUT REQUIRED",IF(NOT(OR('01_INPUT_COMPANIES'!$C$32="domestic",'01_INPUT_COMPANIES'!$C$32="foreign",'01_INPUT_COMPANIES'!$C$32="other")),"ERROR: COMPANY GROUP",IF(OR(LEN('01_INPUT_COMPANIES'!$G$32)&lt;&gt;6,MID('01_INPUT_COMPANIES'!$G$32,5,1)&lt;&gt;"Q",IFERROR(VALUE(LEFT('01_INPUT_COMPANIES'!$G$32,4)),0)&lt;2000,IFERROR(VALUE(LEFT('01_INPUT_COMPANIES'!$G$32,4)),0)&gt;2100,IFERROR(VALUE(RIGHT('01_INPUT_COMPANIES'!$G$32,1)),0)&lt;1,IFERROR(VALUE(RIGHT('01_INPUT_COMPANIES'!$G$32,1)),0)&gt;4),"ERROR: REPORTING PERIOD",IF(OR(COUNTIFS('92_REF_VARIABLES'!$A$21:$A$21,'01_INPUT_COMPANIES'!$H$32,'92_REF_VARIABLES'!$B$21:$B$21,'01_INPUT_COMPANIES'!$D$32,'92_REF_VARIABLES'!$C$21:$C$21,'01_INPUT_COMPANIES'!$G$32)&lt;&gt;1,AND(IFERROR(INDEX('92_REF_VARIABLES'!$I$21:$I$21,MATCH('01_INPUT_COMPANIES'!$H$32,'92_REF_VARIABLES'!$A$21:$A$21,0)),"")="synthetic_only",'01_INPUT_COMPANIES'!$L$32&lt;&gt;"yes")),"ERROR: BENCHMARK",IF(COUNTIF('92_REF_VARIABLES'!$L$21:$L$50,'01_INPUT_COMPANIES'!$I$32)&lt;&gt;1,"ERROR: CURRENCY",IF(OR(NOT(ISNUMBER('01_INPUT_COMPANIES'!$J$32)),'01_INPUT_COMPANIES'!$J$32&lt;&gt;INT('01_INPUT_COMPANIES'!$J$32),'01_INPUT_COMPANIES'!$J$32&lt;2000,'01_INPUT_COMPANIES'!$J$32&gt;2100),"ERROR: PRICE YEAR",IF(NOT(OR('01_INPUT_COMPANIES'!$K$32="A",'01_INPUT_COMPANIES'!$K$32="B",'01_INPUT_COMPANIES'!$K$32="C",'01_INPUT_COMPANIES'!$K$32="SYNTHETIC")),"ERROR: QUALITY",IF(NOT(OR(AND('01_INPUT_COMPANIES'!$L$32="yes",'01_INPUT_COMPANIES'!$K$32="SYNTHETIC"),AND('01_INPUT_COMPANIES'!$L$32="no",'01_INPUT_COMPANIES'!$K$32&lt;&gt;"SYNTHETIC"))),"ERROR: SYNTHETIC FLAG",IF(NOT(OR('01_INPUT_COMPANIES'!$M$32="direct",'01_INPUT_COMPANIES'!$M$32="derived",'01_INPUT_COMPANIES'!$M$32="proxy",'01_INPUT_COMPANIES'!$M$32="mixed")),"ERROR: CONSTRUCTION MODE",IF(OR(NOT(ISNUMBER('01_INPUT_COMPANIES'!$P$32)),'01_INPUT_COMPANIES'!$P$32&lt;0,'01_INPUT_COMPANIES'!$P$32&lt;&gt;INT('01_INPUT_COMPANIES'!$P$32)),"ERROR: CARRY LAG",IF('01_INPUT_COMPANIES'!$Q$32&lt;&gt;"yes","ERROR: EXPOSURE ADJUSTMENT",IF(OR(NOT(ISNUMBER('01_INPUT_COMPANIES'!$R$32)),'01_INPUT_COMPANIES'!$R$32&lt;0,'01_INPUT_COMPANIES'!$R$32&gt;1),"ERROR: EXPOSURE FACTOR",IF(COUNT(Y32)=0,"ERROR: SCORE",IF(COUNT(Z32)=0,"READY",IF(AA32&lt;=0.0000000001,"PASS","CHECK"))&amp;IF('01_INPUT_COMPANIES'!$K$32="C"," | C QUALITY","")&amp;IF(OR('01_INPUT_COMPANIES'!$M$32="proxy",'01_INPUT_COMPANIES'!$M$32="mixed")," | PROXY/MIXED","")&amp;IF('01_INPUT_COMPANIES'!$P$32&gt;1," | CARRY&gt;1","")&amp;IF(OR(OR('01_INPUT_COMPANIES'!$T$32&lt;-1,'01_INPUT_COMPANIES'!$T$32&gt;1),OR('01_INPUT_COMPANIES'!$U$32&lt;0,'01_INPUT_COMPANIES'!$U$32&gt;1),OR('01_INPUT_COMPANIES'!$V$32&lt;0,'01_INPUT_COMPANIES'!$V$32&gt;1),OR('01_INPUT_COMPANIES'!$W$32&lt;-10,'01_INPUT_COMPANIES'!$W$32&gt;10),OR('01_INPUT_COMPANIES'!$X$32&lt;-1,'01_INPUT_COMPANIES'!$X$32&gt;1),OR('01_INPUT_COMPANIES'!$Y$32&lt;0,'01_INPUT_COMPANIES'!$Y$32&gt;20),OR('01_INPUT_COMPANIES'!$Z$32&lt;-2,'01_INPUT_COMPANIES'!$Z$32&gt;2),OR('01_INPUT_COMPANIES'!$AA$32&lt;0,'01_INPUT_COMPANIES'!$AA$32&gt;1),OR('01_INPUT_COMPANIES'!$AB$32&lt;0,'01_INPUT_COMPANIES'!$AB$32&gt;1),OR('01_INPUT_COMPANIES'!$AC$32&lt;0,'01_INPUT_COMPANIES'!$AC$32&gt;50))," | REVIEW RANGE","")&amp;IF(COUNTIF('90_CALC_FEATURES'!$J$257:$J$266,"WINSORIZED*")&gt;0," | WINSORIZED","")&amp;IF(ABS('01_INPUT_COMPANIES'!$U$32-'01_INPUT_COMPANIES'!$V$32*'01_INPUT_COMPANIES'!$AB$32)&gt;MAX(0.005,0.05*MAX(ABS('01_INPUT_COMPANIES'!$V$32*'01_INPUT_COMPANIES'!$AB$32),ABS('01_INPUT_COMPANIES'!$U$32),0.000000000001))," | DEPENDENCY",""))))))))))))))))))))</x:f>
      </x:c>
      <x:c r="AC32" s="34" t="str">
        <x:f>IF(A32="","",IF(OR(LEFT(AB32,4)="PASS",LEFT(AB32,5)="READY"),"RESEARCH BETA | 저지원 22.22% | 기업 백분위 N/A", "결과 사용 금지 | "&amp;AB32))</x:f>
      </x:c>
      <x:c r="AD32" s="34" t="str">
        <x:f>IF(A32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$32,TRIM('01_INPUT_COMPANIES'!$D$32)),EXACT('01_INPUT_COMPANIES'!$E$32,TRIM('01_INPUT_COMPANIES'!$E$32)),EXACT('01_INPUT_COMPANIES'!$F$32,TRIM('01_INPUT_COMPANIES'!$F$32)),EXACT('01_INPUT_COMPANIES'!$G$32,TRIM('01_INPUT_COMPANIES'!$G$32)),EXACT('01_INPUT_COMPANIES'!$H$32,TRIM('01_INPUT_COMPANIES'!$H$32)))),"ERROR: COHORT WHITESPACE",IF(NOT(IFERROR(AND(ISTEXT('01_INPUT_COMPANIES'!$O$32),LEN('01_INPUT_COMPANIES'!$O$32)=10,VALUE(LEFT('01_INPUT_COMPANIES'!$O$32,4))&gt;=2000,VALUE(LEFT('01_INPUT_COMPANIES'!$O$32,4))&lt;=2100,EXACT(TEXT(DATE(VALUE(LEFT('01_INPUT_COMPANIES'!$O$32,4)),VALUE(MID('01_INPUT_COMPANIES'!$O$32,6,2)),VALUE(RIGHT('01_INPUT_COMPANIES'!$O$32,2))),"yyyy-mm-dd"),'01_INPUT_COMPANIES'!$O$32)),FALSE)),"ERROR: SOURCE DATE",IF(NOT(AND(OR(EXACT('01_INPUT_COMPANIES'!$C$32,"domestic"),EXACT('01_INPUT_COMPANIES'!$C$32,"foreign"),EXACT('01_INPUT_COMPANIES'!$C$32,"other")),OR(EXACT('01_INPUT_COMPANIES'!$K$32,"A"),EXACT('01_INPUT_COMPANIES'!$K$32,"B"),EXACT('01_INPUT_COMPANIES'!$K$32,"C"),EXACT('01_INPUT_COMPANIES'!$K$32,"SYNTHETIC")),OR(EXACT('01_INPUT_COMPANIES'!$L$32,"yes"),EXACT('01_INPUT_COMPANIES'!$L$32,"no")),OR(EXACT('01_INPUT_COMPANIES'!$M$32,"direct"),EXACT('01_INPUT_COMPANIES'!$M$32,"derived"),EXACT('01_INPUT_COMPANIES'!$M$32,"proxy"),EXACT('01_INPUT_COMPANIES'!$M$32,"mixed")),OR(EXACT('01_INPUT_COMPANIES'!$Q$32,"yes")),EXACT('01_INPUT_COMPANIES'!$I$32,UPPER('01_INPUT_COMPANIES'!$I$32)))),"ERROR: EXACT ENUM",IF(NOT(IFERROR(OR(AND(EXACT('92_REF_VARIABLES'!$A$21,'01_INPUT_COMPANIES'!$H$32),EXACT('92_REF_VARIABLES'!$B$21,'01_INPUT_COMPANIES'!$D$32),EXACT('92_REF_VARIABLES'!$C$21,'01_INPUT_COMPANIES'!$G$32))),FALSE)),"ERROR: BENCHMARK",""))))))</x:f>
      </x:c>
    </x:row>
    <x:row r="33">
      <x:c r="A33" s="34" t="str">
        <x:f>IF(OR('01_INPUT_COMPANIES'!$A$33="",'01_INPUT_COMPANIES'!$A$33=""),"",'01_INPUT_COMPANIES'!$A$33)</x:f>
      </x:c>
      <x:c r="B33" s="34" t="str">
        <x:f>IF(OR('01_INPUT_COMPANIES'!$A$33="",'01_INPUT_COMPANIES'!$B$33=""),"",'01_INPUT_COMPANIES'!$B$33)</x:f>
      </x:c>
      <x:c r="C33" s="34" t="str">
        <x:f>IF(OR('01_INPUT_COMPANIES'!$A$33="",'01_INPUT_COMPANIES'!$C$33=""),"",'01_INPUT_COMPANIES'!$C$33)</x:f>
      </x:c>
      <x:c r="D33" s="34" t="str">
        <x:f>IF(OR('01_INPUT_COMPANIES'!$A$33="",'01_INPUT_COMPANIES'!$D$33=""),"",'01_INPUT_COMPANIES'!$D$33)</x:f>
      </x:c>
      <x:c r="E33" s="34" t="str">
        <x:f>IF(OR('01_INPUT_COMPANIES'!$A$33="",'01_INPUT_COMPANIES'!$E$33=""),"",'01_INPUT_COMPANIES'!$E$33)</x:f>
      </x:c>
      <x:c r="F33" s="34" t="str">
        <x:f>IF(OR('01_INPUT_COMPANIES'!$A$33="",'01_INPUT_COMPANIES'!$F$33=""),"",'01_INPUT_COMPANIES'!$F$33)</x:f>
      </x:c>
      <x:c r="G33" s="34" t="str">
        <x:f>IF(OR('01_INPUT_COMPANIES'!$A$33="",'01_INPUT_COMPANIES'!$G$33=""),"",'01_INPUT_COMPANIES'!$G$33)</x:f>
      </x:c>
      <x:c r="H33" s="34" t="str">
        <x:f>IF(OR('01_INPUT_COMPANIES'!$A$33="",'01_INPUT_COMPANIES'!$H$33=""),"",'01_INPUT_COMPANIES'!$H$33)</x:f>
      </x:c>
      <x:c r="I33" s="34" t="str">
        <x:f>IF(OR('01_INPUT_COMPANIES'!$A$33="",'01_INPUT_COMPANIES'!$K$33=""),"",'01_INPUT_COMPANIES'!$K$33)</x:f>
      </x:c>
      <x:c r="J33" s="34" t="str">
        <x:f>IF(OR('01_INPUT_COMPANIES'!$A$33="",'01_INPUT_COMPANIES'!$M$33=""),"",'01_INPUT_COMPANIES'!$M$33)</x:f>
      </x:c>
      <x:c r="K33" s="34" t="str">
        <x:f>IF(OR(A33="",COUNTBLANK(D33:H33)&gt;0),"",LEN(D33)&amp;":"&amp;D33&amp;LEN(E33)&amp;":"&amp;E33&amp;LEN(F33)&amp;":"&amp;F33&amp;LEN(G33)&amp;":"&amp;G33&amp;LEN(H33)&amp;":"&amp;H33)</x:f>
      </x:c>
      <x:c r="L33" s="47" t="str">
        <x:f>IF(A33="","",'90_CALC_FEATURES'!$I$267)</x:f>
      </x:c>
      <x:c r="M33" s="47" t="str">
        <x:f>IF(A33="","",'90_CALC_FEATURES'!$I$268)</x:f>
      </x:c>
      <x:c r="N33" s="47" t="str">
        <x:f>IF(A33="","",'90_CALC_FEATURES'!$I$269)</x:f>
      </x:c>
      <x:c r="O33" s="47" t="str">
        <x:f>IF(A33="","",'90_CALC_FEATURES'!$I$270)</x:f>
      </x:c>
      <x:c r="P33" s="47" t="str">
        <x:f>IF(A33="","",'90_CALC_FEATURES'!$I$271)</x:f>
      </x:c>
      <x:c r="Q33" s="47" t="str">
        <x:f>IF(A33="","",'90_CALC_FEATURES'!$I$272)</x:f>
      </x:c>
      <x:c r="R33" s="47" t="str">
        <x:f>IF(A33="","",'90_CALC_FEATURES'!$I$273)</x:f>
      </x:c>
      <x:c r="S33" s="47" t="str">
        <x:f>IF(A33="","",'90_CALC_FEATURES'!$I$274)</x:f>
      </x:c>
      <x:c r="T33" s="47" t="str">
        <x:f>IF(A33="","",'90_CALC_FEATURES'!$I$275)</x:f>
      </x:c>
      <x:c r="U33" s="47" t="str">
        <x:f>IF(A33="","",'90_CALC_FEATURES'!$I$276)</x:f>
      </x:c>
      <x:c r="V33" s="47" t="str">
        <x:f>IF(COUNT(L33:N33)=3,100*AVERAGE(L33:N33),"")</x:f>
      </x:c>
      <x:c r="W33" s="47" t="str">
        <x:f>IF(COUNT(O33:R33)=4,100*AVERAGE(O33:R33),"")</x:f>
      </x:c>
      <x:c r="X33" s="47" t="str">
        <x:f>IF(COUNT(S33:U33)=3,100*AVERAGE(S33:U33),"")</x:f>
      </x:c>
      <x:c r="Y33" s="47" t="str">
        <x:f>IF(COUNT(V33:X33)=3,AVERAGE(V33:X33),"")</x:f>
      </x:c>
      <x:c r="Z33" s="47" t="str">
        <x:f>IF(OR(AND(EXACT(A33,"SYN-A"),COUNT('01_INPUT_COMPANIES'!$T$33:$AC$33)=10,'01_INPUT_COMPANIES'!$T$33=-0.02,'01_INPUT_COMPANIES'!$U$33=0.1332,'01_INPUT_COMPANIES'!$V$33=0.18,'01_INPUT_COMPANIES'!$W$33=0.42,'01_INPUT_COMPANIES'!$X$33=0.012,'01_INPUT_COMPANIES'!$Y$33=3.2,'01_INPUT_COMPANIES'!$Z$33=0.08,'01_INPUT_COMPANIES'!$AA$33=0.28,'01_INPUT_COMPANIES'!$AB$33=0.74,'01_INPUT_COMPANIES'!$AC$33=8.5),AND(EXACT(A33,"SYN-B"),COUNT('01_INPUT_COMPANIES'!$T$33:$AC$33)=10,'01_INPUT_COMPANIES'!$T$33=-0.055,'01_INPUT_COMPANIES'!$U$33=0.06405,'01_INPUT_COMPANIES'!$V$33=0.105,'01_INPUT_COMPANIES'!$W$33=0.73,'01_INPUT_COMPANIES'!$X$33=0.004,'01_INPUT_COMPANIES'!$Y$33=4.1,'01_INPUT_COMPANIES'!$Z$33=0.025,'01_INPUT_COMPANIES'!$AA$33=0.16,'01_INPUT_COMPANIES'!$AB$33=0.61,'01_INPUT_COMPANIES'!$AC$33=4),AND(EXACT(A33,"SYN-C"),COUNT('01_INPUT_COMPANIES'!$T$33:$AC$33)=10,'01_INPUT_COMPANIES'!$T$33=0.01,'01_INPUT_COMPANIES'!$U$33=0.0986,'01_INPUT_COMPANIES'!$V$33=0.145,'01_INPUT_COMPANIES'!$W$33=0.18,'01_INPUT_COMPANIES'!$X$33=0.018,'01_INPUT_COMPANIES'!$Y$33=2.65,'01_INPUT_COMPANIES'!$Z$33=0.11,'01_INPUT_COMPANIES'!$AA$33=0.34,'01_INPUT_COMPANIES'!$AB$33=0.68,'01_INPUT_COMPANIES'!$AC$33=6.8),AND(EXACT(A33,"SYN-D"),COUNT('01_INPUT_COMPANIES'!$T$33:$AC$33)=10,'01_INPUT_COMPANIES'!$T$33=-0.005,'01_INPUT_COMPANIES'!$U$33=0.1136,'01_INPUT_COMPANIES'!$V$33=0.16,'01_INPUT_COMPANIES'!$W$33=0.51,'01_INPUT_COMPANIES'!$X$33=0.009,'01_INPUT_COMPANIES'!$Y$33=3.55,'01_INPUT_COMPANIES'!$Z$33=0.065,'01_INPUT_COMPANIES'!$AA$33=0.24,'01_INPUT_COMPANIES'!$AB$33=0.71,'01_INPUT_COMPANIES'!$AC$33=7.4)),IFERROR(INDEX('94_EXPECTED_OUTPUTS'!$B$7:$B$10,MATCH(A33,'94_EXPECTED_OUTPUTS'!$A$7:$A$10,0)),""),"")</x:f>
      </x:c>
      <x:c r="AA33" s="47" t="str">
        <x:f>IF(OR(COUNT(Y33)=0,COUNT(Z33)=0),"",ABS(Y33-Z33))</x:f>
      </x:c>
      <x:c r="AB33" s="34" t="str">
        <x:f>IF(A33="","",IF(AD33&lt;&gt;"",AD33,IF('01_INPUT_COMPANIES'!$A$33="","",IF(OR(LEN(TRIM('01_INPUT_COMPANIES'!$A$33&amp;""))=0,LEN(TRIM('01_INPUT_COMPANIES'!$B$33&amp;""))=0,LEN(TRIM('01_INPUT_COMPANIES'!$C$33&amp;""))=0,LEN(TRIM('01_INPUT_COMPANIES'!$D$33&amp;""))=0,LEN(TRIM('01_INPUT_COMPANIES'!$E$33&amp;""))=0,LEN(TRIM('01_INPUT_COMPANIES'!$F$33&amp;""))=0,LEN(TRIM('01_INPUT_COMPANIES'!$G$33&amp;""))=0,LEN(TRIM('01_INPUT_COMPANIES'!$H$33&amp;""))=0,LEN(TRIM('01_INPUT_COMPANIES'!$I$33&amp;""))=0,LEN(TRIM('01_INPUT_COMPANIES'!$K$33&amp;""))=0,LEN(TRIM('01_INPUT_COMPANIES'!$L$33&amp;""))=0,LEN(TRIM('01_INPUT_COMPANIES'!$M$33&amp;""))=0,LEN(TRIM('01_INPUT_COMPANIES'!$N$33&amp;""))=0,LEN(TRIM('01_INPUT_COMPANIES'!$O$33&amp;""))=0,LEN(TRIM('01_INPUT_COMPANIES'!$Q$33&amp;""))=0,COUNTBLANK('01_INPUT_COMPANIES'!$A$33:$R$33)&gt;0),"INPUT REQUIRED",IF(OR('01_INPUT_COMPANIES'!$A$33&lt;&gt;TRIM('01_INPUT_COMPANIES'!$A$33),NOT(EXACT('01_INPUT_COMPANIES'!$A$33,UPPER('01_INPUT_COMPANIES'!$A$33))),LEN('01_INPUT_COMPANIES'!$A$33)&gt;64,ISNUMBER(FIND("*",'01_INPUT_COMPANIES'!$A$33)),ISNUMBER(FIND("?",'01_INPUT_COMPANIES'!$A$33)),ISNUMBER(FIND("~",'01_INPUT_COMPANIES'!$A$33))),"ERROR: ID FORMAT",IF(COUNTIF('01_INPUT_COMPANIES'!$A$7:$A$106,'01_INPUT_COMPANIES'!$A$33)&lt;&gt;1,"ERROR: DUPLICATE ID",IF(COUNT('01_INPUT_COMPANIES'!$T$33:$AC$33)&lt;&gt;10,"INPUT REQUIRED",IF(NOT(OR('01_INPUT_COMPANIES'!$C$33="domestic",'01_INPUT_COMPANIES'!$C$33="foreign",'01_INPUT_COMPANIES'!$C$33="other")),"ERROR: COMPANY GROUP",IF(OR(LEN('01_INPUT_COMPANIES'!$G$33)&lt;&gt;6,MID('01_INPUT_COMPANIES'!$G$33,5,1)&lt;&gt;"Q",IFERROR(VALUE(LEFT('01_INPUT_COMPANIES'!$G$33,4)),0)&lt;2000,IFERROR(VALUE(LEFT('01_INPUT_COMPANIES'!$G$33,4)),0)&gt;2100,IFERROR(VALUE(RIGHT('01_INPUT_COMPANIES'!$G$33,1)),0)&lt;1,IFERROR(VALUE(RIGHT('01_INPUT_COMPANIES'!$G$33,1)),0)&gt;4),"ERROR: REPORTING PERIOD",IF(OR(COUNTIFS('92_REF_VARIABLES'!$A$21:$A$21,'01_INPUT_COMPANIES'!$H$33,'92_REF_VARIABLES'!$B$21:$B$21,'01_INPUT_COMPANIES'!$D$33,'92_REF_VARIABLES'!$C$21:$C$21,'01_INPUT_COMPANIES'!$G$33)&lt;&gt;1,AND(IFERROR(INDEX('92_REF_VARIABLES'!$I$21:$I$21,MATCH('01_INPUT_COMPANIES'!$H$33,'92_REF_VARIABLES'!$A$21:$A$21,0)),"")="synthetic_only",'01_INPUT_COMPANIES'!$L$33&lt;&gt;"yes")),"ERROR: BENCHMARK",IF(COUNTIF('92_REF_VARIABLES'!$L$21:$L$50,'01_INPUT_COMPANIES'!$I$33)&lt;&gt;1,"ERROR: CURRENCY",IF(OR(NOT(ISNUMBER('01_INPUT_COMPANIES'!$J$33)),'01_INPUT_COMPANIES'!$J$33&lt;&gt;INT('01_INPUT_COMPANIES'!$J$33),'01_INPUT_COMPANIES'!$J$33&lt;2000,'01_INPUT_COMPANIES'!$J$33&gt;2100),"ERROR: PRICE YEAR",IF(NOT(OR('01_INPUT_COMPANIES'!$K$33="A",'01_INPUT_COMPANIES'!$K$33="B",'01_INPUT_COMPANIES'!$K$33="C",'01_INPUT_COMPANIES'!$K$33="SYNTHETIC")),"ERROR: QUALITY",IF(NOT(OR(AND('01_INPUT_COMPANIES'!$L$33="yes",'01_INPUT_COMPANIES'!$K$33="SYNTHETIC"),AND('01_INPUT_COMPANIES'!$L$33="no",'01_INPUT_COMPANIES'!$K$33&lt;&gt;"SYNTHETIC"))),"ERROR: SYNTHETIC FLAG",IF(NOT(OR('01_INPUT_COMPANIES'!$M$33="direct",'01_INPUT_COMPANIES'!$M$33="derived",'01_INPUT_COMPANIES'!$M$33="proxy",'01_INPUT_COMPANIES'!$M$33="mixed")),"ERROR: CONSTRUCTION MODE",IF(OR(NOT(ISNUMBER('01_INPUT_COMPANIES'!$P$33)),'01_INPUT_COMPANIES'!$P$33&lt;0,'01_INPUT_COMPANIES'!$P$33&lt;&gt;INT('01_INPUT_COMPANIES'!$P$33)),"ERROR: CARRY LAG",IF('01_INPUT_COMPANIES'!$Q$33&lt;&gt;"yes","ERROR: EXPOSURE ADJUSTMENT",IF(OR(NOT(ISNUMBER('01_INPUT_COMPANIES'!$R$33)),'01_INPUT_COMPANIES'!$R$33&lt;0,'01_INPUT_COMPANIES'!$R$33&gt;1),"ERROR: EXPOSURE FACTOR",IF(COUNT(Y33)=0,"ERROR: SCORE",IF(COUNT(Z33)=0,"READY",IF(AA33&lt;=0.0000000001,"PASS","CHECK"))&amp;IF('01_INPUT_COMPANIES'!$K$33="C"," | C QUALITY","")&amp;IF(OR('01_INPUT_COMPANIES'!$M$33="proxy",'01_INPUT_COMPANIES'!$M$33="mixed")," | PROXY/MIXED","")&amp;IF('01_INPUT_COMPANIES'!$P$33&gt;1," | CARRY&gt;1","")&amp;IF(OR(OR('01_INPUT_COMPANIES'!$T$33&lt;-1,'01_INPUT_COMPANIES'!$T$33&gt;1),OR('01_INPUT_COMPANIES'!$U$33&lt;0,'01_INPUT_COMPANIES'!$U$33&gt;1),OR('01_INPUT_COMPANIES'!$V$33&lt;0,'01_INPUT_COMPANIES'!$V$33&gt;1),OR('01_INPUT_COMPANIES'!$W$33&lt;-10,'01_INPUT_COMPANIES'!$W$33&gt;10),OR('01_INPUT_COMPANIES'!$X$33&lt;-1,'01_INPUT_COMPANIES'!$X$33&gt;1),OR('01_INPUT_COMPANIES'!$Y$33&lt;0,'01_INPUT_COMPANIES'!$Y$33&gt;20),OR('01_INPUT_COMPANIES'!$Z$33&lt;-2,'01_INPUT_COMPANIES'!$Z$33&gt;2),OR('01_INPUT_COMPANIES'!$AA$33&lt;0,'01_INPUT_COMPANIES'!$AA$33&gt;1),OR('01_INPUT_COMPANIES'!$AB$33&lt;0,'01_INPUT_COMPANIES'!$AB$33&gt;1),OR('01_INPUT_COMPANIES'!$AC$33&lt;0,'01_INPUT_COMPANIES'!$AC$33&gt;50))," | REVIEW RANGE","")&amp;IF(COUNTIF('90_CALC_FEATURES'!$J$267:$J$276,"WINSORIZED*")&gt;0," | WINSORIZED","")&amp;IF(ABS('01_INPUT_COMPANIES'!$U$33-'01_INPUT_COMPANIES'!$V$33*'01_INPUT_COMPANIES'!$AB$33)&gt;MAX(0.005,0.05*MAX(ABS('01_INPUT_COMPANIES'!$V$33*'01_INPUT_COMPANIES'!$AB$33),ABS('01_INPUT_COMPANIES'!$U$33),0.000000000001))," | DEPENDENCY",""))))))))))))))))))))</x:f>
      </x:c>
      <x:c r="AC33" s="34" t="str">
        <x:f>IF(A33="","",IF(OR(LEFT(AB33,4)="PASS",LEFT(AB33,5)="READY"),"RESEARCH BETA | 저지원 22.22% | 기업 백분위 N/A", "결과 사용 금지 | "&amp;AB33))</x:f>
      </x:c>
      <x:c r="AD33" s="34" t="str">
        <x:f>IF(A33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$33,TRIM('01_INPUT_COMPANIES'!$D$33)),EXACT('01_INPUT_COMPANIES'!$E$33,TRIM('01_INPUT_COMPANIES'!$E$33)),EXACT('01_INPUT_COMPANIES'!$F$33,TRIM('01_INPUT_COMPANIES'!$F$33)),EXACT('01_INPUT_COMPANIES'!$G$33,TRIM('01_INPUT_COMPANIES'!$G$33)),EXACT('01_INPUT_COMPANIES'!$H$33,TRIM('01_INPUT_COMPANIES'!$H$33)))),"ERROR: COHORT WHITESPACE",IF(NOT(IFERROR(AND(ISTEXT('01_INPUT_COMPANIES'!$O$33),LEN('01_INPUT_COMPANIES'!$O$33)=10,VALUE(LEFT('01_INPUT_COMPANIES'!$O$33,4))&gt;=2000,VALUE(LEFT('01_INPUT_COMPANIES'!$O$33,4))&lt;=2100,EXACT(TEXT(DATE(VALUE(LEFT('01_INPUT_COMPANIES'!$O$33,4)),VALUE(MID('01_INPUT_COMPANIES'!$O$33,6,2)),VALUE(RIGHT('01_INPUT_COMPANIES'!$O$33,2))),"yyyy-mm-dd"),'01_INPUT_COMPANIES'!$O$33)),FALSE)),"ERROR: SOURCE DATE",IF(NOT(AND(OR(EXACT('01_INPUT_COMPANIES'!$C$33,"domestic"),EXACT('01_INPUT_COMPANIES'!$C$33,"foreign"),EXACT('01_INPUT_COMPANIES'!$C$33,"other")),OR(EXACT('01_INPUT_COMPANIES'!$K$33,"A"),EXACT('01_INPUT_COMPANIES'!$K$33,"B"),EXACT('01_INPUT_COMPANIES'!$K$33,"C"),EXACT('01_INPUT_COMPANIES'!$K$33,"SYNTHETIC")),OR(EXACT('01_INPUT_COMPANIES'!$L$33,"yes"),EXACT('01_INPUT_COMPANIES'!$L$33,"no")),OR(EXACT('01_INPUT_COMPANIES'!$M$33,"direct"),EXACT('01_INPUT_COMPANIES'!$M$33,"derived"),EXACT('01_INPUT_COMPANIES'!$M$33,"proxy"),EXACT('01_INPUT_COMPANIES'!$M$33,"mixed")),OR(EXACT('01_INPUT_COMPANIES'!$Q$33,"yes")),EXACT('01_INPUT_COMPANIES'!$I$33,UPPER('01_INPUT_COMPANIES'!$I$33)))),"ERROR: EXACT ENUM",IF(NOT(IFERROR(OR(AND(EXACT('92_REF_VARIABLES'!$A$21,'01_INPUT_COMPANIES'!$H$33),EXACT('92_REF_VARIABLES'!$B$21,'01_INPUT_COMPANIES'!$D$33),EXACT('92_REF_VARIABLES'!$C$21,'01_INPUT_COMPANIES'!$G$33))),FALSE)),"ERROR: BENCHMARK",""))))))</x:f>
      </x:c>
    </x:row>
    <x:row r="34">
      <x:c r="A34" s="34" t="str">
        <x:f>IF(OR('01_INPUT_COMPANIES'!$A$34="",'01_INPUT_COMPANIES'!$A$34=""),"",'01_INPUT_COMPANIES'!$A$34)</x:f>
      </x:c>
      <x:c r="B34" s="34" t="str">
        <x:f>IF(OR('01_INPUT_COMPANIES'!$A$34="",'01_INPUT_COMPANIES'!$B$34=""),"",'01_INPUT_COMPANIES'!$B$34)</x:f>
      </x:c>
      <x:c r="C34" s="34" t="str">
        <x:f>IF(OR('01_INPUT_COMPANIES'!$A$34="",'01_INPUT_COMPANIES'!$C$34=""),"",'01_INPUT_COMPANIES'!$C$34)</x:f>
      </x:c>
      <x:c r="D34" s="34" t="str">
        <x:f>IF(OR('01_INPUT_COMPANIES'!$A$34="",'01_INPUT_COMPANIES'!$D$34=""),"",'01_INPUT_COMPANIES'!$D$34)</x:f>
      </x:c>
      <x:c r="E34" s="34" t="str">
        <x:f>IF(OR('01_INPUT_COMPANIES'!$A$34="",'01_INPUT_COMPANIES'!$E$34=""),"",'01_INPUT_COMPANIES'!$E$34)</x:f>
      </x:c>
      <x:c r="F34" s="34" t="str">
        <x:f>IF(OR('01_INPUT_COMPANIES'!$A$34="",'01_INPUT_COMPANIES'!$F$34=""),"",'01_INPUT_COMPANIES'!$F$34)</x:f>
      </x:c>
      <x:c r="G34" s="34" t="str">
        <x:f>IF(OR('01_INPUT_COMPANIES'!$A$34="",'01_INPUT_COMPANIES'!$G$34=""),"",'01_INPUT_COMPANIES'!$G$34)</x:f>
      </x:c>
      <x:c r="H34" s="34" t="str">
        <x:f>IF(OR('01_INPUT_COMPANIES'!$A$34="",'01_INPUT_COMPANIES'!$H$34=""),"",'01_INPUT_COMPANIES'!$H$34)</x:f>
      </x:c>
      <x:c r="I34" s="34" t="str">
        <x:f>IF(OR('01_INPUT_COMPANIES'!$A$34="",'01_INPUT_COMPANIES'!$K$34=""),"",'01_INPUT_COMPANIES'!$K$34)</x:f>
      </x:c>
      <x:c r="J34" s="34" t="str">
        <x:f>IF(OR('01_INPUT_COMPANIES'!$A$34="",'01_INPUT_COMPANIES'!$M$34=""),"",'01_INPUT_COMPANIES'!$M$34)</x:f>
      </x:c>
      <x:c r="K34" s="34" t="str">
        <x:f>IF(OR(A34="",COUNTBLANK(D34:H34)&gt;0),"",LEN(D34)&amp;":"&amp;D34&amp;LEN(E34)&amp;":"&amp;E34&amp;LEN(F34)&amp;":"&amp;F34&amp;LEN(G34)&amp;":"&amp;G34&amp;LEN(H34)&amp;":"&amp;H34)</x:f>
      </x:c>
      <x:c r="L34" s="47" t="str">
        <x:f>IF(A34="","",'90_CALC_FEATURES'!$I$277)</x:f>
      </x:c>
      <x:c r="M34" s="47" t="str">
        <x:f>IF(A34="","",'90_CALC_FEATURES'!$I$278)</x:f>
      </x:c>
      <x:c r="N34" s="47" t="str">
        <x:f>IF(A34="","",'90_CALC_FEATURES'!$I$279)</x:f>
      </x:c>
      <x:c r="O34" s="47" t="str">
        <x:f>IF(A34="","",'90_CALC_FEATURES'!$I$280)</x:f>
      </x:c>
      <x:c r="P34" s="47" t="str">
        <x:f>IF(A34="","",'90_CALC_FEATURES'!$I$281)</x:f>
      </x:c>
      <x:c r="Q34" s="47" t="str">
        <x:f>IF(A34="","",'90_CALC_FEATURES'!$I$282)</x:f>
      </x:c>
      <x:c r="R34" s="47" t="str">
        <x:f>IF(A34="","",'90_CALC_FEATURES'!$I$283)</x:f>
      </x:c>
      <x:c r="S34" s="47" t="str">
        <x:f>IF(A34="","",'90_CALC_FEATURES'!$I$284)</x:f>
      </x:c>
      <x:c r="T34" s="47" t="str">
        <x:f>IF(A34="","",'90_CALC_FEATURES'!$I$285)</x:f>
      </x:c>
      <x:c r="U34" s="47" t="str">
        <x:f>IF(A34="","",'90_CALC_FEATURES'!$I$286)</x:f>
      </x:c>
      <x:c r="V34" s="47" t="str">
        <x:f>IF(COUNT(L34:N34)=3,100*AVERAGE(L34:N34),"")</x:f>
      </x:c>
      <x:c r="W34" s="47" t="str">
        <x:f>IF(COUNT(O34:R34)=4,100*AVERAGE(O34:R34),"")</x:f>
      </x:c>
      <x:c r="X34" s="47" t="str">
        <x:f>IF(COUNT(S34:U34)=3,100*AVERAGE(S34:U34),"")</x:f>
      </x:c>
      <x:c r="Y34" s="47" t="str">
        <x:f>IF(COUNT(V34:X34)=3,AVERAGE(V34:X34),"")</x:f>
      </x:c>
      <x:c r="Z34" s="47" t="str">
        <x:f>IF(OR(AND(EXACT(A34,"SYN-A"),COUNT('01_INPUT_COMPANIES'!$T$34:$AC$34)=10,'01_INPUT_COMPANIES'!$T$34=-0.02,'01_INPUT_COMPANIES'!$U$34=0.1332,'01_INPUT_COMPANIES'!$V$34=0.18,'01_INPUT_COMPANIES'!$W$34=0.42,'01_INPUT_COMPANIES'!$X$34=0.012,'01_INPUT_COMPANIES'!$Y$34=3.2,'01_INPUT_COMPANIES'!$Z$34=0.08,'01_INPUT_COMPANIES'!$AA$34=0.28,'01_INPUT_COMPANIES'!$AB$34=0.74,'01_INPUT_COMPANIES'!$AC$34=8.5),AND(EXACT(A34,"SYN-B"),COUNT('01_INPUT_COMPANIES'!$T$34:$AC$34)=10,'01_INPUT_COMPANIES'!$T$34=-0.055,'01_INPUT_COMPANIES'!$U$34=0.06405,'01_INPUT_COMPANIES'!$V$34=0.105,'01_INPUT_COMPANIES'!$W$34=0.73,'01_INPUT_COMPANIES'!$X$34=0.004,'01_INPUT_COMPANIES'!$Y$34=4.1,'01_INPUT_COMPANIES'!$Z$34=0.025,'01_INPUT_COMPANIES'!$AA$34=0.16,'01_INPUT_COMPANIES'!$AB$34=0.61,'01_INPUT_COMPANIES'!$AC$34=4),AND(EXACT(A34,"SYN-C"),COUNT('01_INPUT_COMPANIES'!$T$34:$AC$34)=10,'01_INPUT_COMPANIES'!$T$34=0.01,'01_INPUT_COMPANIES'!$U$34=0.0986,'01_INPUT_COMPANIES'!$V$34=0.145,'01_INPUT_COMPANIES'!$W$34=0.18,'01_INPUT_COMPANIES'!$X$34=0.018,'01_INPUT_COMPANIES'!$Y$34=2.65,'01_INPUT_COMPANIES'!$Z$34=0.11,'01_INPUT_COMPANIES'!$AA$34=0.34,'01_INPUT_COMPANIES'!$AB$34=0.68,'01_INPUT_COMPANIES'!$AC$34=6.8),AND(EXACT(A34,"SYN-D"),COUNT('01_INPUT_COMPANIES'!$T$34:$AC$34)=10,'01_INPUT_COMPANIES'!$T$34=-0.005,'01_INPUT_COMPANIES'!$U$34=0.1136,'01_INPUT_COMPANIES'!$V$34=0.16,'01_INPUT_COMPANIES'!$W$34=0.51,'01_INPUT_COMPANIES'!$X$34=0.009,'01_INPUT_COMPANIES'!$Y$34=3.55,'01_INPUT_COMPANIES'!$Z$34=0.065,'01_INPUT_COMPANIES'!$AA$34=0.24,'01_INPUT_COMPANIES'!$AB$34=0.71,'01_INPUT_COMPANIES'!$AC$34=7.4)),IFERROR(INDEX('94_EXPECTED_OUTPUTS'!$B$7:$B$10,MATCH(A34,'94_EXPECTED_OUTPUTS'!$A$7:$A$10,0)),""),"")</x:f>
      </x:c>
      <x:c r="AA34" s="47" t="str">
        <x:f>IF(OR(COUNT(Y34)=0,COUNT(Z34)=0),"",ABS(Y34-Z34))</x:f>
      </x:c>
      <x:c r="AB34" s="34" t="str">
        <x:f>IF(A34="","",IF(AD34&lt;&gt;"",AD34,IF('01_INPUT_COMPANIES'!$A$34="","",IF(OR(LEN(TRIM('01_INPUT_COMPANIES'!$A$34&amp;""))=0,LEN(TRIM('01_INPUT_COMPANIES'!$B$34&amp;""))=0,LEN(TRIM('01_INPUT_COMPANIES'!$C$34&amp;""))=0,LEN(TRIM('01_INPUT_COMPANIES'!$D$34&amp;""))=0,LEN(TRIM('01_INPUT_COMPANIES'!$E$34&amp;""))=0,LEN(TRIM('01_INPUT_COMPANIES'!$F$34&amp;""))=0,LEN(TRIM('01_INPUT_COMPANIES'!$G$34&amp;""))=0,LEN(TRIM('01_INPUT_COMPANIES'!$H$34&amp;""))=0,LEN(TRIM('01_INPUT_COMPANIES'!$I$34&amp;""))=0,LEN(TRIM('01_INPUT_COMPANIES'!$K$34&amp;""))=0,LEN(TRIM('01_INPUT_COMPANIES'!$L$34&amp;""))=0,LEN(TRIM('01_INPUT_COMPANIES'!$M$34&amp;""))=0,LEN(TRIM('01_INPUT_COMPANIES'!$N$34&amp;""))=0,LEN(TRIM('01_INPUT_COMPANIES'!$O$34&amp;""))=0,LEN(TRIM('01_INPUT_COMPANIES'!$Q$34&amp;""))=0,COUNTBLANK('01_INPUT_COMPANIES'!$A$34:$R$34)&gt;0),"INPUT REQUIRED",IF(OR('01_INPUT_COMPANIES'!$A$34&lt;&gt;TRIM('01_INPUT_COMPANIES'!$A$34),NOT(EXACT('01_INPUT_COMPANIES'!$A$34,UPPER('01_INPUT_COMPANIES'!$A$34))),LEN('01_INPUT_COMPANIES'!$A$34)&gt;64,ISNUMBER(FIND("*",'01_INPUT_COMPANIES'!$A$34)),ISNUMBER(FIND("?",'01_INPUT_COMPANIES'!$A$34)),ISNUMBER(FIND("~",'01_INPUT_COMPANIES'!$A$34))),"ERROR: ID FORMAT",IF(COUNTIF('01_INPUT_COMPANIES'!$A$7:$A$106,'01_INPUT_COMPANIES'!$A$34)&lt;&gt;1,"ERROR: DUPLICATE ID",IF(COUNT('01_INPUT_COMPANIES'!$T$34:$AC$34)&lt;&gt;10,"INPUT REQUIRED",IF(NOT(OR('01_INPUT_COMPANIES'!$C$34="domestic",'01_INPUT_COMPANIES'!$C$34="foreign",'01_INPUT_COMPANIES'!$C$34="other")),"ERROR: COMPANY GROUP",IF(OR(LEN('01_INPUT_COMPANIES'!$G$34)&lt;&gt;6,MID('01_INPUT_COMPANIES'!$G$34,5,1)&lt;&gt;"Q",IFERROR(VALUE(LEFT('01_INPUT_COMPANIES'!$G$34,4)),0)&lt;2000,IFERROR(VALUE(LEFT('01_INPUT_COMPANIES'!$G$34,4)),0)&gt;2100,IFERROR(VALUE(RIGHT('01_INPUT_COMPANIES'!$G$34,1)),0)&lt;1,IFERROR(VALUE(RIGHT('01_INPUT_COMPANIES'!$G$34,1)),0)&gt;4),"ERROR: REPORTING PERIOD",IF(OR(COUNTIFS('92_REF_VARIABLES'!$A$21:$A$21,'01_INPUT_COMPANIES'!$H$34,'92_REF_VARIABLES'!$B$21:$B$21,'01_INPUT_COMPANIES'!$D$34,'92_REF_VARIABLES'!$C$21:$C$21,'01_INPUT_COMPANIES'!$G$34)&lt;&gt;1,AND(IFERROR(INDEX('92_REF_VARIABLES'!$I$21:$I$21,MATCH('01_INPUT_COMPANIES'!$H$34,'92_REF_VARIABLES'!$A$21:$A$21,0)),"")="synthetic_only",'01_INPUT_COMPANIES'!$L$34&lt;&gt;"yes")),"ERROR: BENCHMARK",IF(COUNTIF('92_REF_VARIABLES'!$L$21:$L$50,'01_INPUT_COMPANIES'!$I$34)&lt;&gt;1,"ERROR: CURRENCY",IF(OR(NOT(ISNUMBER('01_INPUT_COMPANIES'!$J$34)),'01_INPUT_COMPANIES'!$J$34&lt;&gt;INT('01_INPUT_COMPANIES'!$J$34),'01_INPUT_COMPANIES'!$J$34&lt;2000,'01_INPUT_COMPANIES'!$J$34&gt;2100),"ERROR: PRICE YEAR",IF(NOT(OR('01_INPUT_COMPANIES'!$K$34="A",'01_INPUT_COMPANIES'!$K$34="B",'01_INPUT_COMPANIES'!$K$34="C",'01_INPUT_COMPANIES'!$K$34="SYNTHETIC")),"ERROR: QUALITY",IF(NOT(OR(AND('01_INPUT_COMPANIES'!$L$34="yes",'01_INPUT_COMPANIES'!$K$34="SYNTHETIC"),AND('01_INPUT_COMPANIES'!$L$34="no",'01_INPUT_COMPANIES'!$K$34&lt;&gt;"SYNTHETIC"))),"ERROR: SYNTHETIC FLAG",IF(NOT(OR('01_INPUT_COMPANIES'!$M$34="direct",'01_INPUT_COMPANIES'!$M$34="derived",'01_INPUT_COMPANIES'!$M$34="proxy",'01_INPUT_COMPANIES'!$M$34="mixed")),"ERROR: CONSTRUCTION MODE",IF(OR(NOT(ISNUMBER('01_INPUT_COMPANIES'!$P$34)),'01_INPUT_COMPANIES'!$P$34&lt;0,'01_INPUT_COMPANIES'!$P$34&lt;&gt;INT('01_INPUT_COMPANIES'!$P$34)),"ERROR: CARRY LAG",IF('01_INPUT_COMPANIES'!$Q$34&lt;&gt;"yes","ERROR: EXPOSURE ADJUSTMENT",IF(OR(NOT(ISNUMBER('01_INPUT_COMPANIES'!$R$34)),'01_INPUT_COMPANIES'!$R$34&lt;0,'01_INPUT_COMPANIES'!$R$34&gt;1),"ERROR: EXPOSURE FACTOR",IF(COUNT(Y34)=0,"ERROR: SCORE",IF(COUNT(Z34)=0,"READY",IF(AA34&lt;=0.0000000001,"PASS","CHECK"))&amp;IF('01_INPUT_COMPANIES'!$K$34="C"," | C QUALITY","")&amp;IF(OR('01_INPUT_COMPANIES'!$M$34="proxy",'01_INPUT_COMPANIES'!$M$34="mixed")," | PROXY/MIXED","")&amp;IF('01_INPUT_COMPANIES'!$P$34&gt;1," | CARRY&gt;1","")&amp;IF(OR(OR('01_INPUT_COMPANIES'!$T$34&lt;-1,'01_INPUT_COMPANIES'!$T$34&gt;1),OR('01_INPUT_COMPANIES'!$U$34&lt;0,'01_INPUT_COMPANIES'!$U$34&gt;1),OR('01_INPUT_COMPANIES'!$V$34&lt;0,'01_INPUT_COMPANIES'!$V$34&gt;1),OR('01_INPUT_COMPANIES'!$W$34&lt;-10,'01_INPUT_COMPANIES'!$W$34&gt;10),OR('01_INPUT_COMPANIES'!$X$34&lt;-1,'01_INPUT_COMPANIES'!$X$34&gt;1),OR('01_INPUT_COMPANIES'!$Y$34&lt;0,'01_INPUT_COMPANIES'!$Y$34&gt;20),OR('01_INPUT_COMPANIES'!$Z$34&lt;-2,'01_INPUT_COMPANIES'!$Z$34&gt;2),OR('01_INPUT_COMPANIES'!$AA$34&lt;0,'01_INPUT_COMPANIES'!$AA$34&gt;1),OR('01_INPUT_COMPANIES'!$AB$34&lt;0,'01_INPUT_COMPANIES'!$AB$34&gt;1),OR('01_INPUT_COMPANIES'!$AC$34&lt;0,'01_INPUT_COMPANIES'!$AC$34&gt;50))," | REVIEW RANGE","")&amp;IF(COUNTIF('90_CALC_FEATURES'!$J$277:$J$286,"WINSORIZED*")&gt;0," | WINSORIZED","")&amp;IF(ABS('01_INPUT_COMPANIES'!$U$34-'01_INPUT_COMPANIES'!$V$34*'01_INPUT_COMPANIES'!$AB$34)&gt;MAX(0.005,0.05*MAX(ABS('01_INPUT_COMPANIES'!$V$34*'01_INPUT_COMPANIES'!$AB$34),ABS('01_INPUT_COMPANIES'!$U$34),0.000000000001))," | DEPENDENCY",""))))))))))))))))))))</x:f>
      </x:c>
      <x:c r="AC34" s="34" t="str">
        <x:f>IF(A34="","",IF(OR(LEFT(AB34,4)="PASS",LEFT(AB34,5)="READY"),"RESEARCH BETA | 저지원 22.22% | 기업 백분위 N/A", "결과 사용 금지 | "&amp;AB34))</x:f>
      </x:c>
      <x:c r="AD34" s="34" t="str">
        <x:f>IF(A34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$34,TRIM('01_INPUT_COMPANIES'!$D$34)),EXACT('01_INPUT_COMPANIES'!$E$34,TRIM('01_INPUT_COMPANIES'!$E$34)),EXACT('01_INPUT_COMPANIES'!$F$34,TRIM('01_INPUT_COMPANIES'!$F$34)),EXACT('01_INPUT_COMPANIES'!$G$34,TRIM('01_INPUT_COMPANIES'!$G$34)),EXACT('01_INPUT_COMPANIES'!$H$34,TRIM('01_INPUT_COMPANIES'!$H$34)))),"ERROR: COHORT WHITESPACE",IF(NOT(IFERROR(AND(ISTEXT('01_INPUT_COMPANIES'!$O$34),LEN('01_INPUT_COMPANIES'!$O$34)=10,VALUE(LEFT('01_INPUT_COMPANIES'!$O$34,4))&gt;=2000,VALUE(LEFT('01_INPUT_COMPANIES'!$O$34,4))&lt;=2100,EXACT(TEXT(DATE(VALUE(LEFT('01_INPUT_COMPANIES'!$O$34,4)),VALUE(MID('01_INPUT_COMPANIES'!$O$34,6,2)),VALUE(RIGHT('01_INPUT_COMPANIES'!$O$34,2))),"yyyy-mm-dd"),'01_INPUT_COMPANIES'!$O$34)),FALSE)),"ERROR: SOURCE DATE",IF(NOT(AND(OR(EXACT('01_INPUT_COMPANIES'!$C$34,"domestic"),EXACT('01_INPUT_COMPANIES'!$C$34,"foreign"),EXACT('01_INPUT_COMPANIES'!$C$34,"other")),OR(EXACT('01_INPUT_COMPANIES'!$K$34,"A"),EXACT('01_INPUT_COMPANIES'!$K$34,"B"),EXACT('01_INPUT_COMPANIES'!$K$34,"C"),EXACT('01_INPUT_COMPANIES'!$K$34,"SYNTHETIC")),OR(EXACT('01_INPUT_COMPANIES'!$L$34,"yes"),EXACT('01_INPUT_COMPANIES'!$L$34,"no")),OR(EXACT('01_INPUT_COMPANIES'!$M$34,"direct"),EXACT('01_INPUT_COMPANIES'!$M$34,"derived"),EXACT('01_INPUT_COMPANIES'!$M$34,"proxy"),EXACT('01_INPUT_COMPANIES'!$M$34,"mixed")),OR(EXACT('01_INPUT_COMPANIES'!$Q$34,"yes")),EXACT('01_INPUT_COMPANIES'!$I$34,UPPER('01_INPUT_COMPANIES'!$I$34)))),"ERROR: EXACT ENUM",IF(NOT(IFERROR(OR(AND(EXACT('92_REF_VARIABLES'!$A$21,'01_INPUT_COMPANIES'!$H$34),EXACT('92_REF_VARIABLES'!$B$21,'01_INPUT_COMPANIES'!$D$34),EXACT('92_REF_VARIABLES'!$C$21,'01_INPUT_COMPANIES'!$G$34))),FALSE)),"ERROR: BENCHMARK",""))))))</x:f>
      </x:c>
    </x:row>
    <x:row r="35">
      <x:c r="A35" s="34" t="str">
        <x:f>IF(OR('01_INPUT_COMPANIES'!$A$35="",'01_INPUT_COMPANIES'!$A$35=""),"",'01_INPUT_COMPANIES'!$A$35)</x:f>
      </x:c>
      <x:c r="B35" s="34" t="str">
        <x:f>IF(OR('01_INPUT_COMPANIES'!$A$35="",'01_INPUT_COMPANIES'!$B$35=""),"",'01_INPUT_COMPANIES'!$B$35)</x:f>
      </x:c>
      <x:c r="C35" s="34" t="str">
        <x:f>IF(OR('01_INPUT_COMPANIES'!$A$35="",'01_INPUT_COMPANIES'!$C$35=""),"",'01_INPUT_COMPANIES'!$C$35)</x:f>
      </x:c>
      <x:c r="D35" s="34" t="str">
        <x:f>IF(OR('01_INPUT_COMPANIES'!$A$35="",'01_INPUT_COMPANIES'!$D$35=""),"",'01_INPUT_COMPANIES'!$D$35)</x:f>
      </x:c>
      <x:c r="E35" s="34" t="str">
        <x:f>IF(OR('01_INPUT_COMPANIES'!$A$35="",'01_INPUT_COMPANIES'!$E$35=""),"",'01_INPUT_COMPANIES'!$E$35)</x:f>
      </x:c>
      <x:c r="F35" s="34" t="str">
        <x:f>IF(OR('01_INPUT_COMPANIES'!$A$35="",'01_INPUT_COMPANIES'!$F$35=""),"",'01_INPUT_COMPANIES'!$F$35)</x:f>
      </x:c>
      <x:c r="G35" s="34" t="str">
        <x:f>IF(OR('01_INPUT_COMPANIES'!$A$35="",'01_INPUT_COMPANIES'!$G$35=""),"",'01_INPUT_COMPANIES'!$G$35)</x:f>
      </x:c>
      <x:c r="H35" s="34" t="str">
        <x:f>IF(OR('01_INPUT_COMPANIES'!$A$35="",'01_INPUT_COMPANIES'!$H$35=""),"",'01_INPUT_COMPANIES'!$H$35)</x:f>
      </x:c>
      <x:c r="I35" s="34" t="str">
        <x:f>IF(OR('01_INPUT_COMPANIES'!$A$35="",'01_INPUT_COMPANIES'!$K$35=""),"",'01_INPUT_COMPANIES'!$K$35)</x:f>
      </x:c>
      <x:c r="J35" s="34" t="str">
        <x:f>IF(OR('01_INPUT_COMPANIES'!$A$35="",'01_INPUT_COMPANIES'!$M$35=""),"",'01_INPUT_COMPANIES'!$M$35)</x:f>
      </x:c>
      <x:c r="K35" s="34" t="str">
        <x:f>IF(OR(A35="",COUNTBLANK(D35:H35)&gt;0),"",LEN(D35)&amp;":"&amp;D35&amp;LEN(E35)&amp;":"&amp;E35&amp;LEN(F35)&amp;":"&amp;F35&amp;LEN(G35)&amp;":"&amp;G35&amp;LEN(H35)&amp;":"&amp;H35)</x:f>
      </x:c>
      <x:c r="L35" s="47" t="str">
        <x:f>IF(A35="","",'90_CALC_FEATURES'!$I$287)</x:f>
      </x:c>
      <x:c r="M35" s="47" t="str">
        <x:f>IF(A35="","",'90_CALC_FEATURES'!$I$288)</x:f>
      </x:c>
      <x:c r="N35" s="47" t="str">
        <x:f>IF(A35="","",'90_CALC_FEATURES'!$I$289)</x:f>
      </x:c>
      <x:c r="O35" s="47" t="str">
        <x:f>IF(A35="","",'90_CALC_FEATURES'!$I$290)</x:f>
      </x:c>
      <x:c r="P35" s="47" t="str">
        <x:f>IF(A35="","",'90_CALC_FEATURES'!$I$291)</x:f>
      </x:c>
      <x:c r="Q35" s="47" t="str">
        <x:f>IF(A35="","",'90_CALC_FEATURES'!$I$292)</x:f>
      </x:c>
      <x:c r="R35" s="47" t="str">
        <x:f>IF(A35="","",'90_CALC_FEATURES'!$I$293)</x:f>
      </x:c>
      <x:c r="S35" s="47" t="str">
        <x:f>IF(A35="","",'90_CALC_FEATURES'!$I$294)</x:f>
      </x:c>
      <x:c r="T35" s="47" t="str">
        <x:f>IF(A35="","",'90_CALC_FEATURES'!$I$295)</x:f>
      </x:c>
      <x:c r="U35" s="47" t="str">
        <x:f>IF(A35="","",'90_CALC_FEATURES'!$I$296)</x:f>
      </x:c>
      <x:c r="V35" s="47" t="str">
        <x:f>IF(COUNT(L35:N35)=3,100*AVERAGE(L35:N35),"")</x:f>
      </x:c>
      <x:c r="W35" s="47" t="str">
        <x:f>IF(COUNT(O35:R35)=4,100*AVERAGE(O35:R35),"")</x:f>
      </x:c>
      <x:c r="X35" s="47" t="str">
        <x:f>IF(COUNT(S35:U35)=3,100*AVERAGE(S35:U35),"")</x:f>
      </x:c>
      <x:c r="Y35" s="47" t="str">
        <x:f>IF(COUNT(V35:X35)=3,AVERAGE(V35:X35),"")</x:f>
      </x:c>
      <x:c r="Z35" s="47" t="str">
        <x:f>IF(OR(AND(EXACT(A35,"SYN-A"),COUNT('01_INPUT_COMPANIES'!$T$35:$AC$35)=10,'01_INPUT_COMPANIES'!$T$35=-0.02,'01_INPUT_COMPANIES'!$U$35=0.1332,'01_INPUT_COMPANIES'!$V$35=0.18,'01_INPUT_COMPANIES'!$W$35=0.42,'01_INPUT_COMPANIES'!$X$35=0.012,'01_INPUT_COMPANIES'!$Y$35=3.2,'01_INPUT_COMPANIES'!$Z$35=0.08,'01_INPUT_COMPANIES'!$AA$35=0.28,'01_INPUT_COMPANIES'!$AB$35=0.74,'01_INPUT_COMPANIES'!$AC$35=8.5),AND(EXACT(A35,"SYN-B"),COUNT('01_INPUT_COMPANIES'!$T$35:$AC$35)=10,'01_INPUT_COMPANIES'!$T$35=-0.055,'01_INPUT_COMPANIES'!$U$35=0.06405,'01_INPUT_COMPANIES'!$V$35=0.105,'01_INPUT_COMPANIES'!$W$35=0.73,'01_INPUT_COMPANIES'!$X$35=0.004,'01_INPUT_COMPANIES'!$Y$35=4.1,'01_INPUT_COMPANIES'!$Z$35=0.025,'01_INPUT_COMPANIES'!$AA$35=0.16,'01_INPUT_COMPANIES'!$AB$35=0.61,'01_INPUT_COMPANIES'!$AC$35=4),AND(EXACT(A35,"SYN-C"),COUNT('01_INPUT_COMPANIES'!$T$35:$AC$35)=10,'01_INPUT_COMPANIES'!$T$35=0.01,'01_INPUT_COMPANIES'!$U$35=0.0986,'01_INPUT_COMPANIES'!$V$35=0.145,'01_INPUT_COMPANIES'!$W$35=0.18,'01_INPUT_COMPANIES'!$X$35=0.018,'01_INPUT_COMPANIES'!$Y$35=2.65,'01_INPUT_COMPANIES'!$Z$35=0.11,'01_INPUT_COMPANIES'!$AA$35=0.34,'01_INPUT_COMPANIES'!$AB$35=0.68,'01_INPUT_COMPANIES'!$AC$35=6.8),AND(EXACT(A35,"SYN-D"),COUNT('01_INPUT_COMPANIES'!$T$35:$AC$35)=10,'01_INPUT_COMPANIES'!$T$35=-0.005,'01_INPUT_COMPANIES'!$U$35=0.1136,'01_INPUT_COMPANIES'!$V$35=0.16,'01_INPUT_COMPANIES'!$W$35=0.51,'01_INPUT_COMPANIES'!$X$35=0.009,'01_INPUT_COMPANIES'!$Y$35=3.55,'01_INPUT_COMPANIES'!$Z$35=0.065,'01_INPUT_COMPANIES'!$AA$35=0.24,'01_INPUT_COMPANIES'!$AB$35=0.71,'01_INPUT_COMPANIES'!$AC$35=7.4)),IFERROR(INDEX('94_EXPECTED_OUTPUTS'!$B$7:$B$10,MATCH(A35,'94_EXPECTED_OUTPUTS'!$A$7:$A$10,0)),""),"")</x:f>
      </x:c>
      <x:c r="AA35" s="47" t="str">
        <x:f>IF(OR(COUNT(Y35)=0,COUNT(Z35)=0),"",ABS(Y35-Z35))</x:f>
      </x:c>
      <x:c r="AB35" s="34" t="str">
        <x:f>IF(A35="","",IF(AD35&lt;&gt;"",AD35,IF('01_INPUT_COMPANIES'!$A$35="","",IF(OR(LEN(TRIM('01_INPUT_COMPANIES'!$A$35&amp;""))=0,LEN(TRIM('01_INPUT_COMPANIES'!$B$35&amp;""))=0,LEN(TRIM('01_INPUT_COMPANIES'!$C$35&amp;""))=0,LEN(TRIM('01_INPUT_COMPANIES'!$D$35&amp;""))=0,LEN(TRIM('01_INPUT_COMPANIES'!$E$35&amp;""))=0,LEN(TRIM('01_INPUT_COMPANIES'!$F$35&amp;""))=0,LEN(TRIM('01_INPUT_COMPANIES'!$G$35&amp;""))=0,LEN(TRIM('01_INPUT_COMPANIES'!$H$35&amp;""))=0,LEN(TRIM('01_INPUT_COMPANIES'!$I$35&amp;""))=0,LEN(TRIM('01_INPUT_COMPANIES'!$K$35&amp;""))=0,LEN(TRIM('01_INPUT_COMPANIES'!$L$35&amp;""))=0,LEN(TRIM('01_INPUT_COMPANIES'!$M$35&amp;""))=0,LEN(TRIM('01_INPUT_COMPANIES'!$N$35&amp;""))=0,LEN(TRIM('01_INPUT_COMPANIES'!$O$35&amp;""))=0,LEN(TRIM('01_INPUT_COMPANIES'!$Q$35&amp;""))=0,COUNTBLANK('01_INPUT_COMPANIES'!$A$35:$R$35)&gt;0),"INPUT REQUIRED",IF(OR('01_INPUT_COMPANIES'!$A$35&lt;&gt;TRIM('01_INPUT_COMPANIES'!$A$35),NOT(EXACT('01_INPUT_COMPANIES'!$A$35,UPPER('01_INPUT_COMPANIES'!$A$35))),LEN('01_INPUT_COMPANIES'!$A$35)&gt;64,ISNUMBER(FIND("*",'01_INPUT_COMPANIES'!$A$35)),ISNUMBER(FIND("?",'01_INPUT_COMPANIES'!$A$35)),ISNUMBER(FIND("~",'01_INPUT_COMPANIES'!$A$35))),"ERROR: ID FORMAT",IF(COUNTIF('01_INPUT_COMPANIES'!$A$7:$A$106,'01_INPUT_COMPANIES'!$A$35)&lt;&gt;1,"ERROR: DUPLICATE ID",IF(COUNT('01_INPUT_COMPANIES'!$T$35:$AC$35)&lt;&gt;10,"INPUT REQUIRED",IF(NOT(OR('01_INPUT_COMPANIES'!$C$35="domestic",'01_INPUT_COMPANIES'!$C$35="foreign",'01_INPUT_COMPANIES'!$C$35="other")),"ERROR: COMPANY GROUP",IF(OR(LEN('01_INPUT_COMPANIES'!$G$35)&lt;&gt;6,MID('01_INPUT_COMPANIES'!$G$35,5,1)&lt;&gt;"Q",IFERROR(VALUE(LEFT('01_INPUT_COMPANIES'!$G$35,4)),0)&lt;2000,IFERROR(VALUE(LEFT('01_INPUT_COMPANIES'!$G$35,4)),0)&gt;2100,IFERROR(VALUE(RIGHT('01_INPUT_COMPANIES'!$G$35,1)),0)&lt;1,IFERROR(VALUE(RIGHT('01_INPUT_COMPANIES'!$G$35,1)),0)&gt;4),"ERROR: REPORTING PERIOD",IF(OR(COUNTIFS('92_REF_VARIABLES'!$A$21:$A$21,'01_INPUT_COMPANIES'!$H$35,'92_REF_VARIABLES'!$B$21:$B$21,'01_INPUT_COMPANIES'!$D$35,'92_REF_VARIABLES'!$C$21:$C$21,'01_INPUT_COMPANIES'!$G$35)&lt;&gt;1,AND(IFERROR(INDEX('92_REF_VARIABLES'!$I$21:$I$21,MATCH('01_INPUT_COMPANIES'!$H$35,'92_REF_VARIABLES'!$A$21:$A$21,0)),"")="synthetic_only",'01_INPUT_COMPANIES'!$L$35&lt;&gt;"yes")),"ERROR: BENCHMARK",IF(COUNTIF('92_REF_VARIABLES'!$L$21:$L$50,'01_INPUT_COMPANIES'!$I$35)&lt;&gt;1,"ERROR: CURRENCY",IF(OR(NOT(ISNUMBER('01_INPUT_COMPANIES'!$J$35)),'01_INPUT_COMPANIES'!$J$35&lt;&gt;INT('01_INPUT_COMPANIES'!$J$35),'01_INPUT_COMPANIES'!$J$35&lt;2000,'01_INPUT_COMPANIES'!$J$35&gt;2100),"ERROR: PRICE YEAR",IF(NOT(OR('01_INPUT_COMPANIES'!$K$35="A",'01_INPUT_COMPANIES'!$K$35="B",'01_INPUT_COMPANIES'!$K$35="C",'01_INPUT_COMPANIES'!$K$35="SYNTHETIC")),"ERROR: QUALITY",IF(NOT(OR(AND('01_INPUT_COMPANIES'!$L$35="yes",'01_INPUT_COMPANIES'!$K$35="SYNTHETIC"),AND('01_INPUT_COMPANIES'!$L$35="no",'01_INPUT_COMPANIES'!$K$35&lt;&gt;"SYNTHETIC"))),"ERROR: SYNTHETIC FLAG",IF(NOT(OR('01_INPUT_COMPANIES'!$M$35="direct",'01_INPUT_COMPANIES'!$M$35="derived",'01_INPUT_COMPANIES'!$M$35="proxy",'01_INPUT_COMPANIES'!$M$35="mixed")),"ERROR: CONSTRUCTION MODE",IF(OR(NOT(ISNUMBER('01_INPUT_COMPANIES'!$P$35)),'01_INPUT_COMPANIES'!$P$35&lt;0,'01_INPUT_COMPANIES'!$P$35&lt;&gt;INT('01_INPUT_COMPANIES'!$P$35)),"ERROR: CARRY LAG",IF('01_INPUT_COMPANIES'!$Q$35&lt;&gt;"yes","ERROR: EXPOSURE ADJUSTMENT",IF(OR(NOT(ISNUMBER('01_INPUT_COMPANIES'!$R$35)),'01_INPUT_COMPANIES'!$R$35&lt;0,'01_INPUT_COMPANIES'!$R$35&gt;1),"ERROR: EXPOSURE FACTOR",IF(COUNT(Y35)=0,"ERROR: SCORE",IF(COUNT(Z35)=0,"READY",IF(AA35&lt;=0.0000000001,"PASS","CHECK"))&amp;IF('01_INPUT_COMPANIES'!$K$35="C"," | C QUALITY","")&amp;IF(OR('01_INPUT_COMPANIES'!$M$35="proxy",'01_INPUT_COMPANIES'!$M$35="mixed")," | PROXY/MIXED","")&amp;IF('01_INPUT_COMPANIES'!$P$35&gt;1," | CARRY&gt;1","")&amp;IF(OR(OR('01_INPUT_COMPANIES'!$T$35&lt;-1,'01_INPUT_COMPANIES'!$T$35&gt;1),OR('01_INPUT_COMPANIES'!$U$35&lt;0,'01_INPUT_COMPANIES'!$U$35&gt;1),OR('01_INPUT_COMPANIES'!$V$35&lt;0,'01_INPUT_COMPANIES'!$V$35&gt;1),OR('01_INPUT_COMPANIES'!$W$35&lt;-10,'01_INPUT_COMPANIES'!$W$35&gt;10),OR('01_INPUT_COMPANIES'!$X$35&lt;-1,'01_INPUT_COMPANIES'!$X$35&gt;1),OR('01_INPUT_COMPANIES'!$Y$35&lt;0,'01_INPUT_COMPANIES'!$Y$35&gt;20),OR('01_INPUT_COMPANIES'!$Z$35&lt;-2,'01_INPUT_COMPANIES'!$Z$35&gt;2),OR('01_INPUT_COMPANIES'!$AA$35&lt;0,'01_INPUT_COMPANIES'!$AA$35&gt;1),OR('01_INPUT_COMPANIES'!$AB$35&lt;0,'01_INPUT_COMPANIES'!$AB$35&gt;1),OR('01_INPUT_COMPANIES'!$AC$35&lt;0,'01_INPUT_COMPANIES'!$AC$35&gt;50))," | REVIEW RANGE","")&amp;IF(COUNTIF('90_CALC_FEATURES'!$J$287:$J$296,"WINSORIZED*")&gt;0," | WINSORIZED","")&amp;IF(ABS('01_INPUT_COMPANIES'!$U$35-'01_INPUT_COMPANIES'!$V$35*'01_INPUT_COMPANIES'!$AB$35)&gt;MAX(0.005,0.05*MAX(ABS('01_INPUT_COMPANIES'!$V$35*'01_INPUT_COMPANIES'!$AB$35),ABS('01_INPUT_COMPANIES'!$U$35),0.000000000001))," | DEPENDENCY",""))))))))))))))))))))</x:f>
      </x:c>
      <x:c r="AC35" s="34" t="str">
        <x:f>IF(A35="","",IF(OR(LEFT(AB35,4)="PASS",LEFT(AB35,5)="READY"),"RESEARCH BETA | 저지원 22.22% | 기업 백분위 N/A", "결과 사용 금지 | "&amp;AB35))</x:f>
      </x:c>
      <x:c r="AD35" s="34" t="str">
        <x:f>IF(A35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$35,TRIM('01_INPUT_COMPANIES'!$D$35)),EXACT('01_INPUT_COMPANIES'!$E$35,TRIM('01_INPUT_COMPANIES'!$E$35)),EXACT('01_INPUT_COMPANIES'!$F$35,TRIM('01_INPUT_COMPANIES'!$F$35)),EXACT('01_INPUT_COMPANIES'!$G$35,TRIM('01_INPUT_COMPANIES'!$G$35)),EXACT('01_INPUT_COMPANIES'!$H$35,TRIM('01_INPUT_COMPANIES'!$H$35)))),"ERROR: COHORT WHITESPACE",IF(NOT(IFERROR(AND(ISTEXT('01_INPUT_COMPANIES'!$O$35),LEN('01_INPUT_COMPANIES'!$O$35)=10,VALUE(LEFT('01_INPUT_COMPANIES'!$O$35,4))&gt;=2000,VALUE(LEFT('01_INPUT_COMPANIES'!$O$35,4))&lt;=2100,EXACT(TEXT(DATE(VALUE(LEFT('01_INPUT_COMPANIES'!$O$35,4)),VALUE(MID('01_INPUT_COMPANIES'!$O$35,6,2)),VALUE(RIGHT('01_INPUT_COMPANIES'!$O$35,2))),"yyyy-mm-dd"),'01_INPUT_COMPANIES'!$O$35)),FALSE)),"ERROR: SOURCE DATE",IF(NOT(AND(OR(EXACT('01_INPUT_COMPANIES'!$C$35,"domestic"),EXACT('01_INPUT_COMPANIES'!$C$35,"foreign"),EXACT('01_INPUT_COMPANIES'!$C$35,"other")),OR(EXACT('01_INPUT_COMPANIES'!$K$35,"A"),EXACT('01_INPUT_COMPANIES'!$K$35,"B"),EXACT('01_INPUT_COMPANIES'!$K$35,"C"),EXACT('01_INPUT_COMPANIES'!$K$35,"SYNTHETIC")),OR(EXACT('01_INPUT_COMPANIES'!$L$35,"yes"),EXACT('01_INPUT_COMPANIES'!$L$35,"no")),OR(EXACT('01_INPUT_COMPANIES'!$M$35,"direct"),EXACT('01_INPUT_COMPANIES'!$M$35,"derived"),EXACT('01_INPUT_COMPANIES'!$M$35,"proxy"),EXACT('01_INPUT_COMPANIES'!$M$35,"mixed")),OR(EXACT('01_INPUT_COMPANIES'!$Q$35,"yes")),EXACT('01_INPUT_COMPANIES'!$I$35,UPPER('01_INPUT_COMPANIES'!$I$35)))),"ERROR: EXACT ENUM",IF(NOT(IFERROR(OR(AND(EXACT('92_REF_VARIABLES'!$A$21,'01_INPUT_COMPANIES'!$H$35),EXACT('92_REF_VARIABLES'!$B$21,'01_INPUT_COMPANIES'!$D$35),EXACT('92_REF_VARIABLES'!$C$21,'01_INPUT_COMPANIES'!$G$35))),FALSE)),"ERROR: BENCHMARK",""))))))</x:f>
      </x:c>
    </x:row>
    <x:row r="36">
      <x:c r="A36" s="34" t="str">
        <x:f>IF(OR('01_INPUT_COMPANIES'!$A$36="",'01_INPUT_COMPANIES'!$A$36=""),"",'01_INPUT_COMPANIES'!$A$36)</x:f>
      </x:c>
      <x:c r="B36" s="34" t="str">
        <x:f>IF(OR('01_INPUT_COMPANIES'!$A$36="",'01_INPUT_COMPANIES'!$B$36=""),"",'01_INPUT_COMPANIES'!$B$36)</x:f>
      </x:c>
      <x:c r="C36" s="34" t="str">
        <x:f>IF(OR('01_INPUT_COMPANIES'!$A$36="",'01_INPUT_COMPANIES'!$C$36=""),"",'01_INPUT_COMPANIES'!$C$36)</x:f>
      </x:c>
      <x:c r="D36" s="34" t="str">
        <x:f>IF(OR('01_INPUT_COMPANIES'!$A$36="",'01_INPUT_COMPANIES'!$D$36=""),"",'01_INPUT_COMPANIES'!$D$36)</x:f>
      </x:c>
      <x:c r="E36" s="34" t="str">
        <x:f>IF(OR('01_INPUT_COMPANIES'!$A$36="",'01_INPUT_COMPANIES'!$E$36=""),"",'01_INPUT_COMPANIES'!$E$36)</x:f>
      </x:c>
      <x:c r="F36" s="34" t="str">
        <x:f>IF(OR('01_INPUT_COMPANIES'!$A$36="",'01_INPUT_COMPANIES'!$F$36=""),"",'01_INPUT_COMPANIES'!$F$36)</x:f>
      </x:c>
      <x:c r="G36" s="34" t="str">
        <x:f>IF(OR('01_INPUT_COMPANIES'!$A$36="",'01_INPUT_COMPANIES'!$G$36=""),"",'01_INPUT_COMPANIES'!$G$36)</x:f>
      </x:c>
      <x:c r="H36" s="34" t="str">
        <x:f>IF(OR('01_INPUT_COMPANIES'!$A$36="",'01_INPUT_COMPANIES'!$H$36=""),"",'01_INPUT_COMPANIES'!$H$36)</x:f>
      </x:c>
      <x:c r="I36" s="34" t="str">
        <x:f>IF(OR('01_INPUT_COMPANIES'!$A$36="",'01_INPUT_COMPANIES'!$K$36=""),"",'01_INPUT_COMPANIES'!$K$36)</x:f>
      </x:c>
      <x:c r="J36" s="34" t="str">
        <x:f>IF(OR('01_INPUT_COMPANIES'!$A$36="",'01_INPUT_COMPANIES'!$M$36=""),"",'01_INPUT_COMPANIES'!$M$36)</x:f>
      </x:c>
      <x:c r="K36" s="34" t="str">
        <x:f>IF(OR(A36="",COUNTBLANK(D36:H36)&gt;0),"",LEN(D36)&amp;":"&amp;D36&amp;LEN(E36)&amp;":"&amp;E36&amp;LEN(F36)&amp;":"&amp;F36&amp;LEN(G36)&amp;":"&amp;G36&amp;LEN(H36)&amp;":"&amp;H36)</x:f>
      </x:c>
      <x:c r="L36" s="47" t="str">
        <x:f>IF(A36="","",'90_CALC_FEATURES'!$I$297)</x:f>
      </x:c>
      <x:c r="M36" s="47" t="str">
        <x:f>IF(A36="","",'90_CALC_FEATURES'!$I$298)</x:f>
      </x:c>
      <x:c r="N36" s="47" t="str">
        <x:f>IF(A36="","",'90_CALC_FEATURES'!$I$299)</x:f>
      </x:c>
      <x:c r="O36" s="47" t="str">
        <x:f>IF(A36="","",'90_CALC_FEATURES'!$I$300)</x:f>
      </x:c>
      <x:c r="P36" s="47" t="str">
        <x:f>IF(A36="","",'90_CALC_FEATURES'!$I$301)</x:f>
      </x:c>
      <x:c r="Q36" s="47" t="str">
        <x:f>IF(A36="","",'90_CALC_FEATURES'!$I$302)</x:f>
      </x:c>
      <x:c r="R36" s="47" t="str">
        <x:f>IF(A36="","",'90_CALC_FEATURES'!$I$303)</x:f>
      </x:c>
      <x:c r="S36" s="47" t="str">
        <x:f>IF(A36="","",'90_CALC_FEATURES'!$I$304)</x:f>
      </x:c>
      <x:c r="T36" s="47" t="str">
        <x:f>IF(A36="","",'90_CALC_FEATURES'!$I$305)</x:f>
      </x:c>
      <x:c r="U36" s="47" t="str">
        <x:f>IF(A36="","",'90_CALC_FEATURES'!$I$306)</x:f>
      </x:c>
      <x:c r="V36" s="47" t="str">
        <x:f>IF(COUNT(L36:N36)=3,100*AVERAGE(L36:N36),"")</x:f>
      </x:c>
      <x:c r="W36" s="47" t="str">
        <x:f>IF(COUNT(O36:R36)=4,100*AVERAGE(O36:R36),"")</x:f>
      </x:c>
      <x:c r="X36" s="47" t="str">
        <x:f>IF(COUNT(S36:U36)=3,100*AVERAGE(S36:U36),"")</x:f>
      </x:c>
      <x:c r="Y36" s="47" t="str">
        <x:f>IF(COUNT(V36:X36)=3,AVERAGE(V36:X36),"")</x:f>
      </x:c>
      <x:c r="Z36" s="47" t="str">
        <x:f>IF(OR(AND(EXACT(A36,"SYN-A"),COUNT('01_INPUT_COMPANIES'!$T$36:$AC$36)=10,'01_INPUT_COMPANIES'!$T$36=-0.02,'01_INPUT_COMPANIES'!$U$36=0.1332,'01_INPUT_COMPANIES'!$V$36=0.18,'01_INPUT_COMPANIES'!$W$36=0.42,'01_INPUT_COMPANIES'!$X$36=0.012,'01_INPUT_COMPANIES'!$Y$36=3.2,'01_INPUT_COMPANIES'!$Z$36=0.08,'01_INPUT_COMPANIES'!$AA$36=0.28,'01_INPUT_COMPANIES'!$AB$36=0.74,'01_INPUT_COMPANIES'!$AC$36=8.5),AND(EXACT(A36,"SYN-B"),COUNT('01_INPUT_COMPANIES'!$T$36:$AC$36)=10,'01_INPUT_COMPANIES'!$T$36=-0.055,'01_INPUT_COMPANIES'!$U$36=0.06405,'01_INPUT_COMPANIES'!$V$36=0.105,'01_INPUT_COMPANIES'!$W$36=0.73,'01_INPUT_COMPANIES'!$X$36=0.004,'01_INPUT_COMPANIES'!$Y$36=4.1,'01_INPUT_COMPANIES'!$Z$36=0.025,'01_INPUT_COMPANIES'!$AA$36=0.16,'01_INPUT_COMPANIES'!$AB$36=0.61,'01_INPUT_COMPANIES'!$AC$36=4),AND(EXACT(A36,"SYN-C"),COUNT('01_INPUT_COMPANIES'!$T$36:$AC$36)=10,'01_INPUT_COMPANIES'!$T$36=0.01,'01_INPUT_COMPANIES'!$U$36=0.0986,'01_INPUT_COMPANIES'!$V$36=0.145,'01_INPUT_COMPANIES'!$W$36=0.18,'01_INPUT_COMPANIES'!$X$36=0.018,'01_INPUT_COMPANIES'!$Y$36=2.65,'01_INPUT_COMPANIES'!$Z$36=0.11,'01_INPUT_COMPANIES'!$AA$36=0.34,'01_INPUT_COMPANIES'!$AB$36=0.68,'01_INPUT_COMPANIES'!$AC$36=6.8),AND(EXACT(A36,"SYN-D"),COUNT('01_INPUT_COMPANIES'!$T$36:$AC$36)=10,'01_INPUT_COMPANIES'!$T$36=-0.005,'01_INPUT_COMPANIES'!$U$36=0.1136,'01_INPUT_COMPANIES'!$V$36=0.16,'01_INPUT_COMPANIES'!$W$36=0.51,'01_INPUT_COMPANIES'!$X$36=0.009,'01_INPUT_COMPANIES'!$Y$36=3.55,'01_INPUT_COMPANIES'!$Z$36=0.065,'01_INPUT_COMPANIES'!$AA$36=0.24,'01_INPUT_COMPANIES'!$AB$36=0.71,'01_INPUT_COMPANIES'!$AC$36=7.4)),IFERROR(INDEX('94_EXPECTED_OUTPUTS'!$B$7:$B$10,MATCH(A36,'94_EXPECTED_OUTPUTS'!$A$7:$A$10,0)),""),"")</x:f>
      </x:c>
      <x:c r="AA36" s="47" t="str">
        <x:f>IF(OR(COUNT(Y36)=0,COUNT(Z36)=0),"",ABS(Y36-Z36))</x:f>
      </x:c>
      <x:c r="AB36" s="34" t="str">
        <x:f>IF(A36="","",IF(AD36&lt;&gt;"",AD36,IF('01_INPUT_COMPANIES'!$A$36="","",IF(OR(LEN(TRIM('01_INPUT_COMPANIES'!$A$36&amp;""))=0,LEN(TRIM('01_INPUT_COMPANIES'!$B$36&amp;""))=0,LEN(TRIM('01_INPUT_COMPANIES'!$C$36&amp;""))=0,LEN(TRIM('01_INPUT_COMPANIES'!$D$36&amp;""))=0,LEN(TRIM('01_INPUT_COMPANIES'!$E$36&amp;""))=0,LEN(TRIM('01_INPUT_COMPANIES'!$F$36&amp;""))=0,LEN(TRIM('01_INPUT_COMPANIES'!$G$36&amp;""))=0,LEN(TRIM('01_INPUT_COMPANIES'!$H$36&amp;""))=0,LEN(TRIM('01_INPUT_COMPANIES'!$I$36&amp;""))=0,LEN(TRIM('01_INPUT_COMPANIES'!$K$36&amp;""))=0,LEN(TRIM('01_INPUT_COMPANIES'!$L$36&amp;""))=0,LEN(TRIM('01_INPUT_COMPANIES'!$M$36&amp;""))=0,LEN(TRIM('01_INPUT_COMPANIES'!$N$36&amp;""))=0,LEN(TRIM('01_INPUT_COMPANIES'!$O$36&amp;""))=0,LEN(TRIM('01_INPUT_COMPANIES'!$Q$36&amp;""))=0,COUNTBLANK('01_INPUT_COMPANIES'!$A$36:$R$36)&gt;0),"INPUT REQUIRED",IF(OR('01_INPUT_COMPANIES'!$A$36&lt;&gt;TRIM('01_INPUT_COMPANIES'!$A$36),NOT(EXACT('01_INPUT_COMPANIES'!$A$36,UPPER('01_INPUT_COMPANIES'!$A$36))),LEN('01_INPUT_COMPANIES'!$A$36)&gt;64,ISNUMBER(FIND("*",'01_INPUT_COMPANIES'!$A$36)),ISNUMBER(FIND("?",'01_INPUT_COMPANIES'!$A$36)),ISNUMBER(FIND("~",'01_INPUT_COMPANIES'!$A$36))),"ERROR: ID FORMAT",IF(COUNTIF('01_INPUT_COMPANIES'!$A$7:$A$106,'01_INPUT_COMPANIES'!$A$36)&lt;&gt;1,"ERROR: DUPLICATE ID",IF(COUNT('01_INPUT_COMPANIES'!$T$36:$AC$36)&lt;&gt;10,"INPUT REQUIRED",IF(NOT(OR('01_INPUT_COMPANIES'!$C$36="domestic",'01_INPUT_COMPANIES'!$C$36="foreign",'01_INPUT_COMPANIES'!$C$36="other")),"ERROR: COMPANY GROUP",IF(OR(LEN('01_INPUT_COMPANIES'!$G$36)&lt;&gt;6,MID('01_INPUT_COMPANIES'!$G$36,5,1)&lt;&gt;"Q",IFERROR(VALUE(LEFT('01_INPUT_COMPANIES'!$G$36,4)),0)&lt;2000,IFERROR(VALUE(LEFT('01_INPUT_COMPANIES'!$G$36,4)),0)&gt;2100,IFERROR(VALUE(RIGHT('01_INPUT_COMPANIES'!$G$36,1)),0)&lt;1,IFERROR(VALUE(RIGHT('01_INPUT_COMPANIES'!$G$36,1)),0)&gt;4),"ERROR: REPORTING PERIOD",IF(OR(COUNTIFS('92_REF_VARIABLES'!$A$21:$A$21,'01_INPUT_COMPANIES'!$H$36,'92_REF_VARIABLES'!$B$21:$B$21,'01_INPUT_COMPANIES'!$D$36,'92_REF_VARIABLES'!$C$21:$C$21,'01_INPUT_COMPANIES'!$G$36)&lt;&gt;1,AND(IFERROR(INDEX('92_REF_VARIABLES'!$I$21:$I$21,MATCH('01_INPUT_COMPANIES'!$H$36,'92_REF_VARIABLES'!$A$21:$A$21,0)),"")="synthetic_only",'01_INPUT_COMPANIES'!$L$36&lt;&gt;"yes")),"ERROR: BENCHMARK",IF(COUNTIF('92_REF_VARIABLES'!$L$21:$L$50,'01_INPUT_COMPANIES'!$I$36)&lt;&gt;1,"ERROR: CURRENCY",IF(OR(NOT(ISNUMBER('01_INPUT_COMPANIES'!$J$36)),'01_INPUT_COMPANIES'!$J$36&lt;&gt;INT('01_INPUT_COMPANIES'!$J$36),'01_INPUT_COMPANIES'!$J$36&lt;2000,'01_INPUT_COMPANIES'!$J$36&gt;2100),"ERROR: PRICE YEAR",IF(NOT(OR('01_INPUT_COMPANIES'!$K$36="A",'01_INPUT_COMPANIES'!$K$36="B",'01_INPUT_COMPANIES'!$K$36="C",'01_INPUT_COMPANIES'!$K$36="SYNTHETIC")),"ERROR: QUALITY",IF(NOT(OR(AND('01_INPUT_COMPANIES'!$L$36="yes",'01_INPUT_COMPANIES'!$K$36="SYNTHETIC"),AND('01_INPUT_COMPANIES'!$L$36="no",'01_INPUT_COMPANIES'!$K$36&lt;&gt;"SYNTHETIC"))),"ERROR: SYNTHETIC FLAG",IF(NOT(OR('01_INPUT_COMPANIES'!$M$36="direct",'01_INPUT_COMPANIES'!$M$36="derived",'01_INPUT_COMPANIES'!$M$36="proxy",'01_INPUT_COMPANIES'!$M$36="mixed")),"ERROR: CONSTRUCTION MODE",IF(OR(NOT(ISNUMBER('01_INPUT_COMPANIES'!$P$36)),'01_INPUT_COMPANIES'!$P$36&lt;0,'01_INPUT_COMPANIES'!$P$36&lt;&gt;INT('01_INPUT_COMPANIES'!$P$36)),"ERROR: CARRY LAG",IF('01_INPUT_COMPANIES'!$Q$36&lt;&gt;"yes","ERROR: EXPOSURE ADJUSTMENT",IF(OR(NOT(ISNUMBER('01_INPUT_COMPANIES'!$R$36)),'01_INPUT_COMPANIES'!$R$36&lt;0,'01_INPUT_COMPANIES'!$R$36&gt;1),"ERROR: EXPOSURE FACTOR",IF(COUNT(Y36)=0,"ERROR: SCORE",IF(COUNT(Z36)=0,"READY",IF(AA36&lt;=0.0000000001,"PASS","CHECK"))&amp;IF('01_INPUT_COMPANIES'!$K$36="C"," | C QUALITY","")&amp;IF(OR('01_INPUT_COMPANIES'!$M$36="proxy",'01_INPUT_COMPANIES'!$M$36="mixed")," | PROXY/MIXED","")&amp;IF('01_INPUT_COMPANIES'!$P$36&gt;1," | CARRY&gt;1","")&amp;IF(OR(OR('01_INPUT_COMPANIES'!$T$36&lt;-1,'01_INPUT_COMPANIES'!$T$36&gt;1),OR('01_INPUT_COMPANIES'!$U$36&lt;0,'01_INPUT_COMPANIES'!$U$36&gt;1),OR('01_INPUT_COMPANIES'!$V$36&lt;0,'01_INPUT_COMPANIES'!$V$36&gt;1),OR('01_INPUT_COMPANIES'!$W$36&lt;-10,'01_INPUT_COMPANIES'!$W$36&gt;10),OR('01_INPUT_COMPANIES'!$X$36&lt;-1,'01_INPUT_COMPANIES'!$X$36&gt;1),OR('01_INPUT_COMPANIES'!$Y$36&lt;0,'01_INPUT_COMPANIES'!$Y$36&gt;20),OR('01_INPUT_COMPANIES'!$Z$36&lt;-2,'01_INPUT_COMPANIES'!$Z$36&gt;2),OR('01_INPUT_COMPANIES'!$AA$36&lt;0,'01_INPUT_COMPANIES'!$AA$36&gt;1),OR('01_INPUT_COMPANIES'!$AB$36&lt;0,'01_INPUT_COMPANIES'!$AB$36&gt;1),OR('01_INPUT_COMPANIES'!$AC$36&lt;0,'01_INPUT_COMPANIES'!$AC$36&gt;50))," | REVIEW RANGE","")&amp;IF(COUNTIF('90_CALC_FEATURES'!$J$297:$J$306,"WINSORIZED*")&gt;0," | WINSORIZED","")&amp;IF(ABS('01_INPUT_COMPANIES'!$U$36-'01_INPUT_COMPANIES'!$V$36*'01_INPUT_COMPANIES'!$AB$36)&gt;MAX(0.005,0.05*MAX(ABS('01_INPUT_COMPANIES'!$V$36*'01_INPUT_COMPANIES'!$AB$36),ABS('01_INPUT_COMPANIES'!$U$36),0.000000000001))," | DEPENDENCY",""))))))))))))))))))))</x:f>
      </x:c>
      <x:c r="AC36" s="34" t="str">
        <x:f>IF(A36="","",IF(OR(LEFT(AB36,4)="PASS",LEFT(AB36,5)="READY"),"RESEARCH BETA | 저지원 22.22% | 기업 백분위 N/A", "결과 사용 금지 | "&amp;AB36))</x:f>
      </x:c>
      <x:c r="AD36" s="34" t="str">
        <x:f>IF(A36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$36,TRIM('01_INPUT_COMPANIES'!$D$36)),EXACT('01_INPUT_COMPANIES'!$E$36,TRIM('01_INPUT_COMPANIES'!$E$36)),EXACT('01_INPUT_COMPANIES'!$F$36,TRIM('01_INPUT_COMPANIES'!$F$36)),EXACT('01_INPUT_COMPANIES'!$G$36,TRIM('01_INPUT_COMPANIES'!$G$36)),EXACT('01_INPUT_COMPANIES'!$H$36,TRIM('01_INPUT_COMPANIES'!$H$36)))),"ERROR: COHORT WHITESPACE",IF(NOT(IFERROR(AND(ISTEXT('01_INPUT_COMPANIES'!$O$36),LEN('01_INPUT_COMPANIES'!$O$36)=10,VALUE(LEFT('01_INPUT_COMPANIES'!$O$36,4))&gt;=2000,VALUE(LEFT('01_INPUT_COMPANIES'!$O$36,4))&lt;=2100,EXACT(TEXT(DATE(VALUE(LEFT('01_INPUT_COMPANIES'!$O$36,4)),VALUE(MID('01_INPUT_COMPANIES'!$O$36,6,2)),VALUE(RIGHT('01_INPUT_COMPANIES'!$O$36,2))),"yyyy-mm-dd"),'01_INPUT_COMPANIES'!$O$36)),FALSE)),"ERROR: SOURCE DATE",IF(NOT(AND(OR(EXACT('01_INPUT_COMPANIES'!$C$36,"domestic"),EXACT('01_INPUT_COMPANIES'!$C$36,"foreign"),EXACT('01_INPUT_COMPANIES'!$C$36,"other")),OR(EXACT('01_INPUT_COMPANIES'!$K$36,"A"),EXACT('01_INPUT_COMPANIES'!$K$36,"B"),EXACT('01_INPUT_COMPANIES'!$K$36,"C"),EXACT('01_INPUT_COMPANIES'!$K$36,"SYNTHETIC")),OR(EXACT('01_INPUT_COMPANIES'!$L$36,"yes"),EXACT('01_INPUT_COMPANIES'!$L$36,"no")),OR(EXACT('01_INPUT_COMPANIES'!$M$36,"direct"),EXACT('01_INPUT_COMPANIES'!$M$36,"derived"),EXACT('01_INPUT_COMPANIES'!$M$36,"proxy"),EXACT('01_INPUT_COMPANIES'!$M$36,"mixed")),OR(EXACT('01_INPUT_COMPANIES'!$Q$36,"yes")),EXACT('01_INPUT_COMPANIES'!$I$36,UPPER('01_INPUT_COMPANIES'!$I$36)))),"ERROR: EXACT ENUM",IF(NOT(IFERROR(OR(AND(EXACT('92_REF_VARIABLES'!$A$21,'01_INPUT_COMPANIES'!$H$36),EXACT('92_REF_VARIABLES'!$B$21,'01_INPUT_COMPANIES'!$D$36),EXACT('92_REF_VARIABLES'!$C$21,'01_INPUT_COMPANIES'!$G$36))),FALSE)),"ERROR: BENCHMARK",""))))))</x:f>
      </x:c>
    </x:row>
    <x:row r="37">
      <x:c r="A37" s="34" t="str">
        <x:f>IF(OR('01_INPUT_COMPANIES'!$A$37="",'01_INPUT_COMPANIES'!$A$37=""),"",'01_INPUT_COMPANIES'!$A$37)</x:f>
      </x:c>
      <x:c r="B37" s="34" t="str">
        <x:f>IF(OR('01_INPUT_COMPANIES'!$A$37="",'01_INPUT_COMPANIES'!$B$37=""),"",'01_INPUT_COMPANIES'!$B$37)</x:f>
      </x:c>
      <x:c r="C37" s="34" t="str">
        <x:f>IF(OR('01_INPUT_COMPANIES'!$A$37="",'01_INPUT_COMPANIES'!$C$37=""),"",'01_INPUT_COMPANIES'!$C$37)</x:f>
      </x:c>
      <x:c r="D37" s="34" t="str">
        <x:f>IF(OR('01_INPUT_COMPANIES'!$A$37="",'01_INPUT_COMPANIES'!$D$37=""),"",'01_INPUT_COMPANIES'!$D$37)</x:f>
      </x:c>
      <x:c r="E37" s="34" t="str">
        <x:f>IF(OR('01_INPUT_COMPANIES'!$A$37="",'01_INPUT_COMPANIES'!$E$37=""),"",'01_INPUT_COMPANIES'!$E$37)</x:f>
      </x:c>
      <x:c r="F37" s="34" t="str">
        <x:f>IF(OR('01_INPUT_COMPANIES'!$A$37="",'01_INPUT_COMPANIES'!$F$37=""),"",'01_INPUT_COMPANIES'!$F$37)</x:f>
      </x:c>
      <x:c r="G37" s="34" t="str">
        <x:f>IF(OR('01_INPUT_COMPANIES'!$A$37="",'01_INPUT_COMPANIES'!$G$37=""),"",'01_INPUT_COMPANIES'!$G$37)</x:f>
      </x:c>
      <x:c r="H37" s="34" t="str">
        <x:f>IF(OR('01_INPUT_COMPANIES'!$A$37="",'01_INPUT_COMPANIES'!$H$37=""),"",'01_INPUT_COMPANIES'!$H$37)</x:f>
      </x:c>
      <x:c r="I37" s="34" t="str">
        <x:f>IF(OR('01_INPUT_COMPANIES'!$A$37="",'01_INPUT_COMPANIES'!$K$37=""),"",'01_INPUT_COMPANIES'!$K$37)</x:f>
      </x:c>
      <x:c r="J37" s="34" t="str">
        <x:f>IF(OR('01_INPUT_COMPANIES'!$A$37="",'01_INPUT_COMPANIES'!$M$37=""),"",'01_INPUT_COMPANIES'!$M$37)</x:f>
      </x:c>
      <x:c r="K37" s="34" t="str">
        <x:f>IF(OR(A37="",COUNTBLANK(D37:H37)&gt;0),"",LEN(D37)&amp;":"&amp;D37&amp;LEN(E37)&amp;":"&amp;E37&amp;LEN(F37)&amp;":"&amp;F37&amp;LEN(G37)&amp;":"&amp;G37&amp;LEN(H37)&amp;":"&amp;H37)</x:f>
      </x:c>
      <x:c r="L37" s="47" t="str">
        <x:f>IF(A37="","",'90_CALC_FEATURES'!$I$307)</x:f>
      </x:c>
      <x:c r="M37" s="47" t="str">
        <x:f>IF(A37="","",'90_CALC_FEATURES'!$I$308)</x:f>
      </x:c>
      <x:c r="N37" s="47" t="str">
        <x:f>IF(A37="","",'90_CALC_FEATURES'!$I$309)</x:f>
      </x:c>
      <x:c r="O37" s="47" t="str">
        <x:f>IF(A37="","",'90_CALC_FEATURES'!$I$310)</x:f>
      </x:c>
      <x:c r="P37" s="47" t="str">
        <x:f>IF(A37="","",'90_CALC_FEATURES'!$I$311)</x:f>
      </x:c>
      <x:c r="Q37" s="47" t="str">
        <x:f>IF(A37="","",'90_CALC_FEATURES'!$I$312)</x:f>
      </x:c>
      <x:c r="R37" s="47" t="str">
        <x:f>IF(A37="","",'90_CALC_FEATURES'!$I$313)</x:f>
      </x:c>
      <x:c r="S37" s="47" t="str">
        <x:f>IF(A37="","",'90_CALC_FEATURES'!$I$314)</x:f>
      </x:c>
      <x:c r="T37" s="47" t="str">
        <x:f>IF(A37="","",'90_CALC_FEATURES'!$I$315)</x:f>
      </x:c>
      <x:c r="U37" s="47" t="str">
        <x:f>IF(A37="","",'90_CALC_FEATURES'!$I$316)</x:f>
      </x:c>
      <x:c r="V37" s="47" t="str">
        <x:f>IF(COUNT(L37:N37)=3,100*AVERAGE(L37:N37),"")</x:f>
      </x:c>
      <x:c r="W37" s="47" t="str">
        <x:f>IF(COUNT(O37:R37)=4,100*AVERAGE(O37:R37),"")</x:f>
      </x:c>
      <x:c r="X37" s="47" t="str">
        <x:f>IF(COUNT(S37:U37)=3,100*AVERAGE(S37:U37),"")</x:f>
      </x:c>
      <x:c r="Y37" s="47" t="str">
        <x:f>IF(COUNT(V37:X37)=3,AVERAGE(V37:X37),"")</x:f>
      </x:c>
      <x:c r="Z37" s="47" t="str">
        <x:f>IF(OR(AND(EXACT(A37,"SYN-A"),COUNT('01_INPUT_COMPANIES'!$T$37:$AC$37)=10,'01_INPUT_COMPANIES'!$T$37=-0.02,'01_INPUT_COMPANIES'!$U$37=0.1332,'01_INPUT_COMPANIES'!$V$37=0.18,'01_INPUT_COMPANIES'!$W$37=0.42,'01_INPUT_COMPANIES'!$X$37=0.012,'01_INPUT_COMPANIES'!$Y$37=3.2,'01_INPUT_COMPANIES'!$Z$37=0.08,'01_INPUT_COMPANIES'!$AA$37=0.28,'01_INPUT_COMPANIES'!$AB$37=0.74,'01_INPUT_COMPANIES'!$AC$37=8.5),AND(EXACT(A37,"SYN-B"),COUNT('01_INPUT_COMPANIES'!$T$37:$AC$37)=10,'01_INPUT_COMPANIES'!$T$37=-0.055,'01_INPUT_COMPANIES'!$U$37=0.06405,'01_INPUT_COMPANIES'!$V$37=0.105,'01_INPUT_COMPANIES'!$W$37=0.73,'01_INPUT_COMPANIES'!$X$37=0.004,'01_INPUT_COMPANIES'!$Y$37=4.1,'01_INPUT_COMPANIES'!$Z$37=0.025,'01_INPUT_COMPANIES'!$AA$37=0.16,'01_INPUT_COMPANIES'!$AB$37=0.61,'01_INPUT_COMPANIES'!$AC$37=4),AND(EXACT(A37,"SYN-C"),COUNT('01_INPUT_COMPANIES'!$T$37:$AC$37)=10,'01_INPUT_COMPANIES'!$T$37=0.01,'01_INPUT_COMPANIES'!$U$37=0.0986,'01_INPUT_COMPANIES'!$V$37=0.145,'01_INPUT_COMPANIES'!$W$37=0.18,'01_INPUT_COMPANIES'!$X$37=0.018,'01_INPUT_COMPANIES'!$Y$37=2.65,'01_INPUT_COMPANIES'!$Z$37=0.11,'01_INPUT_COMPANIES'!$AA$37=0.34,'01_INPUT_COMPANIES'!$AB$37=0.68,'01_INPUT_COMPANIES'!$AC$37=6.8),AND(EXACT(A37,"SYN-D"),COUNT('01_INPUT_COMPANIES'!$T$37:$AC$37)=10,'01_INPUT_COMPANIES'!$T$37=-0.005,'01_INPUT_COMPANIES'!$U$37=0.1136,'01_INPUT_COMPANIES'!$V$37=0.16,'01_INPUT_COMPANIES'!$W$37=0.51,'01_INPUT_COMPANIES'!$X$37=0.009,'01_INPUT_COMPANIES'!$Y$37=3.55,'01_INPUT_COMPANIES'!$Z$37=0.065,'01_INPUT_COMPANIES'!$AA$37=0.24,'01_INPUT_COMPANIES'!$AB$37=0.71,'01_INPUT_COMPANIES'!$AC$37=7.4)),IFERROR(INDEX('94_EXPECTED_OUTPUTS'!$B$7:$B$10,MATCH(A37,'94_EXPECTED_OUTPUTS'!$A$7:$A$10,0)),""),"")</x:f>
      </x:c>
      <x:c r="AA37" s="47" t="str">
        <x:f>IF(OR(COUNT(Y37)=0,COUNT(Z37)=0),"",ABS(Y37-Z37))</x:f>
      </x:c>
      <x:c r="AB37" s="34" t="str">
        <x:f>IF(A37="","",IF(AD37&lt;&gt;"",AD37,IF('01_INPUT_COMPANIES'!$A$37="","",IF(OR(LEN(TRIM('01_INPUT_COMPANIES'!$A$37&amp;""))=0,LEN(TRIM('01_INPUT_COMPANIES'!$B$37&amp;""))=0,LEN(TRIM('01_INPUT_COMPANIES'!$C$37&amp;""))=0,LEN(TRIM('01_INPUT_COMPANIES'!$D$37&amp;""))=0,LEN(TRIM('01_INPUT_COMPANIES'!$E$37&amp;""))=0,LEN(TRIM('01_INPUT_COMPANIES'!$F$37&amp;""))=0,LEN(TRIM('01_INPUT_COMPANIES'!$G$37&amp;""))=0,LEN(TRIM('01_INPUT_COMPANIES'!$H$37&amp;""))=0,LEN(TRIM('01_INPUT_COMPANIES'!$I$37&amp;""))=0,LEN(TRIM('01_INPUT_COMPANIES'!$K$37&amp;""))=0,LEN(TRIM('01_INPUT_COMPANIES'!$L$37&amp;""))=0,LEN(TRIM('01_INPUT_COMPANIES'!$M$37&amp;""))=0,LEN(TRIM('01_INPUT_COMPANIES'!$N$37&amp;""))=0,LEN(TRIM('01_INPUT_COMPANIES'!$O$37&amp;""))=0,LEN(TRIM('01_INPUT_COMPANIES'!$Q$37&amp;""))=0,COUNTBLANK('01_INPUT_COMPANIES'!$A$37:$R$37)&gt;0),"INPUT REQUIRED",IF(OR('01_INPUT_COMPANIES'!$A$37&lt;&gt;TRIM('01_INPUT_COMPANIES'!$A$37),NOT(EXACT('01_INPUT_COMPANIES'!$A$37,UPPER('01_INPUT_COMPANIES'!$A$37))),LEN('01_INPUT_COMPANIES'!$A$37)&gt;64,ISNUMBER(FIND("*",'01_INPUT_COMPANIES'!$A$37)),ISNUMBER(FIND("?",'01_INPUT_COMPANIES'!$A$37)),ISNUMBER(FIND("~",'01_INPUT_COMPANIES'!$A$37))),"ERROR: ID FORMAT",IF(COUNTIF('01_INPUT_COMPANIES'!$A$7:$A$106,'01_INPUT_COMPANIES'!$A$37)&lt;&gt;1,"ERROR: DUPLICATE ID",IF(COUNT('01_INPUT_COMPANIES'!$T$37:$AC$37)&lt;&gt;10,"INPUT REQUIRED",IF(NOT(OR('01_INPUT_COMPANIES'!$C$37="domestic",'01_INPUT_COMPANIES'!$C$37="foreign",'01_INPUT_COMPANIES'!$C$37="other")),"ERROR: COMPANY GROUP",IF(OR(LEN('01_INPUT_COMPANIES'!$G$37)&lt;&gt;6,MID('01_INPUT_COMPANIES'!$G$37,5,1)&lt;&gt;"Q",IFERROR(VALUE(LEFT('01_INPUT_COMPANIES'!$G$37,4)),0)&lt;2000,IFERROR(VALUE(LEFT('01_INPUT_COMPANIES'!$G$37,4)),0)&gt;2100,IFERROR(VALUE(RIGHT('01_INPUT_COMPANIES'!$G$37,1)),0)&lt;1,IFERROR(VALUE(RIGHT('01_INPUT_COMPANIES'!$G$37,1)),0)&gt;4),"ERROR: REPORTING PERIOD",IF(OR(COUNTIFS('92_REF_VARIABLES'!$A$21:$A$21,'01_INPUT_COMPANIES'!$H$37,'92_REF_VARIABLES'!$B$21:$B$21,'01_INPUT_COMPANIES'!$D$37,'92_REF_VARIABLES'!$C$21:$C$21,'01_INPUT_COMPANIES'!$G$37)&lt;&gt;1,AND(IFERROR(INDEX('92_REF_VARIABLES'!$I$21:$I$21,MATCH('01_INPUT_COMPANIES'!$H$37,'92_REF_VARIABLES'!$A$21:$A$21,0)),"")="synthetic_only",'01_INPUT_COMPANIES'!$L$37&lt;&gt;"yes")),"ERROR: BENCHMARK",IF(COUNTIF('92_REF_VARIABLES'!$L$21:$L$50,'01_INPUT_COMPANIES'!$I$37)&lt;&gt;1,"ERROR: CURRENCY",IF(OR(NOT(ISNUMBER('01_INPUT_COMPANIES'!$J$37)),'01_INPUT_COMPANIES'!$J$37&lt;&gt;INT('01_INPUT_COMPANIES'!$J$37),'01_INPUT_COMPANIES'!$J$37&lt;2000,'01_INPUT_COMPANIES'!$J$37&gt;2100),"ERROR: PRICE YEAR",IF(NOT(OR('01_INPUT_COMPANIES'!$K$37="A",'01_INPUT_COMPANIES'!$K$37="B",'01_INPUT_COMPANIES'!$K$37="C",'01_INPUT_COMPANIES'!$K$37="SYNTHETIC")),"ERROR: QUALITY",IF(NOT(OR(AND('01_INPUT_COMPANIES'!$L$37="yes",'01_INPUT_COMPANIES'!$K$37="SYNTHETIC"),AND('01_INPUT_COMPANIES'!$L$37="no",'01_INPUT_COMPANIES'!$K$37&lt;&gt;"SYNTHETIC"))),"ERROR: SYNTHETIC FLAG",IF(NOT(OR('01_INPUT_COMPANIES'!$M$37="direct",'01_INPUT_COMPANIES'!$M$37="derived",'01_INPUT_COMPANIES'!$M$37="proxy",'01_INPUT_COMPANIES'!$M$37="mixed")),"ERROR: CONSTRUCTION MODE",IF(OR(NOT(ISNUMBER('01_INPUT_COMPANIES'!$P$37)),'01_INPUT_COMPANIES'!$P$37&lt;0,'01_INPUT_COMPANIES'!$P$37&lt;&gt;INT('01_INPUT_COMPANIES'!$P$37)),"ERROR: CARRY LAG",IF('01_INPUT_COMPANIES'!$Q$37&lt;&gt;"yes","ERROR: EXPOSURE ADJUSTMENT",IF(OR(NOT(ISNUMBER('01_INPUT_COMPANIES'!$R$37)),'01_INPUT_COMPANIES'!$R$37&lt;0,'01_INPUT_COMPANIES'!$R$37&gt;1),"ERROR: EXPOSURE FACTOR",IF(COUNT(Y37)=0,"ERROR: SCORE",IF(COUNT(Z37)=0,"READY",IF(AA37&lt;=0.0000000001,"PASS","CHECK"))&amp;IF('01_INPUT_COMPANIES'!$K$37="C"," | C QUALITY","")&amp;IF(OR('01_INPUT_COMPANIES'!$M$37="proxy",'01_INPUT_COMPANIES'!$M$37="mixed")," | PROXY/MIXED","")&amp;IF('01_INPUT_COMPANIES'!$P$37&gt;1," | CARRY&gt;1","")&amp;IF(OR(OR('01_INPUT_COMPANIES'!$T$37&lt;-1,'01_INPUT_COMPANIES'!$T$37&gt;1),OR('01_INPUT_COMPANIES'!$U$37&lt;0,'01_INPUT_COMPANIES'!$U$37&gt;1),OR('01_INPUT_COMPANIES'!$V$37&lt;0,'01_INPUT_COMPANIES'!$V$37&gt;1),OR('01_INPUT_COMPANIES'!$W$37&lt;-10,'01_INPUT_COMPANIES'!$W$37&gt;10),OR('01_INPUT_COMPANIES'!$X$37&lt;-1,'01_INPUT_COMPANIES'!$X$37&gt;1),OR('01_INPUT_COMPANIES'!$Y$37&lt;0,'01_INPUT_COMPANIES'!$Y$37&gt;20),OR('01_INPUT_COMPANIES'!$Z$37&lt;-2,'01_INPUT_COMPANIES'!$Z$37&gt;2),OR('01_INPUT_COMPANIES'!$AA$37&lt;0,'01_INPUT_COMPANIES'!$AA$37&gt;1),OR('01_INPUT_COMPANIES'!$AB$37&lt;0,'01_INPUT_COMPANIES'!$AB$37&gt;1),OR('01_INPUT_COMPANIES'!$AC$37&lt;0,'01_INPUT_COMPANIES'!$AC$37&gt;50))," | REVIEW RANGE","")&amp;IF(COUNTIF('90_CALC_FEATURES'!$J$307:$J$316,"WINSORIZED*")&gt;0," | WINSORIZED","")&amp;IF(ABS('01_INPUT_COMPANIES'!$U$37-'01_INPUT_COMPANIES'!$V$37*'01_INPUT_COMPANIES'!$AB$37)&gt;MAX(0.005,0.05*MAX(ABS('01_INPUT_COMPANIES'!$V$37*'01_INPUT_COMPANIES'!$AB$37),ABS('01_INPUT_COMPANIES'!$U$37),0.000000000001))," | DEPENDENCY",""))))))))))))))))))))</x:f>
      </x:c>
      <x:c r="AC37" s="34" t="str">
        <x:f>IF(A37="","",IF(OR(LEFT(AB37,4)="PASS",LEFT(AB37,5)="READY"),"RESEARCH BETA | 저지원 22.22% | 기업 백분위 N/A", "결과 사용 금지 | "&amp;AB37))</x:f>
      </x:c>
      <x:c r="AD37" s="34" t="str">
        <x:f>IF(A37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$37,TRIM('01_INPUT_COMPANIES'!$D$37)),EXACT('01_INPUT_COMPANIES'!$E$37,TRIM('01_INPUT_COMPANIES'!$E$37)),EXACT('01_INPUT_COMPANIES'!$F$37,TRIM('01_INPUT_COMPANIES'!$F$37)),EXACT('01_INPUT_COMPANIES'!$G$37,TRIM('01_INPUT_COMPANIES'!$G$37)),EXACT('01_INPUT_COMPANIES'!$H$37,TRIM('01_INPUT_COMPANIES'!$H$37)))),"ERROR: COHORT WHITESPACE",IF(NOT(IFERROR(AND(ISTEXT('01_INPUT_COMPANIES'!$O$37),LEN('01_INPUT_COMPANIES'!$O$37)=10,VALUE(LEFT('01_INPUT_COMPANIES'!$O$37,4))&gt;=2000,VALUE(LEFT('01_INPUT_COMPANIES'!$O$37,4))&lt;=2100,EXACT(TEXT(DATE(VALUE(LEFT('01_INPUT_COMPANIES'!$O$37,4)),VALUE(MID('01_INPUT_COMPANIES'!$O$37,6,2)),VALUE(RIGHT('01_INPUT_COMPANIES'!$O$37,2))),"yyyy-mm-dd"),'01_INPUT_COMPANIES'!$O$37)),FALSE)),"ERROR: SOURCE DATE",IF(NOT(AND(OR(EXACT('01_INPUT_COMPANIES'!$C$37,"domestic"),EXACT('01_INPUT_COMPANIES'!$C$37,"foreign"),EXACT('01_INPUT_COMPANIES'!$C$37,"other")),OR(EXACT('01_INPUT_COMPANIES'!$K$37,"A"),EXACT('01_INPUT_COMPANIES'!$K$37,"B"),EXACT('01_INPUT_COMPANIES'!$K$37,"C"),EXACT('01_INPUT_COMPANIES'!$K$37,"SYNTHETIC")),OR(EXACT('01_INPUT_COMPANIES'!$L$37,"yes"),EXACT('01_INPUT_COMPANIES'!$L$37,"no")),OR(EXACT('01_INPUT_COMPANIES'!$M$37,"direct"),EXACT('01_INPUT_COMPANIES'!$M$37,"derived"),EXACT('01_INPUT_COMPANIES'!$M$37,"proxy"),EXACT('01_INPUT_COMPANIES'!$M$37,"mixed")),OR(EXACT('01_INPUT_COMPANIES'!$Q$37,"yes")),EXACT('01_INPUT_COMPANIES'!$I$37,UPPER('01_INPUT_COMPANIES'!$I$37)))),"ERROR: EXACT ENUM",IF(NOT(IFERROR(OR(AND(EXACT('92_REF_VARIABLES'!$A$21,'01_INPUT_COMPANIES'!$H$37),EXACT('92_REF_VARIABLES'!$B$21,'01_INPUT_COMPANIES'!$D$37),EXACT('92_REF_VARIABLES'!$C$21,'01_INPUT_COMPANIES'!$G$37))),FALSE)),"ERROR: BENCHMARK",""))))))</x:f>
      </x:c>
    </x:row>
    <x:row r="38">
      <x:c r="A38" s="34" t="str">
        <x:f>IF(OR('01_INPUT_COMPANIES'!$A$38="",'01_INPUT_COMPANIES'!$A$38=""),"",'01_INPUT_COMPANIES'!$A$38)</x:f>
      </x:c>
      <x:c r="B38" s="34" t="str">
        <x:f>IF(OR('01_INPUT_COMPANIES'!$A$38="",'01_INPUT_COMPANIES'!$B$38=""),"",'01_INPUT_COMPANIES'!$B$38)</x:f>
      </x:c>
      <x:c r="C38" s="34" t="str">
        <x:f>IF(OR('01_INPUT_COMPANIES'!$A$38="",'01_INPUT_COMPANIES'!$C$38=""),"",'01_INPUT_COMPANIES'!$C$38)</x:f>
      </x:c>
      <x:c r="D38" s="34" t="str">
        <x:f>IF(OR('01_INPUT_COMPANIES'!$A$38="",'01_INPUT_COMPANIES'!$D$38=""),"",'01_INPUT_COMPANIES'!$D$38)</x:f>
      </x:c>
      <x:c r="E38" s="34" t="str">
        <x:f>IF(OR('01_INPUT_COMPANIES'!$A$38="",'01_INPUT_COMPANIES'!$E$38=""),"",'01_INPUT_COMPANIES'!$E$38)</x:f>
      </x:c>
      <x:c r="F38" s="34" t="str">
        <x:f>IF(OR('01_INPUT_COMPANIES'!$A$38="",'01_INPUT_COMPANIES'!$F$38=""),"",'01_INPUT_COMPANIES'!$F$38)</x:f>
      </x:c>
      <x:c r="G38" s="34" t="str">
        <x:f>IF(OR('01_INPUT_COMPANIES'!$A$38="",'01_INPUT_COMPANIES'!$G$38=""),"",'01_INPUT_COMPANIES'!$G$38)</x:f>
      </x:c>
      <x:c r="H38" s="34" t="str">
        <x:f>IF(OR('01_INPUT_COMPANIES'!$A$38="",'01_INPUT_COMPANIES'!$H$38=""),"",'01_INPUT_COMPANIES'!$H$38)</x:f>
      </x:c>
      <x:c r="I38" s="34" t="str">
        <x:f>IF(OR('01_INPUT_COMPANIES'!$A$38="",'01_INPUT_COMPANIES'!$K$38=""),"",'01_INPUT_COMPANIES'!$K$38)</x:f>
      </x:c>
      <x:c r="J38" s="34" t="str">
        <x:f>IF(OR('01_INPUT_COMPANIES'!$A$38="",'01_INPUT_COMPANIES'!$M$38=""),"",'01_INPUT_COMPANIES'!$M$38)</x:f>
      </x:c>
      <x:c r="K38" s="34" t="str">
        <x:f>IF(OR(A38="",COUNTBLANK(D38:H38)&gt;0),"",LEN(D38)&amp;":"&amp;D38&amp;LEN(E38)&amp;":"&amp;E38&amp;LEN(F38)&amp;":"&amp;F38&amp;LEN(G38)&amp;":"&amp;G38&amp;LEN(H38)&amp;":"&amp;H38)</x:f>
      </x:c>
      <x:c r="L38" s="47" t="str">
        <x:f>IF(A38="","",'90_CALC_FEATURES'!$I$317)</x:f>
      </x:c>
      <x:c r="M38" s="47" t="str">
        <x:f>IF(A38="","",'90_CALC_FEATURES'!$I$318)</x:f>
      </x:c>
      <x:c r="N38" s="47" t="str">
        <x:f>IF(A38="","",'90_CALC_FEATURES'!$I$319)</x:f>
      </x:c>
      <x:c r="O38" s="47" t="str">
        <x:f>IF(A38="","",'90_CALC_FEATURES'!$I$320)</x:f>
      </x:c>
      <x:c r="P38" s="47" t="str">
        <x:f>IF(A38="","",'90_CALC_FEATURES'!$I$321)</x:f>
      </x:c>
      <x:c r="Q38" s="47" t="str">
        <x:f>IF(A38="","",'90_CALC_FEATURES'!$I$322)</x:f>
      </x:c>
      <x:c r="R38" s="47" t="str">
        <x:f>IF(A38="","",'90_CALC_FEATURES'!$I$323)</x:f>
      </x:c>
      <x:c r="S38" s="47" t="str">
        <x:f>IF(A38="","",'90_CALC_FEATURES'!$I$324)</x:f>
      </x:c>
      <x:c r="T38" s="47" t="str">
        <x:f>IF(A38="","",'90_CALC_FEATURES'!$I$325)</x:f>
      </x:c>
      <x:c r="U38" s="47" t="str">
        <x:f>IF(A38="","",'90_CALC_FEATURES'!$I$326)</x:f>
      </x:c>
      <x:c r="V38" s="47" t="str">
        <x:f>IF(COUNT(L38:N38)=3,100*AVERAGE(L38:N38),"")</x:f>
      </x:c>
      <x:c r="W38" s="47" t="str">
        <x:f>IF(COUNT(O38:R38)=4,100*AVERAGE(O38:R38),"")</x:f>
      </x:c>
      <x:c r="X38" s="47" t="str">
        <x:f>IF(COUNT(S38:U38)=3,100*AVERAGE(S38:U38),"")</x:f>
      </x:c>
      <x:c r="Y38" s="47" t="str">
        <x:f>IF(COUNT(V38:X38)=3,AVERAGE(V38:X38),"")</x:f>
      </x:c>
      <x:c r="Z38" s="47" t="str">
        <x:f>IF(OR(AND(EXACT(A38,"SYN-A"),COUNT('01_INPUT_COMPANIES'!$T$38:$AC$38)=10,'01_INPUT_COMPANIES'!$T$38=-0.02,'01_INPUT_COMPANIES'!$U$38=0.1332,'01_INPUT_COMPANIES'!$V$38=0.18,'01_INPUT_COMPANIES'!$W$38=0.42,'01_INPUT_COMPANIES'!$X$38=0.012,'01_INPUT_COMPANIES'!$Y$38=3.2,'01_INPUT_COMPANIES'!$Z$38=0.08,'01_INPUT_COMPANIES'!$AA$38=0.28,'01_INPUT_COMPANIES'!$AB$38=0.74,'01_INPUT_COMPANIES'!$AC$38=8.5),AND(EXACT(A38,"SYN-B"),COUNT('01_INPUT_COMPANIES'!$T$38:$AC$38)=10,'01_INPUT_COMPANIES'!$T$38=-0.055,'01_INPUT_COMPANIES'!$U$38=0.06405,'01_INPUT_COMPANIES'!$V$38=0.105,'01_INPUT_COMPANIES'!$W$38=0.73,'01_INPUT_COMPANIES'!$X$38=0.004,'01_INPUT_COMPANIES'!$Y$38=4.1,'01_INPUT_COMPANIES'!$Z$38=0.025,'01_INPUT_COMPANIES'!$AA$38=0.16,'01_INPUT_COMPANIES'!$AB$38=0.61,'01_INPUT_COMPANIES'!$AC$38=4),AND(EXACT(A38,"SYN-C"),COUNT('01_INPUT_COMPANIES'!$T$38:$AC$38)=10,'01_INPUT_COMPANIES'!$T$38=0.01,'01_INPUT_COMPANIES'!$U$38=0.0986,'01_INPUT_COMPANIES'!$V$38=0.145,'01_INPUT_COMPANIES'!$W$38=0.18,'01_INPUT_COMPANIES'!$X$38=0.018,'01_INPUT_COMPANIES'!$Y$38=2.65,'01_INPUT_COMPANIES'!$Z$38=0.11,'01_INPUT_COMPANIES'!$AA$38=0.34,'01_INPUT_COMPANIES'!$AB$38=0.68,'01_INPUT_COMPANIES'!$AC$38=6.8),AND(EXACT(A38,"SYN-D"),COUNT('01_INPUT_COMPANIES'!$T$38:$AC$38)=10,'01_INPUT_COMPANIES'!$T$38=-0.005,'01_INPUT_COMPANIES'!$U$38=0.1136,'01_INPUT_COMPANIES'!$V$38=0.16,'01_INPUT_COMPANIES'!$W$38=0.51,'01_INPUT_COMPANIES'!$X$38=0.009,'01_INPUT_COMPANIES'!$Y$38=3.55,'01_INPUT_COMPANIES'!$Z$38=0.065,'01_INPUT_COMPANIES'!$AA$38=0.24,'01_INPUT_COMPANIES'!$AB$38=0.71,'01_INPUT_COMPANIES'!$AC$38=7.4)),IFERROR(INDEX('94_EXPECTED_OUTPUTS'!$B$7:$B$10,MATCH(A38,'94_EXPECTED_OUTPUTS'!$A$7:$A$10,0)),""),"")</x:f>
      </x:c>
      <x:c r="AA38" s="47" t="str">
        <x:f>IF(OR(COUNT(Y38)=0,COUNT(Z38)=0),"",ABS(Y38-Z38))</x:f>
      </x:c>
      <x:c r="AB38" s="34" t="str">
        <x:f>IF(A38="","",IF(AD38&lt;&gt;"",AD38,IF('01_INPUT_COMPANIES'!$A$38="","",IF(OR(LEN(TRIM('01_INPUT_COMPANIES'!$A$38&amp;""))=0,LEN(TRIM('01_INPUT_COMPANIES'!$B$38&amp;""))=0,LEN(TRIM('01_INPUT_COMPANIES'!$C$38&amp;""))=0,LEN(TRIM('01_INPUT_COMPANIES'!$D$38&amp;""))=0,LEN(TRIM('01_INPUT_COMPANIES'!$E$38&amp;""))=0,LEN(TRIM('01_INPUT_COMPANIES'!$F$38&amp;""))=0,LEN(TRIM('01_INPUT_COMPANIES'!$G$38&amp;""))=0,LEN(TRIM('01_INPUT_COMPANIES'!$H$38&amp;""))=0,LEN(TRIM('01_INPUT_COMPANIES'!$I$38&amp;""))=0,LEN(TRIM('01_INPUT_COMPANIES'!$K$38&amp;""))=0,LEN(TRIM('01_INPUT_COMPANIES'!$L$38&amp;""))=0,LEN(TRIM('01_INPUT_COMPANIES'!$M$38&amp;""))=0,LEN(TRIM('01_INPUT_COMPANIES'!$N$38&amp;""))=0,LEN(TRIM('01_INPUT_COMPANIES'!$O$38&amp;""))=0,LEN(TRIM('01_INPUT_COMPANIES'!$Q$38&amp;""))=0,COUNTBLANK('01_INPUT_COMPANIES'!$A$38:$R$38)&gt;0),"INPUT REQUIRED",IF(OR('01_INPUT_COMPANIES'!$A$38&lt;&gt;TRIM('01_INPUT_COMPANIES'!$A$38),NOT(EXACT('01_INPUT_COMPANIES'!$A$38,UPPER('01_INPUT_COMPANIES'!$A$38))),LEN('01_INPUT_COMPANIES'!$A$38)&gt;64,ISNUMBER(FIND("*",'01_INPUT_COMPANIES'!$A$38)),ISNUMBER(FIND("?",'01_INPUT_COMPANIES'!$A$38)),ISNUMBER(FIND("~",'01_INPUT_COMPANIES'!$A$38))),"ERROR: ID FORMAT",IF(COUNTIF('01_INPUT_COMPANIES'!$A$7:$A$106,'01_INPUT_COMPANIES'!$A$38)&lt;&gt;1,"ERROR: DUPLICATE ID",IF(COUNT('01_INPUT_COMPANIES'!$T$38:$AC$38)&lt;&gt;10,"INPUT REQUIRED",IF(NOT(OR('01_INPUT_COMPANIES'!$C$38="domestic",'01_INPUT_COMPANIES'!$C$38="foreign",'01_INPUT_COMPANIES'!$C$38="other")),"ERROR: COMPANY GROUP",IF(OR(LEN('01_INPUT_COMPANIES'!$G$38)&lt;&gt;6,MID('01_INPUT_COMPANIES'!$G$38,5,1)&lt;&gt;"Q",IFERROR(VALUE(LEFT('01_INPUT_COMPANIES'!$G$38,4)),0)&lt;2000,IFERROR(VALUE(LEFT('01_INPUT_COMPANIES'!$G$38,4)),0)&gt;2100,IFERROR(VALUE(RIGHT('01_INPUT_COMPANIES'!$G$38,1)),0)&lt;1,IFERROR(VALUE(RIGHT('01_INPUT_COMPANIES'!$G$38,1)),0)&gt;4),"ERROR: REPORTING PERIOD",IF(OR(COUNTIFS('92_REF_VARIABLES'!$A$21:$A$21,'01_INPUT_COMPANIES'!$H$38,'92_REF_VARIABLES'!$B$21:$B$21,'01_INPUT_COMPANIES'!$D$38,'92_REF_VARIABLES'!$C$21:$C$21,'01_INPUT_COMPANIES'!$G$38)&lt;&gt;1,AND(IFERROR(INDEX('92_REF_VARIABLES'!$I$21:$I$21,MATCH('01_INPUT_COMPANIES'!$H$38,'92_REF_VARIABLES'!$A$21:$A$21,0)),"")="synthetic_only",'01_INPUT_COMPANIES'!$L$38&lt;&gt;"yes")),"ERROR: BENCHMARK",IF(COUNTIF('92_REF_VARIABLES'!$L$21:$L$50,'01_INPUT_COMPANIES'!$I$38)&lt;&gt;1,"ERROR: CURRENCY",IF(OR(NOT(ISNUMBER('01_INPUT_COMPANIES'!$J$38)),'01_INPUT_COMPANIES'!$J$38&lt;&gt;INT('01_INPUT_COMPANIES'!$J$38),'01_INPUT_COMPANIES'!$J$38&lt;2000,'01_INPUT_COMPANIES'!$J$38&gt;2100),"ERROR: PRICE YEAR",IF(NOT(OR('01_INPUT_COMPANIES'!$K$38="A",'01_INPUT_COMPANIES'!$K$38="B",'01_INPUT_COMPANIES'!$K$38="C",'01_INPUT_COMPANIES'!$K$38="SYNTHETIC")),"ERROR: QUALITY",IF(NOT(OR(AND('01_INPUT_COMPANIES'!$L$38="yes",'01_INPUT_COMPANIES'!$K$38="SYNTHETIC"),AND('01_INPUT_COMPANIES'!$L$38="no",'01_INPUT_COMPANIES'!$K$38&lt;&gt;"SYNTHETIC"))),"ERROR: SYNTHETIC FLAG",IF(NOT(OR('01_INPUT_COMPANIES'!$M$38="direct",'01_INPUT_COMPANIES'!$M$38="derived",'01_INPUT_COMPANIES'!$M$38="proxy",'01_INPUT_COMPANIES'!$M$38="mixed")),"ERROR: CONSTRUCTION MODE",IF(OR(NOT(ISNUMBER('01_INPUT_COMPANIES'!$P$38)),'01_INPUT_COMPANIES'!$P$38&lt;0,'01_INPUT_COMPANIES'!$P$38&lt;&gt;INT('01_INPUT_COMPANIES'!$P$38)),"ERROR: CARRY LAG",IF('01_INPUT_COMPANIES'!$Q$38&lt;&gt;"yes","ERROR: EXPOSURE ADJUSTMENT",IF(OR(NOT(ISNUMBER('01_INPUT_COMPANIES'!$R$38)),'01_INPUT_COMPANIES'!$R$38&lt;0,'01_INPUT_COMPANIES'!$R$38&gt;1),"ERROR: EXPOSURE FACTOR",IF(COUNT(Y38)=0,"ERROR: SCORE",IF(COUNT(Z38)=0,"READY",IF(AA38&lt;=0.0000000001,"PASS","CHECK"))&amp;IF('01_INPUT_COMPANIES'!$K$38="C"," | C QUALITY","")&amp;IF(OR('01_INPUT_COMPANIES'!$M$38="proxy",'01_INPUT_COMPANIES'!$M$38="mixed")," | PROXY/MIXED","")&amp;IF('01_INPUT_COMPANIES'!$P$38&gt;1," | CARRY&gt;1","")&amp;IF(OR(OR('01_INPUT_COMPANIES'!$T$38&lt;-1,'01_INPUT_COMPANIES'!$T$38&gt;1),OR('01_INPUT_COMPANIES'!$U$38&lt;0,'01_INPUT_COMPANIES'!$U$38&gt;1),OR('01_INPUT_COMPANIES'!$V$38&lt;0,'01_INPUT_COMPANIES'!$V$38&gt;1),OR('01_INPUT_COMPANIES'!$W$38&lt;-10,'01_INPUT_COMPANIES'!$W$38&gt;10),OR('01_INPUT_COMPANIES'!$X$38&lt;-1,'01_INPUT_COMPANIES'!$X$38&gt;1),OR('01_INPUT_COMPANIES'!$Y$38&lt;0,'01_INPUT_COMPANIES'!$Y$38&gt;20),OR('01_INPUT_COMPANIES'!$Z$38&lt;-2,'01_INPUT_COMPANIES'!$Z$38&gt;2),OR('01_INPUT_COMPANIES'!$AA$38&lt;0,'01_INPUT_COMPANIES'!$AA$38&gt;1),OR('01_INPUT_COMPANIES'!$AB$38&lt;0,'01_INPUT_COMPANIES'!$AB$38&gt;1),OR('01_INPUT_COMPANIES'!$AC$38&lt;0,'01_INPUT_COMPANIES'!$AC$38&gt;50))," | REVIEW RANGE","")&amp;IF(COUNTIF('90_CALC_FEATURES'!$J$317:$J$326,"WINSORIZED*")&gt;0," | WINSORIZED","")&amp;IF(ABS('01_INPUT_COMPANIES'!$U$38-'01_INPUT_COMPANIES'!$V$38*'01_INPUT_COMPANIES'!$AB$38)&gt;MAX(0.005,0.05*MAX(ABS('01_INPUT_COMPANIES'!$V$38*'01_INPUT_COMPANIES'!$AB$38),ABS('01_INPUT_COMPANIES'!$U$38),0.000000000001))," | DEPENDENCY",""))))))))))))))))))))</x:f>
      </x:c>
      <x:c r="AC38" s="34" t="str">
        <x:f>IF(A38="","",IF(OR(LEFT(AB38,4)="PASS",LEFT(AB38,5)="READY"),"RESEARCH BETA | 저지원 22.22% | 기업 백분위 N/A", "결과 사용 금지 | "&amp;AB38))</x:f>
      </x:c>
      <x:c r="AD38" s="34" t="str">
        <x:f>IF(A38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$38,TRIM('01_INPUT_COMPANIES'!$D$38)),EXACT('01_INPUT_COMPANIES'!$E$38,TRIM('01_INPUT_COMPANIES'!$E$38)),EXACT('01_INPUT_COMPANIES'!$F$38,TRIM('01_INPUT_COMPANIES'!$F$38)),EXACT('01_INPUT_COMPANIES'!$G$38,TRIM('01_INPUT_COMPANIES'!$G$38)),EXACT('01_INPUT_COMPANIES'!$H$38,TRIM('01_INPUT_COMPANIES'!$H$38)))),"ERROR: COHORT WHITESPACE",IF(NOT(IFERROR(AND(ISTEXT('01_INPUT_COMPANIES'!$O$38),LEN('01_INPUT_COMPANIES'!$O$38)=10,VALUE(LEFT('01_INPUT_COMPANIES'!$O$38,4))&gt;=2000,VALUE(LEFT('01_INPUT_COMPANIES'!$O$38,4))&lt;=2100,EXACT(TEXT(DATE(VALUE(LEFT('01_INPUT_COMPANIES'!$O$38,4)),VALUE(MID('01_INPUT_COMPANIES'!$O$38,6,2)),VALUE(RIGHT('01_INPUT_COMPANIES'!$O$38,2))),"yyyy-mm-dd"),'01_INPUT_COMPANIES'!$O$38)),FALSE)),"ERROR: SOURCE DATE",IF(NOT(AND(OR(EXACT('01_INPUT_COMPANIES'!$C$38,"domestic"),EXACT('01_INPUT_COMPANIES'!$C$38,"foreign"),EXACT('01_INPUT_COMPANIES'!$C$38,"other")),OR(EXACT('01_INPUT_COMPANIES'!$K$38,"A"),EXACT('01_INPUT_COMPANIES'!$K$38,"B"),EXACT('01_INPUT_COMPANIES'!$K$38,"C"),EXACT('01_INPUT_COMPANIES'!$K$38,"SYNTHETIC")),OR(EXACT('01_INPUT_COMPANIES'!$L$38,"yes"),EXACT('01_INPUT_COMPANIES'!$L$38,"no")),OR(EXACT('01_INPUT_COMPANIES'!$M$38,"direct"),EXACT('01_INPUT_COMPANIES'!$M$38,"derived"),EXACT('01_INPUT_COMPANIES'!$M$38,"proxy"),EXACT('01_INPUT_COMPANIES'!$M$38,"mixed")),OR(EXACT('01_INPUT_COMPANIES'!$Q$38,"yes")),EXACT('01_INPUT_COMPANIES'!$I$38,UPPER('01_INPUT_COMPANIES'!$I$38)))),"ERROR: EXACT ENUM",IF(NOT(IFERROR(OR(AND(EXACT('92_REF_VARIABLES'!$A$21,'01_INPUT_COMPANIES'!$H$38),EXACT('92_REF_VARIABLES'!$B$21,'01_INPUT_COMPANIES'!$D$38),EXACT('92_REF_VARIABLES'!$C$21,'01_INPUT_COMPANIES'!$G$38))),FALSE)),"ERROR: BENCHMARK",""))))))</x:f>
      </x:c>
    </x:row>
    <x:row r="39">
      <x:c r="A39" s="34" t="str">
        <x:f>IF(OR('01_INPUT_COMPANIES'!$A$39="",'01_INPUT_COMPANIES'!$A$39=""),"",'01_INPUT_COMPANIES'!$A$39)</x:f>
      </x:c>
      <x:c r="B39" s="34" t="str">
        <x:f>IF(OR('01_INPUT_COMPANIES'!$A$39="",'01_INPUT_COMPANIES'!$B$39=""),"",'01_INPUT_COMPANIES'!$B$39)</x:f>
      </x:c>
      <x:c r="C39" s="34" t="str">
        <x:f>IF(OR('01_INPUT_COMPANIES'!$A$39="",'01_INPUT_COMPANIES'!$C$39=""),"",'01_INPUT_COMPANIES'!$C$39)</x:f>
      </x:c>
      <x:c r="D39" s="34" t="str">
        <x:f>IF(OR('01_INPUT_COMPANIES'!$A$39="",'01_INPUT_COMPANIES'!$D$39=""),"",'01_INPUT_COMPANIES'!$D$39)</x:f>
      </x:c>
      <x:c r="E39" s="34" t="str">
        <x:f>IF(OR('01_INPUT_COMPANIES'!$A$39="",'01_INPUT_COMPANIES'!$E$39=""),"",'01_INPUT_COMPANIES'!$E$39)</x:f>
      </x:c>
      <x:c r="F39" s="34" t="str">
        <x:f>IF(OR('01_INPUT_COMPANIES'!$A$39="",'01_INPUT_COMPANIES'!$F$39=""),"",'01_INPUT_COMPANIES'!$F$39)</x:f>
      </x:c>
      <x:c r="G39" s="34" t="str">
        <x:f>IF(OR('01_INPUT_COMPANIES'!$A$39="",'01_INPUT_COMPANIES'!$G$39=""),"",'01_INPUT_COMPANIES'!$G$39)</x:f>
      </x:c>
      <x:c r="H39" s="34" t="str">
        <x:f>IF(OR('01_INPUT_COMPANIES'!$A$39="",'01_INPUT_COMPANIES'!$H$39=""),"",'01_INPUT_COMPANIES'!$H$39)</x:f>
      </x:c>
      <x:c r="I39" s="34" t="str">
        <x:f>IF(OR('01_INPUT_COMPANIES'!$A$39="",'01_INPUT_COMPANIES'!$K$39=""),"",'01_INPUT_COMPANIES'!$K$39)</x:f>
      </x:c>
      <x:c r="J39" s="34" t="str">
        <x:f>IF(OR('01_INPUT_COMPANIES'!$A$39="",'01_INPUT_COMPANIES'!$M$39=""),"",'01_INPUT_COMPANIES'!$M$39)</x:f>
      </x:c>
      <x:c r="K39" s="34" t="str">
        <x:f>IF(OR(A39="",COUNTBLANK(D39:H39)&gt;0),"",LEN(D39)&amp;":"&amp;D39&amp;LEN(E39)&amp;":"&amp;E39&amp;LEN(F39)&amp;":"&amp;F39&amp;LEN(G39)&amp;":"&amp;G39&amp;LEN(H39)&amp;":"&amp;H39)</x:f>
      </x:c>
      <x:c r="L39" s="47" t="str">
        <x:f>IF(A39="","",'90_CALC_FEATURES'!$I$327)</x:f>
      </x:c>
      <x:c r="M39" s="47" t="str">
        <x:f>IF(A39="","",'90_CALC_FEATURES'!$I$328)</x:f>
      </x:c>
      <x:c r="N39" s="47" t="str">
        <x:f>IF(A39="","",'90_CALC_FEATURES'!$I$329)</x:f>
      </x:c>
      <x:c r="O39" s="47" t="str">
        <x:f>IF(A39="","",'90_CALC_FEATURES'!$I$330)</x:f>
      </x:c>
      <x:c r="P39" s="47" t="str">
        <x:f>IF(A39="","",'90_CALC_FEATURES'!$I$331)</x:f>
      </x:c>
      <x:c r="Q39" s="47" t="str">
        <x:f>IF(A39="","",'90_CALC_FEATURES'!$I$332)</x:f>
      </x:c>
      <x:c r="R39" s="47" t="str">
        <x:f>IF(A39="","",'90_CALC_FEATURES'!$I$333)</x:f>
      </x:c>
      <x:c r="S39" s="47" t="str">
        <x:f>IF(A39="","",'90_CALC_FEATURES'!$I$334)</x:f>
      </x:c>
      <x:c r="T39" s="47" t="str">
        <x:f>IF(A39="","",'90_CALC_FEATURES'!$I$335)</x:f>
      </x:c>
      <x:c r="U39" s="47" t="str">
        <x:f>IF(A39="","",'90_CALC_FEATURES'!$I$336)</x:f>
      </x:c>
      <x:c r="V39" s="47" t="str">
        <x:f>IF(COUNT(L39:N39)=3,100*AVERAGE(L39:N39),"")</x:f>
      </x:c>
      <x:c r="W39" s="47" t="str">
        <x:f>IF(COUNT(O39:R39)=4,100*AVERAGE(O39:R39),"")</x:f>
      </x:c>
      <x:c r="X39" s="47" t="str">
        <x:f>IF(COUNT(S39:U39)=3,100*AVERAGE(S39:U39),"")</x:f>
      </x:c>
      <x:c r="Y39" s="47" t="str">
        <x:f>IF(COUNT(V39:X39)=3,AVERAGE(V39:X39),"")</x:f>
      </x:c>
      <x:c r="Z39" s="47" t="str">
        <x:f>IF(OR(AND(EXACT(A39,"SYN-A"),COUNT('01_INPUT_COMPANIES'!$T$39:$AC$39)=10,'01_INPUT_COMPANIES'!$T$39=-0.02,'01_INPUT_COMPANIES'!$U$39=0.1332,'01_INPUT_COMPANIES'!$V$39=0.18,'01_INPUT_COMPANIES'!$W$39=0.42,'01_INPUT_COMPANIES'!$X$39=0.012,'01_INPUT_COMPANIES'!$Y$39=3.2,'01_INPUT_COMPANIES'!$Z$39=0.08,'01_INPUT_COMPANIES'!$AA$39=0.28,'01_INPUT_COMPANIES'!$AB$39=0.74,'01_INPUT_COMPANIES'!$AC$39=8.5),AND(EXACT(A39,"SYN-B"),COUNT('01_INPUT_COMPANIES'!$T$39:$AC$39)=10,'01_INPUT_COMPANIES'!$T$39=-0.055,'01_INPUT_COMPANIES'!$U$39=0.06405,'01_INPUT_COMPANIES'!$V$39=0.105,'01_INPUT_COMPANIES'!$W$39=0.73,'01_INPUT_COMPANIES'!$X$39=0.004,'01_INPUT_COMPANIES'!$Y$39=4.1,'01_INPUT_COMPANIES'!$Z$39=0.025,'01_INPUT_COMPANIES'!$AA$39=0.16,'01_INPUT_COMPANIES'!$AB$39=0.61,'01_INPUT_COMPANIES'!$AC$39=4),AND(EXACT(A39,"SYN-C"),COUNT('01_INPUT_COMPANIES'!$T$39:$AC$39)=10,'01_INPUT_COMPANIES'!$T$39=0.01,'01_INPUT_COMPANIES'!$U$39=0.0986,'01_INPUT_COMPANIES'!$V$39=0.145,'01_INPUT_COMPANIES'!$W$39=0.18,'01_INPUT_COMPANIES'!$X$39=0.018,'01_INPUT_COMPANIES'!$Y$39=2.65,'01_INPUT_COMPANIES'!$Z$39=0.11,'01_INPUT_COMPANIES'!$AA$39=0.34,'01_INPUT_COMPANIES'!$AB$39=0.68,'01_INPUT_COMPANIES'!$AC$39=6.8),AND(EXACT(A39,"SYN-D"),COUNT('01_INPUT_COMPANIES'!$T$39:$AC$39)=10,'01_INPUT_COMPANIES'!$T$39=-0.005,'01_INPUT_COMPANIES'!$U$39=0.1136,'01_INPUT_COMPANIES'!$V$39=0.16,'01_INPUT_COMPANIES'!$W$39=0.51,'01_INPUT_COMPANIES'!$X$39=0.009,'01_INPUT_COMPANIES'!$Y$39=3.55,'01_INPUT_COMPANIES'!$Z$39=0.065,'01_INPUT_COMPANIES'!$AA$39=0.24,'01_INPUT_COMPANIES'!$AB$39=0.71,'01_INPUT_COMPANIES'!$AC$39=7.4)),IFERROR(INDEX('94_EXPECTED_OUTPUTS'!$B$7:$B$10,MATCH(A39,'94_EXPECTED_OUTPUTS'!$A$7:$A$10,0)),""),"")</x:f>
      </x:c>
      <x:c r="AA39" s="47" t="str">
        <x:f>IF(OR(COUNT(Y39)=0,COUNT(Z39)=0),"",ABS(Y39-Z39))</x:f>
      </x:c>
      <x:c r="AB39" s="34" t="str">
        <x:f>IF(A39="","",IF(AD39&lt;&gt;"",AD39,IF('01_INPUT_COMPANIES'!$A$39="","",IF(OR(LEN(TRIM('01_INPUT_COMPANIES'!$A$39&amp;""))=0,LEN(TRIM('01_INPUT_COMPANIES'!$B$39&amp;""))=0,LEN(TRIM('01_INPUT_COMPANIES'!$C$39&amp;""))=0,LEN(TRIM('01_INPUT_COMPANIES'!$D$39&amp;""))=0,LEN(TRIM('01_INPUT_COMPANIES'!$E$39&amp;""))=0,LEN(TRIM('01_INPUT_COMPANIES'!$F$39&amp;""))=0,LEN(TRIM('01_INPUT_COMPANIES'!$G$39&amp;""))=0,LEN(TRIM('01_INPUT_COMPANIES'!$H$39&amp;""))=0,LEN(TRIM('01_INPUT_COMPANIES'!$I$39&amp;""))=0,LEN(TRIM('01_INPUT_COMPANIES'!$K$39&amp;""))=0,LEN(TRIM('01_INPUT_COMPANIES'!$L$39&amp;""))=0,LEN(TRIM('01_INPUT_COMPANIES'!$M$39&amp;""))=0,LEN(TRIM('01_INPUT_COMPANIES'!$N$39&amp;""))=0,LEN(TRIM('01_INPUT_COMPANIES'!$O$39&amp;""))=0,LEN(TRIM('01_INPUT_COMPANIES'!$Q$39&amp;""))=0,COUNTBLANK('01_INPUT_COMPANIES'!$A$39:$R$39)&gt;0),"INPUT REQUIRED",IF(OR('01_INPUT_COMPANIES'!$A$39&lt;&gt;TRIM('01_INPUT_COMPANIES'!$A$39),NOT(EXACT('01_INPUT_COMPANIES'!$A$39,UPPER('01_INPUT_COMPANIES'!$A$39))),LEN('01_INPUT_COMPANIES'!$A$39)&gt;64,ISNUMBER(FIND("*",'01_INPUT_COMPANIES'!$A$39)),ISNUMBER(FIND("?",'01_INPUT_COMPANIES'!$A$39)),ISNUMBER(FIND("~",'01_INPUT_COMPANIES'!$A$39))),"ERROR: ID FORMAT",IF(COUNTIF('01_INPUT_COMPANIES'!$A$7:$A$106,'01_INPUT_COMPANIES'!$A$39)&lt;&gt;1,"ERROR: DUPLICATE ID",IF(COUNT('01_INPUT_COMPANIES'!$T$39:$AC$39)&lt;&gt;10,"INPUT REQUIRED",IF(NOT(OR('01_INPUT_COMPANIES'!$C$39="domestic",'01_INPUT_COMPANIES'!$C$39="foreign",'01_INPUT_COMPANIES'!$C$39="other")),"ERROR: COMPANY GROUP",IF(OR(LEN('01_INPUT_COMPANIES'!$G$39)&lt;&gt;6,MID('01_INPUT_COMPANIES'!$G$39,5,1)&lt;&gt;"Q",IFERROR(VALUE(LEFT('01_INPUT_COMPANIES'!$G$39,4)),0)&lt;2000,IFERROR(VALUE(LEFT('01_INPUT_COMPANIES'!$G$39,4)),0)&gt;2100,IFERROR(VALUE(RIGHT('01_INPUT_COMPANIES'!$G$39,1)),0)&lt;1,IFERROR(VALUE(RIGHT('01_INPUT_COMPANIES'!$G$39,1)),0)&gt;4),"ERROR: REPORTING PERIOD",IF(OR(COUNTIFS('92_REF_VARIABLES'!$A$21:$A$21,'01_INPUT_COMPANIES'!$H$39,'92_REF_VARIABLES'!$B$21:$B$21,'01_INPUT_COMPANIES'!$D$39,'92_REF_VARIABLES'!$C$21:$C$21,'01_INPUT_COMPANIES'!$G$39)&lt;&gt;1,AND(IFERROR(INDEX('92_REF_VARIABLES'!$I$21:$I$21,MATCH('01_INPUT_COMPANIES'!$H$39,'92_REF_VARIABLES'!$A$21:$A$21,0)),"")="synthetic_only",'01_INPUT_COMPANIES'!$L$39&lt;&gt;"yes")),"ERROR: BENCHMARK",IF(COUNTIF('92_REF_VARIABLES'!$L$21:$L$50,'01_INPUT_COMPANIES'!$I$39)&lt;&gt;1,"ERROR: CURRENCY",IF(OR(NOT(ISNUMBER('01_INPUT_COMPANIES'!$J$39)),'01_INPUT_COMPANIES'!$J$39&lt;&gt;INT('01_INPUT_COMPANIES'!$J$39),'01_INPUT_COMPANIES'!$J$39&lt;2000,'01_INPUT_COMPANIES'!$J$39&gt;2100),"ERROR: PRICE YEAR",IF(NOT(OR('01_INPUT_COMPANIES'!$K$39="A",'01_INPUT_COMPANIES'!$K$39="B",'01_INPUT_COMPANIES'!$K$39="C",'01_INPUT_COMPANIES'!$K$39="SYNTHETIC")),"ERROR: QUALITY",IF(NOT(OR(AND('01_INPUT_COMPANIES'!$L$39="yes",'01_INPUT_COMPANIES'!$K$39="SYNTHETIC"),AND('01_INPUT_COMPANIES'!$L$39="no",'01_INPUT_COMPANIES'!$K$39&lt;&gt;"SYNTHETIC"))),"ERROR: SYNTHETIC FLAG",IF(NOT(OR('01_INPUT_COMPANIES'!$M$39="direct",'01_INPUT_COMPANIES'!$M$39="derived",'01_INPUT_COMPANIES'!$M$39="proxy",'01_INPUT_COMPANIES'!$M$39="mixed")),"ERROR: CONSTRUCTION MODE",IF(OR(NOT(ISNUMBER('01_INPUT_COMPANIES'!$P$39)),'01_INPUT_COMPANIES'!$P$39&lt;0,'01_INPUT_COMPANIES'!$P$39&lt;&gt;INT('01_INPUT_COMPANIES'!$P$39)),"ERROR: CARRY LAG",IF('01_INPUT_COMPANIES'!$Q$39&lt;&gt;"yes","ERROR: EXPOSURE ADJUSTMENT",IF(OR(NOT(ISNUMBER('01_INPUT_COMPANIES'!$R$39)),'01_INPUT_COMPANIES'!$R$39&lt;0,'01_INPUT_COMPANIES'!$R$39&gt;1),"ERROR: EXPOSURE FACTOR",IF(COUNT(Y39)=0,"ERROR: SCORE",IF(COUNT(Z39)=0,"READY",IF(AA39&lt;=0.0000000001,"PASS","CHECK"))&amp;IF('01_INPUT_COMPANIES'!$K$39="C"," | C QUALITY","")&amp;IF(OR('01_INPUT_COMPANIES'!$M$39="proxy",'01_INPUT_COMPANIES'!$M$39="mixed")," | PROXY/MIXED","")&amp;IF('01_INPUT_COMPANIES'!$P$39&gt;1," | CARRY&gt;1","")&amp;IF(OR(OR('01_INPUT_COMPANIES'!$T$39&lt;-1,'01_INPUT_COMPANIES'!$T$39&gt;1),OR('01_INPUT_COMPANIES'!$U$39&lt;0,'01_INPUT_COMPANIES'!$U$39&gt;1),OR('01_INPUT_COMPANIES'!$V$39&lt;0,'01_INPUT_COMPANIES'!$V$39&gt;1),OR('01_INPUT_COMPANIES'!$W$39&lt;-10,'01_INPUT_COMPANIES'!$W$39&gt;10),OR('01_INPUT_COMPANIES'!$X$39&lt;-1,'01_INPUT_COMPANIES'!$X$39&gt;1),OR('01_INPUT_COMPANIES'!$Y$39&lt;0,'01_INPUT_COMPANIES'!$Y$39&gt;20),OR('01_INPUT_COMPANIES'!$Z$39&lt;-2,'01_INPUT_COMPANIES'!$Z$39&gt;2),OR('01_INPUT_COMPANIES'!$AA$39&lt;0,'01_INPUT_COMPANIES'!$AA$39&gt;1),OR('01_INPUT_COMPANIES'!$AB$39&lt;0,'01_INPUT_COMPANIES'!$AB$39&gt;1),OR('01_INPUT_COMPANIES'!$AC$39&lt;0,'01_INPUT_COMPANIES'!$AC$39&gt;50))," | REVIEW RANGE","")&amp;IF(COUNTIF('90_CALC_FEATURES'!$J$327:$J$336,"WINSORIZED*")&gt;0," | WINSORIZED","")&amp;IF(ABS('01_INPUT_COMPANIES'!$U$39-'01_INPUT_COMPANIES'!$V$39*'01_INPUT_COMPANIES'!$AB$39)&gt;MAX(0.005,0.05*MAX(ABS('01_INPUT_COMPANIES'!$V$39*'01_INPUT_COMPANIES'!$AB$39),ABS('01_INPUT_COMPANIES'!$U$39),0.000000000001))," | DEPENDENCY",""))))))))))))))))))))</x:f>
      </x:c>
      <x:c r="AC39" s="34" t="str">
        <x:f>IF(A39="","",IF(OR(LEFT(AB39,4)="PASS",LEFT(AB39,5)="READY"),"RESEARCH BETA | 저지원 22.22% | 기업 백분위 N/A", "결과 사용 금지 | "&amp;AB39))</x:f>
      </x:c>
      <x:c r="AD39" s="34" t="str">
        <x:f>IF(A39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$39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$39,TRIM('01_INPUT_COMPANIES'!$D$39)),EXACT('01_INPUT_COMPANIES'!$E$39,TRIM('01_INPUT_COMPANIES'!$E$39)),EXACT('01_INPUT_COMPANIES'!$F$39,TRIM('01_INPUT_COMPANIES'!$F$39)),EXACT('01_INPUT_COMPANIES'!$G$39,TRIM('01_INPUT_COMPANIES'!$G$39)),EXACT('01_INPUT_COMPANIES'!$H$39,TRIM('01_INPUT_COMPANIES'!$H$39)))),"ERROR: COHORT WHITESPACE",IF(NOT(IFERROR(AND(ISTEXT('01_INPUT_COMPANIES'!$O$39),LEN('01_INPUT_COMPANIES'!$O$39)=10,VALUE(LEFT('01_INPUT_COMPANIES'!$O$39,4))&gt;=2000,VALUE(LEFT('01_INPUT_COMPANIES'!$O$39,4))&lt;=2100,EXACT(TEXT(DATE(VALUE(LEFT('01_INPUT_COMPANIES'!$O$39,4)),VALUE(MID('01_INPUT_COMPANIES'!$O$39,6,2)),VALUE(RIGHT('01_INPUT_COMPANIES'!$O$39,2))),"yyyy-mm-dd"),'01_INPUT_COMPANIES'!$O$39)),FALSE)),"ERROR: SOURCE DATE",IF(NOT(AND(OR(EXACT('01_INPUT_COMPANIES'!$C$39,"domestic"),EXACT('01_INPUT_COMPANIES'!$C$39,"foreign"),EXACT('01_INPUT_COMPANIES'!$C$39,"other")),OR(EXACT('01_INPUT_COMPANIES'!$K$39,"A"),EXACT('01_INPUT_COMPANIES'!$K$39,"B"),EXACT('01_INPUT_COMPANIES'!$K$39,"C"),EXACT('01_INPUT_COMPANIES'!$K$39,"SYNTHETIC")),OR(EXACT('01_INPUT_COMPANIES'!$L$39,"yes"),EXACT('01_INPUT_COMPANIES'!$L$39,"no")),OR(EXACT('01_INPUT_COMPANIES'!$M$39,"direct"),EXACT('01_INPUT_COMPANIES'!$M$39,"derived"),EXACT('01_INPUT_COMPANIES'!$M$39,"proxy"),EXACT('01_INPUT_COMPANIES'!$M$39,"mixed")),OR(EXACT('01_INPUT_COMPANIES'!$Q$39,"yes")),EXACT('01_INPUT_COMPANIES'!$I$39,UPPER('01_INPUT_COMPANIES'!$I$39)))),"ERROR: EXACT ENUM",IF(NOT(IFERROR(OR(AND(EXACT('92_REF_VARIABLES'!$A$21,'01_INPUT_COMPANIES'!$H$39),EXACT('92_REF_VARIABLES'!$B$21,'01_INPUT_COMPANIES'!$D$39),EXACT('92_REF_VARIABLES'!$C$21,'01_INPUT_COMPANIES'!$G$39))),FALSE)),"ERROR: BENCHMARK",""))))))</x:f>
      </x:c>
    </x:row>
    <x:row r="40">
      <x:c r="A40" s="34" t="str">
        <x:f>IF(OR('01_INPUT_COMPANIES'!$A$40="",'01_INPUT_COMPANIES'!$A$40=""),"",'01_INPUT_COMPANIES'!$A$40)</x:f>
      </x:c>
      <x:c r="B40" s="34" t="str">
        <x:f>IF(OR('01_INPUT_COMPANIES'!$A$40="",'01_INPUT_COMPANIES'!$B$40=""),"",'01_INPUT_COMPANIES'!$B$40)</x:f>
      </x:c>
      <x:c r="C40" s="34" t="str">
        <x:f>IF(OR('01_INPUT_COMPANIES'!$A$40="",'01_INPUT_COMPANIES'!$C$40=""),"",'01_INPUT_COMPANIES'!$C$40)</x:f>
      </x:c>
      <x:c r="D40" s="34" t="str">
        <x:f>IF(OR('01_INPUT_COMPANIES'!$A$40="",'01_INPUT_COMPANIES'!$D$40=""),"",'01_INPUT_COMPANIES'!$D$40)</x:f>
      </x:c>
      <x:c r="E40" s="34" t="str">
        <x:f>IF(OR('01_INPUT_COMPANIES'!$A$40="",'01_INPUT_COMPANIES'!$E$40=""),"",'01_INPUT_COMPANIES'!$E$40)</x:f>
      </x:c>
      <x:c r="F40" s="34" t="str">
        <x:f>IF(OR('01_INPUT_COMPANIES'!$A$40="",'01_INPUT_COMPANIES'!$F$40=""),"",'01_INPUT_COMPANIES'!$F$40)</x:f>
      </x:c>
      <x:c r="G40" s="34" t="str">
        <x:f>IF(OR('01_INPUT_COMPANIES'!$A$40="",'01_INPUT_COMPANIES'!$G$40=""),"",'01_INPUT_COMPANIES'!$G$40)</x:f>
      </x:c>
      <x:c r="H40" s="34" t="str">
        <x:f>IF(OR('01_INPUT_COMPANIES'!$A$40="",'01_INPUT_COMPANIES'!$H$40=""),"",'01_INPUT_COMPANIES'!$H$40)</x:f>
      </x:c>
      <x:c r="I40" s="34" t="str">
        <x:f>IF(OR('01_INPUT_COMPANIES'!$A$40="",'01_INPUT_COMPANIES'!$K$40=""),"",'01_INPUT_COMPANIES'!$K$40)</x:f>
      </x:c>
      <x:c r="J40" s="34" t="str">
        <x:f>IF(OR('01_INPUT_COMPANIES'!$A$40="",'01_INPUT_COMPANIES'!$M$40=""),"",'01_INPUT_COMPANIES'!$M$40)</x:f>
      </x:c>
      <x:c r="K40" s="34" t="str">
        <x:f>IF(OR(A40="",COUNTBLANK(D40:H40)&gt;0),"",LEN(D40)&amp;":"&amp;D40&amp;LEN(E40)&amp;":"&amp;E40&amp;LEN(F40)&amp;":"&amp;F40&amp;LEN(G40)&amp;":"&amp;G40&amp;LEN(H40)&amp;":"&amp;H40)</x:f>
      </x:c>
      <x:c r="L40" s="47" t="str">
        <x:f>IF(A40="","",'90_CALC_FEATURES'!$I$337)</x:f>
      </x:c>
      <x:c r="M40" s="47" t="str">
        <x:f>IF(A40="","",'90_CALC_FEATURES'!$I$338)</x:f>
      </x:c>
      <x:c r="N40" s="47" t="str">
        <x:f>IF(A40="","",'90_CALC_FEATURES'!$I$339)</x:f>
      </x:c>
      <x:c r="O40" s="47" t="str">
        <x:f>IF(A40="","",'90_CALC_FEATURES'!$I$340)</x:f>
      </x:c>
      <x:c r="P40" s="47" t="str">
        <x:f>IF(A40="","",'90_CALC_FEATURES'!$I$341)</x:f>
      </x:c>
      <x:c r="Q40" s="47" t="str">
        <x:f>IF(A40="","",'90_CALC_FEATURES'!$I$342)</x:f>
      </x:c>
      <x:c r="R40" s="47" t="str">
        <x:f>IF(A40="","",'90_CALC_FEATURES'!$I$343)</x:f>
      </x:c>
      <x:c r="S40" s="47" t="str">
        <x:f>IF(A40="","",'90_CALC_FEATURES'!$I$344)</x:f>
      </x:c>
      <x:c r="T40" s="47" t="str">
        <x:f>IF(A40="","",'90_CALC_FEATURES'!$I$345)</x:f>
      </x:c>
      <x:c r="U40" s="47" t="str">
        <x:f>IF(A40="","",'90_CALC_FEATURES'!$I$346)</x:f>
      </x:c>
      <x:c r="V40" s="47" t="str">
        <x:f>IF(COUNT(L40:N40)=3,100*AVERAGE(L40:N40),"")</x:f>
      </x:c>
      <x:c r="W40" s="47" t="str">
        <x:f>IF(COUNT(O40:R40)=4,100*AVERAGE(O40:R40),"")</x:f>
      </x:c>
      <x:c r="X40" s="47" t="str">
        <x:f>IF(COUNT(S40:U40)=3,100*AVERAGE(S40:U40),"")</x:f>
      </x:c>
      <x:c r="Y40" s="47" t="str">
        <x:f>IF(COUNT(V40:X40)=3,AVERAGE(V40:X40),"")</x:f>
      </x:c>
      <x:c r="Z40" s="47" t="str">
        <x:f>IF(OR(AND(EXACT(A40,"SYN-A"),COUNT('01_INPUT_COMPANIES'!$T$40:$AC$40)=10,'01_INPUT_COMPANIES'!$T$40=-0.02,'01_INPUT_COMPANIES'!$U$40=0.1332,'01_INPUT_COMPANIES'!$V$40=0.18,'01_INPUT_COMPANIES'!$W$40=0.42,'01_INPUT_COMPANIES'!$X$40=0.012,'01_INPUT_COMPANIES'!$Y$40=3.2,'01_INPUT_COMPANIES'!$Z$40=0.08,'01_INPUT_COMPANIES'!$AA$40=0.28,'01_INPUT_COMPANIES'!$AB$40=0.74,'01_INPUT_COMPANIES'!$AC$40=8.5),AND(EXACT(A40,"SYN-B"),COUNT('01_INPUT_COMPANIES'!$T$40:$AC$40)=10,'01_INPUT_COMPANIES'!$T$40=-0.055,'01_INPUT_COMPANIES'!$U$40=0.06405,'01_INPUT_COMPANIES'!$V$40=0.105,'01_INPUT_COMPANIES'!$W$40=0.73,'01_INPUT_COMPANIES'!$X$40=0.004,'01_INPUT_COMPANIES'!$Y$40=4.1,'01_INPUT_COMPANIES'!$Z$40=0.025,'01_INPUT_COMPANIES'!$AA$40=0.16,'01_INPUT_COMPANIES'!$AB$40=0.61,'01_INPUT_COMPANIES'!$AC$40=4),AND(EXACT(A40,"SYN-C"),COUNT('01_INPUT_COMPANIES'!$T$40:$AC$40)=10,'01_INPUT_COMPANIES'!$T$40=0.01,'01_INPUT_COMPANIES'!$U$40=0.0986,'01_INPUT_COMPANIES'!$V$40=0.145,'01_INPUT_COMPANIES'!$W$40=0.18,'01_INPUT_COMPANIES'!$X$40=0.018,'01_INPUT_COMPANIES'!$Y$40=2.65,'01_INPUT_COMPANIES'!$Z$40=0.11,'01_INPUT_COMPANIES'!$AA$40=0.34,'01_INPUT_COMPANIES'!$AB$40=0.68,'01_INPUT_COMPANIES'!$AC$40=6.8),AND(EXACT(A40,"SYN-D"),COUNT('01_INPUT_COMPANIES'!$T$40:$AC$40)=10,'01_INPUT_COMPANIES'!$T$40=-0.005,'01_INPUT_COMPANIES'!$U$40=0.1136,'01_INPUT_COMPANIES'!$V$40=0.16,'01_INPUT_COMPANIES'!$W$40=0.51,'01_INPUT_COMPANIES'!$X$40=0.009,'01_INPUT_COMPANIES'!$Y$40=3.55,'01_INPUT_COMPANIES'!$Z$40=0.065,'01_INPUT_COMPANIES'!$AA$40=0.24,'01_INPUT_COMPANIES'!$AB$40=0.71,'01_INPUT_COMPANIES'!$AC$40=7.4)),IFERROR(INDEX('94_EXPECTED_OUTPUTS'!$B$7:$B$10,MATCH(A40,'94_EXPECTED_OUTPUTS'!$A$7:$A$10,0)),""),"")</x:f>
      </x:c>
      <x:c r="AA40" s="47" t="str">
        <x:f>IF(OR(COUNT(Y40)=0,COUNT(Z40)=0),"",ABS(Y40-Z40))</x:f>
      </x:c>
      <x:c r="AB40" s="34" t="str">
        <x:f>IF(A40="","",IF(AD40&lt;&gt;"",AD40,IF('01_INPUT_COMPANIES'!$A$40="","",IF(OR(LEN(TRIM('01_INPUT_COMPANIES'!$A$40&amp;""))=0,LEN(TRIM('01_INPUT_COMPANIES'!$B$40&amp;""))=0,LEN(TRIM('01_INPUT_COMPANIES'!$C$40&amp;""))=0,LEN(TRIM('01_INPUT_COMPANIES'!$D$40&amp;""))=0,LEN(TRIM('01_INPUT_COMPANIES'!$E$40&amp;""))=0,LEN(TRIM('01_INPUT_COMPANIES'!$F$40&amp;""))=0,LEN(TRIM('01_INPUT_COMPANIES'!$G$40&amp;""))=0,LEN(TRIM('01_INPUT_COMPANIES'!$H$40&amp;""))=0,LEN(TRIM('01_INPUT_COMPANIES'!$I$40&amp;""))=0,LEN(TRIM('01_INPUT_COMPANIES'!$K$40&amp;""))=0,LEN(TRIM('01_INPUT_COMPANIES'!$L$40&amp;""))=0,LEN(TRIM('01_INPUT_COMPANIES'!$M$40&amp;""))=0,LEN(TRIM('01_INPUT_COMPANIES'!$N$40&amp;""))=0,LEN(TRIM('01_INPUT_COMPANIES'!$O$40&amp;""))=0,LEN(TRIM('01_INPUT_COMPANIES'!$Q$40&amp;""))=0,COUNTBLANK('01_INPUT_COMPANIES'!$A$40:$R$40)&gt;0),"INPUT REQUIRED",IF(OR('01_INPUT_COMPANIES'!$A$40&lt;&gt;TRIM('01_INPUT_COMPANIES'!$A$40),NOT(EXACT('01_INPUT_COMPANIES'!$A$40,UPPER('01_INPUT_COMPANIES'!$A$40))),LEN('01_INPUT_COMPANIES'!$A$40)&gt;64,ISNUMBER(FIND("*",'01_INPUT_COMPANIES'!$A$40)),ISNUMBER(FIND("?",'01_INPUT_COMPANIES'!$A$40)),ISNUMBER(FIND("~",'01_INPUT_COMPANIES'!$A$40))),"ERROR: ID FORMAT",IF(COUNTIF('01_INPUT_COMPANIES'!$A$7:$A$106,'01_INPUT_COMPANIES'!$A$40)&lt;&gt;1,"ERROR: DUPLICATE ID",IF(COUNT('01_INPUT_COMPANIES'!$T$40:$AC$40)&lt;&gt;10,"INPUT REQUIRED",IF(NOT(OR('01_INPUT_COMPANIES'!$C$40="domestic",'01_INPUT_COMPANIES'!$C$40="foreign",'01_INPUT_COMPANIES'!$C$40="other")),"ERROR: COMPANY GROUP",IF(OR(LEN('01_INPUT_COMPANIES'!$G$40)&lt;&gt;6,MID('01_INPUT_COMPANIES'!$G$40,5,1)&lt;&gt;"Q",IFERROR(VALUE(LEFT('01_INPUT_COMPANIES'!$G$40,4)),0)&lt;2000,IFERROR(VALUE(LEFT('01_INPUT_COMPANIES'!$G$40,4)),0)&gt;2100,IFERROR(VALUE(RIGHT('01_INPUT_COMPANIES'!$G$40,1)),0)&lt;1,IFERROR(VALUE(RIGHT('01_INPUT_COMPANIES'!$G$40,1)),0)&gt;4),"ERROR: REPORTING PERIOD",IF(OR(COUNTIFS('92_REF_VARIABLES'!$A$21:$A$21,'01_INPUT_COMPANIES'!$H$40,'92_REF_VARIABLES'!$B$21:$B$21,'01_INPUT_COMPANIES'!$D$40,'92_REF_VARIABLES'!$C$21:$C$21,'01_INPUT_COMPANIES'!$G$40)&lt;&gt;1,AND(IFERROR(INDEX('92_REF_VARIABLES'!$I$21:$I$21,MATCH('01_INPUT_COMPANIES'!$H$40,'92_REF_VARIABLES'!$A$21:$A$21,0)),"")="synthetic_only",'01_INPUT_COMPANIES'!$L$40&lt;&gt;"yes")),"ERROR: BENCHMARK",IF(COUNTIF('92_REF_VARIABLES'!$L$21:$L$50,'01_INPUT_COMPANIES'!$I$40)&lt;&gt;1,"ERROR: CURRENCY",IF(OR(NOT(ISNUMBER('01_INPUT_COMPANIES'!$J$40)),'01_INPUT_COMPANIES'!$J$40&lt;&gt;INT('01_INPUT_COMPANIES'!$J$40),'01_INPUT_COMPANIES'!$J$40&lt;2000,'01_INPUT_COMPANIES'!$J$40&gt;2100),"ERROR: PRICE YEAR",IF(NOT(OR('01_INPUT_COMPANIES'!$K$40="A",'01_INPUT_COMPANIES'!$K$40="B",'01_INPUT_COMPANIES'!$K$40="C",'01_INPUT_COMPANIES'!$K$40="SYNTHETIC")),"ERROR: QUALITY",IF(NOT(OR(AND('01_INPUT_COMPANIES'!$L$40="yes",'01_INPUT_COMPANIES'!$K$40="SYNTHETIC"),AND('01_INPUT_COMPANIES'!$L$40="no",'01_INPUT_COMPANIES'!$K$40&lt;&gt;"SYNTHETIC"))),"ERROR: SYNTHETIC FLAG",IF(NOT(OR('01_INPUT_COMPANIES'!$M$40="direct",'01_INPUT_COMPANIES'!$M$40="derived",'01_INPUT_COMPANIES'!$M$40="proxy",'01_INPUT_COMPANIES'!$M$40="mixed")),"ERROR: CONSTRUCTION MODE",IF(OR(NOT(ISNUMBER('01_INPUT_COMPANIES'!$P$40)),'01_INPUT_COMPANIES'!$P$40&lt;0,'01_INPUT_COMPANIES'!$P$40&lt;&gt;INT('01_INPUT_COMPANIES'!$P$40)),"ERROR: CARRY LAG",IF('01_INPUT_COMPANIES'!$Q$40&lt;&gt;"yes","ERROR: EXPOSURE ADJUSTMENT",IF(OR(NOT(ISNUMBER('01_INPUT_COMPANIES'!$R$40)),'01_INPUT_COMPANIES'!$R$40&lt;0,'01_INPUT_COMPANIES'!$R$40&gt;1),"ERROR: EXPOSURE FACTOR",IF(COUNT(Y40)=0,"ERROR: SCORE",IF(COUNT(Z40)=0,"READY",IF(AA40&lt;=0.0000000001,"PASS","CHECK"))&amp;IF('01_INPUT_COMPANIES'!$K$40="C"," | C QUALITY","")&amp;IF(OR('01_INPUT_COMPANIES'!$M$40="proxy",'01_INPUT_COMPANIES'!$M$40="mixed")," | PROXY/MIXED","")&amp;IF('01_INPUT_COMPANIES'!$P$40&gt;1," | CARRY&gt;1","")&amp;IF(OR(OR('01_INPUT_COMPANIES'!$T$40&lt;-1,'01_INPUT_COMPANIES'!$T$40&gt;1),OR('01_INPUT_COMPANIES'!$U$40&lt;0,'01_INPUT_COMPANIES'!$U$40&gt;1),OR('01_INPUT_COMPANIES'!$V$40&lt;0,'01_INPUT_COMPANIES'!$V$40&gt;1),OR('01_INPUT_COMPANIES'!$W$40&lt;-10,'01_INPUT_COMPANIES'!$W$40&gt;10),OR('01_INPUT_COMPANIES'!$X$40&lt;-1,'01_INPUT_COMPANIES'!$X$40&gt;1),OR('01_INPUT_COMPANIES'!$Y$40&lt;0,'01_INPUT_COMPANIES'!$Y$40&gt;20),OR('01_INPUT_COMPANIES'!$Z$40&lt;-2,'01_INPUT_COMPANIES'!$Z$40&gt;2),OR('01_INPUT_COMPANIES'!$AA$40&lt;0,'01_INPUT_COMPANIES'!$AA$40&gt;1),OR('01_INPUT_COMPANIES'!$AB$40&lt;0,'01_INPUT_COMPANIES'!$AB$40&gt;1),OR('01_INPUT_COMPANIES'!$AC$40&lt;0,'01_INPUT_COMPANIES'!$AC$40&gt;50))," | REVIEW RANGE","")&amp;IF(COUNTIF('90_CALC_FEATURES'!$J$337:$J$346,"WINSORIZED*")&gt;0," | WINSORIZED","")&amp;IF(ABS('01_INPUT_COMPANIES'!$U$40-'01_INPUT_COMPANIES'!$V$40*'01_INPUT_COMPANIES'!$AB$40)&gt;MAX(0.005,0.05*MAX(ABS('01_INPUT_COMPANIES'!$V$40*'01_INPUT_COMPANIES'!$AB$40),ABS('01_INPUT_COMPANIES'!$U$40),0.000000000001))," | DEPENDENCY",""))))))))))))))))))))</x:f>
      </x:c>
      <x:c r="AC40" s="34" t="str">
        <x:f>IF(A40="","",IF(OR(LEFT(AB40,4)="PASS",LEFT(AB40,5)="READY"),"RESEARCH BETA | 저지원 22.22% | 기업 백분위 N/A", "결과 사용 금지 | "&amp;AB40))</x:f>
      </x:c>
      <x:c r="AD40" s="34" t="str">
        <x:f>IF(A40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$40,TRIM('01_INPUT_COMPANIES'!$D$40)),EXACT('01_INPUT_COMPANIES'!$E$40,TRIM('01_INPUT_COMPANIES'!$E$40)),EXACT('01_INPUT_COMPANIES'!$F$40,TRIM('01_INPUT_COMPANIES'!$F$40)),EXACT('01_INPUT_COMPANIES'!$G$40,TRIM('01_INPUT_COMPANIES'!$G$40)),EXACT('01_INPUT_COMPANIES'!$H$40,TRIM('01_INPUT_COMPANIES'!$H$40)))),"ERROR: COHORT WHITESPACE",IF(NOT(IFERROR(AND(ISTEXT('01_INPUT_COMPANIES'!$O$40),LEN('01_INPUT_COMPANIES'!$O$40)=10,VALUE(LEFT('01_INPUT_COMPANIES'!$O$40,4))&gt;=2000,VALUE(LEFT('01_INPUT_COMPANIES'!$O$40,4))&lt;=2100,EXACT(TEXT(DATE(VALUE(LEFT('01_INPUT_COMPANIES'!$O$40,4)),VALUE(MID('01_INPUT_COMPANIES'!$O$40,6,2)),VALUE(RIGHT('01_INPUT_COMPANIES'!$O$40,2))),"yyyy-mm-dd"),'01_INPUT_COMPANIES'!$O$40)),FALSE)),"ERROR: SOURCE DATE",IF(NOT(AND(OR(EXACT('01_INPUT_COMPANIES'!$C$40,"domestic"),EXACT('01_INPUT_COMPANIES'!$C$40,"foreign"),EXACT('01_INPUT_COMPANIES'!$C$40,"other")),OR(EXACT('01_INPUT_COMPANIES'!$K$40,"A"),EXACT('01_INPUT_COMPANIES'!$K$40,"B"),EXACT('01_INPUT_COMPANIES'!$K$40,"C"),EXACT('01_INPUT_COMPANIES'!$K$40,"SYNTHETIC")),OR(EXACT('01_INPUT_COMPANIES'!$L$40,"yes"),EXACT('01_INPUT_COMPANIES'!$L$40,"no")),OR(EXACT('01_INPUT_COMPANIES'!$M$40,"direct"),EXACT('01_INPUT_COMPANIES'!$M$40,"derived"),EXACT('01_INPUT_COMPANIES'!$M$40,"proxy"),EXACT('01_INPUT_COMPANIES'!$M$40,"mixed")),OR(EXACT('01_INPUT_COMPANIES'!$Q$40,"yes")),EXACT('01_INPUT_COMPANIES'!$I$40,UPPER('01_INPUT_COMPANIES'!$I$40)))),"ERROR: EXACT ENUM",IF(NOT(IFERROR(OR(AND(EXACT('92_REF_VARIABLES'!$A$21,'01_INPUT_COMPANIES'!$H$40),EXACT('92_REF_VARIABLES'!$B$21,'01_INPUT_COMPANIES'!$D$40),EXACT('92_REF_VARIABLES'!$C$21,'01_INPUT_COMPANIES'!$G$40))),FALSE)),"ERROR: BENCHMARK",""))))))</x:f>
      </x:c>
    </x:row>
    <x:row r="41">
      <x:c r="A41" s="34" t="str">
        <x:f>IF(OR('01_INPUT_COMPANIES'!$A$41="",'01_INPUT_COMPANIES'!$A$41=""),"",'01_INPUT_COMPANIES'!$A$41)</x:f>
      </x:c>
      <x:c r="B41" s="34" t="str">
        <x:f>IF(OR('01_INPUT_COMPANIES'!$A$41="",'01_INPUT_COMPANIES'!$B$41=""),"",'01_INPUT_COMPANIES'!$B$41)</x:f>
      </x:c>
      <x:c r="C41" s="34" t="str">
        <x:f>IF(OR('01_INPUT_COMPANIES'!$A$41="",'01_INPUT_COMPANIES'!$C$41=""),"",'01_INPUT_COMPANIES'!$C$41)</x:f>
      </x:c>
      <x:c r="D41" s="34" t="str">
        <x:f>IF(OR('01_INPUT_COMPANIES'!$A$41="",'01_INPUT_COMPANIES'!$D$41=""),"",'01_INPUT_COMPANIES'!$D$41)</x:f>
      </x:c>
      <x:c r="E41" s="34" t="str">
        <x:f>IF(OR('01_INPUT_COMPANIES'!$A$41="",'01_INPUT_COMPANIES'!$E$41=""),"",'01_INPUT_COMPANIES'!$E$41)</x:f>
      </x:c>
      <x:c r="F41" s="34" t="str">
        <x:f>IF(OR('01_INPUT_COMPANIES'!$A$41="",'01_INPUT_COMPANIES'!$F$41=""),"",'01_INPUT_COMPANIES'!$F$41)</x:f>
      </x:c>
      <x:c r="G41" s="34" t="str">
        <x:f>IF(OR('01_INPUT_COMPANIES'!$A$41="",'01_INPUT_COMPANIES'!$G$41=""),"",'01_INPUT_COMPANIES'!$G$41)</x:f>
      </x:c>
      <x:c r="H41" s="34" t="str">
        <x:f>IF(OR('01_INPUT_COMPANIES'!$A$41="",'01_INPUT_COMPANIES'!$H$41=""),"",'01_INPUT_COMPANIES'!$H$41)</x:f>
      </x:c>
      <x:c r="I41" s="34" t="str">
        <x:f>IF(OR('01_INPUT_COMPANIES'!$A$41="",'01_INPUT_COMPANIES'!$K$41=""),"",'01_INPUT_COMPANIES'!$K$41)</x:f>
      </x:c>
      <x:c r="J41" s="34" t="str">
        <x:f>IF(OR('01_INPUT_COMPANIES'!$A$41="",'01_INPUT_COMPANIES'!$M$41=""),"",'01_INPUT_COMPANIES'!$M$41)</x:f>
      </x:c>
      <x:c r="K41" s="34" t="str">
        <x:f>IF(OR(A41="",COUNTBLANK(D41:H41)&gt;0),"",LEN(D41)&amp;":"&amp;D41&amp;LEN(E41)&amp;":"&amp;E41&amp;LEN(F41)&amp;":"&amp;F41&amp;LEN(G41)&amp;":"&amp;G41&amp;LEN(H41)&amp;":"&amp;H41)</x:f>
      </x:c>
      <x:c r="L41" s="47" t="str">
        <x:f>IF(A41="","",'90_CALC_FEATURES'!$I$347)</x:f>
      </x:c>
      <x:c r="M41" s="47" t="str">
        <x:f>IF(A41="","",'90_CALC_FEATURES'!$I$348)</x:f>
      </x:c>
      <x:c r="N41" s="47" t="str">
        <x:f>IF(A41="","",'90_CALC_FEATURES'!$I$349)</x:f>
      </x:c>
      <x:c r="O41" s="47" t="str">
        <x:f>IF(A41="","",'90_CALC_FEATURES'!$I$350)</x:f>
      </x:c>
      <x:c r="P41" s="47" t="str">
        <x:f>IF(A41="","",'90_CALC_FEATURES'!$I$351)</x:f>
      </x:c>
      <x:c r="Q41" s="47" t="str">
        <x:f>IF(A41="","",'90_CALC_FEATURES'!$I$352)</x:f>
      </x:c>
      <x:c r="R41" s="47" t="str">
        <x:f>IF(A41="","",'90_CALC_FEATURES'!$I$353)</x:f>
      </x:c>
      <x:c r="S41" s="47" t="str">
        <x:f>IF(A41="","",'90_CALC_FEATURES'!$I$354)</x:f>
      </x:c>
      <x:c r="T41" s="47" t="str">
        <x:f>IF(A41="","",'90_CALC_FEATURES'!$I$355)</x:f>
      </x:c>
      <x:c r="U41" s="47" t="str">
        <x:f>IF(A41="","",'90_CALC_FEATURES'!$I$356)</x:f>
      </x:c>
      <x:c r="V41" s="47" t="str">
        <x:f>IF(COUNT(L41:N41)=3,100*AVERAGE(L41:N41),"")</x:f>
      </x:c>
      <x:c r="W41" s="47" t="str">
        <x:f>IF(COUNT(O41:R41)=4,100*AVERAGE(O41:R41),"")</x:f>
      </x:c>
      <x:c r="X41" s="47" t="str">
        <x:f>IF(COUNT(S41:U41)=3,100*AVERAGE(S41:U41),"")</x:f>
      </x:c>
      <x:c r="Y41" s="47" t="str">
        <x:f>IF(COUNT(V41:X41)=3,AVERAGE(V41:X41),"")</x:f>
      </x:c>
      <x:c r="Z41" s="47" t="str">
        <x:f>IF(OR(AND(EXACT(A41,"SYN-A"),COUNT('01_INPUT_COMPANIES'!$T$41:$AC$41)=10,'01_INPUT_COMPANIES'!$T$41=-0.02,'01_INPUT_COMPANIES'!$U$41=0.1332,'01_INPUT_COMPANIES'!$V$41=0.18,'01_INPUT_COMPANIES'!$W$41=0.42,'01_INPUT_COMPANIES'!$X$41=0.012,'01_INPUT_COMPANIES'!$Y$41=3.2,'01_INPUT_COMPANIES'!$Z$41=0.08,'01_INPUT_COMPANIES'!$AA$41=0.28,'01_INPUT_COMPANIES'!$AB$41=0.74,'01_INPUT_COMPANIES'!$AC$41=8.5),AND(EXACT(A41,"SYN-B"),COUNT('01_INPUT_COMPANIES'!$T$41:$AC$41)=10,'01_INPUT_COMPANIES'!$T$41=-0.055,'01_INPUT_COMPANIES'!$U$41=0.06405,'01_INPUT_COMPANIES'!$V$41=0.105,'01_INPUT_COMPANIES'!$W$41=0.73,'01_INPUT_COMPANIES'!$X$41=0.004,'01_INPUT_COMPANIES'!$Y$41=4.1,'01_INPUT_COMPANIES'!$Z$41=0.025,'01_INPUT_COMPANIES'!$AA$41=0.16,'01_INPUT_COMPANIES'!$AB$41=0.61,'01_INPUT_COMPANIES'!$AC$41=4),AND(EXACT(A41,"SYN-C"),COUNT('01_INPUT_COMPANIES'!$T$41:$AC$41)=10,'01_INPUT_COMPANIES'!$T$41=0.01,'01_INPUT_COMPANIES'!$U$41=0.0986,'01_INPUT_COMPANIES'!$V$41=0.145,'01_INPUT_COMPANIES'!$W$41=0.18,'01_INPUT_COMPANIES'!$X$41=0.018,'01_INPUT_COMPANIES'!$Y$41=2.65,'01_INPUT_COMPANIES'!$Z$41=0.11,'01_INPUT_COMPANIES'!$AA$41=0.34,'01_INPUT_COMPANIES'!$AB$41=0.68,'01_INPUT_COMPANIES'!$AC$41=6.8),AND(EXACT(A41,"SYN-D"),COUNT('01_INPUT_COMPANIES'!$T$41:$AC$41)=10,'01_INPUT_COMPANIES'!$T$41=-0.005,'01_INPUT_COMPANIES'!$U$41=0.1136,'01_INPUT_COMPANIES'!$V$41=0.16,'01_INPUT_COMPANIES'!$W$41=0.51,'01_INPUT_COMPANIES'!$X$41=0.009,'01_INPUT_COMPANIES'!$Y$41=3.55,'01_INPUT_COMPANIES'!$Z$41=0.065,'01_INPUT_COMPANIES'!$AA$41=0.24,'01_INPUT_COMPANIES'!$AB$41=0.71,'01_INPUT_COMPANIES'!$AC$41=7.4)),IFERROR(INDEX('94_EXPECTED_OUTPUTS'!$B$7:$B$10,MATCH(A41,'94_EXPECTED_OUTPUTS'!$A$7:$A$10,0)),""),"")</x:f>
      </x:c>
      <x:c r="AA41" s="47" t="str">
        <x:f>IF(OR(COUNT(Y41)=0,COUNT(Z41)=0),"",ABS(Y41-Z41))</x:f>
      </x:c>
      <x:c r="AB41" s="34" t="str">
        <x:f>IF(A41="","",IF(AD41&lt;&gt;"",AD41,IF('01_INPUT_COMPANIES'!$A$41="","",IF(OR(LEN(TRIM('01_INPUT_COMPANIES'!$A$41&amp;""))=0,LEN(TRIM('01_INPUT_COMPANIES'!$B$41&amp;""))=0,LEN(TRIM('01_INPUT_COMPANIES'!$C$41&amp;""))=0,LEN(TRIM('01_INPUT_COMPANIES'!$D$41&amp;""))=0,LEN(TRIM('01_INPUT_COMPANIES'!$E$41&amp;""))=0,LEN(TRIM('01_INPUT_COMPANIES'!$F$41&amp;""))=0,LEN(TRIM('01_INPUT_COMPANIES'!$G$41&amp;""))=0,LEN(TRIM('01_INPUT_COMPANIES'!$H$41&amp;""))=0,LEN(TRIM('01_INPUT_COMPANIES'!$I$41&amp;""))=0,LEN(TRIM('01_INPUT_COMPANIES'!$K$41&amp;""))=0,LEN(TRIM('01_INPUT_COMPANIES'!$L$41&amp;""))=0,LEN(TRIM('01_INPUT_COMPANIES'!$M$41&amp;""))=0,LEN(TRIM('01_INPUT_COMPANIES'!$N$41&amp;""))=0,LEN(TRIM('01_INPUT_COMPANIES'!$O$41&amp;""))=0,LEN(TRIM('01_INPUT_COMPANIES'!$Q$41&amp;""))=0,COUNTBLANK('01_INPUT_COMPANIES'!$A$41:$R$41)&gt;0),"INPUT REQUIRED",IF(OR('01_INPUT_COMPANIES'!$A$41&lt;&gt;TRIM('01_INPUT_COMPANIES'!$A$41),NOT(EXACT('01_INPUT_COMPANIES'!$A$41,UPPER('01_INPUT_COMPANIES'!$A$41))),LEN('01_INPUT_COMPANIES'!$A$41)&gt;64,ISNUMBER(FIND("*",'01_INPUT_COMPANIES'!$A$41)),ISNUMBER(FIND("?",'01_INPUT_COMPANIES'!$A$41)),ISNUMBER(FIND("~",'01_INPUT_COMPANIES'!$A$41))),"ERROR: ID FORMAT",IF(COUNTIF('01_INPUT_COMPANIES'!$A$7:$A$106,'01_INPUT_COMPANIES'!$A$41)&lt;&gt;1,"ERROR: DUPLICATE ID",IF(COUNT('01_INPUT_COMPANIES'!$T$41:$AC$41)&lt;&gt;10,"INPUT REQUIRED",IF(NOT(OR('01_INPUT_COMPANIES'!$C$41="domestic",'01_INPUT_COMPANIES'!$C$41="foreign",'01_INPUT_COMPANIES'!$C$41="other")),"ERROR: COMPANY GROUP",IF(OR(LEN('01_INPUT_COMPANIES'!$G$41)&lt;&gt;6,MID('01_INPUT_COMPANIES'!$G$41,5,1)&lt;&gt;"Q",IFERROR(VALUE(LEFT('01_INPUT_COMPANIES'!$G$41,4)),0)&lt;2000,IFERROR(VALUE(LEFT('01_INPUT_COMPANIES'!$G$41,4)),0)&gt;2100,IFERROR(VALUE(RIGHT('01_INPUT_COMPANIES'!$G$41,1)),0)&lt;1,IFERROR(VALUE(RIGHT('01_INPUT_COMPANIES'!$G$41,1)),0)&gt;4),"ERROR: REPORTING PERIOD",IF(OR(COUNTIFS('92_REF_VARIABLES'!$A$21:$A$21,'01_INPUT_COMPANIES'!$H$41,'92_REF_VARIABLES'!$B$21:$B$21,'01_INPUT_COMPANIES'!$D$41,'92_REF_VARIABLES'!$C$21:$C$21,'01_INPUT_COMPANIES'!$G$41)&lt;&gt;1,AND(IFERROR(INDEX('92_REF_VARIABLES'!$I$21:$I$21,MATCH('01_INPUT_COMPANIES'!$H$41,'92_REF_VARIABLES'!$A$21:$A$21,0)),"")="synthetic_only",'01_INPUT_COMPANIES'!$L$41&lt;&gt;"yes")),"ERROR: BENCHMARK",IF(COUNTIF('92_REF_VARIABLES'!$L$21:$L$50,'01_INPUT_COMPANIES'!$I$41)&lt;&gt;1,"ERROR: CURRENCY",IF(OR(NOT(ISNUMBER('01_INPUT_COMPANIES'!$J$41)),'01_INPUT_COMPANIES'!$J$41&lt;&gt;INT('01_INPUT_COMPANIES'!$J$41),'01_INPUT_COMPANIES'!$J$41&lt;2000,'01_INPUT_COMPANIES'!$J$41&gt;2100),"ERROR: PRICE YEAR",IF(NOT(OR('01_INPUT_COMPANIES'!$K$41="A",'01_INPUT_COMPANIES'!$K$41="B",'01_INPUT_COMPANIES'!$K$41="C",'01_INPUT_COMPANIES'!$K$41="SYNTHETIC")),"ERROR: QUALITY",IF(NOT(OR(AND('01_INPUT_COMPANIES'!$L$41="yes",'01_INPUT_COMPANIES'!$K$41="SYNTHETIC"),AND('01_INPUT_COMPANIES'!$L$41="no",'01_INPUT_COMPANIES'!$K$41&lt;&gt;"SYNTHETIC"))),"ERROR: SYNTHETIC FLAG",IF(NOT(OR('01_INPUT_COMPANIES'!$M$41="direct",'01_INPUT_COMPANIES'!$M$41="derived",'01_INPUT_COMPANIES'!$M$41="proxy",'01_INPUT_COMPANIES'!$M$41="mixed")),"ERROR: CONSTRUCTION MODE",IF(OR(NOT(ISNUMBER('01_INPUT_COMPANIES'!$P$41)),'01_INPUT_COMPANIES'!$P$41&lt;0,'01_INPUT_COMPANIES'!$P$41&lt;&gt;INT('01_INPUT_COMPANIES'!$P$41)),"ERROR: CARRY LAG",IF('01_INPUT_COMPANIES'!$Q$41&lt;&gt;"yes","ERROR: EXPOSURE ADJUSTMENT",IF(OR(NOT(ISNUMBER('01_INPUT_COMPANIES'!$R$41)),'01_INPUT_COMPANIES'!$R$41&lt;0,'01_INPUT_COMPANIES'!$R$41&gt;1),"ERROR: EXPOSURE FACTOR",IF(COUNT(Y41)=0,"ERROR: SCORE",IF(COUNT(Z41)=0,"READY",IF(AA41&lt;=0.0000000001,"PASS","CHECK"))&amp;IF('01_INPUT_COMPANIES'!$K$41="C"," | C QUALITY","")&amp;IF(OR('01_INPUT_COMPANIES'!$M$41="proxy",'01_INPUT_COMPANIES'!$M$41="mixed")," | PROXY/MIXED","")&amp;IF('01_INPUT_COMPANIES'!$P$41&gt;1," | CARRY&gt;1","")&amp;IF(OR(OR('01_INPUT_COMPANIES'!$T$41&lt;-1,'01_INPUT_COMPANIES'!$T$41&gt;1),OR('01_INPUT_COMPANIES'!$U$41&lt;0,'01_INPUT_COMPANIES'!$U$41&gt;1),OR('01_INPUT_COMPANIES'!$V$41&lt;0,'01_INPUT_COMPANIES'!$V$41&gt;1),OR('01_INPUT_COMPANIES'!$W$41&lt;-10,'01_INPUT_COMPANIES'!$W$41&gt;10),OR('01_INPUT_COMPANIES'!$X$41&lt;-1,'01_INPUT_COMPANIES'!$X$41&gt;1),OR('01_INPUT_COMPANIES'!$Y$41&lt;0,'01_INPUT_COMPANIES'!$Y$41&gt;20),OR('01_INPUT_COMPANIES'!$Z$41&lt;-2,'01_INPUT_COMPANIES'!$Z$41&gt;2),OR('01_INPUT_COMPANIES'!$AA$41&lt;0,'01_INPUT_COMPANIES'!$AA$41&gt;1),OR('01_INPUT_COMPANIES'!$AB$41&lt;0,'01_INPUT_COMPANIES'!$AB$41&gt;1),OR('01_INPUT_COMPANIES'!$AC$41&lt;0,'01_INPUT_COMPANIES'!$AC$41&gt;50))," | REVIEW RANGE","")&amp;IF(COUNTIF('90_CALC_FEATURES'!$J$347:$J$356,"WINSORIZED*")&gt;0," | WINSORIZED","")&amp;IF(ABS('01_INPUT_COMPANIES'!$U$41-'01_INPUT_COMPANIES'!$V$41*'01_INPUT_COMPANIES'!$AB$41)&gt;MAX(0.005,0.05*MAX(ABS('01_INPUT_COMPANIES'!$V$41*'01_INPUT_COMPANIES'!$AB$41),ABS('01_INPUT_COMPANIES'!$U$41),0.000000000001))," | DEPENDENCY",""))))))))))))))))))))</x:f>
      </x:c>
      <x:c r="AC41" s="34" t="str">
        <x:f>IF(A41="","",IF(OR(LEFT(AB41,4)="PASS",LEFT(AB41,5)="READY"),"RESEARCH BETA | 저지원 22.22% | 기업 백분위 N/A", "결과 사용 금지 | "&amp;AB41))</x:f>
      </x:c>
      <x:c r="AD41" s="34" t="str">
        <x:f>IF(A41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$41,TRIM('01_INPUT_COMPANIES'!$D$41)),EXACT('01_INPUT_COMPANIES'!$E$41,TRIM('01_INPUT_COMPANIES'!$E$41)),EXACT('01_INPUT_COMPANIES'!$F$41,TRIM('01_INPUT_COMPANIES'!$F$41)),EXACT('01_INPUT_COMPANIES'!$G$41,TRIM('01_INPUT_COMPANIES'!$G$41)),EXACT('01_INPUT_COMPANIES'!$H$41,TRIM('01_INPUT_COMPANIES'!$H$41)))),"ERROR: COHORT WHITESPACE",IF(NOT(IFERROR(AND(ISTEXT('01_INPUT_COMPANIES'!$O$41),LEN('01_INPUT_COMPANIES'!$O$41)=10,VALUE(LEFT('01_INPUT_COMPANIES'!$O$41,4))&gt;=2000,VALUE(LEFT('01_INPUT_COMPANIES'!$O$41,4))&lt;=2100,EXACT(TEXT(DATE(VALUE(LEFT('01_INPUT_COMPANIES'!$O$41,4)),VALUE(MID('01_INPUT_COMPANIES'!$O$41,6,2)),VALUE(RIGHT('01_INPUT_COMPANIES'!$O$41,2))),"yyyy-mm-dd"),'01_INPUT_COMPANIES'!$O$41)),FALSE)),"ERROR: SOURCE DATE",IF(NOT(AND(OR(EXACT('01_INPUT_COMPANIES'!$C$41,"domestic"),EXACT('01_INPUT_COMPANIES'!$C$41,"foreign"),EXACT('01_INPUT_COMPANIES'!$C$41,"other")),OR(EXACT('01_INPUT_COMPANIES'!$K$41,"A"),EXACT('01_INPUT_COMPANIES'!$K$41,"B"),EXACT('01_INPUT_COMPANIES'!$K$41,"C"),EXACT('01_INPUT_COMPANIES'!$K$41,"SYNTHETIC")),OR(EXACT('01_INPUT_COMPANIES'!$L$41,"yes"),EXACT('01_INPUT_COMPANIES'!$L$41,"no")),OR(EXACT('01_INPUT_COMPANIES'!$M$41,"direct"),EXACT('01_INPUT_COMPANIES'!$M$41,"derived"),EXACT('01_INPUT_COMPANIES'!$M$41,"proxy"),EXACT('01_INPUT_COMPANIES'!$M$41,"mixed")),OR(EXACT('01_INPUT_COMPANIES'!$Q$41,"yes")),EXACT('01_INPUT_COMPANIES'!$I$41,UPPER('01_INPUT_COMPANIES'!$I$41)))),"ERROR: EXACT ENUM",IF(NOT(IFERROR(OR(AND(EXACT('92_REF_VARIABLES'!$A$21,'01_INPUT_COMPANIES'!$H$41),EXACT('92_REF_VARIABLES'!$B$21,'01_INPUT_COMPANIES'!$D$41),EXACT('92_REF_VARIABLES'!$C$21,'01_INPUT_COMPANIES'!$G$41))),FALSE)),"ERROR: BENCHMARK",""))))))</x:f>
      </x:c>
    </x:row>
    <x:row r="42">
      <x:c r="A42" s="34" t="str">
        <x:f>IF(OR('01_INPUT_COMPANIES'!$A$42="",'01_INPUT_COMPANIES'!$A$42=""),"",'01_INPUT_COMPANIES'!$A$42)</x:f>
      </x:c>
      <x:c r="B42" s="34" t="str">
        <x:f>IF(OR('01_INPUT_COMPANIES'!$A$42="",'01_INPUT_COMPANIES'!$B$42=""),"",'01_INPUT_COMPANIES'!$B$42)</x:f>
      </x:c>
      <x:c r="C42" s="34" t="str">
        <x:f>IF(OR('01_INPUT_COMPANIES'!$A$42="",'01_INPUT_COMPANIES'!$C$42=""),"",'01_INPUT_COMPANIES'!$C$42)</x:f>
      </x:c>
      <x:c r="D42" s="34" t="str">
        <x:f>IF(OR('01_INPUT_COMPANIES'!$A$42="",'01_INPUT_COMPANIES'!$D$42=""),"",'01_INPUT_COMPANIES'!$D$42)</x:f>
      </x:c>
      <x:c r="E42" s="34" t="str">
        <x:f>IF(OR('01_INPUT_COMPANIES'!$A$42="",'01_INPUT_COMPANIES'!$E$42=""),"",'01_INPUT_COMPANIES'!$E$42)</x:f>
      </x:c>
      <x:c r="F42" s="34" t="str">
        <x:f>IF(OR('01_INPUT_COMPANIES'!$A$42="",'01_INPUT_COMPANIES'!$F$42=""),"",'01_INPUT_COMPANIES'!$F$42)</x:f>
      </x:c>
      <x:c r="G42" s="34" t="str">
        <x:f>IF(OR('01_INPUT_COMPANIES'!$A$42="",'01_INPUT_COMPANIES'!$G$42=""),"",'01_INPUT_COMPANIES'!$G$42)</x:f>
      </x:c>
      <x:c r="H42" s="34" t="str">
        <x:f>IF(OR('01_INPUT_COMPANIES'!$A$42="",'01_INPUT_COMPANIES'!$H$42=""),"",'01_INPUT_COMPANIES'!$H$42)</x:f>
      </x:c>
      <x:c r="I42" s="34" t="str">
        <x:f>IF(OR('01_INPUT_COMPANIES'!$A$42="",'01_INPUT_COMPANIES'!$K$42=""),"",'01_INPUT_COMPANIES'!$K$42)</x:f>
      </x:c>
      <x:c r="J42" s="34" t="str">
        <x:f>IF(OR('01_INPUT_COMPANIES'!$A$42="",'01_INPUT_COMPANIES'!$M$42=""),"",'01_INPUT_COMPANIES'!$M$42)</x:f>
      </x:c>
      <x:c r="K42" s="34" t="str">
        <x:f>IF(OR(A42="",COUNTBLANK(D42:H42)&gt;0),"",LEN(D42)&amp;":"&amp;D42&amp;LEN(E42)&amp;":"&amp;E42&amp;LEN(F42)&amp;":"&amp;F42&amp;LEN(G42)&amp;":"&amp;G42&amp;LEN(H42)&amp;":"&amp;H42)</x:f>
      </x:c>
      <x:c r="L42" s="47" t="str">
        <x:f>IF(A42="","",'90_CALC_FEATURES'!$I$357)</x:f>
      </x:c>
      <x:c r="M42" s="47" t="str">
        <x:f>IF(A42="","",'90_CALC_FEATURES'!$I$358)</x:f>
      </x:c>
      <x:c r="N42" s="47" t="str">
        <x:f>IF(A42="","",'90_CALC_FEATURES'!$I$359)</x:f>
      </x:c>
      <x:c r="O42" s="47" t="str">
        <x:f>IF(A42="","",'90_CALC_FEATURES'!$I$360)</x:f>
      </x:c>
      <x:c r="P42" s="47" t="str">
        <x:f>IF(A42="","",'90_CALC_FEATURES'!$I$361)</x:f>
      </x:c>
      <x:c r="Q42" s="47" t="str">
        <x:f>IF(A42="","",'90_CALC_FEATURES'!$I$362)</x:f>
      </x:c>
      <x:c r="R42" s="47" t="str">
        <x:f>IF(A42="","",'90_CALC_FEATURES'!$I$363)</x:f>
      </x:c>
      <x:c r="S42" s="47" t="str">
        <x:f>IF(A42="","",'90_CALC_FEATURES'!$I$364)</x:f>
      </x:c>
      <x:c r="T42" s="47" t="str">
        <x:f>IF(A42="","",'90_CALC_FEATURES'!$I$365)</x:f>
      </x:c>
      <x:c r="U42" s="47" t="str">
        <x:f>IF(A42="","",'90_CALC_FEATURES'!$I$366)</x:f>
      </x:c>
      <x:c r="V42" s="47" t="str">
        <x:f>IF(COUNT(L42:N42)=3,100*AVERAGE(L42:N42),"")</x:f>
      </x:c>
      <x:c r="W42" s="47" t="str">
        <x:f>IF(COUNT(O42:R42)=4,100*AVERAGE(O42:R42),"")</x:f>
      </x:c>
      <x:c r="X42" s="47" t="str">
        <x:f>IF(COUNT(S42:U42)=3,100*AVERAGE(S42:U42),"")</x:f>
      </x:c>
      <x:c r="Y42" s="47" t="str">
        <x:f>IF(COUNT(V42:X42)=3,AVERAGE(V42:X42),"")</x:f>
      </x:c>
      <x:c r="Z42" s="47" t="str">
        <x:f>IF(OR(AND(EXACT(A42,"SYN-A"),COUNT('01_INPUT_COMPANIES'!$T$42:$AC$42)=10,'01_INPUT_COMPANIES'!$T$42=-0.02,'01_INPUT_COMPANIES'!$U$42=0.1332,'01_INPUT_COMPANIES'!$V$42=0.18,'01_INPUT_COMPANIES'!$W$42=0.42,'01_INPUT_COMPANIES'!$X$42=0.012,'01_INPUT_COMPANIES'!$Y$42=3.2,'01_INPUT_COMPANIES'!$Z$42=0.08,'01_INPUT_COMPANIES'!$AA$42=0.28,'01_INPUT_COMPANIES'!$AB$42=0.74,'01_INPUT_COMPANIES'!$AC$42=8.5),AND(EXACT(A42,"SYN-B"),COUNT('01_INPUT_COMPANIES'!$T$42:$AC$42)=10,'01_INPUT_COMPANIES'!$T$42=-0.055,'01_INPUT_COMPANIES'!$U$42=0.06405,'01_INPUT_COMPANIES'!$V$42=0.105,'01_INPUT_COMPANIES'!$W$42=0.73,'01_INPUT_COMPANIES'!$X$42=0.004,'01_INPUT_COMPANIES'!$Y$42=4.1,'01_INPUT_COMPANIES'!$Z$42=0.025,'01_INPUT_COMPANIES'!$AA$42=0.16,'01_INPUT_COMPANIES'!$AB$42=0.61,'01_INPUT_COMPANIES'!$AC$42=4),AND(EXACT(A42,"SYN-C"),COUNT('01_INPUT_COMPANIES'!$T$42:$AC$42)=10,'01_INPUT_COMPANIES'!$T$42=0.01,'01_INPUT_COMPANIES'!$U$42=0.0986,'01_INPUT_COMPANIES'!$V$42=0.145,'01_INPUT_COMPANIES'!$W$42=0.18,'01_INPUT_COMPANIES'!$X$42=0.018,'01_INPUT_COMPANIES'!$Y$42=2.65,'01_INPUT_COMPANIES'!$Z$42=0.11,'01_INPUT_COMPANIES'!$AA$42=0.34,'01_INPUT_COMPANIES'!$AB$42=0.68,'01_INPUT_COMPANIES'!$AC$42=6.8),AND(EXACT(A42,"SYN-D"),COUNT('01_INPUT_COMPANIES'!$T$42:$AC$42)=10,'01_INPUT_COMPANIES'!$T$42=-0.005,'01_INPUT_COMPANIES'!$U$42=0.1136,'01_INPUT_COMPANIES'!$V$42=0.16,'01_INPUT_COMPANIES'!$W$42=0.51,'01_INPUT_COMPANIES'!$X$42=0.009,'01_INPUT_COMPANIES'!$Y$42=3.55,'01_INPUT_COMPANIES'!$Z$42=0.065,'01_INPUT_COMPANIES'!$AA$42=0.24,'01_INPUT_COMPANIES'!$AB$42=0.71,'01_INPUT_COMPANIES'!$AC$42=7.4)),IFERROR(INDEX('94_EXPECTED_OUTPUTS'!$B$7:$B$10,MATCH(A42,'94_EXPECTED_OUTPUTS'!$A$7:$A$10,0)),""),"")</x:f>
      </x:c>
      <x:c r="AA42" s="47" t="str">
        <x:f>IF(OR(COUNT(Y42)=0,COUNT(Z42)=0),"",ABS(Y42-Z42))</x:f>
      </x:c>
      <x:c r="AB42" s="34" t="str">
        <x:f>IF(A42="","",IF(AD42&lt;&gt;"",AD42,IF('01_INPUT_COMPANIES'!$A$42="","",IF(OR(LEN(TRIM('01_INPUT_COMPANIES'!$A$42&amp;""))=0,LEN(TRIM('01_INPUT_COMPANIES'!$B$42&amp;""))=0,LEN(TRIM('01_INPUT_COMPANIES'!$C$42&amp;""))=0,LEN(TRIM('01_INPUT_COMPANIES'!$D$42&amp;""))=0,LEN(TRIM('01_INPUT_COMPANIES'!$E$42&amp;""))=0,LEN(TRIM('01_INPUT_COMPANIES'!$F$42&amp;""))=0,LEN(TRIM('01_INPUT_COMPANIES'!$G$42&amp;""))=0,LEN(TRIM('01_INPUT_COMPANIES'!$H$42&amp;""))=0,LEN(TRIM('01_INPUT_COMPANIES'!$I$42&amp;""))=0,LEN(TRIM('01_INPUT_COMPANIES'!$K$42&amp;""))=0,LEN(TRIM('01_INPUT_COMPANIES'!$L$42&amp;""))=0,LEN(TRIM('01_INPUT_COMPANIES'!$M$42&amp;""))=0,LEN(TRIM('01_INPUT_COMPANIES'!$N$42&amp;""))=0,LEN(TRIM('01_INPUT_COMPANIES'!$O$42&amp;""))=0,LEN(TRIM('01_INPUT_COMPANIES'!$Q$42&amp;""))=0,COUNTBLANK('01_INPUT_COMPANIES'!$A$42:$R$42)&gt;0),"INPUT REQUIRED",IF(OR('01_INPUT_COMPANIES'!$A$42&lt;&gt;TRIM('01_INPUT_COMPANIES'!$A$42),NOT(EXACT('01_INPUT_COMPANIES'!$A$42,UPPER('01_INPUT_COMPANIES'!$A$42))),LEN('01_INPUT_COMPANIES'!$A$42)&gt;64,ISNUMBER(FIND("*",'01_INPUT_COMPANIES'!$A$42)),ISNUMBER(FIND("?",'01_INPUT_COMPANIES'!$A$42)),ISNUMBER(FIND("~",'01_INPUT_COMPANIES'!$A$42))),"ERROR: ID FORMAT",IF(COUNTIF('01_INPUT_COMPANIES'!$A$7:$A$106,'01_INPUT_COMPANIES'!$A$42)&lt;&gt;1,"ERROR: DUPLICATE ID",IF(COUNT('01_INPUT_COMPANIES'!$T$42:$AC$42)&lt;&gt;10,"INPUT REQUIRED",IF(NOT(OR('01_INPUT_COMPANIES'!$C$42="domestic",'01_INPUT_COMPANIES'!$C$42="foreign",'01_INPUT_COMPANIES'!$C$42="other")),"ERROR: COMPANY GROUP",IF(OR(LEN('01_INPUT_COMPANIES'!$G$42)&lt;&gt;6,MID('01_INPUT_COMPANIES'!$G$42,5,1)&lt;&gt;"Q",IFERROR(VALUE(LEFT('01_INPUT_COMPANIES'!$G$42,4)),0)&lt;2000,IFERROR(VALUE(LEFT('01_INPUT_COMPANIES'!$G$42,4)),0)&gt;2100,IFERROR(VALUE(RIGHT('01_INPUT_COMPANIES'!$G$42,1)),0)&lt;1,IFERROR(VALUE(RIGHT('01_INPUT_COMPANIES'!$G$42,1)),0)&gt;4),"ERROR: REPORTING PERIOD",IF(OR(COUNTIFS('92_REF_VARIABLES'!$A$21:$A$21,'01_INPUT_COMPANIES'!$H$42,'92_REF_VARIABLES'!$B$21:$B$21,'01_INPUT_COMPANIES'!$D$42,'92_REF_VARIABLES'!$C$21:$C$21,'01_INPUT_COMPANIES'!$G$42)&lt;&gt;1,AND(IFERROR(INDEX('92_REF_VARIABLES'!$I$21:$I$21,MATCH('01_INPUT_COMPANIES'!$H$42,'92_REF_VARIABLES'!$A$21:$A$21,0)),"")="synthetic_only",'01_INPUT_COMPANIES'!$L$42&lt;&gt;"yes")),"ERROR: BENCHMARK",IF(COUNTIF('92_REF_VARIABLES'!$L$21:$L$50,'01_INPUT_COMPANIES'!$I$42)&lt;&gt;1,"ERROR: CURRENCY",IF(OR(NOT(ISNUMBER('01_INPUT_COMPANIES'!$J$42)),'01_INPUT_COMPANIES'!$J$42&lt;&gt;INT('01_INPUT_COMPANIES'!$J$42),'01_INPUT_COMPANIES'!$J$42&lt;2000,'01_INPUT_COMPANIES'!$J$42&gt;2100),"ERROR: PRICE YEAR",IF(NOT(OR('01_INPUT_COMPANIES'!$K$42="A",'01_INPUT_COMPANIES'!$K$42="B",'01_INPUT_COMPANIES'!$K$42="C",'01_INPUT_COMPANIES'!$K$42="SYNTHETIC")),"ERROR: QUALITY",IF(NOT(OR(AND('01_INPUT_COMPANIES'!$L$42="yes",'01_INPUT_COMPANIES'!$K$42="SYNTHETIC"),AND('01_INPUT_COMPANIES'!$L$42="no",'01_INPUT_COMPANIES'!$K$42&lt;&gt;"SYNTHETIC"))),"ERROR: SYNTHETIC FLAG",IF(NOT(OR('01_INPUT_COMPANIES'!$M$42="direct",'01_INPUT_COMPANIES'!$M$42="derived",'01_INPUT_COMPANIES'!$M$42="proxy",'01_INPUT_COMPANIES'!$M$42="mixed")),"ERROR: CONSTRUCTION MODE",IF(OR(NOT(ISNUMBER('01_INPUT_COMPANIES'!$P$42)),'01_INPUT_COMPANIES'!$P$42&lt;0,'01_INPUT_COMPANIES'!$P$42&lt;&gt;INT('01_INPUT_COMPANIES'!$P$42)),"ERROR: CARRY LAG",IF('01_INPUT_COMPANIES'!$Q$42&lt;&gt;"yes","ERROR: EXPOSURE ADJUSTMENT",IF(OR(NOT(ISNUMBER('01_INPUT_COMPANIES'!$R$42)),'01_INPUT_COMPANIES'!$R$42&lt;0,'01_INPUT_COMPANIES'!$R$42&gt;1),"ERROR: EXPOSURE FACTOR",IF(COUNT(Y42)=0,"ERROR: SCORE",IF(COUNT(Z42)=0,"READY",IF(AA42&lt;=0.0000000001,"PASS","CHECK"))&amp;IF('01_INPUT_COMPANIES'!$K$42="C"," | C QUALITY","")&amp;IF(OR('01_INPUT_COMPANIES'!$M$42="proxy",'01_INPUT_COMPANIES'!$M$42="mixed")," | PROXY/MIXED","")&amp;IF('01_INPUT_COMPANIES'!$P$42&gt;1," | CARRY&gt;1","")&amp;IF(OR(OR('01_INPUT_COMPANIES'!$T$42&lt;-1,'01_INPUT_COMPANIES'!$T$42&gt;1),OR('01_INPUT_COMPANIES'!$U$42&lt;0,'01_INPUT_COMPANIES'!$U$42&gt;1),OR('01_INPUT_COMPANIES'!$V$42&lt;0,'01_INPUT_COMPANIES'!$V$42&gt;1),OR('01_INPUT_COMPANIES'!$W$42&lt;-10,'01_INPUT_COMPANIES'!$W$42&gt;10),OR('01_INPUT_COMPANIES'!$X$42&lt;-1,'01_INPUT_COMPANIES'!$X$42&gt;1),OR('01_INPUT_COMPANIES'!$Y$42&lt;0,'01_INPUT_COMPANIES'!$Y$42&gt;20),OR('01_INPUT_COMPANIES'!$Z$42&lt;-2,'01_INPUT_COMPANIES'!$Z$42&gt;2),OR('01_INPUT_COMPANIES'!$AA$42&lt;0,'01_INPUT_COMPANIES'!$AA$42&gt;1),OR('01_INPUT_COMPANIES'!$AB$42&lt;0,'01_INPUT_COMPANIES'!$AB$42&gt;1),OR('01_INPUT_COMPANIES'!$AC$42&lt;0,'01_INPUT_COMPANIES'!$AC$42&gt;50))," | REVIEW RANGE","")&amp;IF(COUNTIF('90_CALC_FEATURES'!$J$357:$J$366,"WINSORIZED*")&gt;0," | WINSORIZED","")&amp;IF(ABS('01_INPUT_COMPANIES'!$U$42-'01_INPUT_COMPANIES'!$V$42*'01_INPUT_COMPANIES'!$AB$42)&gt;MAX(0.005,0.05*MAX(ABS('01_INPUT_COMPANIES'!$V$42*'01_INPUT_COMPANIES'!$AB$42),ABS('01_INPUT_COMPANIES'!$U$42),0.000000000001))," | DEPENDENCY",""))))))))))))))))))))</x:f>
      </x:c>
      <x:c r="AC42" s="34" t="str">
        <x:f>IF(A42="","",IF(OR(LEFT(AB42,4)="PASS",LEFT(AB42,5)="READY"),"RESEARCH BETA | 저지원 22.22% | 기업 백분위 N/A", "결과 사용 금지 | "&amp;AB42))</x:f>
      </x:c>
      <x:c r="AD42" s="34" t="str">
        <x:f>IF(A42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$42,TRIM('01_INPUT_COMPANIES'!$D$42)),EXACT('01_INPUT_COMPANIES'!$E$42,TRIM('01_INPUT_COMPANIES'!$E$42)),EXACT('01_INPUT_COMPANIES'!$F$42,TRIM('01_INPUT_COMPANIES'!$F$42)),EXACT('01_INPUT_COMPANIES'!$G$42,TRIM('01_INPUT_COMPANIES'!$G$42)),EXACT('01_INPUT_COMPANIES'!$H$42,TRIM('01_INPUT_COMPANIES'!$H$42)))),"ERROR: COHORT WHITESPACE",IF(NOT(IFERROR(AND(ISTEXT('01_INPUT_COMPANIES'!$O$42),LEN('01_INPUT_COMPANIES'!$O$42)=10,VALUE(LEFT('01_INPUT_COMPANIES'!$O$42,4))&gt;=2000,VALUE(LEFT('01_INPUT_COMPANIES'!$O$42,4))&lt;=2100,EXACT(TEXT(DATE(VALUE(LEFT('01_INPUT_COMPANIES'!$O$42,4)),VALUE(MID('01_INPUT_COMPANIES'!$O$42,6,2)),VALUE(RIGHT('01_INPUT_COMPANIES'!$O$42,2))),"yyyy-mm-dd"),'01_INPUT_COMPANIES'!$O$42)),FALSE)),"ERROR: SOURCE DATE",IF(NOT(AND(OR(EXACT('01_INPUT_COMPANIES'!$C$42,"domestic"),EXACT('01_INPUT_COMPANIES'!$C$42,"foreign"),EXACT('01_INPUT_COMPANIES'!$C$42,"other")),OR(EXACT('01_INPUT_COMPANIES'!$K$42,"A"),EXACT('01_INPUT_COMPANIES'!$K$42,"B"),EXACT('01_INPUT_COMPANIES'!$K$42,"C"),EXACT('01_INPUT_COMPANIES'!$K$42,"SYNTHETIC")),OR(EXACT('01_INPUT_COMPANIES'!$L$42,"yes"),EXACT('01_INPUT_COMPANIES'!$L$42,"no")),OR(EXACT('01_INPUT_COMPANIES'!$M$42,"direct"),EXACT('01_INPUT_COMPANIES'!$M$42,"derived"),EXACT('01_INPUT_COMPANIES'!$M$42,"proxy"),EXACT('01_INPUT_COMPANIES'!$M$42,"mixed")),OR(EXACT('01_INPUT_COMPANIES'!$Q$42,"yes")),EXACT('01_INPUT_COMPANIES'!$I$42,UPPER('01_INPUT_COMPANIES'!$I$42)))),"ERROR: EXACT ENUM",IF(NOT(IFERROR(OR(AND(EXACT('92_REF_VARIABLES'!$A$21,'01_INPUT_COMPANIES'!$H$42),EXACT('92_REF_VARIABLES'!$B$21,'01_INPUT_COMPANIES'!$D$42),EXACT('92_REF_VARIABLES'!$C$21,'01_INPUT_COMPANIES'!$G$42))),FALSE)),"ERROR: BENCHMARK",""))))))</x:f>
      </x:c>
    </x:row>
    <x:row r="43">
      <x:c r="A43" s="34" t="str">
        <x:f>IF(OR('01_INPUT_COMPANIES'!$A$43="",'01_INPUT_COMPANIES'!$A$43=""),"",'01_INPUT_COMPANIES'!$A$43)</x:f>
      </x:c>
      <x:c r="B43" s="34" t="str">
        <x:f>IF(OR('01_INPUT_COMPANIES'!$A$43="",'01_INPUT_COMPANIES'!$B$43=""),"",'01_INPUT_COMPANIES'!$B$43)</x:f>
      </x:c>
      <x:c r="C43" s="34" t="str">
        <x:f>IF(OR('01_INPUT_COMPANIES'!$A$43="",'01_INPUT_COMPANIES'!$C$43=""),"",'01_INPUT_COMPANIES'!$C$43)</x:f>
      </x:c>
      <x:c r="D43" s="34" t="str">
        <x:f>IF(OR('01_INPUT_COMPANIES'!$A$43="",'01_INPUT_COMPANIES'!$D$43=""),"",'01_INPUT_COMPANIES'!$D$43)</x:f>
      </x:c>
      <x:c r="E43" s="34" t="str">
        <x:f>IF(OR('01_INPUT_COMPANIES'!$A$43="",'01_INPUT_COMPANIES'!$E$43=""),"",'01_INPUT_COMPANIES'!$E$43)</x:f>
      </x:c>
      <x:c r="F43" s="34" t="str">
        <x:f>IF(OR('01_INPUT_COMPANIES'!$A$43="",'01_INPUT_COMPANIES'!$F$43=""),"",'01_INPUT_COMPANIES'!$F$43)</x:f>
      </x:c>
      <x:c r="G43" s="34" t="str">
        <x:f>IF(OR('01_INPUT_COMPANIES'!$A$43="",'01_INPUT_COMPANIES'!$G$43=""),"",'01_INPUT_COMPANIES'!$G$43)</x:f>
      </x:c>
      <x:c r="H43" s="34" t="str">
        <x:f>IF(OR('01_INPUT_COMPANIES'!$A$43="",'01_INPUT_COMPANIES'!$H$43=""),"",'01_INPUT_COMPANIES'!$H$43)</x:f>
      </x:c>
      <x:c r="I43" s="34" t="str">
        <x:f>IF(OR('01_INPUT_COMPANIES'!$A$43="",'01_INPUT_COMPANIES'!$K$43=""),"",'01_INPUT_COMPANIES'!$K$43)</x:f>
      </x:c>
      <x:c r="J43" s="34" t="str">
        <x:f>IF(OR('01_INPUT_COMPANIES'!$A$43="",'01_INPUT_COMPANIES'!$M$43=""),"",'01_INPUT_COMPANIES'!$M$43)</x:f>
      </x:c>
      <x:c r="K43" s="34" t="str">
        <x:f>IF(OR(A43="",COUNTBLANK(D43:H43)&gt;0),"",LEN(D43)&amp;":"&amp;D43&amp;LEN(E43)&amp;":"&amp;E43&amp;LEN(F43)&amp;":"&amp;F43&amp;LEN(G43)&amp;":"&amp;G43&amp;LEN(H43)&amp;":"&amp;H43)</x:f>
      </x:c>
      <x:c r="L43" s="47" t="str">
        <x:f>IF(A43="","",'90_CALC_FEATURES'!$I$367)</x:f>
      </x:c>
      <x:c r="M43" s="47" t="str">
        <x:f>IF(A43="","",'90_CALC_FEATURES'!$I$368)</x:f>
      </x:c>
      <x:c r="N43" s="47" t="str">
        <x:f>IF(A43="","",'90_CALC_FEATURES'!$I$369)</x:f>
      </x:c>
      <x:c r="O43" s="47" t="str">
        <x:f>IF(A43="","",'90_CALC_FEATURES'!$I$370)</x:f>
      </x:c>
      <x:c r="P43" s="47" t="str">
        <x:f>IF(A43="","",'90_CALC_FEATURES'!$I$371)</x:f>
      </x:c>
      <x:c r="Q43" s="47" t="str">
        <x:f>IF(A43="","",'90_CALC_FEATURES'!$I$372)</x:f>
      </x:c>
      <x:c r="R43" s="47" t="str">
        <x:f>IF(A43="","",'90_CALC_FEATURES'!$I$373)</x:f>
      </x:c>
      <x:c r="S43" s="47" t="str">
        <x:f>IF(A43="","",'90_CALC_FEATURES'!$I$374)</x:f>
      </x:c>
      <x:c r="T43" s="47" t="str">
        <x:f>IF(A43="","",'90_CALC_FEATURES'!$I$375)</x:f>
      </x:c>
      <x:c r="U43" s="47" t="str">
        <x:f>IF(A43="","",'90_CALC_FEATURES'!$I$376)</x:f>
      </x:c>
      <x:c r="V43" s="47" t="str">
        <x:f>IF(COUNT(L43:N43)=3,100*AVERAGE(L43:N43),"")</x:f>
      </x:c>
      <x:c r="W43" s="47" t="str">
        <x:f>IF(COUNT(O43:R43)=4,100*AVERAGE(O43:R43),"")</x:f>
      </x:c>
      <x:c r="X43" s="47" t="str">
        <x:f>IF(COUNT(S43:U43)=3,100*AVERAGE(S43:U43),"")</x:f>
      </x:c>
      <x:c r="Y43" s="47" t="str">
        <x:f>IF(COUNT(V43:X43)=3,AVERAGE(V43:X43),"")</x:f>
      </x:c>
      <x:c r="Z43" s="47" t="str">
        <x:f>IF(OR(AND(EXACT(A43,"SYN-A"),COUNT('01_INPUT_COMPANIES'!$T$43:$AC$43)=10,'01_INPUT_COMPANIES'!$T$43=-0.02,'01_INPUT_COMPANIES'!$U$43=0.1332,'01_INPUT_COMPANIES'!$V$43=0.18,'01_INPUT_COMPANIES'!$W$43=0.42,'01_INPUT_COMPANIES'!$X$43=0.012,'01_INPUT_COMPANIES'!$Y$43=3.2,'01_INPUT_COMPANIES'!$Z$43=0.08,'01_INPUT_COMPANIES'!$AA$43=0.28,'01_INPUT_COMPANIES'!$AB$43=0.74,'01_INPUT_COMPANIES'!$AC$43=8.5),AND(EXACT(A43,"SYN-B"),COUNT('01_INPUT_COMPANIES'!$T$43:$AC$43)=10,'01_INPUT_COMPANIES'!$T$43=-0.055,'01_INPUT_COMPANIES'!$U$43=0.06405,'01_INPUT_COMPANIES'!$V$43=0.105,'01_INPUT_COMPANIES'!$W$43=0.73,'01_INPUT_COMPANIES'!$X$43=0.004,'01_INPUT_COMPANIES'!$Y$43=4.1,'01_INPUT_COMPANIES'!$Z$43=0.025,'01_INPUT_COMPANIES'!$AA$43=0.16,'01_INPUT_COMPANIES'!$AB$43=0.61,'01_INPUT_COMPANIES'!$AC$43=4),AND(EXACT(A43,"SYN-C"),COUNT('01_INPUT_COMPANIES'!$T$43:$AC$43)=10,'01_INPUT_COMPANIES'!$T$43=0.01,'01_INPUT_COMPANIES'!$U$43=0.0986,'01_INPUT_COMPANIES'!$V$43=0.145,'01_INPUT_COMPANIES'!$W$43=0.18,'01_INPUT_COMPANIES'!$X$43=0.018,'01_INPUT_COMPANIES'!$Y$43=2.65,'01_INPUT_COMPANIES'!$Z$43=0.11,'01_INPUT_COMPANIES'!$AA$43=0.34,'01_INPUT_COMPANIES'!$AB$43=0.68,'01_INPUT_COMPANIES'!$AC$43=6.8),AND(EXACT(A43,"SYN-D"),COUNT('01_INPUT_COMPANIES'!$T$43:$AC$43)=10,'01_INPUT_COMPANIES'!$T$43=-0.005,'01_INPUT_COMPANIES'!$U$43=0.1136,'01_INPUT_COMPANIES'!$V$43=0.16,'01_INPUT_COMPANIES'!$W$43=0.51,'01_INPUT_COMPANIES'!$X$43=0.009,'01_INPUT_COMPANIES'!$Y$43=3.55,'01_INPUT_COMPANIES'!$Z$43=0.065,'01_INPUT_COMPANIES'!$AA$43=0.24,'01_INPUT_COMPANIES'!$AB$43=0.71,'01_INPUT_COMPANIES'!$AC$43=7.4)),IFERROR(INDEX('94_EXPECTED_OUTPUTS'!$B$7:$B$10,MATCH(A43,'94_EXPECTED_OUTPUTS'!$A$7:$A$10,0)),""),"")</x:f>
      </x:c>
      <x:c r="AA43" s="47" t="str">
        <x:f>IF(OR(COUNT(Y43)=0,COUNT(Z43)=0),"",ABS(Y43-Z43))</x:f>
      </x:c>
      <x:c r="AB43" s="34" t="str">
        <x:f>IF(A43="","",IF(AD43&lt;&gt;"",AD43,IF('01_INPUT_COMPANIES'!$A$43="","",IF(OR(LEN(TRIM('01_INPUT_COMPANIES'!$A$43&amp;""))=0,LEN(TRIM('01_INPUT_COMPANIES'!$B$43&amp;""))=0,LEN(TRIM('01_INPUT_COMPANIES'!$C$43&amp;""))=0,LEN(TRIM('01_INPUT_COMPANIES'!$D$43&amp;""))=0,LEN(TRIM('01_INPUT_COMPANIES'!$E$43&amp;""))=0,LEN(TRIM('01_INPUT_COMPANIES'!$F$43&amp;""))=0,LEN(TRIM('01_INPUT_COMPANIES'!$G$43&amp;""))=0,LEN(TRIM('01_INPUT_COMPANIES'!$H$43&amp;""))=0,LEN(TRIM('01_INPUT_COMPANIES'!$I$43&amp;""))=0,LEN(TRIM('01_INPUT_COMPANIES'!$K$43&amp;""))=0,LEN(TRIM('01_INPUT_COMPANIES'!$L$43&amp;""))=0,LEN(TRIM('01_INPUT_COMPANIES'!$M$43&amp;""))=0,LEN(TRIM('01_INPUT_COMPANIES'!$N$43&amp;""))=0,LEN(TRIM('01_INPUT_COMPANIES'!$O$43&amp;""))=0,LEN(TRIM('01_INPUT_COMPANIES'!$Q$43&amp;""))=0,COUNTBLANK('01_INPUT_COMPANIES'!$A$43:$R$43)&gt;0),"INPUT REQUIRED",IF(OR('01_INPUT_COMPANIES'!$A$43&lt;&gt;TRIM('01_INPUT_COMPANIES'!$A$43),NOT(EXACT('01_INPUT_COMPANIES'!$A$43,UPPER('01_INPUT_COMPANIES'!$A$43))),LEN('01_INPUT_COMPANIES'!$A$43)&gt;64,ISNUMBER(FIND("*",'01_INPUT_COMPANIES'!$A$43)),ISNUMBER(FIND("?",'01_INPUT_COMPANIES'!$A$43)),ISNUMBER(FIND("~",'01_INPUT_COMPANIES'!$A$43))),"ERROR: ID FORMAT",IF(COUNTIF('01_INPUT_COMPANIES'!$A$7:$A$106,'01_INPUT_COMPANIES'!$A$43)&lt;&gt;1,"ERROR: DUPLICATE ID",IF(COUNT('01_INPUT_COMPANIES'!$T$43:$AC$43)&lt;&gt;10,"INPUT REQUIRED",IF(NOT(OR('01_INPUT_COMPANIES'!$C$43="domestic",'01_INPUT_COMPANIES'!$C$43="foreign",'01_INPUT_COMPANIES'!$C$43="other")),"ERROR: COMPANY GROUP",IF(OR(LEN('01_INPUT_COMPANIES'!$G$43)&lt;&gt;6,MID('01_INPUT_COMPANIES'!$G$43,5,1)&lt;&gt;"Q",IFERROR(VALUE(LEFT('01_INPUT_COMPANIES'!$G$43,4)),0)&lt;2000,IFERROR(VALUE(LEFT('01_INPUT_COMPANIES'!$G$43,4)),0)&gt;2100,IFERROR(VALUE(RIGHT('01_INPUT_COMPANIES'!$G$43,1)),0)&lt;1,IFERROR(VALUE(RIGHT('01_INPUT_COMPANIES'!$G$43,1)),0)&gt;4),"ERROR: REPORTING PERIOD",IF(OR(COUNTIFS('92_REF_VARIABLES'!$A$21:$A$21,'01_INPUT_COMPANIES'!$H$43,'92_REF_VARIABLES'!$B$21:$B$21,'01_INPUT_COMPANIES'!$D$43,'92_REF_VARIABLES'!$C$21:$C$21,'01_INPUT_COMPANIES'!$G$43)&lt;&gt;1,AND(IFERROR(INDEX('92_REF_VARIABLES'!$I$21:$I$21,MATCH('01_INPUT_COMPANIES'!$H$43,'92_REF_VARIABLES'!$A$21:$A$21,0)),"")="synthetic_only",'01_INPUT_COMPANIES'!$L$43&lt;&gt;"yes")),"ERROR: BENCHMARK",IF(COUNTIF('92_REF_VARIABLES'!$L$21:$L$50,'01_INPUT_COMPANIES'!$I$43)&lt;&gt;1,"ERROR: CURRENCY",IF(OR(NOT(ISNUMBER('01_INPUT_COMPANIES'!$J$43)),'01_INPUT_COMPANIES'!$J$43&lt;&gt;INT('01_INPUT_COMPANIES'!$J$43),'01_INPUT_COMPANIES'!$J$43&lt;2000,'01_INPUT_COMPANIES'!$J$43&gt;2100),"ERROR: PRICE YEAR",IF(NOT(OR('01_INPUT_COMPANIES'!$K$43="A",'01_INPUT_COMPANIES'!$K$43="B",'01_INPUT_COMPANIES'!$K$43="C",'01_INPUT_COMPANIES'!$K$43="SYNTHETIC")),"ERROR: QUALITY",IF(NOT(OR(AND('01_INPUT_COMPANIES'!$L$43="yes",'01_INPUT_COMPANIES'!$K$43="SYNTHETIC"),AND('01_INPUT_COMPANIES'!$L$43="no",'01_INPUT_COMPANIES'!$K$43&lt;&gt;"SYNTHETIC"))),"ERROR: SYNTHETIC FLAG",IF(NOT(OR('01_INPUT_COMPANIES'!$M$43="direct",'01_INPUT_COMPANIES'!$M$43="derived",'01_INPUT_COMPANIES'!$M$43="proxy",'01_INPUT_COMPANIES'!$M$43="mixed")),"ERROR: CONSTRUCTION MODE",IF(OR(NOT(ISNUMBER('01_INPUT_COMPANIES'!$P$43)),'01_INPUT_COMPANIES'!$P$43&lt;0,'01_INPUT_COMPANIES'!$P$43&lt;&gt;INT('01_INPUT_COMPANIES'!$P$43)),"ERROR: CARRY LAG",IF('01_INPUT_COMPANIES'!$Q$43&lt;&gt;"yes","ERROR: EXPOSURE ADJUSTMENT",IF(OR(NOT(ISNUMBER('01_INPUT_COMPANIES'!$R$43)),'01_INPUT_COMPANIES'!$R$43&lt;0,'01_INPUT_COMPANIES'!$R$43&gt;1),"ERROR: EXPOSURE FACTOR",IF(COUNT(Y43)=0,"ERROR: SCORE",IF(COUNT(Z43)=0,"READY",IF(AA43&lt;=0.0000000001,"PASS","CHECK"))&amp;IF('01_INPUT_COMPANIES'!$K$43="C"," | C QUALITY","")&amp;IF(OR('01_INPUT_COMPANIES'!$M$43="proxy",'01_INPUT_COMPANIES'!$M$43="mixed")," | PROXY/MIXED","")&amp;IF('01_INPUT_COMPANIES'!$P$43&gt;1," | CARRY&gt;1","")&amp;IF(OR(OR('01_INPUT_COMPANIES'!$T$43&lt;-1,'01_INPUT_COMPANIES'!$T$43&gt;1),OR('01_INPUT_COMPANIES'!$U$43&lt;0,'01_INPUT_COMPANIES'!$U$43&gt;1),OR('01_INPUT_COMPANIES'!$V$43&lt;0,'01_INPUT_COMPANIES'!$V$43&gt;1),OR('01_INPUT_COMPANIES'!$W$43&lt;-10,'01_INPUT_COMPANIES'!$W$43&gt;10),OR('01_INPUT_COMPANIES'!$X$43&lt;-1,'01_INPUT_COMPANIES'!$X$43&gt;1),OR('01_INPUT_COMPANIES'!$Y$43&lt;0,'01_INPUT_COMPANIES'!$Y$43&gt;20),OR('01_INPUT_COMPANIES'!$Z$43&lt;-2,'01_INPUT_COMPANIES'!$Z$43&gt;2),OR('01_INPUT_COMPANIES'!$AA$43&lt;0,'01_INPUT_COMPANIES'!$AA$43&gt;1),OR('01_INPUT_COMPANIES'!$AB$43&lt;0,'01_INPUT_COMPANIES'!$AB$43&gt;1),OR('01_INPUT_COMPANIES'!$AC$43&lt;0,'01_INPUT_COMPANIES'!$AC$43&gt;50))," | REVIEW RANGE","")&amp;IF(COUNTIF('90_CALC_FEATURES'!$J$367:$J$376,"WINSORIZED*")&gt;0," | WINSORIZED","")&amp;IF(ABS('01_INPUT_COMPANIES'!$U$43-'01_INPUT_COMPANIES'!$V$43*'01_INPUT_COMPANIES'!$AB$43)&gt;MAX(0.005,0.05*MAX(ABS('01_INPUT_COMPANIES'!$V$43*'01_INPUT_COMPANIES'!$AB$43),ABS('01_INPUT_COMPANIES'!$U$43),0.000000000001))," | DEPENDENCY",""))))))))))))))))))))</x:f>
      </x:c>
      <x:c r="AC43" s="34" t="str">
        <x:f>IF(A43="","",IF(OR(LEFT(AB43,4)="PASS",LEFT(AB43,5)="READY"),"RESEARCH BETA | 저지원 22.22% | 기업 백분위 N/A", "결과 사용 금지 | "&amp;AB43))</x:f>
      </x:c>
      <x:c r="AD43" s="34" t="str">
        <x:f>IF(A43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$43,TRIM('01_INPUT_COMPANIES'!$D$43)),EXACT('01_INPUT_COMPANIES'!$E$43,TRIM('01_INPUT_COMPANIES'!$E$43)),EXACT('01_INPUT_COMPANIES'!$F$43,TRIM('01_INPUT_COMPANIES'!$F$43)),EXACT('01_INPUT_COMPANIES'!$G$43,TRIM('01_INPUT_COMPANIES'!$G$43)),EXACT('01_INPUT_COMPANIES'!$H$43,TRIM('01_INPUT_COMPANIES'!$H$43)))),"ERROR: COHORT WHITESPACE",IF(NOT(IFERROR(AND(ISTEXT('01_INPUT_COMPANIES'!$O$43),LEN('01_INPUT_COMPANIES'!$O$43)=10,VALUE(LEFT('01_INPUT_COMPANIES'!$O$43,4))&gt;=2000,VALUE(LEFT('01_INPUT_COMPANIES'!$O$43,4))&lt;=2100,EXACT(TEXT(DATE(VALUE(LEFT('01_INPUT_COMPANIES'!$O$43,4)),VALUE(MID('01_INPUT_COMPANIES'!$O$43,6,2)),VALUE(RIGHT('01_INPUT_COMPANIES'!$O$43,2))),"yyyy-mm-dd"),'01_INPUT_COMPANIES'!$O$43)),FALSE)),"ERROR: SOURCE DATE",IF(NOT(AND(OR(EXACT('01_INPUT_COMPANIES'!$C$43,"domestic"),EXACT('01_INPUT_COMPANIES'!$C$43,"foreign"),EXACT('01_INPUT_COMPANIES'!$C$43,"other")),OR(EXACT('01_INPUT_COMPANIES'!$K$43,"A"),EXACT('01_INPUT_COMPANIES'!$K$43,"B"),EXACT('01_INPUT_COMPANIES'!$K$43,"C"),EXACT('01_INPUT_COMPANIES'!$K$43,"SYNTHETIC")),OR(EXACT('01_INPUT_COMPANIES'!$L$43,"yes"),EXACT('01_INPUT_COMPANIES'!$L$43,"no")),OR(EXACT('01_INPUT_COMPANIES'!$M$43,"direct"),EXACT('01_INPUT_COMPANIES'!$M$43,"derived"),EXACT('01_INPUT_COMPANIES'!$M$43,"proxy"),EXACT('01_INPUT_COMPANIES'!$M$43,"mixed")),OR(EXACT('01_INPUT_COMPANIES'!$Q$43,"yes")),EXACT('01_INPUT_COMPANIES'!$I$43,UPPER('01_INPUT_COMPANIES'!$I$43)))),"ERROR: EXACT ENUM",IF(NOT(IFERROR(OR(AND(EXACT('92_REF_VARIABLES'!$A$21,'01_INPUT_COMPANIES'!$H$43),EXACT('92_REF_VARIABLES'!$B$21,'01_INPUT_COMPANIES'!$D$43),EXACT('92_REF_VARIABLES'!$C$21,'01_INPUT_COMPANIES'!$G$43))),FALSE)),"ERROR: BENCHMARK",""))))))</x:f>
      </x:c>
    </x:row>
    <x:row r="44">
      <x:c r="A44" s="34" t="str">
        <x:f>IF(OR('01_INPUT_COMPANIES'!$A$44="",'01_INPUT_COMPANIES'!$A$44=""),"",'01_INPUT_COMPANIES'!$A$44)</x:f>
      </x:c>
      <x:c r="B44" s="34" t="str">
        <x:f>IF(OR('01_INPUT_COMPANIES'!$A$44="",'01_INPUT_COMPANIES'!$B$44=""),"",'01_INPUT_COMPANIES'!$B$44)</x:f>
      </x:c>
      <x:c r="C44" s="34" t="str">
        <x:f>IF(OR('01_INPUT_COMPANIES'!$A$44="",'01_INPUT_COMPANIES'!$C$44=""),"",'01_INPUT_COMPANIES'!$C$44)</x:f>
      </x:c>
      <x:c r="D44" s="34" t="str">
        <x:f>IF(OR('01_INPUT_COMPANIES'!$A$44="",'01_INPUT_COMPANIES'!$D$44=""),"",'01_INPUT_COMPANIES'!$D$44)</x:f>
      </x:c>
      <x:c r="E44" s="34" t="str">
        <x:f>IF(OR('01_INPUT_COMPANIES'!$A$44="",'01_INPUT_COMPANIES'!$E$44=""),"",'01_INPUT_COMPANIES'!$E$44)</x:f>
      </x:c>
      <x:c r="F44" s="34" t="str">
        <x:f>IF(OR('01_INPUT_COMPANIES'!$A$44="",'01_INPUT_COMPANIES'!$F$44=""),"",'01_INPUT_COMPANIES'!$F$44)</x:f>
      </x:c>
      <x:c r="G44" s="34" t="str">
        <x:f>IF(OR('01_INPUT_COMPANIES'!$A$44="",'01_INPUT_COMPANIES'!$G$44=""),"",'01_INPUT_COMPANIES'!$G$44)</x:f>
      </x:c>
      <x:c r="H44" s="34" t="str">
        <x:f>IF(OR('01_INPUT_COMPANIES'!$A$44="",'01_INPUT_COMPANIES'!$H$44=""),"",'01_INPUT_COMPANIES'!$H$44)</x:f>
      </x:c>
      <x:c r="I44" s="34" t="str">
        <x:f>IF(OR('01_INPUT_COMPANIES'!$A$44="",'01_INPUT_COMPANIES'!$K$44=""),"",'01_INPUT_COMPANIES'!$K$44)</x:f>
      </x:c>
      <x:c r="J44" s="34" t="str">
        <x:f>IF(OR('01_INPUT_COMPANIES'!$A$44="",'01_INPUT_COMPANIES'!$M$44=""),"",'01_INPUT_COMPANIES'!$M$44)</x:f>
      </x:c>
      <x:c r="K44" s="34" t="str">
        <x:f>IF(OR(A44="",COUNTBLANK(D44:H44)&gt;0),"",LEN(D44)&amp;":"&amp;D44&amp;LEN(E44)&amp;":"&amp;E44&amp;LEN(F44)&amp;":"&amp;F44&amp;LEN(G44)&amp;":"&amp;G44&amp;LEN(H44)&amp;":"&amp;H44)</x:f>
      </x:c>
      <x:c r="L44" s="47" t="str">
        <x:f>IF(A44="","",'90_CALC_FEATURES'!$I$377)</x:f>
      </x:c>
      <x:c r="M44" s="47" t="str">
        <x:f>IF(A44="","",'90_CALC_FEATURES'!$I$378)</x:f>
      </x:c>
      <x:c r="N44" s="47" t="str">
        <x:f>IF(A44="","",'90_CALC_FEATURES'!$I$379)</x:f>
      </x:c>
      <x:c r="O44" s="47" t="str">
        <x:f>IF(A44="","",'90_CALC_FEATURES'!$I$380)</x:f>
      </x:c>
      <x:c r="P44" s="47" t="str">
        <x:f>IF(A44="","",'90_CALC_FEATURES'!$I$381)</x:f>
      </x:c>
      <x:c r="Q44" s="47" t="str">
        <x:f>IF(A44="","",'90_CALC_FEATURES'!$I$382)</x:f>
      </x:c>
      <x:c r="R44" s="47" t="str">
        <x:f>IF(A44="","",'90_CALC_FEATURES'!$I$383)</x:f>
      </x:c>
      <x:c r="S44" s="47" t="str">
        <x:f>IF(A44="","",'90_CALC_FEATURES'!$I$384)</x:f>
      </x:c>
      <x:c r="T44" s="47" t="str">
        <x:f>IF(A44="","",'90_CALC_FEATURES'!$I$385)</x:f>
      </x:c>
      <x:c r="U44" s="47" t="str">
        <x:f>IF(A44="","",'90_CALC_FEATURES'!$I$386)</x:f>
      </x:c>
      <x:c r="V44" s="47" t="str">
        <x:f>IF(COUNT(L44:N44)=3,100*AVERAGE(L44:N44),"")</x:f>
      </x:c>
      <x:c r="W44" s="47" t="str">
        <x:f>IF(COUNT(O44:R44)=4,100*AVERAGE(O44:R44),"")</x:f>
      </x:c>
      <x:c r="X44" s="47" t="str">
        <x:f>IF(COUNT(S44:U44)=3,100*AVERAGE(S44:U44),"")</x:f>
      </x:c>
      <x:c r="Y44" s="47" t="str">
        <x:f>IF(COUNT(V44:X44)=3,AVERAGE(V44:X44),"")</x:f>
      </x:c>
      <x:c r="Z44" s="47" t="str">
        <x:f>IF(OR(AND(EXACT(A44,"SYN-A"),COUNT('01_INPUT_COMPANIES'!$T$44:$AC$44)=10,'01_INPUT_COMPANIES'!$T$44=-0.02,'01_INPUT_COMPANIES'!$U$44=0.1332,'01_INPUT_COMPANIES'!$V$44=0.18,'01_INPUT_COMPANIES'!$W$44=0.42,'01_INPUT_COMPANIES'!$X$44=0.012,'01_INPUT_COMPANIES'!$Y$44=3.2,'01_INPUT_COMPANIES'!$Z$44=0.08,'01_INPUT_COMPANIES'!$AA$44=0.28,'01_INPUT_COMPANIES'!$AB$44=0.74,'01_INPUT_COMPANIES'!$AC$44=8.5),AND(EXACT(A44,"SYN-B"),COUNT('01_INPUT_COMPANIES'!$T$44:$AC$44)=10,'01_INPUT_COMPANIES'!$T$44=-0.055,'01_INPUT_COMPANIES'!$U$44=0.06405,'01_INPUT_COMPANIES'!$V$44=0.105,'01_INPUT_COMPANIES'!$W$44=0.73,'01_INPUT_COMPANIES'!$X$44=0.004,'01_INPUT_COMPANIES'!$Y$44=4.1,'01_INPUT_COMPANIES'!$Z$44=0.025,'01_INPUT_COMPANIES'!$AA$44=0.16,'01_INPUT_COMPANIES'!$AB$44=0.61,'01_INPUT_COMPANIES'!$AC$44=4),AND(EXACT(A44,"SYN-C"),COUNT('01_INPUT_COMPANIES'!$T$44:$AC$44)=10,'01_INPUT_COMPANIES'!$T$44=0.01,'01_INPUT_COMPANIES'!$U$44=0.0986,'01_INPUT_COMPANIES'!$V$44=0.145,'01_INPUT_COMPANIES'!$W$44=0.18,'01_INPUT_COMPANIES'!$X$44=0.018,'01_INPUT_COMPANIES'!$Y$44=2.65,'01_INPUT_COMPANIES'!$Z$44=0.11,'01_INPUT_COMPANIES'!$AA$44=0.34,'01_INPUT_COMPANIES'!$AB$44=0.68,'01_INPUT_COMPANIES'!$AC$44=6.8),AND(EXACT(A44,"SYN-D"),COUNT('01_INPUT_COMPANIES'!$T$44:$AC$44)=10,'01_INPUT_COMPANIES'!$T$44=-0.005,'01_INPUT_COMPANIES'!$U$44=0.1136,'01_INPUT_COMPANIES'!$V$44=0.16,'01_INPUT_COMPANIES'!$W$44=0.51,'01_INPUT_COMPANIES'!$X$44=0.009,'01_INPUT_COMPANIES'!$Y$44=3.55,'01_INPUT_COMPANIES'!$Z$44=0.065,'01_INPUT_COMPANIES'!$AA$44=0.24,'01_INPUT_COMPANIES'!$AB$44=0.71,'01_INPUT_COMPANIES'!$AC$44=7.4)),IFERROR(INDEX('94_EXPECTED_OUTPUTS'!$B$7:$B$10,MATCH(A44,'94_EXPECTED_OUTPUTS'!$A$7:$A$10,0)),""),"")</x:f>
      </x:c>
      <x:c r="AA44" s="47" t="str">
        <x:f>IF(OR(COUNT(Y44)=0,COUNT(Z44)=0),"",ABS(Y44-Z44))</x:f>
      </x:c>
      <x:c r="AB44" s="34" t="str">
        <x:f>IF(A44="","",IF(AD44&lt;&gt;"",AD44,IF('01_INPUT_COMPANIES'!$A$44="","",IF(OR(LEN(TRIM('01_INPUT_COMPANIES'!$A$44&amp;""))=0,LEN(TRIM('01_INPUT_COMPANIES'!$B$44&amp;""))=0,LEN(TRIM('01_INPUT_COMPANIES'!$C$44&amp;""))=0,LEN(TRIM('01_INPUT_COMPANIES'!$D$44&amp;""))=0,LEN(TRIM('01_INPUT_COMPANIES'!$E$44&amp;""))=0,LEN(TRIM('01_INPUT_COMPANIES'!$F$44&amp;""))=0,LEN(TRIM('01_INPUT_COMPANIES'!$G$44&amp;""))=0,LEN(TRIM('01_INPUT_COMPANIES'!$H$44&amp;""))=0,LEN(TRIM('01_INPUT_COMPANIES'!$I$44&amp;""))=0,LEN(TRIM('01_INPUT_COMPANIES'!$K$44&amp;""))=0,LEN(TRIM('01_INPUT_COMPANIES'!$L$44&amp;""))=0,LEN(TRIM('01_INPUT_COMPANIES'!$M$44&amp;""))=0,LEN(TRIM('01_INPUT_COMPANIES'!$N$44&amp;""))=0,LEN(TRIM('01_INPUT_COMPANIES'!$O$44&amp;""))=0,LEN(TRIM('01_INPUT_COMPANIES'!$Q$44&amp;""))=0,COUNTBLANK('01_INPUT_COMPANIES'!$A$44:$R$44)&gt;0),"INPUT REQUIRED",IF(OR('01_INPUT_COMPANIES'!$A$44&lt;&gt;TRIM('01_INPUT_COMPANIES'!$A$44),NOT(EXACT('01_INPUT_COMPANIES'!$A$44,UPPER('01_INPUT_COMPANIES'!$A$44))),LEN('01_INPUT_COMPANIES'!$A$44)&gt;64,ISNUMBER(FIND("*",'01_INPUT_COMPANIES'!$A$44)),ISNUMBER(FIND("?",'01_INPUT_COMPANIES'!$A$44)),ISNUMBER(FIND("~",'01_INPUT_COMPANIES'!$A$44))),"ERROR: ID FORMAT",IF(COUNTIF('01_INPUT_COMPANIES'!$A$7:$A$106,'01_INPUT_COMPANIES'!$A$44)&lt;&gt;1,"ERROR: DUPLICATE ID",IF(COUNT('01_INPUT_COMPANIES'!$T$44:$AC$44)&lt;&gt;10,"INPUT REQUIRED",IF(NOT(OR('01_INPUT_COMPANIES'!$C$44="domestic",'01_INPUT_COMPANIES'!$C$44="foreign",'01_INPUT_COMPANIES'!$C$44="other")),"ERROR: COMPANY GROUP",IF(OR(LEN('01_INPUT_COMPANIES'!$G$44)&lt;&gt;6,MID('01_INPUT_COMPANIES'!$G$44,5,1)&lt;&gt;"Q",IFERROR(VALUE(LEFT('01_INPUT_COMPANIES'!$G$44,4)),0)&lt;2000,IFERROR(VALUE(LEFT('01_INPUT_COMPANIES'!$G$44,4)),0)&gt;2100,IFERROR(VALUE(RIGHT('01_INPUT_COMPANIES'!$G$44,1)),0)&lt;1,IFERROR(VALUE(RIGHT('01_INPUT_COMPANIES'!$G$44,1)),0)&gt;4),"ERROR: REPORTING PERIOD",IF(OR(COUNTIFS('92_REF_VARIABLES'!$A$21:$A$21,'01_INPUT_COMPANIES'!$H$44,'92_REF_VARIABLES'!$B$21:$B$21,'01_INPUT_COMPANIES'!$D$44,'92_REF_VARIABLES'!$C$21:$C$21,'01_INPUT_COMPANIES'!$G$44)&lt;&gt;1,AND(IFERROR(INDEX('92_REF_VARIABLES'!$I$21:$I$21,MATCH('01_INPUT_COMPANIES'!$H$44,'92_REF_VARIABLES'!$A$21:$A$21,0)),"")="synthetic_only",'01_INPUT_COMPANIES'!$L$44&lt;&gt;"yes")),"ERROR: BENCHMARK",IF(COUNTIF('92_REF_VARIABLES'!$L$21:$L$50,'01_INPUT_COMPANIES'!$I$44)&lt;&gt;1,"ERROR: CURRENCY",IF(OR(NOT(ISNUMBER('01_INPUT_COMPANIES'!$J$44)),'01_INPUT_COMPANIES'!$J$44&lt;&gt;INT('01_INPUT_COMPANIES'!$J$44),'01_INPUT_COMPANIES'!$J$44&lt;2000,'01_INPUT_COMPANIES'!$J$44&gt;2100),"ERROR: PRICE YEAR",IF(NOT(OR('01_INPUT_COMPANIES'!$K$44="A",'01_INPUT_COMPANIES'!$K$44="B",'01_INPUT_COMPANIES'!$K$44="C",'01_INPUT_COMPANIES'!$K$44="SYNTHETIC")),"ERROR: QUALITY",IF(NOT(OR(AND('01_INPUT_COMPANIES'!$L$44="yes",'01_INPUT_COMPANIES'!$K$44="SYNTHETIC"),AND('01_INPUT_COMPANIES'!$L$44="no",'01_INPUT_COMPANIES'!$K$44&lt;&gt;"SYNTHETIC"))),"ERROR: SYNTHETIC FLAG",IF(NOT(OR('01_INPUT_COMPANIES'!$M$44="direct",'01_INPUT_COMPANIES'!$M$44="derived",'01_INPUT_COMPANIES'!$M$44="proxy",'01_INPUT_COMPANIES'!$M$44="mixed")),"ERROR: CONSTRUCTION MODE",IF(OR(NOT(ISNUMBER('01_INPUT_COMPANIES'!$P$44)),'01_INPUT_COMPANIES'!$P$44&lt;0,'01_INPUT_COMPANIES'!$P$44&lt;&gt;INT('01_INPUT_COMPANIES'!$P$44)),"ERROR: CARRY LAG",IF('01_INPUT_COMPANIES'!$Q$44&lt;&gt;"yes","ERROR: EXPOSURE ADJUSTMENT",IF(OR(NOT(ISNUMBER('01_INPUT_COMPANIES'!$R$44)),'01_INPUT_COMPANIES'!$R$44&lt;0,'01_INPUT_COMPANIES'!$R$44&gt;1),"ERROR: EXPOSURE FACTOR",IF(COUNT(Y44)=0,"ERROR: SCORE",IF(COUNT(Z44)=0,"READY",IF(AA44&lt;=0.0000000001,"PASS","CHECK"))&amp;IF('01_INPUT_COMPANIES'!$K$44="C"," | C QUALITY","")&amp;IF(OR('01_INPUT_COMPANIES'!$M$44="proxy",'01_INPUT_COMPANIES'!$M$44="mixed")," | PROXY/MIXED","")&amp;IF('01_INPUT_COMPANIES'!$P$44&gt;1," | CARRY&gt;1","")&amp;IF(OR(OR('01_INPUT_COMPANIES'!$T$44&lt;-1,'01_INPUT_COMPANIES'!$T$44&gt;1),OR('01_INPUT_COMPANIES'!$U$44&lt;0,'01_INPUT_COMPANIES'!$U$44&gt;1),OR('01_INPUT_COMPANIES'!$V$44&lt;0,'01_INPUT_COMPANIES'!$V$44&gt;1),OR('01_INPUT_COMPANIES'!$W$44&lt;-10,'01_INPUT_COMPANIES'!$W$44&gt;10),OR('01_INPUT_COMPANIES'!$X$44&lt;-1,'01_INPUT_COMPANIES'!$X$44&gt;1),OR('01_INPUT_COMPANIES'!$Y$44&lt;0,'01_INPUT_COMPANIES'!$Y$44&gt;20),OR('01_INPUT_COMPANIES'!$Z$44&lt;-2,'01_INPUT_COMPANIES'!$Z$44&gt;2),OR('01_INPUT_COMPANIES'!$AA$44&lt;0,'01_INPUT_COMPANIES'!$AA$44&gt;1),OR('01_INPUT_COMPANIES'!$AB$44&lt;0,'01_INPUT_COMPANIES'!$AB$44&gt;1),OR('01_INPUT_COMPANIES'!$AC$44&lt;0,'01_INPUT_COMPANIES'!$AC$44&gt;50))," | REVIEW RANGE","")&amp;IF(COUNTIF('90_CALC_FEATURES'!$J$377:$J$386,"WINSORIZED*")&gt;0," | WINSORIZED","")&amp;IF(ABS('01_INPUT_COMPANIES'!$U$44-'01_INPUT_COMPANIES'!$V$44*'01_INPUT_COMPANIES'!$AB$44)&gt;MAX(0.005,0.05*MAX(ABS('01_INPUT_COMPANIES'!$V$44*'01_INPUT_COMPANIES'!$AB$44),ABS('01_INPUT_COMPANIES'!$U$44),0.000000000001))," | DEPENDENCY",""))))))))))))))))))))</x:f>
      </x:c>
      <x:c r="AC44" s="34" t="str">
        <x:f>IF(A44="","",IF(OR(LEFT(AB44,4)="PASS",LEFT(AB44,5)="READY"),"RESEARCH BETA | 저지원 22.22% | 기업 백분위 N/A", "결과 사용 금지 | "&amp;AB44))</x:f>
      </x:c>
      <x:c r="AD44" s="34" t="str">
        <x:f>IF(A44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$44,TRIM('01_INPUT_COMPANIES'!$D$44)),EXACT('01_INPUT_COMPANIES'!$E$44,TRIM('01_INPUT_COMPANIES'!$E$44)),EXACT('01_INPUT_COMPANIES'!$F$44,TRIM('01_INPUT_COMPANIES'!$F$44)),EXACT('01_INPUT_COMPANIES'!$G$44,TRIM('01_INPUT_COMPANIES'!$G$44)),EXACT('01_INPUT_COMPANIES'!$H$44,TRIM('01_INPUT_COMPANIES'!$H$44)))),"ERROR: COHORT WHITESPACE",IF(NOT(IFERROR(AND(ISTEXT('01_INPUT_COMPANIES'!$O$44),LEN('01_INPUT_COMPANIES'!$O$44)=10,VALUE(LEFT('01_INPUT_COMPANIES'!$O$44,4))&gt;=2000,VALUE(LEFT('01_INPUT_COMPANIES'!$O$44,4))&lt;=2100,EXACT(TEXT(DATE(VALUE(LEFT('01_INPUT_COMPANIES'!$O$44,4)),VALUE(MID('01_INPUT_COMPANIES'!$O$44,6,2)),VALUE(RIGHT('01_INPUT_COMPANIES'!$O$44,2))),"yyyy-mm-dd"),'01_INPUT_COMPANIES'!$O$44)),FALSE)),"ERROR: SOURCE DATE",IF(NOT(AND(OR(EXACT('01_INPUT_COMPANIES'!$C$44,"domestic"),EXACT('01_INPUT_COMPANIES'!$C$44,"foreign"),EXACT('01_INPUT_COMPANIES'!$C$44,"other")),OR(EXACT('01_INPUT_COMPANIES'!$K$44,"A"),EXACT('01_INPUT_COMPANIES'!$K$44,"B"),EXACT('01_INPUT_COMPANIES'!$K$44,"C"),EXACT('01_INPUT_COMPANIES'!$K$44,"SYNTHETIC")),OR(EXACT('01_INPUT_COMPANIES'!$L$44,"yes"),EXACT('01_INPUT_COMPANIES'!$L$44,"no")),OR(EXACT('01_INPUT_COMPANIES'!$M$44,"direct"),EXACT('01_INPUT_COMPANIES'!$M$44,"derived"),EXACT('01_INPUT_COMPANIES'!$M$44,"proxy"),EXACT('01_INPUT_COMPANIES'!$M$44,"mixed")),OR(EXACT('01_INPUT_COMPANIES'!$Q$44,"yes")),EXACT('01_INPUT_COMPANIES'!$I$44,UPPER('01_INPUT_COMPANIES'!$I$44)))),"ERROR: EXACT ENUM",IF(NOT(IFERROR(OR(AND(EXACT('92_REF_VARIABLES'!$A$21,'01_INPUT_COMPANIES'!$H$44),EXACT('92_REF_VARIABLES'!$B$21,'01_INPUT_COMPANIES'!$D$44),EXACT('92_REF_VARIABLES'!$C$21,'01_INPUT_COMPANIES'!$G$44))),FALSE)),"ERROR: BENCHMARK",""))))))</x:f>
      </x:c>
    </x:row>
    <x:row r="45">
      <x:c r="A45" s="34" t="str">
        <x:f>IF(OR('01_INPUT_COMPANIES'!$A$45="",'01_INPUT_COMPANIES'!$A$45=""),"",'01_INPUT_COMPANIES'!$A$45)</x:f>
      </x:c>
      <x:c r="B45" s="34" t="str">
        <x:f>IF(OR('01_INPUT_COMPANIES'!$A$45="",'01_INPUT_COMPANIES'!$B$45=""),"",'01_INPUT_COMPANIES'!$B$45)</x:f>
      </x:c>
      <x:c r="C45" s="34" t="str">
        <x:f>IF(OR('01_INPUT_COMPANIES'!$A$45="",'01_INPUT_COMPANIES'!$C$45=""),"",'01_INPUT_COMPANIES'!$C$45)</x:f>
      </x:c>
      <x:c r="D45" s="34" t="str">
        <x:f>IF(OR('01_INPUT_COMPANIES'!$A$45="",'01_INPUT_COMPANIES'!$D$45=""),"",'01_INPUT_COMPANIES'!$D$45)</x:f>
      </x:c>
      <x:c r="E45" s="34" t="str">
        <x:f>IF(OR('01_INPUT_COMPANIES'!$A$45="",'01_INPUT_COMPANIES'!$E$45=""),"",'01_INPUT_COMPANIES'!$E$45)</x:f>
      </x:c>
      <x:c r="F45" s="34" t="str">
        <x:f>IF(OR('01_INPUT_COMPANIES'!$A$45="",'01_INPUT_COMPANIES'!$F$45=""),"",'01_INPUT_COMPANIES'!$F$45)</x:f>
      </x:c>
      <x:c r="G45" s="34" t="str">
        <x:f>IF(OR('01_INPUT_COMPANIES'!$A$45="",'01_INPUT_COMPANIES'!$G$45=""),"",'01_INPUT_COMPANIES'!$G$45)</x:f>
      </x:c>
      <x:c r="H45" s="34" t="str">
        <x:f>IF(OR('01_INPUT_COMPANIES'!$A$45="",'01_INPUT_COMPANIES'!$H$45=""),"",'01_INPUT_COMPANIES'!$H$45)</x:f>
      </x:c>
      <x:c r="I45" s="34" t="str">
        <x:f>IF(OR('01_INPUT_COMPANIES'!$A$45="",'01_INPUT_COMPANIES'!$K$45=""),"",'01_INPUT_COMPANIES'!$K$45)</x:f>
      </x:c>
      <x:c r="J45" s="34" t="str">
        <x:f>IF(OR('01_INPUT_COMPANIES'!$A$45="",'01_INPUT_COMPANIES'!$M$45=""),"",'01_INPUT_COMPANIES'!$M$45)</x:f>
      </x:c>
      <x:c r="K45" s="34" t="str">
        <x:f>IF(OR(A45="",COUNTBLANK(D45:H45)&gt;0),"",LEN(D45)&amp;":"&amp;D45&amp;LEN(E45)&amp;":"&amp;E45&amp;LEN(F45)&amp;":"&amp;F45&amp;LEN(G45)&amp;":"&amp;G45&amp;LEN(H45)&amp;":"&amp;H45)</x:f>
      </x:c>
      <x:c r="L45" s="47" t="str">
        <x:f>IF(A45="","",'90_CALC_FEATURES'!$I$387)</x:f>
      </x:c>
      <x:c r="M45" s="47" t="str">
        <x:f>IF(A45="","",'90_CALC_FEATURES'!$I$388)</x:f>
      </x:c>
      <x:c r="N45" s="47" t="str">
        <x:f>IF(A45="","",'90_CALC_FEATURES'!$I$389)</x:f>
      </x:c>
      <x:c r="O45" s="47" t="str">
        <x:f>IF(A45="","",'90_CALC_FEATURES'!$I$390)</x:f>
      </x:c>
      <x:c r="P45" s="47" t="str">
        <x:f>IF(A45="","",'90_CALC_FEATURES'!$I$391)</x:f>
      </x:c>
      <x:c r="Q45" s="47" t="str">
        <x:f>IF(A45="","",'90_CALC_FEATURES'!$I$392)</x:f>
      </x:c>
      <x:c r="R45" s="47" t="str">
        <x:f>IF(A45="","",'90_CALC_FEATURES'!$I$393)</x:f>
      </x:c>
      <x:c r="S45" s="47" t="str">
        <x:f>IF(A45="","",'90_CALC_FEATURES'!$I$394)</x:f>
      </x:c>
      <x:c r="T45" s="47" t="str">
        <x:f>IF(A45="","",'90_CALC_FEATURES'!$I$395)</x:f>
      </x:c>
      <x:c r="U45" s="47" t="str">
        <x:f>IF(A45="","",'90_CALC_FEATURES'!$I$396)</x:f>
      </x:c>
      <x:c r="V45" s="47" t="str">
        <x:f>IF(COUNT(L45:N45)=3,100*AVERAGE(L45:N45),"")</x:f>
      </x:c>
      <x:c r="W45" s="47" t="str">
        <x:f>IF(COUNT(O45:R45)=4,100*AVERAGE(O45:R45),"")</x:f>
      </x:c>
      <x:c r="X45" s="47" t="str">
        <x:f>IF(COUNT(S45:U45)=3,100*AVERAGE(S45:U45),"")</x:f>
      </x:c>
      <x:c r="Y45" s="47" t="str">
        <x:f>IF(COUNT(V45:X45)=3,AVERAGE(V45:X45),"")</x:f>
      </x:c>
      <x:c r="Z45" s="47" t="str">
        <x:f>IF(OR(AND(EXACT(A45,"SYN-A"),COUNT('01_INPUT_COMPANIES'!$T$45:$AC$45)=10,'01_INPUT_COMPANIES'!$T$45=-0.02,'01_INPUT_COMPANIES'!$U$45=0.1332,'01_INPUT_COMPANIES'!$V$45=0.18,'01_INPUT_COMPANIES'!$W$45=0.42,'01_INPUT_COMPANIES'!$X$45=0.012,'01_INPUT_COMPANIES'!$Y$45=3.2,'01_INPUT_COMPANIES'!$Z$45=0.08,'01_INPUT_COMPANIES'!$AA$45=0.28,'01_INPUT_COMPANIES'!$AB$45=0.74,'01_INPUT_COMPANIES'!$AC$45=8.5),AND(EXACT(A45,"SYN-B"),COUNT('01_INPUT_COMPANIES'!$T$45:$AC$45)=10,'01_INPUT_COMPANIES'!$T$45=-0.055,'01_INPUT_COMPANIES'!$U$45=0.06405,'01_INPUT_COMPANIES'!$V$45=0.105,'01_INPUT_COMPANIES'!$W$45=0.73,'01_INPUT_COMPANIES'!$X$45=0.004,'01_INPUT_COMPANIES'!$Y$45=4.1,'01_INPUT_COMPANIES'!$Z$45=0.025,'01_INPUT_COMPANIES'!$AA$45=0.16,'01_INPUT_COMPANIES'!$AB$45=0.61,'01_INPUT_COMPANIES'!$AC$45=4),AND(EXACT(A45,"SYN-C"),COUNT('01_INPUT_COMPANIES'!$T$45:$AC$45)=10,'01_INPUT_COMPANIES'!$T$45=0.01,'01_INPUT_COMPANIES'!$U$45=0.0986,'01_INPUT_COMPANIES'!$V$45=0.145,'01_INPUT_COMPANIES'!$W$45=0.18,'01_INPUT_COMPANIES'!$X$45=0.018,'01_INPUT_COMPANIES'!$Y$45=2.65,'01_INPUT_COMPANIES'!$Z$45=0.11,'01_INPUT_COMPANIES'!$AA$45=0.34,'01_INPUT_COMPANIES'!$AB$45=0.68,'01_INPUT_COMPANIES'!$AC$45=6.8),AND(EXACT(A45,"SYN-D"),COUNT('01_INPUT_COMPANIES'!$T$45:$AC$45)=10,'01_INPUT_COMPANIES'!$T$45=-0.005,'01_INPUT_COMPANIES'!$U$45=0.1136,'01_INPUT_COMPANIES'!$V$45=0.16,'01_INPUT_COMPANIES'!$W$45=0.51,'01_INPUT_COMPANIES'!$X$45=0.009,'01_INPUT_COMPANIES'!$Y$45=3.55,'01_INPUT_COMPANIES'!$Z$45=0.065,'01_INPUT_COMPANIES'!$AA$45=0.24,'01_INPUT_COMPANIES'!$AB$45=0.71,'01_INPUT_COMPANIES'!$AC$45=7.4)),IFERROR(INDEX('94_EXPECTED_OUTPUTS'!$B$7:$B$10,MATCH(A45,'94_EXPECTED_OUTPUTS'!$A$7:$A$10,0)),""),"")</x:f>
      </x:c>
      <x:c r="AA45" s="47" t="str">
        <x:f>IF(OR(COUNT(Y45)=0,COUNT(Z45)=0),"",ABS(Y45-Z45))</x:f>
      </x:c>
      <x:c r="AB45" s="34" t="str">
        <x:f>IF(A45="","",IF(AD45&lt;&gt;"",AD45,IF('01_INPUT_COMPANIES'!$A$45="","",IF(OR(LEN(TRIM('01_INPUT_COMPANIES'!$A$45&amp;""))=0,LEN(TRIM('01_INPUT_COMPANIES'!$B$45&amp;""))=0,LEN(TRIM('01_INPUT_COMPANIES'!$C$45&amp;""))=0,LEN(TRIM('01_INPUT_COMPANIES'!$D$45&amp;""))=0,LEN(TRIM('01_INPUT_COMPANIES'!$E$45&amp;""))=0,LEN(TRIM('01_INPUT_COMPANIES'!$F$45&amp;""))=0,LEN(TRIM('01_INPUT_COMPANIES'!$G$45&amp;""))=0,LEN(TRIM('01_INPUT_COMPANIES'!$H$45&amp;""))=0,LEN(TRIM('01_INPUT_COMPANIES'!$I$45&amp;""))=0,LEN(TRIM('01_INPUT_COMPANIES'!$K$45&amp;""))=0,LEN(TRIM('01_INPUT_COMPANIES'!$L$45&amp;""))=0,LEN(TRIM('01_INPUT_COMPANIES'!$M$45&amp;""))=0,LEN(TRIM('01_INPUT_COMPANIES'!$N$45&amp;""))=0,LEN(TRIM('01_INPUT_COMPANIES'!$O$45&amp;""))=0,LEN(TRIM('01_INPUT_COMPANIES'!$Q$45&amp;""))=0,COUNTBLANK('01_INPUT_COMPANIES'!$A$45:$R$45)&gt;0),"INPUT REQUIRED",IF(OR('01_INPUT_COMPANIES'!$A$45&lt;&gt;TRIM('01_INPUT_COMPANIES'!$A$45),NOT(EXACT('01_INPUT_COMPANIES'!$A$45,UPPER('01_INPUT_COMPANIES'!$A$45))),LEN('01_INPUT_COMPANIES'!$A$45)&gt;64,ISNUMBER(FIND("*",'01_INPUT_COMPANIES'!$A$45)),ISNUMBER(FIND("?",'01_INPUT_COMPANIES'!$A$45)),ISNUMBER(FIND("~",'01_INPUT_COMPANIES'!$A$45))),"ERROR: ID FORMAT",IF(COUNTIF('01_INPUT_COMPANIES'!$A$7:$A$106,'01_INPUT_COMPANIES'!$A$45)&lt;&gt;1,"ERROR: DUPLICATE ID",IF(COUNT('01_INPUT_COMPANIES'!$T$45:$AC$45)&lt;&gt;10,"INPUT REQUIRED",IF(NOT(OR('01_INPUT_COMPANIES'!$C$45="domestic",'01_INPUT_COMPANIES'!$C$45="foreign",'01_INPUT_COMPANIES'!$C$45="other")),"ERROR: COMPANY GROUP",IF(OR(LEN('01_INPUT_COMPANIES'!$G$45)&lt;&gt;6,MID('01_INPUT_COMPANIES'!$G$45,5,1)&lt;&gt;"Q",IFERROR(VALUE(LEFT('01_INPUT_COMPANIES'!$G$45,4)),0)&lt;2000,IFERROR(VALUE(LEFT('01_INPUT_COMPANIES'!$G$45,4)),0)&gt;2100,IFERROR(VALUE(RIGHT('01_INPUT_COMPANIES'!$G$45,1)),0)&lt;1,IFERROR(VALUE(RIGHT('01_INPUT_COMPANIES'!$G$45,1)),0)&gt;4),"ERROR: REPORTING PERIOD",IF(OR(COUNTIFS('92_REF_VARIABLES'!$A$21:$A$21,'01_INPUT_COMPANIES'!$H$45,'92_REF_VARIABLES'!$B$21:$B$21,'01_INPUT_COMPANIES'!$D$45,'92_REF_VARIABLES'!$C$21:$C$21,'01_INPUT_COMPANIES'!$G$45)&lt;&gt;1,AND(IFERROR(INDEX('92_REF_VARIABLES'!$I$21:$I$21,MATCH('01_INPUT_COMPANIES'!$H$45,'92_REF_VARIABLES'!$A$21:$A$21,0)),"")="synthetic_only",'01_INPUT_COMPANIES'!$L$45&lt;&gt;"yes")),"ERROR: BENCHMARK",IF(COUNTIF('92_REF_VARIABLES'!$L$21:$L$50,'01_INPUT_COMPANIES'!$I$45)&lt;&gt;1,"ERROR: CURRENCY",IF(OR(NOT(ISNUMBER('01_INPUT_COMPANIES'!$J$45)),'01_INPUT_COMPANIES'!$J$45&lt;&gt;INT('01_INPUT_COMPANIES'!$J$45),'01_INPUT_COMPANIES'!$J$45&lt;2000,'01_INPUT_COMPANIES'!$J$45&gt;2100),"ERROR: PRICE YEAR",IF(NOT(OR('01_INPUT_COMPANIES'!$K$45="A",'01_INPUT_COMPANIES'!$K$45="B",'01_INPUT_COMPANIES'!$K$45="C",'01_INPUT_COMPANIES'!$K$45="SYNTHETIC")),"ERROR: QUALITY",IF(NOT(OR(AND('01_INPUT_COMPANIES'!$L$45="yes",'01_INPUT_COMPANIES'!$K$45="SYNTHETIC"),AND('01_INPUT_COMPANIES'!$L$45="no",'01_INPUT_COMPANIES'!$K$45&lt;&gt;"SYNTHETIC"))),"ERROR: SYNTHETIC FLAG",IF(NOT(OR('01_INPUT_COMPANIES'!$M$45="direct",'01_INPUT_COMPANIES'!$M$45="derived",'01_INPUT_COMPANIES'!$M$45="proxy",'01_INPUT_COMPANIES'!$M$45="mixed")),"ERROR: CONSTRUCTION MODE",IF(OR(NOT(ISNUMBER('01_INPUT_COMPANIES'!$P$45)),'01_INPUT_COMPANIES'!$P$45&lt;0,'01_INPUT_COMPANIES'!$P$45&lt;&gt;INT('01_INPUT_COMPANIES'!$P$45)),"ERROR: CARRY LAG",IF('01_INPUT_COMPANIES'!$Q$45&lt;&gt;"yes","ERROR: EXPOSURE ADJUSTMENT",IF(OR(NOT(ISNUMBER('01_INPUT_COMPANIES'!$R$45)),'01_INPUT_COMPANIES'!$R$45&lt;0,'01_INPUT_COMPANIES'!$R$45&gt;1),"ERROR: EXPOSURE FACTOR",IF(COUNT(Y45)=0,"ERROR: SCORE",IF(COUNT(Z45)=0,"READY",IF(AA45&lt;=0.0000000001,"PASS","CHECK"))&amp;IF('01_INPUT_COMPANIES'!$K$45="C"," | C QUALITY","")&amp;IF(OR('01_INPUT_COMPANIES'!$M$45="proxy",'01_INPUT_COMPANIES'!$M$45="mixed")," | PROXY/MIXED","")&amp;IF('01_INPUT_COMPANIES'!$P$45&gt;1," | CARRY&gt;1","")&amp;IF(OR(OR('01_INPUT_COMPANIES'!$T$45&lt;-1,'01_INPUT_COMPANIES'!$T$45&gt;1),OR('01_INPUT_COMPANIES'!$U$45&lt;0,'01_INPUT_COMPANIES'!$U$45&gt;1),OR('01_INPUT_COMPANIES'!$V$45&lt;0,'01_INPUT_COMPANIES'!$V$45&gt;1),OR('01_INPUT_COMPANIES'!$W$45&lt;-10,'01_INPUT_COMPANIES'!$W$45&gt;10),OR('01_INPUT_COMPANIES'!$X$45&lt;-1,'01_INPUT_COMPANIES'!$X$45&gt;1),OR('01_INPUT_COMPANIES'!$Y$45&lt;0,'01_INPUT_COMPANIES'!$Y$45&gt;20),OR('01_INPUT_COMPANIES'!$Z$45&lt;-2,'01_INPUT_COMPANIES'!$Z$45&gt;2),OR('01_INPUT_COMPANIES'!$AA$45&lt;0,'01_INPUT_COMPANIES'!$AA$45&gt;1),OR('01_INPUT_COMPANIES'!$AB$45&lt;0,'01_INPUT_COMPANIES'!$AB$45&gt;1),OR('01_INPUT_COMPANIES'!$AC$45&lt;0,'01_INPUT_COMPANIES'!$AC$45&gt;50))," | REVIEW RANGE","")&amp;IF(COUNTIF('90_CALC_FEATURES'!$J$387:$J$396,"WINSORIZED*")&gt;0," | WINSORIZED","")&amp;IF(ABS('01_INPUT_COMPANIES'!$U$45-'01_INPUT_COMPANIES'!$V$45*'01_INPUT_COMPANIES'!$AB$45)&gt;MAX(0.005,0.05*MAX(ABS('01_INPUT_COMPANIES'!$V$45*'01_INPUT_COMPANIES'!$AB$45),ABS('01_INPUT_COMPANIES'!$U$45),0.000000000001))," | DEPENDENCY",""))))))))))))))))))))</x:f>
      </x:c>
      <x:c r="AC45" s="34" t="str">
        <x:f>IF(A45="","",IF(OR(LEFT(AB45,4)="PASS",LEFT(AB45,5)="READY"),"RESEARCH BETA | 저지원 22.22% | 기업 백분위 N/A", "결과 사용 금지 | "&amp;AB45))</x:f>
      </x:c>
      <x:c r="AD45" s="34" t="str">
        <x:f>IF(A45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$45,TRIM('01_INPUT_COMPANIES'!$D$45)),EXACT('01_INPUT_COMPANIES'!$E$45,TRIM('01_INPUT_COMPANIES'!$E$45)),EXACT('01_INPUT_COMPANIES'!$F$45,TRIM('01_INPUT_COMPANIES'!$F$45)),EXACT('01_INPUT_COMPANIES'!$G$45,TRIM('01_INPUT_COMPANIES'!$G$45)),EXACT('01_INPUT_COMPANIES'!$H$45,TRIM('01_INPUT_COMPANIES'!$H$45)))),"ERROR: COHORT WHITESPACE",IF(NOT(IFERROR(AND(ISTEXT('01_INPUT_COMPANIES'!$O$45),LEN('01_INPUT_COMPANIES'!$O$45)=10,VALUE(LEFT('01_INPUT_COMPANIES'!$O$45,4))&gt;=2000,VALUE(LEFT('01_INPUT_COMPANIES'!$O$45,4))&lt;=2100,EXACT(TEXT(DATE(VALUE(LEFT('01_INPUT_COMPANIES'!$O$45,4)),VALUE(MID('01_INPUT_COMPANIES'!$O$45,6,2)),VALUE(RIGHT('01_INPUT_COMPANIES'!$O$45,2))),"yyyy-mm-dd"),'01_INPUT_COMPANIES'!$O$45)),FALSE)),"ERROR: SOURCE DATE",IF(NOT(AND(OR(EXACT('01_INPUT_COMPANIES'!$C$45,"domestic"),EXACT('01_INPUT_COMPANIES'!$C$45,"foreign"),EXACT('01_INPUT_COMPANIES'!$C$45,"other")),OR(EXACT('01_INPUT_COMPANIES'!$K$45,"A"),EXACT('01_INPUT_COMPANIES'!$K$45,"B"),EXACT('01_INPUT_COMPANIES'!$K$45,"C"),EXACT('01_INPUT_COMPANIES'!$K$45,"SYNTHETIC")),OR(EXACT('01_INPUT_COMPANIES'!$L$45,"yes"),EXACT('01_INPUT_COMPANIES'!$L$45,"no")),OR(EXACT('01_INPUT_COMPANIES'!$M$45,"direct"),EXACT('01_INPUT_COMPANIES'!$M$45,"derived"),EXACT('01_INPUT_COMPANIES'!$M$45,"proxy"),EXACT('01_INPUT_COMPANIES'!$M$45,"mixed")),OR(EXACT('01_INPUT_COMPANIES'!$Q$45,"yes")),EXACT('01_INPUT_COMPANIES'!$I$45,UPPER('01_INPUT_COMPANIES'!$I$45)))),"ERROR: EXACT ENUM",IF(NOT(IFERROR(OR(AND(EXACT('92_REF_VARIABLES'!$A$21,'01_INPUT_COMPANIES'!$H$45),EXACT('92_REF_VARIABLES'!$B$21,'01_INPUT_COMPANIES'!$D$45),EXACT('92_REF_VARIABLES'!$C$21,'01_INPUT_COMPANIES'!$G$45))),FALSE)),"ERROR: BENCHMARK",""))))))</x:f>
      </x:c>
    </x:row>
    <x:row r="46">
      <x:c r="A46" s="34" t="str">
        <x:f>IF(OR('01_INPUT_COMPANIES'!$A$46="",'01_INPUT_COMPANIES'!$A$46=""),"",'01_INPUT_COMPANIES'!$A$46)</x:f>
      </x:c>
      <x:c r="B46" s="34" t="str">
        <x:f>IF(OR('01_INPUT_COMPANIES'!$A$46="",'01_INPUT_COMPANIES'!$B$46=""),"",'01_INPUT_COMPANIES'!$B$46)</x:f>
      </x:c>
      <x:c r="C46" s="34" t="str">
        <x:f>IF(OR('01_INPUT_COMPANIES'!$A$46="",'01_INPUT_COMPANIES'!$C$46=""),"",'01_INPUT_COMPANIES'!$C$46)</x:f>
      </x:c>
      <x:c r="D46" s="34" t="str">
        <x:f>IF(OR('01_INPUT_COMPANIES'!$A$46="",'01_INPUT_COMPANIES'!$D$46=""),"",'01_INPUT_COMPANIES'!$D$46)</x:f>
      </x:c>
      <x:c r="E46" s="34" t="str">
        <x:f>IF(OR('01_INPUT_COMPANIES'!$A$46="",'01_INPUT_COMPANIES'!$E$46=""),"",'01_INPUT_COMPANIES'!$E$46)</x:f>
      </x:c>
      <x:c r="F46" s="34" t="str">
        <x:f>IF(OR('01_INPUT_COMPANIES'!$A$46="",'01_INPUT_COMPANIES'!$F$46=""),"",'01_INPUT_COMPANIES'!$F$46)</x:f>
      </x:c>
      <x:c r="G46" s="34" t="str">
        <x:f>IF(OR('01_INPUT_COMPANIES'!$A$46="",'01_INPUT_COMPANIES'!$G$46=""),"",'01_INPUT_COMPANIES'!$G$46)</x:f>
      </x:c>
      <x:c r="H46" s="34" t="str">
        <x:f>IF(OR('01_INPUT_COMPANIES'!$A$46="",'01_INPUT_COMPANIES'!$H$46=""),"",'01_INPUT_COMPANIES'!$H$46)</x:f>
      </x:c>
      <x:c r="I46" s="34" t="str">
        <x:f>IF(OR('01_INPUT_COMPANIES'!$A$46="",'01_INPUT_COMPANIES'!$K$46=""),"",'01_INPUT_COMPANIES'!$K$46)</x:f>
      </x:c>
      <x:c r="J46" s="34" t="str">
        <x:f>IF(OR('01_INPUT_COMPANIES'!$A$46="",'01_INPUT_COMPANIES'!$M$46=""),"",'01_INPUT_COMPANIES'!$M$46)</x:f>
      </x:c>
      <x:c r="K46" s="34" t="str">
        <x:f>IF(OR(A46="",COUNTBLANK(D46:H46)&gt;0),"",LEN(D46)&amp;":"&amp;D46&amp;LEN(E46)&amp;":"&amp;E46&amp;LEN(F46)&amp;":"&amp;F46&amp;LEN(G46)&amp;":"&amp;G46&amp;LEN(H46)&amp;":"&amp;H46)</x:f>
      </x:c>
      <x:c r="L46" s="47" t="str">
        <x:f>IF(A46="","",'90_CALC_FEATURES'!$I$397)</x:f>
      </x:c>
      <x:c r="M46" s="47" t="str">
        <x:f>IF(A46="","",'90_CALC_FEATURES'!$I$398)</x:f>
      </x:c>
      <x:c r="N46" s="47" t="str">
        <x:f>IF(A46="","",'90_CALC_FEATURES'!$I$399)</x:f>
      </x:c>
      <x:c r="O46" s="47" t="str">
        <x:f>IF(A46="","",'90_CALC_FEATURES'!$I$400)</x:f>
      </x:c>
      <x:c r="P46" s="47" t="str">
        <x:f>IF(A46="","",'90_CALC_FEATURES'!$I$401)</x:f>
      </x:c>
      <x:c r="Q46" s="47" t="str">
        <x:f>IF(A46="","",'90_CALC_FEATURES'!$I$402)</x:f>
      </x:c>
      <x:c r="R46" s="47" t="str">
        <x:f>IF(A46="","",'90_CALC_FEATURES'!$I$403)</x:f>
      </x:c>
      <x:c r="S46" s="47" t="str">
        <x:f>IF(A46="","",'90_CALC_FEATURES'!$I$404)</x:f>
      </x:c>
      <x:c r="T46" s="47" t="str">
        <x:f>IF(A46="","",'90_CALC_FEATURES'!$I$405)</x:f>
      </x:c>
      <x:c r="U46" s="47" t="str">
        <x:f>IF(A46="","",'90_CALC_FEATURES'!$I$406)</x:f>
      </x:c>
      <x:c r="V46" s="47" t="str">
        <x:f>IF(COUNT(L46:N46)=3,100*AVERAGE(L46:N46),"")</x:f>
      </x:c>
      <x:c r="W46" s="47" t="str">
        <x:f>IF(COUNT(O46:R46)=4,100*AVERAGE(O46:R46),"")</x:f>
      </x:c>
      <x:c r="X46" s="47" t="str">
        <x:f>IF(COUNT(S46:U46)=3,100*AVERAGE(S46:U46),"")</x:f>
      </x:c>
      <x:c r="Y46" s="47" t="str">
        <x:f>IF(COUNT(V46:X46)=3,AVERAGE(V46:X46),"")</x:f>
      </x:c>
      <x:c r="Z46" s="47" t="str">
        <x:f>IF(OR(AND(EXACT(A46,"SYN-A"),COUNT('01_INPUT_COMPANIES'!$T$46:$AC$46)=10,'01_INPUT_COMPANIES'!$T$46=-0.02,'01_INPUT_COMPANIES'!$U$46=0.1332,'01_INPUT_COMPANIES'!$V$46=0.18,'01_INPUT_COMPANIES'!$W$46=0.42,'01_INPUT_COMPANIES'!$X$46=0.012,'01_INPUT_COMPANIES'!$Y$46=3.2,'01_INPUT_COMPANIES'!$Z$46=0.08,'01_INPUT_COMPANIES'!$AA$46=0.28,'01_INPUT_COMPANIES'!$AB$46=0.74,'01_INPUT_COMPANIES'!$AC$46=8.5),AND(EXACT(A46,"SYN-B"),COUNT('01_INPUT_COMPANIES'!$T$46:$AC$46)=10,'01_INPUT_COMPANIES'!$T$46=-0.055,'01_INPUT_COMPANIES'!$U$46=0.06405,'01_INPUT_COMPANIES'!$V$46=0.105,'01_INPUT_COMPANIES'!$W$46=0.73,'01_INPUT_COMPANIES'!$X$46=0.004,'01_INPUT_COMPANIES'!$Y$46=4.1,'01_INPUT_COMPANIES'!$Z$46=0.025,'01_INPUT_COMPANIES'!$AA$46=0.16,'01_INPUT_COMPANIES'!$AB$46=0.61,'01_INPUT_COMPANIES'!$AC$46=4),AND(EXACT(A46,"SYN-C"),COUNT('01_INPUT_COMPANIES'!$T$46:$AC$46)=10,'01_INPUT_COMPANIES'!$T$46=0.01,'01_INPUT_COMPANIES'!$U$46=0.0986,'01_INPUT_COMPANIES'!$V$46=0.145,'01_INPUT_COMPANIES'!$W$46=0.18,'01_INPUT_COMPANIES'!$X$46=0.018,'01_INPUT_COMPANIES'!$Y$46=2.65,'01_INPUT_COMPANIES'!$Z$46=0.11,'01_INPUT_COMPANIES'!$AA$46=0.34,'01_INPUT_COMPANIES'!$AB$46=0.68,'01_INPUT_COMPANIES'!$AC$46=6.8),AND(EXACT(A46,"SYN-D"),COUNT('01_INPUT_COMPANIES'!$T$46:$AC$46)=10,'01_INPUT_COMPANIES'!$T$46=-0.005,'01_INPUT_COMPANIES'!$U$46=0.1136,'01_INPUT_COMPANIES'!$V$46=0.16,'01_INPUT_COMPANIES'!$W$46=0.51,'01_INPUT_COMPANIES'!$X$46=0.009,'01_INPUT_COMPANIES'!$Y$46=3.55,'01_INPUT_COMPANIES'!$Z$46=0.065,'01_INPUT_COMPANIES'!$AA$46=0.24,'01_INPUT_COMPANIES'!$AB$46=0.71,'01_INPUT_COMPANIES'!$AC$46=7.4)),IFERROR(INDEX('94_EXPECTED_OUTPUTS'!$B$7:$B$10,MATCH(A46,'94_EXPECTED_OUTPUTS'!$A$7:$A$10,0)),""),"")</x:f>
      </x:c>
      <x:c r="AA46" s="47" t="str">
        <x:f>IF(OR(COUNT(Y46)=0,COUNT(Z46)=0),"",ABS(Y46-Z46))</x:f>
      </x:c>
      <x:c r="AB46" s="34" t="str">
        <x:f>IF(A46="","",IF(AD46&lt;&gt;"",AD46,IF('01_INPUT_COMPANIES'!$A$46="","",IF(OR(LEN(TRIM('01_INPUT_COMPANIES'!$A$46&amp;""))=0,LEN(TRIM('01_INPUT_COMPANIES'!$B$46&amp;""))=0,LEN(TRIM('01_INPUT_COMPANIES'!$C$46&amp;""))=0,LEN(TRIM('01_INPUT_COMPANIES'!$D$46&amp;""))=0,LEN(TRIM('01_INPUT_COMPANIES'!$E$46&amp;""))=0,LEN(TRIM('01_INPUT_COMPANIES'!$F$46&amp;""))=0,LEN(TRIM('01_INPUT_COMPANIES'!$G$46&amp;""))=0,LEN(TRIM('01_INPUT_COMPANIES'!$H$46&amp;""))=0,LEN(TRIM('01_INPUT_COMPANIES'!$I$46&amp;""))=0,LEN(TRIM('01_INPUT_COMPANIES'!$K$46&amp;""))=0,LEN(TRIM('01_INPUT_COMPANIES'!$L$46&amp;""))=0,LEN(TRIM('01_INPUT_COMPANIES'!$M$46&amp;""))=0,LEN(TRIM('01_INPUT_COMPANIES'!$N$46&amp;""))=0,LEN(TRIM('01_INPUT_COMPANIES'!$O$46&amp;""))=0,LEN(TRIM('01_INPUT_COMPANIES'!$Q$46&amp;""))=0,COUNTBLANK('01_INPUT_COMPANIES'!$A$46:$R$46)&gt;0),"INPUT REQUIRED",IF(OR('01_INPUT_COMPANIES'!$A$46&lt;&gt;TRIM('01_INPUT_COMPANIES'!$A$46),NOT(EXACT('01_INPUT_COMPANIES'!$A$46,UPPER('01_INPUT_COMPANIES'!$A$46))),LEN('01_INPUT_COMPANIES'!$A$46)&gt;64,ISNUMBER(FIND("*",'01_INPUT_COMPANIES'!$A$46)),ISNUMBER(FIND("?",'01_INPUT_COMPANIES'!$A$46)),ISNUMBER(FIND("~",'01_INPUT_COMPANIES'!$A$46))),"ERROR: ID FORMAT",IF(COUNTIF('01_INPUT_COMPANIES'!$A$7:$A$106,'01_INPUT_COMPANIES'!$A$46)&lt;&gt;1,"ERROR: DUPLICATE ID",IF(COUNT('01_INPUT_COMPANIES'!$T$46:$AC$46)&lt;&gt;10,"INPUT REQUIRED",IF(NOT(OR('01_INPUT_COMPANIES'!$C$46="domestic",'01_INPUT_COMPANIES'!$C$46="foreign",'01_INPUT_COMPANIES'!$C$46="other")),"ERROR: COMPANY GROUP",IF(OR(LEN('01_INPUT_COMPANIES'!$G$46)&lt;&gt;6,MID('01_INPUT_COMPANIES'!$G$46,5,1)&lt;&gt;"Q",IFERROR(VALUE(LEFT('01_INPUT_COMPANIES'!$G$46,4)),0)&lt;2000,IFERROR(VALUE(LEFT('01_INPUT_COMPANIES'!$G$46,4)),0)&gt;2100,IFERROR(VALUE(RIGHT('01_INPUT_COMPANIES'!$G$46,1)),0)&lt;1,IFERROR(VALUE(RIGHT('01_INPUT_COMPANIES'!$G$46,1)),0)&gt;4),"ERROR: REPORTING PERIOD",IF(OR(COUNTIFS('92_REF_VARIABLES'!$A$21:$A$21,'01_INPUT_COMPANIES'!$H$46,'92_REF_VARIABLES'!$B$21:$B$21,'01_INPUT_COMPANIES'!$D$46,'92_REF_VARIABLES'!$C$21:$C$21,'01_INPUT_COMPANIES'!$G$46)&lt;&gt;1,AND(IFERROR(INDEX('92_REF_VARIABLES'!$I$21:$I$21,MATCH('01_INPUT_COMPANIES'!$H$46,'92_REF_VARIABLES'!$A$21:$A$21,0)),"")="synthetic_only",'01_INPUT_COMPANIES'!$L$46&lt;&gt;"yes")),"ERROR: BENCHMARK",IF(COUNTIF('92_REF_VARIABLES'!$L$21:$L$50,'01_INPUT_COMPANIES'!$I$46)&lt;&gt;1,"ERROR: CURRENCY",IF(OR(NOT(ISNUMBER('01_INPUT_COMPANIES'!$J$46)),'01_INPUT_COMPANIES'!$J$46&lt;&gt;INT('01_INPUT_COMPANIES'!$J$46),'01_INPUT_COMPANIES'!$J$46&lt;2000,'01_INPUT_COMPANIES'!$J$46&gt;2100),"ERROR: PRICE YEAR",IF(NOT(OR('01_INPUT_COMPANIES'!$K$46="A",'01_INPUT_COMPANIES'!$K$46="B",'01_INPUT_COMPANIES'!$K$46="C",'01_INPUT_COMPANIES'!$K$46="SYNTHETIC")),"ERROR: QUALITY",IF(NOT(OR(AND('01_INPUT_COMPANIES'!$L$46="yes",'01_INPUT_COMPANIES'!$K$46="SYNTHETIC"),AND('01_INPUT_COMPANIES'!$L$46="no",'01_INPUT_COMPANIES'!$K$46&lt;&gt;"SYNTHETIC"))),"ERROR: SYNTHETIC FLAG",IF(NOT(OR('01_INPUT_COMPANIES'!$M$46="direct",'01_INPUT_COMPANIES'!$M$46="derived",'01_INPUT_COMPANIES'!$M$46="proxy",'01_INPUT_COMPANIES'!$M$46="mixed")),"ERROR: CONSTRUCTION MODE",IF(OR(NOT(ISNUMBER('01_INPUT_COMPANIES'!$P$46)),'01_INPUT_COMPANIES'!$P$46&lt;0,'01_INPUT_COMPANIES'!$P$46&lt;&gt;INT('01_INPUT_COMPANIES'!$P$46)),"ERROR: CARRY LAG",IF('01_INPUT_COMPANIES'!$Q$46&lt;&gt;"yes","ERROR: EXPOSURE ADJUSTMENT",IF(OR(NOT(ISNUMBER('01_INPUT_COMPANIES'!$R$46)),'01_INPUT_COMPANIES'!$R$46&lt;0,'01_INPUT_COMPANIES'!$R$46&gt;1),"ERROR: EXPOSURE FACTOR",IF(COUNT(Y46)=0,"ERROR: SCORE",IF(COUNT(Z46)=0,"READY",IF(AA46&lt;=0.0000000001,"PASS","CHECK"))&amp;IF('01_INPUT_COMPANIES'!$K$46="C"," | C QUALITY","")&amp;IF(OR('01_INPUT_COMPANIES'!$M$46="proxy",'01_INPUT_COMPANIES'!$M$46="mixed")," | PROXY/MIXED","")&amp;IF('01_INPUT_COMPANIES'!$P$46&gt;1," | CARRY&gt;1","")&amp;IF(OR(OR('01_INPUT_COMPANIES'!$T$46&lt;-1,'01_INPUT_COMPANIES'!$T$46&gt;1),OR('01_INPUT_COMPANIES'!$U$46&lt;0,'01_INPUT_COMPANIES'!$U$46&gt;1),OR('01_INPUT_COMPANIES'!$V$46&lt;0,'01_INPUT_COMPANIES'!$V$46&gt;1),OR('01_INPUT_COMPANIES'!$W$46&lt;-10,'01_INPUT_COMPANIES'!$W$46&gt;10),OR('01_INPUT_COMPANIES'!$X$46&lt;-1,'01_INPUT_COMPANIES'!$X$46&gt;1),OR('01_INPUT_COMPANIES'!$Y$46&lt;0,'01_INPUT_COMPANIES'!$Y$46&gt;20),OR('01_INPUT_COMPANIES'!$Z$46&lt;-2,'01_INPUT_COMPANIES'!$Z$46&gt;2),OR('01_INPUT_COMPANIES'!$AA$46&lt;0,'01_INPUT_COMPANIES'!$AA$46&gt;1),OR('01_INPUT_COMPANIES'!$AB$46&lt;0,'01_INPUT_COMPANIES'!$AB$46&gt;1),OR('01_INPUT_COMPANIES'!$AC$46&lt;0,'01_INPUT_COMPANIES'!$AC$46&gt;50))," | REVIEW RANGE","")&amp;IF(COUNTIF('90_CALC_FEATURES'!$J$397:$J$406,"WINSORIZED*")&gt;0," | WINSORIZED","")&amp;IF(ABS('01_INPUT_COMPANIES'!$U$46-'01_INPUT_COMPANIES'!$V$46*'01_INPUT_COMPANIES'!$AB$46)&gt;MAX(0.005,0.05*MAX(ABS('01_INPUT_COMPANIES'!$V$46*'01_INPUT_COMPANIES'!$AB$46),ABS('01_INPUT_COMPANIES'!$U$46),0.000000000001))," | DEPENDENCY",""))))))))))))))))))))</x:f>
      </x:c>
      <x:c r="AC46" s="34" t="str">
        <x:f>IF(A46="","",IF(OR(LEFT(AB46,4)="PASS",LEFT(AB46,5)="READY"),"RESEARCH BETA | 저지원 22.22% | 기업 백분위 N/A", "결과 사용 금지 | "&amp;AB46))</x:f>
      </x:c>
      <x:c r="AD46" s="34" t="str">
        <x:f>IF(A46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$46,TRIM('01_INPUT_COMPANIES'!$D$46)),EXACT('01_INPUT_COMPANIES'!$E$46,TRIM('01_INPUT_COMPANIES'!$E$46)),EXACT('01_INPUT_COMPANIES'!$F$46,TRIM('01_INPUT_COMPANIES'!$F$46)),EXACT('01_INPUT_COMPANIES'!$G$46,TRIM('01_INPUT_COMPANIES'!$G$46)),EXACT('01_INPUT_COMPANIES'!$H$46,TRIM('01_INPUT_COMPANIES'!$H$46)))),"ERROR: COHORT WHITESPACE",IF(NOT(IFERROR(AND(ISTEXT('01_INPUT_COMPANIES'!$O$46),LEN('01_INPUT_COMPANIES'!$O$46)=10,VALUE(LEFT('01_INPUT_COMPANIES'!$O$46,4))&gt;=2000,VALUE(LEFT('01_INPUT_COMPANIES'!$O$46,4))&lt;=2100,EXACT(TEXT(DATE(VALUE(LEFT('01_INPUT_COMPANIES'!$O$46,4)),VALUE(MID('01_INPUT_COMPANIES'!$O$46,6,2)),VALUE(RIGHT('01_INPUT_COMPANIES'!$O$46,2))),"yyyy-mm-dd"),'01_INPUT_COMPANIES'!$O$46)),FALSE)),"ERROR: SOURCE DATE",IF(NOT(AND(OR(EXACT('01_INPUT_COMPANIES'!$C$46,"domestic"),EXACT('01_INPUT_COMPANIES'!$C$46,"foreign"),EXACT('01_INPUT_COMPANIES'!$C$46,"other")),OR(EXACT('01_INPUT_COMPANIES'!$K$46,"A"),EXACT('01_INPUT_COMPANIES'!$K$46,"B"),EXACT('01_INPUT_COMPANIES'!$K$46,"C"),EXACT('01_INPUT_COMPANIES'!$K$46,"SYNTHETIC")),OR(EXACT('01_INPUT_COMPANIES'!$L$46,"yes"),EXACT('01_INPUT_COMPANIES'!$L$46,"no")),OR(EXACT('01_INPUT_COMPANIES'!$M$46,"direct"),EXACT('01_INPUT_COMPANIES'!$M$46,"derived"),EXACT('01_INPUT_COMPANIES'!$M$46,"proxy"),EXACT('01_INPUT_COMPANIES'!$M$46,"mixed")),OR(EXACT('01_INPUT_COMPANIES'!$Q$46,"yes")),EXACT('01_INPUT_COMPANIES'!$I$46,UPPER('01_INPUT_COMPANIES'!$I$46)))),"ERROR: EXACT ENUM",IF(NOT(IFERROR(OR(AND(EXACT('92_REF_VARIABLES'!$A$21,'01_INPUT_COMPANIES'!$H$46),EXACT('92_REF_VARIABLES'!$B$21,'01_INPUT_COMPANIES'!$D$46),EXACT('92_REF_VARIABLES'!$C$21,'01_INPUT_COMPANIES'!$G$46))),FALSE)),"ERROR: BENCHMARK",""))))))</x:f>
      </x:c>
    </x:row>
    <x:row r="47">
      <x:c r="A47" s="34" t="str">
        <x:f>IF(OR('01_INPUT_COMPANIES'!$A$47="",'01_INPUT_COMPANIES'!$A$47=""),"",'01_INPUT_COMPANIES'!$A$47)</x:f>
      </x:c>
      <x:c r="B47" s="34" t="str">
        <x:f>IF(OR('01_INPUT_COMPANIES'!$A$47="",'01_INPUT_COMPANIES'!$B$47=""),"",'01_INPUT_COMPANIES'!$B$47)</x:f>
      </x:c>
      <x:c r="C47" s="34" t="str">
        <x:f>IF(OR('01_INPUT_COMPANIES'!$A$47="",'01_INPUT_COMPANIES'!$C$47=""),"",'01_INPUT_COMPANIES'!$C$47)</x:f>
      </x:c>
      <x:c r="D47" s="34" t="str">
        <x:f>IF(OR('01_INPUT_COMPANIES'!$A$47="",'01_INPUT_COMPANIES'!$D$47=""),"",'01_INPUT_COMPANIES'!$D$47)</x:f>
      </x:c>
      <x:c r="E47" s="34" t="str">
        <x:f>IF(OR('01_INPUT_COMPANIES'!$A$47="",'01_INPUT_COMPANIES'!$E$47=""),"",'01_INPUT_COMPANIES'!$E$47)</x:f>
      </x:c>
      <x:c r="F47" s="34" t="str">
        <x:f>IF(OR('01_INPUT_COMPANIES'!$A$47="",'01_INPUT_COMPANIES'!$F$47=""),"",'01_INPUT_COMPANIES'!$F$47)</x:f>
      </x:c>
      <x:c r="G47" s="34" t="str">
        <x:f>IF(OR('01_INPUT_COMPANIES'!$A$47="",'01_INPUT_COMPANIES'!$G$47=""),"",'01_INPUT_COMPANIES'!$G$47)</x:f>
      </x:c>
      <x:c r="H47" s="34" t="str">
        <x:f>IF(OR('01_INPUT_COMPANIES'!$A$47="",'01_INPUT_COMPANIES'!$H$47=""),"",'01_INPUT_COMPANIES'!$H$47)</x:f>
      </x:c>
      <x:c r="I47" s="34" t="str">
        <x:f>IF(OR('01_INPUT_COMPANIES'!$A$47="",'01_INPUT_COMPANIES'!$K$47=""),"",'01_INPUT_COMPANIES'!$K$47)</x:f>
      </x:c>
      <x:c r="J47" s="34" t="str">
        <x:f>IF(OR('01_INPUT_COMPANIES'!$A$47="",'01_INPUT_COMPANIES'!$M$47=""),"",'01_INPUT_COMPANIES'!$M$47)</x:f>
      </x:c>
      <x:c r="K47" s="34" t="str">
        <x:f>IF(OR(A47="",COUNTBLANK(D47:H47)&gt;0),"",LEN(D47)&amp;":"&amp;D47&amp;LEN(E47)&amp;":"&amp;E47&amp;LEN(F47)&amp;":"&amp;F47&amp;LEN(G47)&amp;":"&amp;G47&amp;LEN(H47)&amp;":"&amp;H47)</x:f>
      </x:c>
      <x:c r="L47" s="47" t="str">
        <x:f>IF(A47="","",'90_CALC_FEATURES'!$I$407)</x:f>
      </x:c>
      <x:c r="M47" s="47" t="str">
        <x:f>IF(A47="","",'90_CALC_FEATURES'!$I$408)</x:f>
      </x:c>
      <x:c r="N47" s="47" t="str">
        <x:f>IF(A47="","",'90_CALC_FEATURES'!$I$409)</x:f>
      </x:c>
      <x:c r="O47" s="47" t="str">
        <x:f>IF(A47="","",'90_CALC_FEATURES'!$I$410)</x:f>
      </x:c>
      <x:c r="P47" s="47" t="str">
        <x:f>IF(A47="","",'90_CALC_FEATURES'!$I$411)</x:f>
      </x:c>
      <x:c r="Q47" s="47" t="str">
        <x:f>IF(A47="","",'90_CALC_FEATURES'!$I$412)</x:f>
      </x:c>
      <x:c r="R47" s="47" t="str">
        <x:f>IF(A47="","",'90_CALC_FEATURES'!$I$413)</x:f>
      </x:c>
      <x:c r="S47" s="47" t="str">
        <x:f>IF(A47="","",'90_CALC_FEATURES'!$I$414)</x:f>
      </x:c>
      <x:c r="T47" s="47" t="str">
        <x:f>IF(A47="","",'90_CALC_FEATURES'!$I$415)</x:f>
      </x:c>
      <x:c r="U47" s="47" t="str">
        <x:f>IF(A47="","",'90_CALC_FEATURES'!$I$416)</x:f>
      </x:c>
      <x:c r="V47" s="47" t="str">
        <x:f>IF(COUNT(L47:N47)=3,100*AVERAGE(L47:N47),"")</x:f>
      </x:c>
      <x:c r="W47" s="47" t="str">
        <x:f>IF(COUNT(O47:R47)=4,100*AVERAGE(O47:R47),"")</x:f>
      </x:c>
      <x:c r="X47" s="47" t="str">
        <x:f>IF(COUNT(S47:U47)=3,100*AVERAGE(S47:U47),"")</x:f>
      </x:c>
      <x:c r="Y47" s="47" t="str">
        <x:f>IF(COUNT(V47:X47)=3,AVERAGE(V47:X47),"")</x:f>
      </x:c>
      <x:c r="Z47" s="47" t="str">
        <x:f>IF(OR(AND(EXACT(A47,"SYN-A"),COUNT('01_INPUT_COMPANIES'!$T$47:$AC$47)=10,'01_INPUT_COMPANIES'!$T$47=-0.02,'01_INPUT_COMPANIES'!$U$47=0.1332,'01_INPUT_COMPANIES'!$V$47=0.18,'01_INPUT_COMPANIES'!$W$47=0.42,'01_INPUT_COMPANIES'!$X$47=0.012,'01_INPUT_COMPANIES'!$Y$47=3.2,'01_INPUT_COMPANIES'!$Z$47=0.08,'01_INPUT_COMPANIES'!$AA$47=0.28,'01_INPUT_COMPANIES'!$AB$47=0.74,'01_INPUT_COMPANIES'!$AC$47=8.5),AND(EXACT(A47,"SYN-B"),COUNT('01_INPUT_COMPANIES'!$T$47:$AC$47)=10,'01_INPUT_COMPANIES'!$T$47=-0.055,'01_INPUT_COMPANIES'!$U$47=0.06405,'01_INPUT_COMPANIES'!$V$47=0.105,'01_INPUT_COMPANIES'!$W$47=0.73,'01_INPUT_COMPANIES'!$X$47=0.004,'01_INPUT_COMPANIES'!$Y$47=4.1,'01_INPUT_COMPANIES'!$Z$47=0.025,'01_INPUT_COMPANIES'!$AA$47=0.16,'01_INPUT_COMPANIES'!$AB$47=0.61,'01_INPUT_COMPANIES'!$AC$47=4),AND(EXACT(A47,"SYN-C"),COUNT('01_INPUT_COMPANIES'!$T$47:$AC$47)=10,'01_INPUT_COMPANIES'!$T$47=0.01,'01_INPUT_COMPANIES'!$U$47=0.0986,'01_INPUT_COMPANIES'!$V$47=0.145,'01_INPUT_COMPANIES'!$W$47=0.18,'01_INPUT_COMPANIES'!$X$47=0.018,'01_INPUT_COMPANIES'!$Y$47=2.65,'01_INPUT_COMPANIES'!$Z$47=0.11,'01_INPUT_COMPANIES'!$AA$47=0.34,'01_INPUT_COMPANIES'!$AB$47=0.68,'01_INPUT_COMPANIES'!$AC$47=6.8),AND(EXACT(A47,"SYN-D"),COUNT('01_INPUT_COMPANIES'!$T$47:$AC$47)=10,'01_INPUT_COMPANIES'!$T$47=-0.005,'01_INPUT_COMPANIES'!$U$47=0.1136,'01_INPUT_COMPANIES'!$V$47=0.16,'01_INPUT_COMPANIES'!$W$47=0.51,'01_INPUT_COMPANIES'!$X$47=0.009,'01_INPUT_COMPANIES'!$Y$47=3.55,'01_INPUT_COMPANIES'!$Z$47=0.065,'01_INPUT_COMPANIES'!$AA$47=0.24,'01_INPUT_COMPANIES'!$AB$47=0.71,'01_INPUT_COMPANIES'!$AC$47=7.4)),IFERROR(INDEX('94_EXPECTED_OUTPUTS'!$B$7:$B$10,MATCH(A47,'94_EXPECTED_OUTPUTS'!$A$7:$A$10,0)),""),"")</x:f>
      </x:c>
      <x:c r="AA47" s="47" t="str">
        <x:f>IF(OR(COUNT(Y47)=0,COUNT(Z47)=0),"",ABS(Y47-Z47))</x:f>
      </x:c>
      <x:c r="AB47" s="34" t="str">
        <x:f>IF(A47="","",IF(AD47&lt;&gt;"",AD47,IF('01_INPUT_COMPANIES'!$A$47="","",IF(OR(LEN(TRIM('01_INPUT_COMPANIES'!$A$47&amp;""))=0,LEN(TRIM('01_INPUT_COMPANIES'!$B$47&amp;""))=0,LEN(TRIM('01_INPUT_COMPANIES'!$C$47&amp;""))=0,LEN(TRIM('01_INPUT_COMPANIES'!$D$47&amp;""))=0,LEN(TRIM('01_INPUT_COMPANIES'!$E$47&amp;""))=0,LEN(TRIM('01_INPUT_COMPANIES'!$F$47&amp;""))=0,LEN(TRIM('01_INPUT_COMPANIES'!$G$47&amp;""))=0,LEN(TRIM('01_INPUT_COMPANIES'!$H$47&amp;""))=0,LEN(TRIM('01_INPUT_COMPANIES'!$I$47&amp;""))=0,LEN(TRIM('01_INPUT_COMPANIES'!$K$47&amp;""))=0,LEN(TRIM('01_INPUT_COMPANIES'!$L$47&amp;""))=0,LEN(TRIM('01_INPUT_COMPANIES'!$M$47&amp;""))=0,LEN(TRIM('01_INPUT_COMPANIES'!$N$47&amp;""))=0,LEN(TRIM('01_INPUT_COMPANIES'!$O$47&amp;""))=0,LEN(TRIM('01_INPUT_COMPANIES'!$Q$47&amp;""))=0,COUNTBLANK('01_INPUT_COMPANIES'!$A$47:$R$47)&gt;0),"INPUT REQUIRED",IF(OR('01_INPUT_COMPANIES'!$A$47&lt;&gt;TRIM('01_INPUT_COMPANIES'!$A$47),NOT(EXACT('01_INPUT_COMPANIES'!$A$47,UPPER('01_INPUT_COMPANIES'!$A$47))),LEN('01_INPUT_COMPANIES'!$A$47)&gt;64,ISNUMBER(FIND("*",'01_INPUT_COMPANIES'!$A$47)),ISNUMBER(FIND("?",'01_INPUT_COMPANIES'!$A$47)),ISNUMBER(FIND("~",'01_INPUT_COMPANIES'!$A$47))),"ERROR: ID FORMAT",IF(COUNTIF('01_INPUT_COMPANIES'!$A$7:$A$106,'01_INPUT_COMPANIES'!$A$47)&lt;&gt;1,"ERROR: DUPLICATE ID",IF(COUNT('01_INPUT_COMPANIES'!$T$47:$AC$47)&lt;&gt;10,"INPUT REQUIRED",IF(NOT(OR('01_INPUT_COMPANIES'!$C$47="domestic",'01_INPUT_COMPANIES'!$C$47="foreign",'01_INPUT_COMPANIES'!$C$47="other")),"ERROR: COMPANY GROUP",IF(OR(LEN('01_INPUT_COMPANIES'!$G$47)&lt;&gt;6,MID('01_INPUT_COMPANIES'!$G$47,5,1)&lt;&gt;"Q",IFERROR(VALUE(LEFT('01_INPUT_COMPANIES'!$G$47,4)),0)&lt;2000,IFERROR(VALUE(LEFT('01_INPUT_COMPANIES'!$G$47,4)),0)&gt;2100,IFERROR(VALUE(RIGHT('01_INPUT_COMPANIES'!$G$47,1)),0)&lt;1,IFERROR(VALUE(RIGHT('01_INPUT_COMPANIES'!$G$47,1)),0)&gt;4),"ERROR: REPORTING PERIOD",IF(OR(COUNTIFS('92_REF_VARIABLES'!$A$21:$A$21,'01_INPUT_COMPANIES'!$H$47,'92_REF_VARIABLES'!$B$21:$B$21,'01_INPUT_COMPANIES'!$D$47,'92_REF_VARIABLES'!$C$21:$C$21,'01_INPUT_COMPANIES'!$G$47)&lt;&gt;1,AND(IFERROR(INDEX('92_REF_VARIABLES'!$I$21:$I$21,MATCH('01_INPUT_COMPANIES'!$H$47,'92_REF_VARIABLES'!$A$21:$A$21,0)),"")="synthetic_only",'01_INPUT_COMPANIES'!$L$47&lt;&gt;"yes")),"ERROR: BENCHMARK",IF(COUNTIF('92_REF_VARIABLES'!$L$21:$L$50,'01_INPUT_COMPANIES'!$I$47)&lt;&gt;1,"ERROR: CURRENCY",IF(OR(NOT(ISNUMBER('01_INPUT_COMPANIES'!$J$47)),'01_INPUT_COMPANIES'!$J$47&lt;&gt;INT('01_INPUT_COMPANIES'!$J$47),'01_INPUT_COMPANIES'!$J$47&lt;2000,'01_INPUT_COMPANIES'!$J$47&gt;2100),"ERROR: PRICE YEAR",IF(NOT(OR('01_INPUT_COMPANIES'!$K$47="A",'01_INPUT_COMPANIES'!$K$47="B",'01_INPUT_COMPANIES'!$K$47="C",'01_INPUT_COMPANIES'!$K$47="SYNTHETIC")),"ERROR: QUALITY",IF(NOT(OR(AND('01_INPUT_COMPANIES'!$L$47="yes",'01_INPUT_COMPANIES'!$K$47="SYNTHETIC"),AND('01_INPUT_COMPANIES'!$L$47="no",'01_INPUT_COMPANIES'!$K$47&lt;&gt;"SYNTHETIC"))),"ERROR: SYNTHETIC FLAG",IF(NOT(OR('01_INPUT_COMPANIES'!$M$47="direct",'01_INPUT_COMPANIES'!$M$47="derived",'01_INPUT_COMPANIES'!$M$47="proxy",'01_INPUT_COMPANIES'!$M$47="mixed")),"ERROR: CONSTRUCTION MODE",IF(OR(NOT(ISNUMBER('01_INPUT_COMPANIES'!$P$47)),'01_INPUT_COMPANIES'!$P$47&lt;0,'01_INPUT_COMPANIES'!$P$47&lt;&gt;INT('01_INPUT_COMPANIES'!$P$47)),"ERROR: CARRY LAG",IF('01_INPUT_COMPANIES'!$Q$47&lt;&gt;"yes","ERROR: EXPOSURE ADJUSTMENT",IF(OR(NOT(ISNUMBER('01_INPUT_COMPANIES'!$R$47)),'01_INPUT_COMPANIES'!$R$47&lt;0,'01_INPUT_COMPANIES'!$R$47&gt;1),"ERROR: EXPOSURE FACTOR",IF(COUNT(Y47)=0,"ERROR: SCORE",IF(COUNT(Z47)=0,"READY",IF(AA47&lt;=0.0000000001,"PASS","CHECK"))&amp;IF('01_INPUT_COMPANIES'!$K$47="C"," | C QUALITY","")&amp;IF(OR('01_INPUT_COMPANIES'!$M$47="proxy",'01_INPUT_COMPANIES'!$M$47="mixed")," | PROXY/MIXED","")&amp;IF('01_INPUT_COMPANIES'!$P$47&gt;1," | CARRY&gt;1","")&amp;IF(OR(OR('01_INPUT_COMPANIES'!$T$47&lt;-1,'01_INPUT_COMPANIES'!$T$47&gt;1),OR('01_INPUT_COMPANIES'!$U$47&lt;0,'01_INPUT_COMPANIES'!$U$47&gt;1),OR('01_INPUT_COMPANIES'!$V$47&lt;0,'01_INPUT_COMPANIES'!$V$47&gt;1),OR('01_INPUT_COMPANIES'!$W$47&lt;-10,'01_INPUT_COMPANIES'!$W$47&gt;10),OR('01_INPUT_COMPANIES'!$X$47&lt;-1,'01_INPUT_COMPANIES'!$X$47&gt;1),OR('01_INPUT_COMPANIES'!$Y$47&lt;0,'01_INPUT_COMPANIES'!$Y$47&gt;20),OR('01_INPUT_COMPANIES'!$Z$47&lt;-2,'01_INPUT_COMPANIES'!$Z$47&gt;2),OR('01_INPUT_COMPANIES'!$AA$47&lt;0,'01_INPUT_COMPANIES'!$AA$47&gt;1),OR('01_INPUT_COMPANIES'!$AB$47&lt;0,'01_INPUT_COMPANIES'!$AB$47&gt;1),OR('01_INPUT_COMPANIES'!$AC$47&lt;0,'01_INPUT_COMPANIES'!$AC$47&gt;50))," | REVIEW RANGE","")&amp;IF(COUNTIF('90_CALC_FEATURES'!$J$407:$J$416,"WINSORIZED*")&gt;0," | WINSORIZED","")&amp;IF(ABS('01_INPUT_COMPANIES'!$U$47-'01_INPUT_COMPANIES'!$V$47*'01_INPUT_COMPANIES'!$AB$47)&gt;MAX(0.005,0.05*MAX(ABS('01_INPUT_COMPANIES'!$V$47*'01_INPUT_COMPANIES'!$AB$47),ABS('01_INPUT_COMPANIES'!$U$47),0.000000000001))," | DEPENDENCY",""))))))))))))))))))))</x:f>
      </x:c>
      <x:c r="AC47" s="34" t="str">
        <x:f>IF(A47="","",IF(OR(LEFT(AB47,4)="PASS",LEFT(AB47,5)="READY"),"RESEARCH BETA | 저지원 22.22% | 기업 백분위 N/A", "결과 사용 금지 | "&amp;AB47))</x:f>
      </x:c>
      <x:c r="AD47" s="34" t="str">
        <x:f>IF(A47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$47,TRIM('01_INPUT_COMPANIES'!$D$47)),EXACT('01_INPUT_COMPANIES'!$E$47,TRIM('01_INPUT_COMPANIES'!$E$47)),EXACT('01_INPUT_COMPANIES'!$F$47,TRIM('01_INPUT_COMPANIES'!$F$47)),EXACT('01_INPUT_COMPANIES'!$G$47,TRIM('01_INPUT_COMPANIES'!$G$47)),EXACT('01_INPUT_COMPANIES'!$H$47,TRIM('01_INPUT_COMPANIES'!$H$47)))),"ERROR: COHORT WHITESPACE",IF(NOT(IFERROR(AND(ISTEXT('01_INPUT_COMPANIES'!$O$47),LEN('01_INPUT_COMPANIES'!$O$47)=10,VALUE(LEFT('01_INPUT_COMPANIES'!$O$47,4))&gt;=2000,VALUE(LEFT('01_INPUT_COMPANIES'!$O$47,4))&lt;=2100,EXACT(TEXT(DATE(VALUE(LEFT('01_INPUT_COMPANIES'!$O$47,4)),VALUE(MID('01_INPUT_COMPANIES'!$O$47,6,2)),VALUE(RIGHT('01_INPUT_COMPANIES'!$O$47,2))),"yyyy-mm-dd"),'01_INPUT_COMPANIES'!$O$47)),FALSE)),"ERROR: SOURCE DATE",IF(NOT(AND(OR(EXACT('01_INPUT_COMPANIES'!$C$47,"domestic"),EXACT('01_INPUT_COMPANIES'!$C$47,"foreign"),EXACT('01_INPUT_COMPANIES'!$C$47,"other")),OR(EXACT('01_INPUT_COMPANIES'!$K$47,"A"),EXACT('01_INPUT_COMPANIES'!$K$47,"B"),EXACT('01_INPUT_COMPANIES'!$K$47,"C"),EXACT('01_INPUT_COMPANIES'!$K$47,"SYNTHETIC")),OR(EXACT('01_INPUT_COMPANIES'!$L$47,"yes"),EXACT('01_INPUT_COMPANIES'!$L$47,"no")),OR(EXACT('01_INPUT_COMPANIES'!$M$47,"direct"),EXACT('01_INPUT_COMPANIES'!$M$47,"derived"),EXACT('01_INPUT_COMPANIES'!$M$47,"proxy"),EXACT('01_INPUT_COMPANIES'!$M$47,"mixed")),OR(EXACT('01_INPUT_COMPANIES'!$Q$47,"yes")),EXACT('01_INPUT_COMPANIES'!$I$47,UPPER('01_INPUT_COMPANIES'!$I$47)))),"ERROR: EXACT ENUM",IF(NOT(IFERROR(OR(AND(EXACT('92_REF_VARIABLES'!$A$21,'01_INPUT_COMPANIES'!$H$47),EXACT('92_REF_VARIABLES'!$B$21,'01_INPUT_COMPANIES'!$D$47),EXACT('92_REF_VARIABLES'!$C$21,'01_INPUT_COMPANIES'!$G$47))),FALSE)),"ERROR: BENCHMARK",""))))))</x:f>
      </x:c>
    </x:row>
    <x:row r="48">
      <x:c r="A48" s="34" t="str">
        <x:f>IF(OR('01_INPUT_COMPANIES'!$A$48="",'01_INPUT_COMPANIES'!$A$48=""),"",'01_INPUT_COMPANIES'!$A$48)</x:f>
      </x:c>
      <x:c r="B48" s="34" t="str">
        <x:f>IF(OR('01_INPUT_COMPANIES'!$A$48="",'01_INPUT_COMPANIES'!$B$48=""),"",'01_INPUT_COMPANIES'!$B$48)</x:f>
      </x:c>
      <x:c r="C48" s="34" t="str">
        <x:f>IF(OR('01_INPUT_COMPANIES'!$A$48="",'01_INPUT_COMPANIES'!$C$48=""),"",'01_INPUT_COMPANIES'!$C$48)</x:f>
      </x:c>
      <x:c r="D48" s="34" t="str">
        <x:f>IF(OR('01_INPUT_COMPANIES'!$A$48="",'01_INPUT_COMPANIES'!$D$48=""),"",'01_INPUT_COMPANIES'!$D$48)</x:f>
      </x:c>
      <x:c r="E48" s="34" t="str">
        <x:f>IF(OR('01_INPUT_COMPANIES'!$A$48="",'01_INPUT_COMPANIES'!$E$48=""),"",'01_INPUT_COMPANIES'!$E$48)</x:f>
      </x:c>
      <x:c r="F48" s="34" t="str">
        <x:f>IF(OR('01_INPUT_COMPANIES'!$A$48="",'01_INPUT_COMPANIES'!$F$48=""),"",'01_INPUT_COMPANIES'!$F$48)</x:f>
      </x:c>
      <x:c r="G48" s="34" t="str">
        <x:f>IF(OR('01_INPUT_COMPANIES'!$A$48="",'01_INPUT_COMPANIES'!$G$48=""),"",'01_INPUT_COMPANIES'!$G$48)</x:f>
      </x:c>
      <x:c r="H48" s="34" t="str">
        <x:f>IF(OR('01_INPUT_COMPANIES'!$A$48="",'01_INPUT_COMPANIES'!$H$48=""),"",'01_INPUT_COMPANIES'!$H$48)</x:f>
      </x:c>
      <x:c r="I48" s="34" t="str">
        <x:f>IF(OR('01_INPUT_COMPANIES'!$A$48="",'01_INPUT_COMPANIES'!$K$48=""),"",'01_INPUT_COMPANIES'!$K$48)</x:f>
      </x:c>
      <x:c r="J48" s="34" t="str">
        <x:f>IF(OR('01_INPUT_COMPANIES'!$A$48="",'01_INPUT_COMPANIES'!$M$48=""),"",'01_INPUT_COMPANIES'!$M$48)</x:f>
      </x:c>
      <x:c r="K48" s="34" t="str">
        <x:f>IF(OR(A48="",COUNTBLANK(D48:H48)&gt;0),"",LEN(D48)&amp;":"&amp;D48&amp;LEN(E48)&amp;":"&amp;E48&amp;LEN(F48)&amp;":"&amp;F48&amp;LEN(G48)&amp;":"&amp;G48&amp;LEN(H48)&amp;":"&amp;H48)</x:f>
      </x:c>
      <x:c r="L48" s="47" t="str">
        <x:f>IF(A48="","",'90_CALC_FEATURES'!$I$417)</x:f>
      </x:c>
      <x:c r="M48" s="47" t="str">
        <x:f>IF(A48="","",'90_CALC_FEATURES'!$I$418)</x:f>
      </x:c>
      <x:c r="N48" s="47" t="str">
        <x:f>IF(A48="","",'90_CALC_FEATURES'!$I$419)</x:f>
      </x:c>
      <x:c r="O48" s="47" t="str">
        <x:f>IF(A48="","",'90_CALC_FEATURES'!$I$420)</x:f>
      </x:c>
      <x:c r="P48" s="47" t="str">
        <x:f>IF(A48="","",'90_CALC_FEATURES'!$I$421)</x:f>
      </x:c>
      <x:c r="Q48" s="47" t="str">
        <x:f>IF(A48="","",'90_CALC_FEATURES'!$I$422)</x:f>
      </x:c>
      <x:c r="R48" s="47" t="str">
        <x:f>IF(A48="","",'90_CALC_FEATURES'!$I$423)</x:f>
      </x:c>
      <x:c r="S48" s="47" t="str">
        <x:f>IF(A48="","",'90_CALC_FEATURES'!$I$424)</x:f>
      </x:c>
      <x:c r="T48" s="47" t="str">
        <x:f>IF(A48="","",'90_CALC_FEATURES'!$I$425)</x:f>
      </x:c>
      <x:c r="U48" s="47" t="str">
        <x:f>IF(A48="","",'90_CALC_FEATURES'!$I$426)</x:f>
      </x:c>
      <x:c r="V48" s="47" t="str">
        <x:f>IF(COUNT(L48:N48)=3,100*AVERAGE(L48:N48),"")</x:f>
      </x:c>
      <x:c r="W48" s="47" t="str">
        <x:f>IF(COUNT(O48:R48)=4,100*AVERAGE(O48:R48),"")</x:f>
      </x:c>
      <x:c r="X48" s="47" t="str">
        <x:f>IF(COUNT(S48:U48)=3,100*AVERAGE(S48:U48),"")</x:f>
      </x:c>
      <x:c r="Y48" s="47" t="str">
        <x:f>IF(COUNT(V48:X48)=3,AVERAGE(V48:X48),"")</x:f>
      </x:c>
      <x:c r="Z48" s="47" t="str">
        <x:f>IF(OR(AND(EXACT(A48,"SYN-A"),COUNT('01_INPUT_COMPANIES'!$T$48:$AC$48)=10,'01_INPUT_COMPANIES'!$T$48=-0.02,'01_INPUT_COMPANIES'!$U$48=0.1332,'01_INPUT_COMPANIES'!$V$48=0.18,'01_INPUT_COMPANIES'!$W$48=0.42,'01_INPUT_COMPANIES'!$X$48=0.012,'01_INPUT_COMPANIES'!$Y$48=3.2,'01_INPUT_COMPANIES'!$Z$48=0.08,'01_INPUT_COMPANIES'!$AA$48=0.28,'01_INPUT_COMPANIES'!$AB$48=0.74,'01_INPUT_COMPANIES'!$AC$48=8.5),AND(EXACT(A48,"SYN-B"),COUNT('01_INPUT_COMPANIES'!$T$48:$AC$48)=10,'01_INPUT_COMPANIES'!$T$48=-0.055,'01_INPUT_COMPANIES'!$U$48=0.06405,'01_INPUT_COMPANIES'!$V$48=0.105,'01_INPUT_COMPANIES'!$W$48=0.73,'01_INPUT_COMPANIES'!$X$48=0.004,'01_INPUT_COMPANIES'!$Y$48=4.1,'01_INPUT_COMPANIES'!$Z$48=0.025,'01_INPUT_COMPANIES'!$AA$48=0.16,'01_INPUT_COMPANIES'!$AB$48=0.61,'01_INPUT_COMPANIES'!$AC$48=4),AND(EXACT(A48,"SYN-C"),COUNT('01_INPUT_COMPANIES'!$T$48:$AC$48)=10,'01_INPUT_COMPANIES'!$T$48=0.01,'01_INPUT_COMPANIES'!$U$48=0.0986,'01_INPUT_COMPANIES'!$V$48=0.145,'01_INPUT_COMPANIES'!$W$48=0.18,'01_INPUT_COMPANIES'!$X$48=0.018,'01_INPUT_COMPANIES'!$Y$48=2.65,'01_INPUT_COMPANIES'!$Z$48=0.11,'01_INPUT_COMPANIES'!$AA$48=0.34,'01_INPUT_COMPANIES'!$AB$48=0.68,'01_INPUT_COMPANIES'!$AC$48=6.8),AND(EXACT(A48,"SYN-D"),COUNT('01_INPUT_COMPANIES'!$T$48:$AC$48)=10,'01_INPUT_COMPANIES'!$T$48=-0.005,'01_INPUT_COMPANIES'!$U$48=0.1136,'01_INPUT_COMPANIES'!$V$48=0.16,'01_INPUT_COMPANIES'!$W$48=0.51,'01_INPUT_COMPANIES'!$X$48=0.009,'01_INPUT_COMPANIES'!$Y$48=3.55,'01_INPUT_COMPANIES'!$Z$48=0.065,'01_INPUT_COMPANIES'!$AA$48=0.24,'01_INPUT_COMPANIES'!$AB$48=0.71,'01_INPUT_COMPANIES'!$AC$48=7.4)),IFERROR(INDEX('94_EXPECTED_OUTPUTS'!$B$7:$B$10,MATCH(A48,'94_EXPECTED_OUTPUTS'!$A$7:$A$10,0)),""),"")</x:f>
      </x:c>
      <x:c r="AA48" s="47" t="str">
        <x:f>IF(OR(COUNT(Y48)=0,COUNT(Z48)=0),"",ABS(Y48-Z48))</x:f>
      </x:c>
      <x:c r="AB48" s="34" t="str">
        <x:f>IF(A48="","",IF(AD48&lt;&gt;"",AD48,IF('01_INPUT_COMPANIES'!$A$48="","",IF(OR(LEN(TRIM('01_INPUT_COMPANIES'!$A$48&amp;""))=0,LEN(TRIM('01_INPUT_COMPANIES'!$B$48&amp;""))=0,LEN(TRIM('01_INPUT_COMPANIES'!$C$48&amp;""))=0,LEN(TRIM('01_INPUT_COMPANIES'!$D$48&amp;""))=0,LEN(TRIM('01_INPUT_COMPANIES'!$E$48&amp;""))=0,LEN(TRIM('01_INPUT_COMPANIES'!$F$48&amp;""))=0,LEN(TRIM('01_INPUT_COMPANIES'!$G$48&amp;""))=0,LEN(TRIM('01_INPUT_COMPANIES'!$H$48&amp;""))=0,LEN(TRIM('01_INPUT_COMPANIES'!$I$48&amp;""))=0,LEN(TRIM('01_INPUT_COMPANIES'!$K$48&amp;""))=0,LEN(TRIM('01_INPUT_COMPANIES'!$L$48&amp;""))=0,LEN(TRIM('01_INPUT_COMPANIES'!$M$48&amp;""))=0,LEN(TRIM('01_INPUT_COMPANIES'!$N$48&amp;""))=0,LEN(TRIM('01_INPUT_COMPANIES'!$O$48&amp;""))=0,LEN(TRIM('01_INPUT_COMPANIES'!$Q$48&amp;""))=0,COUNTBLANK('01_INPUT_COMPANIES'!$A$48:$R$48)&gt;0),"INPUT REQUIRED",IF(OR('01_INPUT_COMPANIES'!$A$48&lt;&gt;TRIM('01_INPUT_COMPANIES'!$A$48),NOT(EXACT('01_INPUT_COMPANIES'!$A$48,UPPER('01_INPUT_COMPANIES'!$A$48))),LEN('01_INPUT_COMPANIES'!$A$48)&gt;64,ISNUMBER(FIND("*",'01_INPUT_COMPANIES'!$A$48)),ISNUMBER(FIND("?",'01_INPUT_COMPANIES'!$A$48)),ISNUMBER(FIND("~",'01_INPUT_COMPANIES'!$A$48))),"ERROR: ID FORMAT",IF(COUNTIF('01_INPUT_COMPANIES'!$A$7:$A$106,'01_INPUT_COMPANIES'!$A$48)&lt;&gt;1,"ERROR: DUPLICATE ID",IF(COUNT('01_INPUT_COMPANIES'!$T$48:$AC$48)&lt;&gt;10,"INPUT REQUIRED",IF(NOT(OR('01_INPUT_COMPANIES'!$C$48="domestic",'01_INPUT_COMPANIES'!$C$48="foreign",'01_INPUT_COMPANIES'!$C$48="other")),"ERROR: COMPANY GROUP",IF(OR(LEN('01_INPUT_COMPANIES'!$G$48)&lt;&gt;6,MID('01_INPUT_COMPANIES'!$G$48,5,1)&lt;&gt;"Q",IFERROR(VALUE(LEFT('01_INPUT_COMPANIES'!$G$48,4)),0)&lt;2000,IFERROR(VALUE(LEFT('01_INPUT_COMPANIES'!$G$48,4)),0)&gt;2100,IFERROR(VALUE(RIGHT('01_INPUT_COMPANIES'!$G$48,1)),0)&lt;1,IFERROR(VALUE(RIGHT('01_INPUT_COMPANIES'!$G$48,1)),0)&gt;4),"ERROR: REPORTING PERIOD",IF(OR(COUNTIFS('92_REF_VARIABLES'!$A$21:$A$21,'01_INPUT_COMPANIES'!$H$48,'92_REF_VARIABLES'!$B$21:$B$21,'01_INPUT_COMPANIES'!$D$48,'92_REF_VARIABLES'!$C$21:$C$21,'01_INPUT_COMPANIES'!$G$48)&lt;&gt;1,AND(IFERROR(INDEX('92_REF_VARIABLES'!$I$21:$I$21,MATCH('01_INPUT_COMPANIES'!$H$48,'92_REF_VARIABLES'!$A$21:$A$21,0)),"")="synthetic_only",'01_INPUT_COMPANIES'!$L$48&lt;&gt;"yes")),"ERROR: BENCHMARK",IF(COUNTIF('92_REF_VARIABLES'!$L$21:$L$50,'01_INPUT_COMPANIES'!$I$48)&lt;&gt;1,"ERROR: CURRENCY",IF(OR(NOT(ISNUMBER('01_INPUT_COMPANIES'!$J$48)),'01_INPUT_COMPANIES'!$J$48&lt;&gt;INT('01_INPUT_COMPANIES'!$J$48),'01_INPUT_COMPANIES'!$J$48&lt;2000,'01_INPUT_COMPANIES'!$J$48&gt;2100),"ERROR: PRICE YEAR",IF(NOT(OR('01_INPUT_COMPANIES'!$K$48="A",'01_INPUT_COMPANIES'!$K$48="B",'01_INPUT_COMPANIES'!$K$48="C",'01_INPUT_COMPANIES'!$K$48="SYNTHETIC")),"ERROR: QUALITY",IF(NOT(OR(AND('01_INPUT_COMPANIES'!$L$48="yes",'01_INPUT_COMPANIES'!$K$48="SYNTHETIC"),AND('01_INPUT_COMPANIES'!$L$48="no",'01_INPUT_COMPANIES'!$K$48&lt;&gt;"SYNTHETIC"))),"ERROR: SYNTHETIC FLAG",IF(NOT(OR('01_INPUT_COMPANIES'!$M$48="direct",'01_INPUT_COMPANIES'!$M$48="derived",'01_INPUT_COMPANIES'!$M$48="proxy",'01_INPUT_COMPANIES'!$M$48="mixed")),"ERROR: CONSTRUCTION MODE",IF(OR(NOT(ISNUMBER('01_INPUT_COMPANIES'!$P$48)),'01_INPUT_COMPANIES'!$P$48&lt;0,'01_INPUT_COMPANIES'!$P$48&lt;&gt;INT('01_INPUT_COMPANIES'!$P$48)),"ERROR: CARRY LAG",IF('01_INPUT_COMPANIES'!$Q$48&lt;&gt;"yes","ERROR: EXPOSURE ADJUSTMENT",IF(OR(NOT(ISNUMBER('01_INPUT_COMPANIES'!$R$48)),'01_INPUT_COMPANIES'!$R$48&lt;0,'01_INPUT_COMPANIES'!$R$48&gt;1),"ERROR: EXPOSURE FACTOR",IF(COUNT(Y48)=0,"ERROR: SCORE",IF(COUNT(Z48)=0,"READY",IF(AA48&lt;=0.0000000001,"PASS","CHECK"))&amp;IF('01_INPUT_COMPANIES'!$K$48="C"," | C QUALITY","")&amp;IF(OR('01_INPUT_COMPANIES'!$M$48="proxy",'01_INPUT_COMPANIES'!$M$48="mixed")," | PROXY/MIXED","")&amp;IF('01_INPUT_COMPANIES'!$P$48&gt;1," | CARRY&gt;1","")&amp;IF(OR(OR('01_INPUT_COMPANIES'!$T$48&lt;-1,'01_INPUT_COMPANIES'!$T$48&gt;1),OR('01_INPUT_COMPANIES'!$U$48&lt;0,'01_INPUT_COMPANIES'!$U$48&gt;1),OR('01_INPUT_COMPANIES'!$V$48&lt;0,'01_INPUT_COMPANIES'!$V$48&gt;1),OR('01_INPUT_COMPANIES'!$W$48&lt;-10,'01_INPUT_COMPANIES'!$W$48&gt;10),OR('01_INPUT_COMPANIES'!$X$48&lt;-1,'01_INPUT_COMPANIES'!$X$48&gt;1),OR('01_INPUT_COMPANIES'!$Y$48&lt;0,'01_INPUT_COMPANIES'!$Y$48&gt;20),OR('01_INPUT_COMPANIES'!$Z$48&lt;-2,'01_INPUT_COMPANIES'!$Z$48&gt;2),OR('01_INPUT_COMPANIES'!$AA$48&lt;0,'01_INPUT_COMPANIES'!$AA$48&gt;1),OR('01_INPUT_COMPANIES'!$AB$48&lt;0,'01_INPUT_COMPANIES'!$AB$48&gt;1),OR('01_INPUT_COMPANIES'!$AC$48&lt;0,'01_INPUT_COMPANIES'!$AC$48&gt;50))," | REVIEW RANGE","")&amp;IF(COUNTIF('90_CALC_FEATURES'!$J$417:$J$426,"WINSORIZED*")&gt;0," | WINSORIZED","")&amp;IF(ABS('01_INPUT_COMPANIES'!$U$48-'01_INPUT_COMPANIES'!$V$48*'01_INPUT_COMPANIES'!$AB$48)&gt;MAX(0.005,0.05*MAX(ABS('01_INPUT_COMPANIES'!$V$48*'01_INPUT_COMPANIES'!$AB$48),ABS('01_INPUT_COMPANIES'!$U$48),0.000000000001))," | DEPENDENCY",""))))))))))))))))))))</x:f>
      </x:c>
      <x:c r="AC48" s="34" t="str">
        <x:f>IF(A48="","",IF(OR(LEFT(AB48,4)="PASS",LEFT(AB48,5)="READY"),"RESEARCH BETA | 저지원 22.22% | 기업 백분위 N/A", "결과 사용 금지 | "&amp;AB48))</x:f>
      </x:c>
      <x:c r="AD48" s="34" t="str">
        <x:f>IF(A48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$48,TRIM('01_INPUT_COMPANIES'!$D$48)),EXACT('01_INPUT_COMPANIES'!$E$48,TRIM('01_INPUT_COMPANIES'!$E$48)),EXACT('01_INPUT_COMPANIES'!$F$48,TRIM('01_INPUT_COMPANIES'!$F$48)),EXACT('01_INPUT_COMPANIES'!$G$48,TRIM('01_INPUT_COMPANIES'!$G$48)),EXACT('01_INPUT_COMPANIES'!$H$48,TRIM('01_INPUT_COMPANIES'!$H$48)))),"ERROR: COHORT WHITESPACE",IF(NOT(IFERROR(AND(ISTEXT('01_INPUT_COMPANIES'!$O$48),LEN('01_INPUT_COMPANIES'!$O$48)=10,VALUE(LEFT('01_INPUT_COMPANIES'!$O$48,4))&gt;=2000,VALUE(LEFT('01_INPUT_COMPANIES'!$O$48,4))&lt;=2100,EXACT(TEXT(DATE(VALUE(LEFT('01_INPUT_COMPANIES'!$O$48,4)),VALUE(MID('01_INPUT_COMPANIES'!$O$48,6,2)),VALUE(RIGHT('01_INPUT_COMPANIES'!$O$48,2))),"yyyy-mm-dd"),'01_INPUT_COMPANIES'!$O$48)),FALSE)),"ERROR: SOURCE DATE",IF(NOT(AND(OR(EXACT('01_INPUT_COMPANIES'!$C$48,"domestic"),EXACT('01_INPUT_COMPANIES'!$C$48,"foreign"),EXACT('01_INPUT_COMPANIES'!$C$48,"other")),OR(EXACT('01_INPUT_COMPANIES'!$K$48,"A"),EXACT('01_INPUT_COMPANIES'!$K$48,"B"),EXACT('01_INPUT_COMPANIES'!$K$48,"C"),EXACT('01_INPUT_COMPANIES'!$K$48,"SYNTHETIC")),OR(EXACT('01_INPUT_COMPANIES'!$L$48,"yes"),EXACT('01_INPUT_COMPANIES'!$L$48,"no")),OR(EXACT('01_INPUT_COMPANIES'!$M$48,"direct"),EXACT('01_INPUT_COMPANIES'!$M$48,"derived"),EXACT('01_INPUT_COMPANIES'!$M$48,"proxy"),EXACT('01_INPUT_COMPANIES'!$M$48,"mixed")),OR(EXACT('01_INPUT_COMPANIES'!$Q$48,"yes")),EXACT('01_INPUT_COMPANIES'!$I$48,UPPER('01_INPUT_COMPANIES'!$I$48)))),"ERROR: EXACT ENUM",IF(NOT(IFERROR(OR(AND(EXACT('92_REF_VARIABLES'!$A$21,'01_INPUT_COMPANIES'!$H$48),EXACT('92_REF_VARIABLES'!$B$21,'01_INPUT_COMPANIES'!$D$48),EXACT('92_REF_VARIABLES'!$C$21,'01_INPUT_COMPANIES'!$G$48))),FALSE)),"ERROR: BENCHMARK",""))))))</x:f>
      </x:c>
    </x:row>
    <x:row r="49">
      <x:c r="A49" s="34" t="str">
        <x:f>IF(OR('01_INPUT_COMPANIES'!$A$49="",'01_INPUT_COMPANIES'!$A$49=""),"",'01_INPUT_COMPANIES'!$A$49)</x:f>
      </x:c>
      <x:c r="B49" s="34" t="str">
        <x:f>IF(OR('01_INPUT_COMPANIES'!$A$49="",'01_INPUT_COMPANIES'!$B$49=""),"",'01_INPUT_COMPANIES'!$B$49)</x:f>
      </x:c>
      <x:c r="C49" s="34" t="str">
        <x:f>IF(OR('01_INPUT_COMPANIES'!$A$49="",'01_INPUT_COMPANIES'!$C$49=""),"",'01_INPUT_COMPANIES'!$C$49)</x:f>
      </x:c>
      <x:c r="D49" s="34" t="str">
        <x:f>IF(OR('01_INPUT_COMPANIES'!$A$49="",'01_INPUT_COMPANIES'!$D$49=""),"",'01_INPUT_COMPANIES'!$D$49)</x:f>
      </x:c>
      <x:c r="E49" s="34" t="str">
        <x:f>IF(OR('01_INPUT_COMPANIES'!$A$49="",'01_INPUT_COMPANIES'!$E$49=""),"",'01_INPUT_COMPANIES'!$E$49)</x:f>
      </x:c>
      <x:c r="F49" s="34" t="str">
        <x:f>IF(OR('01_INPUT_COMPANIES'!$A$49="",'01_INPUT_COMPANIES'!$F$49=""),"",'01_INPUT_COMPANIES'!$F$49)</x:f>
      </x:c>
      <x:c r="G49" s="34" t="str">
        <x:f>IF(OR('01_INPUT_COMPANIES'!$A$49="",'01_INPUT_COMPANIES'!$G$49=""),"",'01_INPUT_COMPANIES'!$G$49)</x:f>
      </x:c>
      <x:c r="H49" s="34" t="str">
        <x:f>IF(OR('01_INPUT_COMPANIES'!$A$49="",'01_INPUT_COMPANIES'!$H$49=""),"",'01_INPUT_COMPANIES'!$H$49)</x:f>
      </x:c>
      <x:c r="I49" s="34" t="str">
        <x:f>IF(OR('01_INPUT_COMPANIES'!$A$49="",'01_INPUT_COMPANIES'!$K$49=""),"",'01_INPUT_COMPANIES'!$K$49)</x:f>
      </x:c>
      <x:c r="J49" s="34" t="str">
        <x:f>IF(OR('01_INPUT_COMPANIES'!$A$49="",'01_INPUT_COMPANIES'!$M$49=""),"",'01_INPUT_COMPANIES'!$M$49)</x:f>
      </x:c>
      <x:c r="K49" s="34" t="str">
        <x:f>IF(OR(A49="",COUNTBLANK(D49:H49)&gt;0),"",LEN(D49)&amp;":"&amp;D49&amp;LEN(E49)&amp;":"&amp;E49&amp;LEN(F49)&amp;":"&amp;F49&amp;LEN(G49)&amp;":"&amp;G49&amp;LEN(H49)&amp;":"&amp;H49)</x:f>
      </x:c>
      <x:c r="L49" s="47" t="str">
        <x:f>IF(A49="","",'90_CALC_FEATURES'!$I$427)</x:f>
      </x:c>
      <x:c r="M49" s="47" t="str">
        <x:f>IF(A49="","",'90_CALC_FEATURES'!$I$428)</x:f>
      </x:c>
      <x:c r="N49" s="47" t="str">
        <x:f>IF(A49="","",'90_CALC_FEATURES'!$I$429)</x:f>
      </x:c>
      <x:c r="O49" s="47" t="str">
        <x:f>IF(A49="","",'90_CALC_FEATURES'!$I$430)</x:f>
      </x:c>
      <x:c r="P49" s="47" t="str">
        <x:f>IF(A49="","",'90_CALC_FEATURES'!$I$431)</x:f>
      </x:c>
      <x:c r="Q49" s="47" t="str">
        <x:f>IF(A49="","",'90_CALC_FEATURES'!$I$432)</x:f>
      </x:c>
      <x:c r="R49" s="47" t="str">
        <x:f>IF(A49="","",'90_CALC_FEATURES'!$I$433)</x:f>
      </x:c>
      <x:c r="S49" s="47" t="str">
        <x:f>IF(A49="","",'90_CALC_FEATURES'!$I$434)</x:f>
      </x:c>
      <x:c r="T49" s="47" t="str">
        <x:f>IF(A49="","",'90_CALC_FEATURES'!$I$435)</x:f>
      </x:c>
      <x:c r="U49" s="47" t="str">
        <x:f>IF(A49="","",'90_CALC_FEATURES'!$I$436)</x:f>
      </x:c>
      <x:c r="V49" s="47" t="str">
        <x:f>IF(COUNT(L49:N49)=3,100*AVERAGE(L49:N49),"")</x:f>
      </x:c>
      <x:c r="W49" s="47" t="str">
        <x:f>IF(COUNT(O49:R49)=4,100*AVERAGE(O49:R49),"")</x:f>
      </x:c>
      <x:c r="X49" s="47" t="str">
        <x:f>IF(COUNT(S49:U49)=3,100*AVERAGE(S49:U49),"")</x:f>
      </x:c>
      <x:c r="Y49" s="47" t="str">
        <x:f>IF(COUNT(V49:X49)=3,AVERAGE(V49:X49),"")</x:f>
      </x:c>
      <x:c r="Z49" s="47" t="str">
        <x:f>IF(OR(AND(EXACT(A49,"SYN-A"),COUNT('01_INPUT_COMPANIES'!$T$49:$AC$49)=10,'01_INPUT_COMPANIES'!$T$49=-0.02,'01_INPUT_COMPANIES'!$U$49=0.1332,'01_INPUT_COMPANIES'!$V$49=0.18,'01_INPUT_COMPANIES'!$W$49=0.42,'01_INPUT_COMPANIES'!$X$49=0.012,'01_INPUT_COMPANIES'!$Y$49=3.2,'01_INPUT_COMPANIES'!$Z$49=0.08,'01_INPUT_COMPANIES'!$AA$49=0.28,'01_INPUT_COMPANIES'!$AB$49=0.74,'01_INPUT_COMPANIES'!$AC$49=8.5),AND(EXACT(A49,"SYN-B"),COUNT('01_INPUT_COMPANIES'!$T$49:$AC$49)=10,'01_INPUT_COMPANIES'!$T$49=-0.055,'01_INPUT_COMPANIES'!$U$49=0.06405,'01_INPUT_COMPANIES'!$V$49=0.105,'01_INPUT_COMPANIES'!$W$49=0.73,'01_INPUT_COMPANIES'!$X$49=0.004,'01_INPUT_COMPANIES'!$Y$49=4.1,'01_INPUT_COMPANIES'!$Z$49=0.025,'01_INPUT_COMPANIES'!$AA$49=0.16,'01_INPUT_COMPANIES'!$AB$49=0.61,'01_INPUT_COMPANIES'!$AC$49=4),AND(EXACT(A49,"SYN-C"),COUNT('01_INPUT_COMPANIES'!$T$49:$AC$49)=10,'01_INPUT_COMPANIES'!$T$49=0.01,'01_INPUT_COMPANIES'!$U$49=0.0986,'01_INPUT_COMPANIES'!$V$49=0.145,'01_INPUT_COMPANIES'!$W$49=0.18,'01_INPUT_COMPANIES'!$X$49=0.018,'01_INPUT_COMPANIES'!$Y$49=2.65,'01_INPUT_COMPANIES'!$Z$49=0.11,'01_INPUT_COMPANIES'!$AA$49=0.34,'01_INPUT_COMPANIES'!$AB$49=0.68,'01_INPUT_COMPANIES'!$AC$49=6.8),AND(EXACT(A49,"SYN-D"),COUNT('01_INPUT_COMPANIES'!$T$49:$AC$49)=10,'01_INPUT_COMPANIES'!$T$49=-0.005,'01_INPUT_COMPANIES'!$U$49=0.1136,'01_INPUT_COMPANIES'!$V$49=0.16,'01_INPUT_COMPANIES'!$W$49=0.51,'01_INPUT_COMPANIES'!$X$49=0.009,'01_INPUT_COMPANIES'!$Y$49=3.55,'01_INPUT_COMPANIES'!$Z$49=0.065,'01_INPUT_COMPANIES'!$AA$49=0.24,'01_INPUT_COMPANIES'!$AB$49=0.71,'01_INPUT_COMPANIES'!$AC$49=7.4)),IFERROR(INDEX('94_EXPECTED_OUTPUTS'!$B$7:$B$10,MATCH(A49,'94_EXPECTED_OUTPUTS'!$A$7:$A$10,0)),""),"")</x:f>
      </x:c>
      <x:c r="AA49" s="47" t="str">
        <x:f>IF(OR(COUNT(Y49)=0,COUNT(Z49)=0),"",ABS(Y49-Z49))</x:f>
      </x:c>
      <x:c r="AB49" s="34" t="str">
        <x:f>IF(A49="","",IF(AD49&lt;&gt;"",AD49,IF('01_INPUT_COMPANIES'!$A$49="","",IF(OR(LEN(TRIM('01_INPUT_COMPANIES'!$A$49&amp;""))=0,LEN(TRIM('01_INPUT_COMPANIES'!$B$49&amp;""))=0,LEN(TRIM('01_INPUT_COMPANIES'!$C$49&amp;""))=0,LEN(TRIM('01_INPUT_COMPANIES'!$D$49&amp;""))=0,LEN(TRIM('01_INPUT_COMPANIES'!$E$49&amp;""))=0,LEN(TRIM('01_INPUT_COMPANIES'!$F$49&amp;""))=0,LEN(TRIM('01_INPUT_COMPANIES'!$G$49&amp;""))=0,LEN(TRIM('01_INPUT_COMPANIES'!$H$49&amp;""))=0,LEN(TRIM('01_INPUT_COMPANIES'!$I$49&amp;""))=0,LEN(TRIM('01_INPUT_COMPANIES'!$K$49&amp;""))=0,LEN(TRIM('01_INPUT_COMPANIES'!$L$49&amp;""))=0,LEN(TRIM('01_INPUT_COMPANIES'!$M$49&amp;""))=0,LEN(TRIM('01_INPUT_COMPANIES'!$N$49&amp;""))=0,LEN(TRIM('01_INPUT_COMPANIES'!$O$49&amp;""))=0,LEN(TRIM('01_INPUT_COMPANIES'!$Q$49&amp;""))=0,COUNTBLANK('01_INPUT_COMPANIES'!$A$49:$R$49)&gt;0),"INPUT REQUIRED",IF(OR('01_INPUT_COMPANIES'!$A$49&lt;&gt;TRIM('01_INPUT_COMPANIES'!$A$49),NOT(EXACT('01_INPUT_COMPANIES'!$A$49,UPPER('01_INPUT_COMPANIES'!$A$49))),LEN('01_INPUT_COMPANIES'!$A$49)&gt;64,ISNUMBER(FIND("*",'01_INPUT_COMPANIES'!$A$49)),ISNUMBER(FIND("?",'01_INPUT_COMPANIES'!$A$49)),ISNUMBER(FIND("~",'01_INPUT_COMPANIES'!$A$49))),"ERROR: ID FORMAT",IF(COUNTIF('01_INPUT_COMPANIES'!$A$7:$A$106,'01_INPUT_COMPANIES'!$A$49)&lt;&gt;1,"ERROR: DUPLICATE ID",IF(COUNT('01_INPUT_COMPANIES'!$T$49:$AC$49)&lt;&gt;10,"INPUT REQUIRED",IF(NOT(OR('01_INPUT_COMPANIES'!$C$49="domestic",'01_INPUT_COMPANIES'!$C$49="foreign",'01_INPUT_COMPANIES'!$C$49="other")),"ERROR: COMPANY GROUP",IF(OR(LEN('01_INPUT_COMPANIES'!$G$49)&lt;&gt;6,MID('01_INPUT_COMPANIES'!$G$49,5,1)&lt;&gt;"Q",IFERROR(VALUE(LEFT('01_INPUT_COMPANIES'!$G$49,4)),0)&lt;2000,IFERROR(VALUE(LEFT('01_INPUT_COMPANIES'!$G$49,4)),0)&gt;2100,IFERROR(VALUE(RIGHT('01_INPUT_COMPANIES'!$G$49,1)),0)&lt;1,IFERROR(VALUE(RIGHT('01_INPUT_COMPANIES'!$G$49,1)),0)&gt;4),"ERROR: REPORTING PERIOD",IF(OR(COUNTIFS('92_REF_VARIABLES'!$A$21:$A$21,'01_INPUT_COMPANIES'!$H$49,'92_REF_VARIABLES'!$B$21:$B$21,'01_INPUT_COMPANIES'!$D$49,'92_REF_VARIABLES'!$C$21:$C$21,'01_INPUT_COMPANIES'!$G$49)&lt;&gt;1,AND(IFERROR(INDEX('92_REF_VARIABLES'!$I$21:$I$21,MATCH('01_INPUT_COMPANIES'!$H$49,'92_REF_VARIABLES'!$A$21:$A$21,0)),"")="synthetic_only",'01_INPUT_COMPANIES'!$L$49&lt;&gt;"yes")),"ERROR: BENCHMARK",IF(COUNTIF('92_REF_VARIABLES'!$L$21:$L$50,'01_INPUT_COMPANIES'!$I$49)&lt;&gt;1,"ERROR: CURRENCY",IF(OR(NOT(ISNUMBER('01_INPUT_COMPANIES'!$J$49)),'01_INPUT_COMPANIES'!$J$49&lt;&gt;INT('01_INPUT_COMPANIES'!$J$49),'01_INPUT_COMPANIES'!$J$49&lt;2000,'01_INPUT_COMPANIES'!$J$49&gt;2100),"ERROR: PRICE YEAR",IF(NOT(OR('01_INPUT_COMPANIES'!$K$49="A",'01_INPUT_COMPANIES'!$K$49="B",'01_INPUT_COMPANIES'!$K$49="C",'01_INPUT_COMPANIES'!$K$49="SYNTHETIC")),"ERROR: QUALITY",IF(NOT(OR(AND('01_INPUT_COMPANIES'!$L$49="yes",'01_INPUT_COMPANIES'!$K$49="SYNTHETIC"),AND('01_INPUT_COMPANIES'!$L$49="no",'01_INPUT_COMPANIES'!$K$49&lt;&gt;"SYNTHETIC"))),"ERROR: SYNTHETIC FLAG",IF(NOT(OR('01_INPUT_COMPANIES'!$M$49="direct",'01_INPUT_COMPANIES'!$M$49="derived",'01_INPUT_COMPANIES'!$M$49="proxy",'01_INPUT_COMPANIES'!$M$49="mixed")),"ERROR: CONSTRUCTION MODE",IF(OR(NOT(ISNUMBER('01_INPUT_COMPANIES'!$P$49)),'01_INPUT_COMPANIES'!$P$49&lt;0,'01_INPUT_COMPANIES'!$P$49&lt;&gt;INT('01_INPUT_COMPANIES'!$P$49)),"ERROR: CARRY LAG",IF('01_INPUT_COMPANIES'!$Q$49&lt;&gt;"yes","ERROR: EXPOSURE ADJUSTMENT",IF(OR(NOT(ISNUMBER('01_INPUT_COMPANIES'!$R$49)),'01_INPUT_COMPANIES'!$R$49&lt;0,'01_INPUT_COMPANIES'!$R$49&gt;1),"ERROR: EXPOSURE FACTOR",IF(COUNT(Y49)=0,"ERROR: SCORE",IF(COUNT(Z49)=0,"READY",IF(AA49&lt;=0.0000000001,"PASS","CHECK"))&amp;IF('01_INPUT_COMPANIES'!$K$49="C"," | C QUALITY","")&amp;IF(OR('01_INPUT_COMPANIES'!$M$49="proxy",'01_INPUT_COMPANIES'!$M$49="mixed")," | PROXY/MIXED","")&amp;IF('01_INPUT_COMPANIES'!$P$49&gt;1," | CARRY&gt;1","")&amp;IF(OR(OR('01_INPUT_COMPANIES'!$T$49&lt;-1,'01_INPUT_COMPANIES'!$T$49&gt;1),OR('01_INPUT_COMPANIES'!$U$49&lt;0,'01_INPUT_COMPANIES'!$U$49&gt;1),OR('01_INPUT_COMPANIES'!$V$49&lt;0,'01_INPUT_COMPANIES'!$V$49&gt;1),OR('01_INPUT_COMPANIES'!$W$49&lt;-10,'01_INPUT_COMPANIES'!$W$49&gt;10),OR('01_INPUT_COMPANIES'!$X$49&lt;-1,'01_INPUT_COMPANIES'!$X$49&gt;1),OR('01_INPUT_COMPANIES'!$Y$49&lt;0,'01_INPUT_COMPANIES'!$Y$49&gt;20),OR('01_INPUT_COMPANIES'!$Z$49&lt;-2,'01_INPUT_COMPANIES'!$Z$49&gt;2),OR('01_INPUT_COMPANIES'!$AA$49&lt;0,'01_INPUT_COMPANIES'!$AA$49&gt;1),OR('01_INPUT_COMPANIES'!$AB$49&lt;0,'01_INPUT_COMPANIES'!$AB$49&gt;1),OR('01_INPUT_COMPANIES'!$AC$49&lt;0,'01_INPUT_COMPANIES'!$AC$49&gt;50))," | REVIEW RANGE","")&amp;IF(COUNTIF('90_CALC_FEATURES'!$J$427:$J$436,"WINSORIZED*")&gt;0," | WINSORIZED","")&amp;IF(ABS('01_INPUT_COMPANIES'!$U$49-'01_INPUT_COMPANIES'!$V$49*'01_INPUT_COMPANIES'!$AB$49)&gt;MAX(0.005,0.05*MAX(ABS('01_INPUT_COMPANIES'!$V$49*'01_INPUT_COMPANIES'!$AB$49),ABS('01_INPUT_COMPANIES'!$U$49),0.000000000001))," | DEPENDENCY",""))))))))))))))))))))</x:f>
      </x:c>
      <x:c r="AC49" s="34" t="str">
        <x:f>IF(A49="","",IF(OR(LEFT(AB49,4)="PASS",LEFT(AB49,5)="READY"),"RESEARCH BETA | 저지원 22.22% | 기업 백분위 N/A", "결과 사용 금지 | "&amp;AB49))</x:f>
      </x:c>
      <x:c r="AD49" s="34" t="str">
        <x:f>IF(A49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$49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$49,TRIM('01_INPUT_COMPANIES'!$D$49)),EXACT('01_INPUT_COMPANIES'!$E$49,TRIM('01_INPUT_COMPANIES'!$E$49)),EXACT('01_INPUT_COMPANIES'!$F$49,TRIM('01_INPUT_COMPANIES'!$F$49)),EXACT('01_INPUT_COMPANIES'!$G$49,TRIM('01_INPUT_COMPANIES'!$G$49)),EXACT('01_INPUT_COMPANIES'!$H$49,TRIM('01_INPUT_COMPANIES'!$H$49)))),"ERROR: COHORT WHITESPACE",IF(NOT(IFERROR(AND(ISTEXT('01_INPUT_COMPANIES'!$O$49),LEN('01_INPUT_COMPANIES'!$O$49)=10,VALUE(LEFT('01_INPUT_COMPANIES'!$O$49,4))&gt;=2000,VALUE(LEFT('01_INPUT_COMPANIES'!$O$49,4))&lt;=2100,EXACT(TEXT(DATE(VALUE(LEFT('01_INPUT_COMPANIES'!$O$49,4)),VALUE(MID('01_INPUT_COMPANIES'!$O$49,6,2)),VALUE(RIGHT('01_INPUT_COMPANIES'!$O$49,2))),"yyyy-mm-dd"),'01_INPUT_COMPANIES'!$O$49)),FALSE)),"ERROR: SOURCE DATE",IF(NOT(AND(OR(EXACT('01_INPUT_COMPANIES'!$C$49,"domestic"),EXACT('01_INPUT_COMPANIES'!$C$49,"foreign"),EXACT('01_INPUT_COMPANIES'!$C$49,"other")),OR(EXACT('01_INPUT_COMPANIES'!$K$49,"A"),EXACT('01_INPUT_COMPANIES'!$K$49,"B"),EXACT('01_INPUT_COMPANIES'!$K$49,"C"),EXACT('01_INPUT_COMPANIES'!$K$49,"SYNTHETIC")),OR(EXACT('01_INPUT_COMPANIES'!$L$49,"yes"),EXACT('01_INPUT_COMPANIES'!$L$49,"no")),OR(EXACT('01_INPUT_COMPANIES'!$M$49,"direct"),EXACT('01_INPUT_COMPANIES'!$M$49,"derived"),EXACT('01_INPUT_COMPANIES'!$M$49,"proxy"),EXACT('01_INPUT_COMPANIES'!$M$49,"mixed")),OR(EXACT('01_INPUT_COMPANIES'!$Q$49,"yes")),EXACT('01_INPUT_COMPANIES'!$I$49,UPPER('01_INPUT_COMPANIES'!$I$49)))),"ERROR: EXACT ENUM",IF(NOT(IFERROR(OR(AND(EXACT('92_REF_VARIABLES'!$A$21,'01_INPUT_COMPANIES'!$H$49),EXACT('92_REF_VARIABLES'!$B$21,'01_INPUT_COMPANIES'!$D$49),EXACT('92_REF_VARIABLES'!$C$21,'01_INPUT_COMPANIES'!$G$49))),FALSE)),"ERROR: BENCHMARK",""))))))</x:f>
      </x:c>
    </x:row>
    <x:row r="50">
      <x:c r="A50" s="34" t="str">
        <x:f>IF(OR('01_INPUT_COMPANIES'!$A$50="",'01_INPUT_COMPANIES'!$A$50=""),"",'01_INPUT_COMPANIES'!$A$50)</x:f>
      </x:c>
      <x:c r="B50" s="34" t="str">
        <x:f>IF(OR('01_INPUT_COMPANIES'!$A$50="",'01_INPUT_COMPANIES'!$B$50=""),"",'01_INPUT_COMPANIES'!$B$50)</x:f>
      </x:c>
      <x:c r="C50" s="34" t="str">
        <x:f>IF(OR('01_INPUT_COMPANIES'!$A$50="",'01_INPUT_COMPANIES'!$C$50=""),"",'01_INPUT_COMPANIES'!$C$50)</x:f>
      </x:c>
      <x:c r="D50" s="34" t="str">
        <x:f>IF(OR('01_INPUT_COMPANIES'!$A$50="",'01_INPUT_COMPANIES'!$D$50=""),"",'01_INPUT_COMPANIES'!$D$50)</x:f>
      </x:c>
      <x:c r="E50" s="34" t="str">
        <x:f>IF(OR('01_INPUT_COMPANIES'!$A$50="",'01_INPUT_COMPANIES'!$E$50=""),"",'01_INPUT_COMPANIES'!$E$50)</x:f>
      </x:c>
      <x:c r="F50" s="34" t="str">
        <x:f>IF(OR('01_INPUT_COMPANIES'!$A$50="",'01_INPUT_COMPANIES'!$F$50=""),"",'01_INPUT_COMPANIES'!$F$50)</x:f>
      </x:c>
      <x:c r="G50" s="34" t="str">
        <x:f>IF(OR('01_INPUT_COMPANIES'!$A$50="",'01_INPUT_COMPANIES'!$G$50=""),"",'01_INPUT_COMPANIES'!$G$50)</x:f>
      </x:c>
      <x:c r="H50" s="34" t="str">
        <x:f>IF(OR('01_INPUT_COMPANIES'!$A$50="",'01_INPUT_COMPANIES'!$H$50=""),"",'01_INPUT_COMPANIES'!$H$50)</x:f>
      </x:c>
      <x:c r="I50" s="34" t="str">
        <x:f>IF(OR('01_INPUT_COMPANIES'!$A$50="",'01_INPUT_COMPANIES'!$K$50=""),"",'01_INPUT_COMPANIES'!$K$50)</x:f>
      </x:c>
      <x:c r="J50" s="34" t="str">
        <x:f>IF(OR('01_INPUT_COMPANIES'!$A$50="",'01_INPUT_COMPANIES'!$M$50=""),"",'01_INPUT_COMPANIES'!$M$50)</x:f>
      </x:c>
      <x:c r="K50" s="34" t="str">
        <x:f>IF(OR(A50="",COUNTBLANK(D50:H50)&gt;0),"",LEN(D50)&amp;":"&amp;D50&amp;LEN(E50)&amp;":"&amp;E50&amp;LEN(F50)&amp;":"&amp;F50&amp;LEN(G50)&amp;":"&amp;G50&amp;LEN(H50)&amp;":"&amp;H50)</x:f>
      </x:c>
      <x:c r="L50" s="47" t="str">
        <x:f>IF(A50="","",'90_CALC_FEATURES'!$I$437)</x:f>
      </x:c>
      <x:c r="M50" s="47" t="str">
        <x:f>IF(A50="","",'90_CALC_FEATURES'!$I$438)</x:f>
      </x:c>
      <x:c r="N50" s="47" t="str">
        <x:f>IF(A50="","",'90_CALC_FEATURES'!$I$439)</x:f>
      </x:c>
      <x:c r="O50" s="47" t="str">
        <x:f>IF(A50="","",'90_CALC_FEATURES'!$I$440)</x:f>
      </x:c>
      <x:c r="P50" s="47" t="str">
        <x:f>IF(A50="","",'90_CALC_FEATURES'!$I$441)</x:f>
      </x:c>
      <x:c r="Q50" s="47" t="str">
        <x:f>IF(A50="","",'90_CALC_FEATURES'!$I$442)</x:f>
      </x:c>
      <x:c r="R50" s="47" t="str">
        <x:f>IF(A50="","",'90_CALC_FEATURES'!$I$443)</x:f>
      </x:c>
      <x:c r="S50" s="47" t="str">
        <x:f>IF(A50="","",'90_CALC_FEATURES'!$I$444)</x:f>
      </x:c>
      <x:c r="T50" s="47" t="str">
        <x:f>IF(A50="","",'90_CALC_FEATURES'!$I$445)</x:f>
      </x:c>
      <x:c r="U50" s="47" t="str">
        <x:f>IF(A50="","",'90_CALC_FEATURES'!$I$446)</x:f>
      </x:c>
      <x:c r="V50" s="47" t="str">
        <x:f>IF(COUNT(L50:N50)=3,100*AVERAGE(L50:N50),"")</x:f>
      </x:c>
      <x:c r="W50" s="47" t="str">
        <x:f>IF(COUNT(O50:R50)=4,100*AVERAGE(O50:R50),"")</x:f>
      </x:c>
      <x:c r="X50" s="47" t="str">
        <x:f>IF(COUNT(S50:U50)=3,100*AVERAGE(S50:U50),"")</x:f>
      </x:c>
      <x:c r="Y50" s="47" t="str">
        <x:f>IF(COUNT(V50:X50)=3,AVERAGE(V50:X50),"")</x:f>
      </x:c>
      <x:c r="Z50" s="47" t="str">
        <x:f>IF(OR(AND(EXACT(A50,"SYN-A"),COUNT('01_INPUT_COMPANIES'!$T$50:$AC$50)=10,'01_INPUT_COMPANIES'!$T$50=-0.02,'01_INPUT_COMPANIES'!$U$50=0.1332,'01_INPUT_COMPANIES'!$V$50=0.18,'01_INPUT_COMPANIES'!$W$50=0.42,'01_INPUT_COMPANIES'!$X$50=0.012,'01_INPUT_COMPANIES'!$Y$50=3.2,'01_INPUT_COMPANIES'!$Z$50=0.08,'01_INPUT_COMPANIES'!$AA$50=0.28,'01_INPUT_COMPANIES'!$AB$50=0.74,'01_INPUT_COMPANIES'!$AC$50=8.5),AND(EXACT(A50,"SYN-B"),COUNT('01_INPUT_COMPANIES'!$T$50:$AC$50)=10,'01_INPUT_COMPANIES'!$T$50=-0.055,'01_INPUT_COMPANIES'!$U$50=0.06405,'01_INPUT_COMPANIES'!$V$50=0.105,'01_INPUT_COMPANIES'!$W$50=0.73,'01_INPUT_COMPANIES'!$X$50=0.004,'01_INPUT_COMPANIES'!$Y$50=4.1,'01_INPUT_COMPANIES'!$Z$50=0.025,'01_INPUT_COMPANIES'!$AA$50=0.16,'01_INPUT_COMPANIES'!$AB$50=0.61,'01_INPUT_COMPANIES'!$AC$50=4),AND(EXACT(A50,"SYN-C"),COUNT('01_INPUT_COMPANIES'!$T$50:$AC$50)=10,'01_INPUT_COMPANIES'!$T$50=0.01,'01_INPUT_COMPANIES'!$U$50=0.0986,'01_INPUT_COMPANIES'!$V$50=0.145,'01_INPUT_COMPANIES'!$W$50=0.18,'01_INPUT_COMPANIES'!$X$50=0.018,'01_INPUT_COMPANIES'!$Y$50=2.65,'01_INPUT_COMPANIES'!$Z$50=0.11,'01_INPUT_COMPANIES'!$AA$50=0.34,'01_INPUT_COMPANIES'!$AB$50=0.68,'01_INPUT_COMPANIES'!$AC$50=6.8),AND(EXACT(A50,"SYN-D"),COUNT('01_INPUT_COMPANIES'!$T$50:$AC$50)=10,'01_INPUT_COMPANIES'!$T$50=-0.005,'01_INPUT_COMPANIES'!$U$50=0.1136,'01_INPUT_COMPANIES'!$V$50=0.16,'01_INPUT_COMPANIES'!$W$50=0.51,'01_INPUT_COMPANIES'!$X$50=0.009,'01_INPUT_COMPANIES'!$Y$50=3.55,'01_INPUT_COMPANIES'!$Z$50=0.065,'01_INPUT_COMPANIES'!$AA$50=0.24,'01_INPUT_COMPANIES'!$AB$50=0.71,'01_INPUT_COMPANIES'!$AC$50=7.4)),IFERROR(INDEX('94_EXPECTED_OUTPUTS'!$B$7:$B$10,MATCH(A50,'94_EXPECTED_OUTPUTS'!$A$7:$A$10,0)),""),"")</x:f>
      </x:c>
      <x:c r="AA50" s="47" t="str">
        <x:f>IF(OR(COUNT(Y50)=0,COUNT(Z50)=0),"",ABS(Y50-Z50))</x:f>
      </x:c>
      <x:c r="AB50" s="34" t="str">
        <x:f>IF(A50="","",IF(AD50&lt;&gt;"",AD50,IF('01_INPUT_COMPANIES'!$A$50="","",IF(OR(LEN(TRIM('01_INPUT_COMPANIES'!$A$50&amp;""))=0,LEN(TRIM('01_INPUT_COMPANIES'!$B$50&amp;""))=0,LEN(TRIM('01_INPUT_COMPANIES'!$C$50&amp;""))=0,LEN(TRIM('01_INPUT_COMPANIES'!$D$50&amp;""))=0,LEN(TRIM('01_INPUT_COMPANIES'!$E$50&amp;""))=0,LEN(TRIM('01_INPUT_COMPANIES'!$F$50&amp;""))=0,LEN(TRIM('01_INPUT_COMPANIES'!$G$50&amp;""))=0,LEN(TRIM('01_INPUT_COMPANIES'!$H$50&amp;""))=0,LEN(TRIM('01_INPUT_COMPANIES'!$I$50&amp;""))=0,LEN(TRIM('01_INPUT_COMPANIES'!$K$50&amp;""))=0,LEN(TRIM('01_INPUT_COMPANIES'!$L$50&amp;""))=0,LEN(TRIM('01_INPUT_COMPANIES'!$M$50&amp;""))=0,LEN(TRIM('01_INPUT_COMPANIES'!$N$50&amp;""))=0,LEN(TRIM('01_INPUT_COMPANIES'!$O$50&amp;""))=0,LEN(TRIM('01_INPUT_COMPANIES'!$Q$50&amp;""))=0,COUNTBLANK('01_INPUT_COMPANIES'!$A$50:$R$50)&gt;0),"INPUT REQUIRED",IF(OR('01_INPUT_COMPANIES'!$A$50&lt;&gt;TRIM('01_INPUT_COMPANIES'!$A$50),NOT(EXACT('01_INPUT_COMPANIES'!$A$50,UPPER('01_INPUT_COMPANIES'!$A$50))),LEN('01_INPUT_COMPANIES'!$A$50)&gt;64,ISNUMBER(FIND("*",'01_INPUT_COMPANIES'!$A$50)),ISNUMBER(FIND("?",'01_INPUT_COMPANIES'!$A$50)),ISNUMBER(FIND("~",'01_INPUT_COMPANIES'!$A$50))),"ERROR: ID FORMAT",IF(COUNTIF('01_INPUT_COMPANIES'!$A$7:$A$106,'01_INPUT_COMPANIES'!$A$50)&lt;&gt;1,"ERROR: DUPLICATE ID",IF(COUNT('01_INPUT_COMPANIES'!$T$50:$AC$50)&lt;&gt;10,"INPUT REQUIRED",IF(NOT(OR('01_INPUT_COMPANIES'!$C$50="domestic",'01_INPUT_COMPANIES'!$C$50="foreign",'01_INPUT_COMPANIES'!$C$50="other")),"ERROR: COMPANY GROUP",IF(OR(LEN('01_INPUT_COMPANIES'!$G$50)&lt;&gt;6,MID('01_INPUT_COMPANIES'!$G$50,5,1)&lt;&gt;"Q",IFERROR(VALUE(LEFT('01_INPUT_COMPANIES'!$G$50,4)),0)&lt;2000,IFERROR(VALUE(LEFT('01_INPUT_COMPANIES'!$G$50,4)),0)&gt;2100,IFERROR(VALUE(RIGHT('01_INPUT_COMPANIES'!$G$50,1)),0)&lt;1,IFERROR(VALUE(RIGHT('01_INPUT_COMPANIES'!$G$50,1)),0)&gt;4),"ERROR: REPORTING PERIOD",IF(OR(COUNTIFS('92_REF_VARIABLES'!$A$21:$A$21,'01_INPUT_COMPANIES'!$H$50,'92_REF_VARIABLES'!$B$21:$B$21,'01_INPUT_COMPANIES'!$D$50,'92_REF_VARIABLES'!$C$21:$C$21,'01_INPUT_COMPANIES'!$G$50)&lt;&gt;1,AND(IFERROR(INDEX('92_REF_VARIABLES'!$I$21:$I$21,MATCH('01_INPUT_COMPANIES'!$H$50,'92_REF_VARIABLES'!$A$21:$A$21,0)),"")="synthetic_only",'01_INPUT_COMPANIES'!$L$50&lt;&gt;"yes")),"ERROR: BENCHMARK",IF(COUNTIF('92_REF_VARIABLES'!$L$21:$L$50,'01_INPUT_COMPANIES'!$I$50)&lt;&gt;1,"ERROR: CURRENCY",IF(OR(NOT(ISNUMBER('01_INPUT_COMPANIES'!$J$50)),'01_INPUT_COMPANIES'!$J$50&lt;&gt;INT('01_INPUT_COMPANIES'!$J$50),'01_INPUT_COMPANIES'!$J$50&lt;2000,'01_INPUT_COMPANIES'!$J$50&gt;2100),"ERROR: PRICE YEAR",IF(NOT(OR('01_INPUT_COMPANIES'!$K$50="A",'01_INPUT_COMPANIES'!$K$50="B",'01_INPUT_COMPANIES'!$K$50="C",'01_INPUT_COMPANIES'!$K$50="SYNTHETIC")),"ERROR: QUALITY",IF(NOT(OR(AND('01_INPUT_COMPANIES'!$L$50="yes",'01_INPUT_COMPANIES'!$K$50="SYNTHETIC"),AND('01_INPUT_COMPANIES'!$L$50="no",'01_INPUT_COMPANIES'!$K$50&lt;&gt;"SYNTHETIC"))),"ERROR: SYNTHETIC FLAG",IF(NOT(OR('01_INPUT_COMPANIES'!$M$50="direct",'01_INPUT_COMPANIES'!$M$50="derived",'01_INPUT_COMPANIES'!$M$50="proxy",'01_INPUT_COMPANIES'!$M$50="mixed")),"ERROR: CONSTRUCTION MODE",IF(OR(NOT(ISNUMBER('01_INPUT_COMPANIES'!$P$50)),'01_INPUT_COMPANIES'!$P$50&lt;0,'01_INPUT_COMPANIES'!$P$50&lt;&gt;INT('01_INPUT_COMPANIES'!$P$50)),"ERROR: CARRY LAG",IF('01_INPUT_COMPANIES'!$Q$50&lt;&gt;"yes","ERROR: EXPOSURE ADJUSTMENT",IF(OR(NOT(ISNUMBER('01_INPUT_COMPANIES'!$R$50)),'01_INPUT_COMPANIES'!$R$50&lt;0,'01_INPUT_COMPANIES'!$R$50&gt;1),"ERROR: EXPOSURE FACTOR",IF(COUNT(Y50)=0,"ERROR: SCORE",IF(COUNT(Z50)=0,"READY",IF(AA50&lt;=0.0000000001,"PASS","CHECK"))&amp;IF('01_INPUT_COMPANIES'!$K$50="C"," | C QUALITY","")&amp;IF(OR('01_INPUT_COMPANIES'!$M$50="proxy",'01_INPUT_COMPANIES'!$M$50="mixed")," | PROXY/MIXED","")&amp;IF('01_INPUT_COMPANIES'!$P$50&gt;1," | CARRY&gt;1","")&amp;IF(OR(OR('01_INPUT_COMPANIES'!$T$50&lt;-1,'01_INPUT_COMPANIES'!$T$50&gt;1),OR('01_INPUT_COMPANIES'!$U$50&lt;0,'01_INPUT_COMPANIES'!$U$50&gt;1),OR('01_INPUT_COMPANIES'!$V$50&lt;0,'01_INPUT_COMPANIES'!$V$50&gt;1),OR('01_INPUT_COMPANIES'!$W$50&lt;-10,'01_INPUT_COMPANIES'!$W$50&gt;10),OR('01_INPUT_COMPANIES'!$X$50&lt;-1,'01_INPUT_COMPANIES'!$X$50&gt;1),OR('01_INPUT_COMPANIES'!$Y$50&lt;0,'01_INPUT_COMPANIES'!$Y$50&gt;20),OR('01_INPUT_COMPANIES'!$Z$50&lt;-2,'01_INPUT_COMPANIES'!$Z$50&gt;2),OR('01_INPUT_COMPANIES'!$AA$50&lt;0,'01_INPUT_COMPANIES'!$AA$50&gt;1),OR('01_INPUT_COMPANIES'!$AB$50&lt;0,'01_INPUT_COMPANIES'!$AB$50&gt;1),OR('01_INPUT_COMPANIES'!$AC$50&lt;0,'01_INPUT_COMPANIES'!$AC$50&gt;50))," | REVIEW RANGE","")&amp;IF(COUNTIF('90_CALC_FEATURES'!$J$437:$J$446,"WINSORIZED*")&gt;0," | WINSORIZED","")&amp;IF(ABS('01_INPUT_COMPANIES'!$U$50-'01_INPUT_COMPANIES'!$V$50*'01_INPUT_COMPANIES'!$AB$50)&gt;MAX(0.005,0.05*MAX(ABS('01_INPUT_COMPANIES'!$V$50*'01_INPUT_COMPANIES'!$AB$50),ABS('01_INPUT_COMPANIES'!$U$50),0.000000000001))," | DEPENDENCY",""))))))))))))))))))))</x:f>
      </x:c>
      <x:c r="AC50" s="34" t="str">
        <x:f>IF(A50="","",IF(OR(LEFT(AB50,4)="PASS",LEFT(AB50,5)="READY"),"RESEARCH BETA | 저지원 22.22% | 기업 백분위 N/A", "결과 사용 금지 | "&amp;AB50))</x:f>
      </x:c>
      <x:c r="AD50" s="34" t="str">
        <x:f>IF(A50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$50,TRIM('01_INPUT_COMPANIES'!$D$50)),EXACT('01_INPUT_COMPANIES'!$E$50,TRIM('01_INPUT_COMPANIES'!$E$50)),EXACT('01_INPUT_COMPANIES'!$F$50,TRIM('01_INPUT_COMPANIES'!$F$50)),EXACT('01_INPUT_COMPANIES'!$G$50,TRIM('01_INPUT_COMPANIES'!$G$50)),EXACT('01_INPUT_COMPANIES'!$H$50,TRIM('01_INPUT_COMPANIES'!$H$50)))),"ERROR: COHORT WHITESPACE",IF(NOT(IFERROR(AND(ISTEXT('01_INPUT_COMPANIES'!$O$50),LEN('01_INPUT_COMPANIES'!$O$50)=10,VALUE(LEFT('01_INPUT_COMPANIES'!$O$50,4))&gt;=2000,VALUE(LEFT('01_INPUT_COMPANIES'!$O$50,4))&lt;=2100,EXACT(TEXT(DATE(VALUE(LEFT('01_INPUT_COMPANIES'!$O$50,4)),VALUE(MID('01_INPUT_COMPANIES'!$O$50,6,2)),VALUE(RIGHT('01_INPUT_COMPANIES'!$O$50,2))),"yyyy-mm-dd"),'01_INPUT_COMPANIES'!$O$50)),FALSE)),"ERROR: SOURCE DATE",IF(NOT(AND(OR(EXACT('01_INPUT_COMPANIES'!$C$50,"domestic"),EXACT('01_INPUT_COMPANIES'!$C$50,"foreign"),EXACT('01_INPUT_COMPANIES'!$C$50,"other")),OR(EXACT('01_INPUT_COMPANIES'!$K$50,"A"),EXACT('01_INPUT_COMPANIES'!$K$50,"B"),EXACT('01_INPUT_COMPANIES'!$K$50,"C"),EXACT('01_INPUT_COMPANIES'!$K$50,"SYNTHETIC")),OR(EXACT('01_INPUT_COMPANIES'!$L$50,"yes"),EXACT('01_INPUT_COMPANIES'!$L$50,"no")),OR(EXACT('01_INPUT_COMPANIES'!$M$50,"direct"),EXACT('01_INPUT_COMPANIES'!$M$50,"derived"),EXACT('01_INPUT_COMPANIES'!$M$50,"proxy"),EXACT('01_INPUT_COMPANIES'!$M$50,"mixed")),OR(EXACT('01_INPUT_COMPANIES'!$Q$50,"yes")),EXACT('01_INPUT_COMPANIES'!$I$50,UPPER('01_INPUT_COMPANIES'!$I$50)))),"ERROR: EXACT ENUM",IF(NOT(IFERROR(OR(AND(EXACT('92_REF_VARIABLES'!$A$21,'01_INPUT_COMPANIES'!$H$50),EXACT('92_REF_VARIABLES'!$B$21,'01_INPUT_COMPANIES'!$D$50),EXACT('92_REF_VARIABLES'!$C$21,'01_INPUT_COMPANIES'!$G$50))),FALSE)),"ERROR: BENCHMARK",""))))))</x:f>
      </x:c>
    </x:row>
    <x:row r="51">
      <x:c r="A51" s="34" t="str">
        <x:f>IF(OR('01_INPUT_COMPANIES'!$A$51="",'01_INPUT_COMPANIES'!$A$51=""),"",'01_INPUT_COMPANIES'!$A$51)</x:f>
      </x:c>
      <x:c r="B51" s="34" t="str">
        <x:f>IF(OR('01_INPUT_COMPANIES'!$A$51="",'01_INPUT_COMPANIES'!$B$51=""),"",'01_INPUT_COMPANIES'!$B$51)</x:f>
      </x:c>
      <x:c r="C51" s="34" t="str">
        <x:f>IF(OR('01_INPUT_COMPANIES'!$A$51="",'01_INPUT_COMPANIES'!$C$51=""),"",'01_INPUT_COMPANIES'!$C$51)</x:f>
      </x:c>
      <x:c r="D51" s="34" t="str">
        <x:f>IF(OR('01_INPUT_COMPANIES'!$A$51="",'01_INPUT_COMPANIES'!$D$51=""),"",'01_INPUT_COMPANIES'!$D$51)</x:f>
      </x:c>
      <x:c r="E51" s="34" t="str">
        <x:f>IF(OR('01_INPUT_COMPANIES'!$A$51="",'01_INPUT_COMPANIES'!$E$51=""),"",'01_INPUT_COMPANIES'!$E$51)</x:f>
      </x:c>
      <x:c r="F51" s="34" t="str">
        <x:f>IF(OR('01_INPUT_COMPANIES'!$A$51="",'01_INPUT_COMPANIES'!$F$51=""),"",'01_INPUT_COMPANIES'!$F$51)</x:f>
      </x:c>
      <x:c r="G51" s="34" t="str">
        <x:f>IF(OR('01_INPUT_COMPANIES'!$A$51="",'01_INPUT_COMPANIES'!$G$51=""),"",'01_INPUT_COMPANIES'!$G$51)</x:f>
      </x:c>
      <x:c r="H51" s="34" t="str">
        <x:f>IF(OR('01_INPUT_COMPANIES'!$A$51="",'01_INPUT_COMPANIES'!$H$51=""),"",'01_INPUT_COMPANIES'!$H$51)</x:f>
      </x:c>
      <x:c r="I51" s="34" t="str">
        <x:f>IF(OR('01_INPUT_COMPANIES'!$A$51="",'01_INPUT_COMPANIES'!$K$51=""),"",'01_INPUT_COMPANIES'!$K$51)</x:f>
      </x:c>
      <x:c r="J51" s="34" t="str">
        <x:f>IF(OR('01_INPUT_COMPANIES'!$A$51="",'01_INPUT_COMPANIES'!$M$51=""),"",'01_INPUT_COMPANIES'!$M$51)</x:f>
      </x:c>
      <x:c r="K51" s="34" t="str">
        <x:f>IF(OR(A51="",COUNTBLANK(D51:H51)&gt;0),"",LEN(D51)&amp;":"&amp;D51&amp;LEN(E51)&amp;":"&amp;E51&amp;LEN(F51)&amp;":"&amp;F51&amp;LEN(G51)&amp;":"&amp;G51&amp;LEN(H51)&amp;":"&amp;H51)</x:f>
      </x:c>
      <x:c r="L51" s="47" t="str">
        <x:f>IF(A51="","",'90_CALC_FEATURES'!$I$447)</x:f>
      </x:c>
      <x:c r="M51" s="47" t="str">
        <x:f>IF(A51="","",'90_CALC_FEATURES'!$I$448)</x:f>
      </x:c>
      <x:c r="N51" s="47" t="str">
        <x:f>IF(A51="","",'90_CALC_FEATURES'!$I$449)</x:f>
      </x:c>
      <x:c r="O51" s="47" t="str">
        <x:f>IF(A51="","",'90_CALC_FEATURES'!$I$450)</x:f>
      </x:c>
      <x:c r="P51" s="47" t="str">
        <x:f>IF(A51="","",'90_CALC_FEATURES'!$I$451)</x:f>
      </x:c>
      <x:c r="Q51" s="47" t="str">
        <x:f>IF(A51="","",'90_CALC_FEATURES'!$I$452)</x:f>
      </x:c>
      <x:c r="R51" s="47" t="str">
        <x:f>IF(A51="","",'90_CALC_FEATURES'!$I$453)</x:f>
      </x:c>
      <x:c r="S51" s="47" t="str">
        <x:f>IF(A51="","",'90_CALC_FEATURES'!$I$454)</x:f>
      </x:c>
      <x:c r="T51" s="47" t="str">
        <x:f>IF(A51="","",'90_CALC_FEATURES'!$I$455)</x:f>
      </x:c>
      <x:c r="U51" s="47" t="str">
        <x:f>IF(A51="","",'90_CALC_FEATURES'!$I$456)</x:f>
      </x:c>
      <x:c r="V51" s="47" t="str">
        <x:f>IF(COUNT(L51:N51)=3,100*AVERAGE(L51:N51),"")</x:f>
      </x:c>
      <x:c r="W51" s="47" t="str">
        <x:f>IF(COUNT(O51:R51)=4,100*AVERAGE(O51:R51),"")</x:f>
      </x:c>
      <x:c r="X51" s="47" t="str">
        <x:f>IF(COUNT(S51:U51)=3,100*AVERAGE(S51:U51),"")</x:f>
      </x:c>
      <x:c r="Y51" s="47" t="str">
        <x:f>IF(COUNT(V51:X51)=3,AVERAGE(V51:X51),"")</x:f>
      </x:c>
      <x:c r="Z51" s="47" t="str">
        <x:f>IF(OR(AND(EXACT(A51,"SYN-A"),COUNT('01_INPUT_COMPANIES'!$T$51:$AC$51)=10,'01_INPUT_COMPANIES'!$T$51=-0.02,'01_INPUT_COMPANIES'!$U$51=0.1332,'01_INPUT_COMPANIES'!$V$51=0.18,'01_INPUT_COMPANIES'!$W$51=0.42,'01_INPUT_COMPANIES'!$X$51=0.012,'01_INPUT_COMPANIES'!$Y$51=3.2,'01_INPUT_COMPANIES'!$Z$51=0.08,'01_INPUT_COMPANIES'!$AA$51=0.28,'01_INPUT_COMPANIES'!$AB$51=0.74,'01_INPUT_COMPANIES'!$AC$51=8.5),AND(EXACT(A51,"SYN-B"),COUNT('01_INPUT_COMPANIES'!$T$51:$AC$51)=10,'01_INPUT_COMPANIES'!$T$51=-0.055,'01_INPUT_COMPANIES'!$U$51=0.06405,'01_INPUT_COMPANIES'!$V$51=0.105,'01_INPUT_COMPANIES'!$W$51=0.73,'01_INPUT_COMPANIES'!$X$51=0.004,'01_INPUT_COMPANIES'!$Y$51=4.1,'01_INPUT_COMPANIES'!$Z$51=0.025,'01_INPUT_COMPANIES'!$AA$51=0.16,'01_INPUT_COMPANIES'!$AB$51=0.61,'01_INPUT_COMPANIES'!$AC$51=4),AND(EXACT(A51,"SYN-C"),COUNT('01_INPUT_COMPANIES'!$T$51:$AC$51)=10,'01_INPUT_COMPANIES'!$T$51=0.01,'01_INPUT_COMPANIES'!$U$51=0.0986,'01_INPUT_COMPANIES'!$V$51=0.145,'01_INPUT_COMPANIES'!$W$51=0.18,'01_INPUT_COMPANIES'!$X$51=0.018,'01_INPUT_COMPANIES'!$Y$51=2.65,'01_INPUT_COMPANIES'!$Z$51=0.11,'01_INPUT_COMPANIES'!$AA$51=0.34,'01_INPUT_COMPANIES'!$AB$51=0.68,'01_INPUT_COMPANIES'!$AC$51=6.8),AND(EXACT(A51,"SYN-D"),COUNT('01_INPUT_COMPANIES'!$T$51:$AC$51)=10,'01_INPUT_COMPANIES'!$T$51=-0.005,'01_INPUT_COMPANIES'!$U$51=0.1136,'01_INPUT_COMPANIES'!$V$51=0.16,'01_INPUT_COMPANIES'!$W$51=0.51,'01_INPUT_COMPANIES'!$X$51=0.009,'01_INPUT_COMPANIES'!$Y$51=3.55,'01_INPUT_COMPANIES'!$Z$51=0.065,'01_INPUT_COMPANIES'!$AA$51=0.24,'01_INPUT_COMPANIES'!$AB$51=0.71,'01_INPUT_COMPANIES'!$AC$51=7.4)),IFERROR(INDEX('94_EXPECTED_OUTPUTS'!$B$7:$B$10,MATCH(A51,'94_EXPECTED_OUTPUTS'!$A$7:$A$10,0)),""),"")</x:f>
      </x:c>
      <x:c r="AA51" s="47" t="str">
        <x:f>IF(OR(COUNT(Y51)=0,COUNT(Z51)=0),"",ABS(Y51-Z51))</x:f>
      </x:c>
      <x:c r="AB51" s="34" t="str">
        <x:f>IF(A51="","",IF(AD51&lt;&gt;"",AD51,IF('01_INPUT_COMPANIES'!$A$51="","",IF(OR(LEN(TRIM('01_INPUT_COMPANIES'!$A$51&amp;""))=0,LEN(TRIM('01_INPUT_COMPANIES'!$B$51&amp;""))=0,LEN(TRIM('01_INPUT_COMPANIES'!$C$51&amp;""))=0,LEN(TRIM('01_INPUT_COMPANIES'!$D$51&amp;""))=0,LEN(TRIM('01_INPUT_COMPANIES'!$E$51&amp;""))=0,LEN(TRIM('01_INPUT_COMPANIES'!$F$51&amp;""))=0,LEN(TRIM('01_INPUT_COMPANIES'!$G$51&amp;""))=0,LEN(TRIM('01_INPUT_COMPANIES'!$H$51&amp;""))=0,LEN(TRIM('01_INPUT_COMPANIES'!$I$51&amp;""))=0,LEN(TRIM('01_INPUT_COMPANIES'!$K$51&amp;""))=0,LEN(TRIM('01_INPUT_COMPANIES'!$L$51&amp;""))=0,LEN(TRIM('01_INPUT_COMPANIES'!$M$51&amp;""))=0,LEN(TRIM('01_INPUT_COMPANIES'!$N$51&amp;""))=0,LEN(TRIM('01_INPUT_COMPANIES'!$O$51&amp;""))=0,LEN(TRIM('01_INPUT_COMPANIES'!$Q$51&amp;""))=0,COUNTBLANK('01_INPUT_COMPANIES'!$A$51:$R$51)&gt;0),"INPUT REQUIRED",IF(OR('01_INPUT_COMPANIES'!$A$51&lt;&gt;TRIM('01_INPUT_COMPANIES'!$A$51),NOT(EXACT('01_INPUT_COMPANIES'!$A$51,UPPER('01_INPUT_COMPANIES'!$A$51))),LEN('01_INPUT_COMPANIES'!$A$51)&gt;64,ISNUMBER(FIND("*",'01_INPUT_COMPANIES'!$A$51)),ISNUMBER(FIND("?",'01_INPUT_COMPANIES'!$A$51)),ISNUMBER(FIND("~",'01_INPUT_COMPANIES'!$A$51))),"ERROR: ID FORMAT",IF(COUNTIF('01_INPUT_COMPANIES'!$A$7:$A$106,'01_INPUT_COMPANIES'!$A$51)&lt;&gt;1,"ERROR: DUPLICATE ID",IF(COUNT('01_INPUT_COMPANIES'!$T$51:$AC$51)&lt;&gt;10,"INPUT REQUIRED",IF(NOT(OR('01_INPUT_COMPANIES'!$C$51="domestic",'01_INPUT_COMPANIES'!$C$51="foreign",'01_INPUT_COMPANIES'!$C$51="other")),"ERROR: COMPANY GROUP",IF(OR(LEN('01_INPUT_COMPANIES'!$G$51)&lt;&gt;6,MID('01_INPUT_COMPANIES'!$G$51,5,1)&lt;&gt;"Q",IFERROR(VALUE(LEFT('01_INPUT_COMPANIES'!$G$51,4)),0)&lt;2000,IFERROR(VALUE(LEFT('01_INPUT_COMPANIES'!$G$51,4)),0)&gt;2100,IFERROR(VALUE(RIGHT('01_INPUT_COMPANIES'!$G$51,1)),0)&lt;1,IFERROR(VALUE(RIGHT('01_INPUT_COMPANIES'!$G$51,1)),0)&gt;4),"ERROR: REPORTING PERIOD",IF(OR(COUNTIFS('92_REF_VARIABLES'!$A$21:$A$21,'01_INPUT_COMPANIES'!$H$51,'92_REF_VARIABLES'!$B$21:$B$21,'01_INPUT_COMPANIES'!$D$51,'92_REF_VARIABLES'!$C$21:$C$21,'01_INPUT_COMPANIES'!$G$51)&lt;&gt;1,AND(IFERROR(INDEX('92_REF_VARIABLES'!$I$21:$I$21,MATCH('01_INPUT_COMPANIES'!$H$51,'92_REF_VARIABLES'!$A$21:$A$21,0)),"")="synthetic_only",'01_INPUT_COMPANIES'!$L$51&lt;&gt;"yes")),"ERROR: BENCHMARK",IF(COUNTIF('92_REF_VARIABLES'!$L$21:$L$50,'01_INPUT_COMPANIES'!$I$51)&lt;&gt;1,"ERROR: CURRENCY",IF(OR(NOT(ISNUMBER('01_INPUT_COMPANIES'!$J$51)),'01_INPUT_COMPANIES'!$J$51&lt;&gt;INT('01_INPUT_COMPANIES'!$J$51),'01_INPUT_COMPANIES'!$J$51&lt;2000,'01_INPUT_COMPANIES'!$J$51&gt;2100),"ERROR: PRICE YEAR",IF(NOT(OR('01_INPUT_COMPANIES'!$K$51="A",'01_INPUT_COMPANIES'!$K$51="B",'01_INPUT_COMPANIES'!$K$51="C",'01_INPUT_COMPANIES'!$K$51="SYNTHETIC")),"ERROR: QUALITY",IF(NOT(OR(AND('01_INPUT_COMPANIES'!$L$51="yes",'01_INPUT_COMPANIES'!$K$51="SYNTHETIC"),AND('01_INPUT_COMPANIES'!$L$51="no",'01_INPUT_COMPANIES'!$K$51&lt;&gt;"SYNTHETIC"))),"ERROR: SYNTHETIC FLAG",IF(NOT(OR('01_INPUT_COMPANIES'!$M$51="direct",'01_INPUT_COMPANIES'!$M$51="derived",'01_INPUT_COMPANIES'!$M$51="proxy",'01_INPUT_COMPANIES'!$M$51="mixed")),"ERROR: CONSTRUCTION MODE",IF(OR(NOT(ISNUMBER('01_INPUT_COMPANIES'!$P$51)),'01_INPUT_COMPANIES'!$P$51&lt;0,'01_INPUT_COMPANIES'!$P$51&lt;&gt;INT('01_INPUT_COMPANIES'!$P$51)),"ERROR: CARRY LAG",IF('01_INPUT_COMPANIES'!$Q$51&lt;&gt;"yes","ERROR: EXPOSURE ADJUSTMENT",IF(OR(NOT(ISNUMBER('01_INPUT_COMPANIES'!$R$51)),'01_INPUT_COMPANIES'!$R$51&lt;0,'01_INPUT_COMPANIES'!$R$51&gt;1),"ERROR: EXPOSURE FACTOR",IF(COUNT(Y51)=0,"ERROR: SCORE",IF(COUNT(Z51)=0,"READY",IF(AA51&lt;=0.0000000001,"PASS","CHECK"))&amp;IF('01_INPUT_COMPANIES'!$K$51="C"," | C QUALITY","")&amp;IF(OR('01_INPUT_COMPANIES'!$M$51="proxy",'01_INPUT_COMPANIES'!$M$51="mixed")," | PROXY/MIXED","")&amp;IF('01_INPUT_COMPANIES'!$P$51&gt;1," | CARRY&gt;1","")&amp;IF(OR(OR('01_INPUT_COMPANIES'!$T$51&lt;-1,'01_INPUT_COMPANIES'!$T$51&gt;1),OR('01_INPUT_COMPANIES'!$U$51&lt;0,'01_INPUT_COMPANIES'!$U$51&gt;1),OR('01_INPUT_COMPANIES'!$V$51&lt;0,'01_INPUT_COMPANIES'!$V$51&gt;1),OR('01_INPUT_COMPANIES'!$W$51&lt;-10,'01_INPUT_COMPANIES'!$W$51&gt;10),OR('01_INPUT_COMPANIES'!$X$51&lt;-1,'01_INPUT_COMPANIES'!$X$51&gt;1),OR('01_INPUT_COMPANIES'!$Y$51&lt;0,'01_INPUT_COMPANIES'!$Y$51&gt;20),OR('01_INPUT_COMPANIES'!$Z$51&lt;-2,'01_INPUT_COMPANIES'!$Z$51&gt;2),OR('01_INPUT_COMPANIES'!$AA$51&lt;0,'01_INPUT_COMPANIES'!$AA$51&gt;1),OR('01_INPUT_COMPANIES'!$AB$51&lt;0,'01_INPUT_COMPANIES'!$AB$51&gt;1),OR('01_INPUT_COMPANIES'!$AC$51&lt;0,'01_INPUT_COMPANIES'!$AC$51&gt;50))," | REVIEW RANGE","")&amp;IF(COUNTIF('90_CALC_FEATURES'!$J$447:$J$456,"WINSORIZED*")&gt;0," | WINSORIZED","")&amp;IF(ABS('01_INPUT_COMPANIES'!$U$51-'01_INPUT_COMPANIES'!$V$51*'01_INPUT_COMPANIES'!$AB$51)&gt;MAX(0.005,0.05*MAX(ABS('01_INPUT_COMPANIES'!$V$51*'01_INPUT_COMPANIES'!$AB$51),ABS('01_INPUT_COMPANIES'!$U$51),0.000000000001))," | DEPENDENCY",""))))))))))))))))))))</x:f>
      </x:c>
      <x:c r="AC51" s="34" t="str">
        <x:f>IF(A51="","",IF(OR(LEFT(AB51,4)="PASS",LEFT(AB51,5)="READY"),"RESEARCH BETA | 저지원 22.22% | 기업 백분위 N/A", "결과 사용 금지 | "&amp;AB51))</x:f>
      </x:c>
      <x:c r="AD51" s="34" t="str">
        <x:f>IF(A51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$51,TRIM('01_INPUT_COMPANIES'!$D$51)),EXACT('01_INPUT_COMPANIES'!$E$51,TRIM('01_INPUT_COMPANIES'!$E$51)),EXACT('01_INPUT_COMPANIES'!$F$51,TRIM('01_INPUT_COMPANIES'!$F$51)),EXACT('01_INPUT_COMPANIES'!$G$51,TRIM('01_INPUT_COMPANIES'!$G$51)),EXACT('01_INPUT_COMPANIES'!$H$51,TRIM('01_INPUT_COMPANIES'!$H$51)))),"ERROR: COHORT WHITESPACE",IF(NOT(IFERROR(AND(ISTEXT('01_INPUT_COMPANIES'!$O$51),LEN('01_INPUT_COMPANIES'!$O$51)=10,VALUE(LEFT('01_INPUT_COMPANIES'!$O$51,4))&gt;=2000,VALUE(LEFT('01_INPUT_COMPANIES'!$O$51,4))&lt;=2100,EXACT(TEXT(DATE(VALUE(LEFT('01_INPUT_COMPANIES'!$O$51,4)),VALUE(MID('01_INPUT_COMPANIES'!$O$51,6,2)),VALUE(RIGHT('01_INPUT_COMPANIES'!$O$51,2))),"yyyy-mm-dd"),'01_INPUT_COMPANIES'!$O$51)),FALSE)),"ERROR: SOURCE DATE",IF(NOT(AND(OR(EXACT('01_INPUT_COMPANIES'!$C$51,"domestic"),EXACT('01_INPUT_COMPANIES'!$C$51,"foreign"),EXACT('01_INPUT_COMPANIES'!$C$51,"other")),OR(EXACT('01_INPUT_COMPANIES'!$K$51,"A"),EXACT('01_INPUT_COMPANIES'!$K$51,"B"),EXACT('01_INPUT_COMPANIES'!$K$51,"C"),EXACT('01_INPUT_COMPANIES'!$K$51,"SYNTHETIC")),OR(EXACT('01_INPUT_COMPANIES'!$L$51,"yes"),EXACT('01_INPUT_COMPANIES'!$L$51,"no")),OR(EXACT('01_INPUT_COMPANIES'!$M$51,"direct"),EXACT('01_INPUT_COMPANIES'!$M$51,"derived"),EXACT('01_INPUT_COMPANIES'!$M$51,"proxy"),EXACT('01_INPUT_COMPANIES'!$M$51,"mixed")),OR(EXACT('01_INPUT_COMPANIES'!$Q$51,"yes")),EXACT('01_INPUT_COMPANIES'!$I$51,UPPER('01_INPUT_COMPANIES'!$I$51)))),"ERROR: EXACT ENUM",IF(NOT(IFERROR(OR(AND(EXACT('92_REF_VARIABLES'!$A$21,'01_INPUT_COMPANIES'!$H$51),EXACT('92_REF_VARIABLES'!$B$21,'01_INPUT_COMPANIES'!$D$51),EXACT('92_REF_VARIABLES'!$C$21,'01_INPUT_COMPANIES'!$G$51))),FALSE)),"ERROR: BENCHMARK",""))))))</x:f>
      </x:c>
    </x:row>
    <x:row r="52">
      <x:c r="A52" s="34" t="str">
        <x:f>IF(OR('01_INPUT_COMPANIES'!$A$52="",'01_INPUT_COMPANIES'!$A$52=""),"",'01_INPUT_COMPANIES'!$A$52)</x:f>
      </x:c>
      <x:c r="B52" s="34" t="str">
        <x:f>IF(OR('01_INPUT_COMPANIES'!$A$52="",'01_INPUT_COMPANIES'!$B$52=""),"",'01_INPUT_COMPANIES'!$B$52)</x:f>
      </x:c>
      <x:c r="C52" s="34" t="str">
        <x:f>IF(OR('01_INPUT_COMPANIES'!$A$52="",'01_INPUT_COMPANIES'!$C$52=""),"",'01_INPUT_COMPANIES'!$C$52)</x:f>
      </x:c>
      <x:c r="D52" s="34" t="str">
        <x:f>IF(OR('01_INPUT_COMPANIES'!$A$52="",'01_INPUT_COMPANIES'!$D$52=""),"",'01_INPUT_COMPANIES'!$D$52)</x:f>
      </x:c>
      <x:c r="E52" s="34" t="str">
        <x:f>IF(OR('01_INPUT_COMPANIES'!$A$52="",'01_INPUT_COMPANIES'!$E$52=""),"",'01_INPUT_COMPANIES'!$E$52)</x:f>
      </x:c>
      <x:c r="F52" s="34" t="str">
        <x:f>IF(OR('01_INPUT_COMPANIES'!$A$52="",'01_INPUT_COMPANIES'!$F$52=""),"",'01_INPUT_COMPANIES'!$F$52)</x:f>
      </x:c>
      <x:c r="G52" s="34" t="str">
        <x:f>IF(OR('01_INPUT_COMPANIES'!$A$52="",'01_INPUT_COMPANIES'!$G$52=""),"",'01_INPUT_COMPANIES'!$G$52)</x:f>
      </x:c>
      <x:c r="H52" s="34" t="str">
        <x:f>IF(OR('01_INPUT_COMPANIES'!$A$52="",'01_INPUT_COMPANIES'!$H$52=""),"",'01_INPUT_COMPANIES'!$H$52)</x:f>
      </x:c>
      <x:c r="I52" s="34" t="str">
        <x:f>IF(OR('01_INPUT_COMPANIES'!$A$52="",'01_INPUT_COMPANIES'!$K$52=""),"",'01_INPUT_COMPANIES'!$K$52)</x:f>
      </x:c>
      <x:c r="J52" s="34" t="str">
        <x:f>IF(OR('01_INPUT_COMPANIES'!$A$52="",'01_INPUT_COMPANIES'!$M$52=""),"",'01_INPUT_COMPANIES'!$M$52)</x:f>
      </x:c>
      <x:c r="K52" s="34" t="str">
        <x:f>IF(OR(A52="",COUNTBLANK(D52:H52)&gt;0),"",LEN(D52)&amp;":"&amp;D52&amp;LEN(E52)&amp;":"&amp;E52&amp;LEN(F52)&amp;":"&amp;F52&amp;LEN(G52)&amp;":"&amp;G52&amp;LEN(H52)&amp;":"&amp;H52)</x:f>
      </x:c>
      <x:c r="L52" s="47" t="str">
        <x:f>IF(A52="","",'90_CALC_FEATURES'!$I$457)</x:f>
      </x:c>
      <x:c r="M52" s="47" t="str">
        <x:f>IF(A52="","",'90_CALC_FEATURES'!$I$458)</x:f>
      </x:c>
      <x:c r="N52" s="47" t="str">
        <x:f>IF(A52="","",'90_CALC_FEATURES'!$I$459)</x:f>
      </x:c>
      <x:c r="O52" s="47" t="str">
        <x:f>IF(A52="","",'90_CALC_FEATURES'!$I$460)</x:f>
      </x:c>
      <x:c r="P52" s="47" t="str">
        <x:f>IF(A52="","",'90_CALC_FEATURES'!$I$461)</x:f>
      </x:c>
      <x:c r="Q52" s="47" t="str">
        <x:f>IF(A52="","",'90_CALC_FEATURES'!$I$462)</x:f>
      </x:c>
      <x:c r="R52" s="47" t="str">
        <x:f>IF(A52="","",'90_CALC_FEATURES'!$I$463)</x:f>
      </x:c>
      <x:c r="S52" s="47" t="str">
        <x:f>IF(A52="","",'90_CALC_FEATURES'!$I$464)</x:f>
      </x:c>
      <x:c r="T52" s="47" t="str">
        <x:f>IF(A52="","",'90_CALC_FEATURES'!$I$465)</x:f>
      </x:c>
      <x:c r="U52" s="47" t="str">
        <x:f>IF(A52="","",'90_CALC_FEATURES'!$I$466)</x:f>
      </x:c>
      <x:c r="V52" s="47" t="str">
        <x:f>IF(COUNT(L52:N52)=3,100*AVERAGE(L52:N52),"")</x:f>
      </x:c>
      <x:c r="W52" s="47" t="str">
        <x:f>IF(COUNT(O52:R52)=4,100*AVERAGE(O52:R52),"")</x:f>
      </x:c>
      <x:c r="X52" s="47" t="str">
        <x:f>IF(COUNT(S52:U52)=3,100*AVERAGE(S52:U52),"")</x:f>
      </x:c>
      <x:c r="Y52" s="47" t="str">
        <x:f>IF(COUNT(V52:X52)=3,AVERAGE(V52:X52),"")</x:f>
      </x:c>
      <x:c r="Z52" s="47" t="str">
        <x:f>IF(OR(AND(EXACT(A52,"SYN-A"),COUNT('01_INPUT_COMPANIES'!$T$52:$AC$52)=10,'01_INPUT_COMPANIES'!$T$52=-0.02,'01_INPUT_COMPANIES'!$U$52=0.1332,'01_INPUT_COMPANIES'!$V$52=0.18,'01_INPUT_COMPANIES'!$W$52=0.42,'01_INPUT_COMPANIES'!$X$52=0.012,'01_INPUT_COMPANIES'!$Y$52=3.2,'01_INPUT_COMPANIES'!$Z$52=0.08,'01_INPUT_COMPANIES'!$AA$52=0.28,'01_INPUT_COMPANIES'!$AB$52=0.74,'01_INPUT_COMPANIES'!$AC$52=8.5),AND(EXACT(A52,"SYN-B"),COUNT('01_INPUT_COMPANIES'!$T$52:$AC$52)=10,'01_INPUT_COMPANIES'!$T$52=-0.055,'01_INPUT_COMPANIES'!$U$52=0.06405,'01_INPUT_COMPANIES'!$V$52=0.105,'01_INPUT_COMPANIES'!$W$52=0.73,'01_INPUT_COMPANIES'!$X$52=0.004,'01_INPUT_COMPANIES'!$Y$52=4.1,'01_INPUT_COMPANIES'!$Z$52=0.025,'01_INPUT_COMPANIES'!$AA$52=0.16,'01_INPUT_COMPANIES'!$AB$52=0.61,'01_INPUT_COMPANIES'!$AC$52=4),AND(EXACT(A52,"SYN-C"),COUNT('01_INPUT_COMPANIES'!$T$52:$AC$52)=10,'01_INPUT_COMPANIES'!$T$52=0.01,'01_INPUT_COMPANIES'!$U$52=0.0986,'01_INPUT_COMPANIES'!$V$52=0.145,'01_INPUT_COMPANIES'!$W$52=0.18,'01_INPUT_COMPANIES'!$X$52=0.018,'01_INPUT_COMPANIES'!$Y$52=2.65,'01_INPUT_COMPANIES'!$Z$52=0.11,'01_INPUT_COMPANIES'!$AA$52=0.34,'01_INPUT_COMPANIES'!$AB$52=0.68,'01_INPUT_COMPANIES'!$AC$52=6.8),AND(EXACT(A52,"SYN-D"),COUNT('01_INPUT_COMPANIES'!$T$52:$AC$52)=10,'01_INPUT_COMPANIES'!$T$52=-0.005,'01_INPUT_COMPANIES'!$U$52=0.1136,'01_INPUT_COMPANIES'!$V$52=0.16,'01_INPUT_COMPANIES'!$W$52=0.51,'01_INPUT_COMPANIES'!$X$52=0.009,'01_INPUT_COMPANIES'!$Y$52=3.55,'01_INPUT_COMPANIES'!$Z$52=0.065,'01_INPUT_COMPANIES'!$AA$52=0.24,'01_INPUT_COMPANIES'!$AB$52=0.71,'01_INPUT_COMPANIES'!$AC$52=7.4)),IFERROR(INDEX('94_EXPECTED_OUTPUTS'!$B$7:$B$10,MATCH(A52,'94_EXPECTED_OUTPUTS'!$A$7:$A$10,0)),""),"")</x:f>
      </x:c>
      <x:c r="AA52" s="47" t="str">
        <x:f>IF(OR(COUNT(Y52)=0,COUNT(Z52)=0),"",ABS(Y52-Z52))</x:f>
      </x:c>
      <x:c r="AB52" s="34" t="str">
        <x:f>IF(A52="","",IF(AD52&lt;&gt;"",AD52,IF('01_INPUT_COMPANIES'!$A$52="","",IF(OR(LEN(TRIM('01_INPUT_COMPANIES'!$A$52&amp;""))=0,LEN(TRIM('01_INPUT_COMPANIES'!$B$52&amp;""))=0,LEN(TRIM('01_INPUT_COMPANIES'!$C$52&amp;""))=0,LEN(TRIM('01_INPUT_COMPANIES'!$D$52&amp;""))=0,LEN(TRIM('01_INPUT_COMPANIES'!$E$52&amp;""))=0,LEN(TRIM('01_INPUT_COMPANIES'!$F$52&amp;""))=0,LEN(TRIM('01_INPUT_COMPANIES'!$G$52&amp;""))=0,LEN(TRIM('01_INPUT_COMPANIES'!$H$52&amp;""))=0,LEN(TRIM('01_INPUT_COMPANIES'!$I$52&amp;""))=0,LEN(TRIM('01_INPUT_COMPANIES'!$K$52&amp;""))=0,LEN(TRIM('01_INPUT_COMPANIES'!$L$52&amp;""))=0,LEN(TRIM('01_INPUT_COMPANIES'!$M$52&amp;""))=0,LEN(TRIM('01_INPUT_COMPANIES'!$N$52&amp;""))=0,LEN(TRIM('01_INPUT_COMPANIES'!$O$52&amp;""))=0,LEN(TRIM('01_INPUT_COMPANIES'!$Q$52&amp;""))=0,COUNTBLANK('01_INPUT_COMPANIES'!$A$52:$R$52)&gt;0),"INPUT REQUIRED",IF(OR('01_INPUT_COMPANIES'!$A$52&lt;&gt;TRIM('01_INPUT_COMPANIES'!$A$52),NOT(EXACT('01_INPUT_COMPANIES'!$A$52,UPPER('01_INPUT_COMPANIES'!$A$52))),LEN('01_INPUT_COMPANIES'!$A$52)&gt;64,ISNUMBER(FIND("*",'01_INPUT_COMPANIES'!$A$52)),ISNUMBER(FIND("?",'01_INPUT_COMPANIES'!$A$52)),ISNUMBER(FIND("~",'01_INPUT_COMPANIES'!$A$52))),"ERROR: ID FORMAT",IF(COUNTIF('01_INPUT_COMPANIES'!$A$7:$A$106,'01_INPUT_COMPANIES'!$A$52)&lt;&gt;1,"ERROR: DUPLICATE ID",IF(COUNT('01_INPUT_COMPANIES'!$T$52:$AC$52)&lt;&gt;10,"INPUT REQUIRED",IF(NOT(OR('01_INPUT_COMPANIES'!$C$52="domestic",'01_INPUT_COMPANIES'!$C$52="foreign",'01_INPUT_COMPANIES'!$C$52="other")),"ERROR: COMPANY GROUP",IF(OR(LEN('01_INPUT_COMPANIES'!$G$52)&lt;&gt;6,MID('01_INPUT_COMPANIES'!$G$52,5,1)&lt;&gt;"Q",IFERROR(VALUE(LEFT('01_INPUT_COMPANIES'!$G$52,4)),0)&lt;2000,IFERROR(VALUE(LEFT('01_INPUT_COMPANIES'!$G$52,4)),0)&gt;2100,IFERROR(VALUE(RIGHT('01_INPUT_COMPANIES'!$G$52,1)),0)&lt;1,IFERROR(VALUE(RIGHT('01_INPUT_COMPANIES'!$G$52,1)),0)&gt;4),"ERROR: REPORTING PERIOD",IF(OR(COUNTIFS('92_REF_VARIABLES'!$A$21:$A$21,'01_INPUT_COMPANIES'!$H$52,'92_REF_VARIABLES'!$B$21:$B$21,'01_INPUT_COMPANIES'!$D$52,'92_REF_VARIABLES'!$C$21:$C$21,'01_INPUT_COMPANIES'!$G$52)&lt;&gt;1,AND(IFERROR(INDEX('92_REF_VARIABLES'!$I$21:$I$21,MATCH('01_INPUT_COMPANIES'!$H$52,'92_REF_VARIABLES'!$A$21:$A$21,0)),"")="synthetic_only",'01_INPUT_COMPANIES'!$L$52&lt;&gt;"yes")),"ERROR: BENCHMARK",IF(COUNTIF('92_REF_VARIABLES'!$L$21:$L$50,'01_INPUT_COMPANIES'!$I$52)&lt;&gt;1,"ERROR: CURRENCY",IF(OR(NOT(ISNUMBER('01_INPUT_COMPANIES'!$J$52)),'01_INPUT_COMPANIES'!$J$52&lt;&gt;INT('01_INPUT_COMPANIES'!$J$52),'01_INPUT_COMPANIES'!$J$52&lt;2000,'01_INPUT_COMPANIES'!$J$52&gt;2100),"ERROR: PRICE YEAR",IF(NOT(OR('01_INPUT_COMPANIES'!$K$52="A",'01_INPUT_COMPANIES'!$K$52="B",'01_INPUT_COMPANIES'!$K$52="C",'01_INPUT_COMPANIES'!$K$52="SYNTHETIC")),"ERROR: QUALITY",IF(NOT(OR(AND('01_INPUT_COMPANIES'!$L$52="yes",'01_INPUT_COMPANIES'!$K$52="SYNTHETIC"),AND('01_INPUT_COMPANIES'!$L$52="no",'01_INPUT_COMPANIES'!$K$52&lt;&gt;"SYNTHETIC"))),"ERROR: SYNTHETIC FLAG",IF(NOT(OR('01_INPUT_COMPANIES'!$M$52="direct",'01_INPUT_COMPANIES'!$M$52="derived",'01_INPUT_COMPANIES'!$M$52="proxy",'01_INPUT_COMPANIES'!$M$52="mixed")),"ERROR: CONSTRUCTION MODE",IF(OR(NOT(ISNUMBER('01_INPUT_COMPANIES'!$P$52)),'01_INPUT_COMPANIES'!$P$52&lt;0,'01_INPUT_COMPANIES'!$P$52&lt;&gt;INT('01_INPUT_COMPANIES'!$P$52)),"ERROR: CARRY LAG",IF('01_INPUT_COMPANIES'!$Q$52&lt;&gt;"yes","ERROR: EXPOSURE ADJUSTMENT",IF(OR(NOT(ISNUMBER('01_INPUT_COMPANIES'!$R$52)),'01_INPUT_COMPANIES'!$R$52&lt;0,'01_INPUT_COMPANIES'!$R$52&gt;1),"ERROR: EXPOSURE FACTOR",IF(COUNT(Y52)=0,"ERROR: SCORE",IF(COUNT(Z52)=0,"READY",IF(AA52&lt;=0.0000000001,"PASS","CHECK"))&amp;IF('01_INPUT_COMPANIES'!$K$52="C"," | C QUALITY","")&amp;IF(OR('01_INPUT_COMPANIES'!$M$52="proxy",'01_INPUT_COMPANIES'!$M$52="mixed")," | PROXY/MIXED","")&amp;IF('01_INPUT_COMPANIES'!$P$52&gt;1," | CARRY&gt;1","")&amp;IF(OR(OR('01_INPUT_COMPANIES'!$T$52&lt;-1,'01_INPUT_COMPANIES'!$T$52&gt;1),OR('01_INPUT_COMPANIES'!$U$52&lt;0,'01_INPUT_COMPANIES'!$U$52&gt;1),OR('01_INPUT_COMPANIES'!$V$52&lt;0,'01_INPUT_COMPANIES'!$V$52&gt;1),OR('01_INPUT_COMPANIES'!$W$52&lt;-10,'01_INPUT_COMPANIES'!$W$52&gt;10),OR('01_INPUT_COMPANIES'!$X$52&lt;-1,'01_INPUT_COMPANIES'!$X$52&gt;1),OR('01_INPUT_COMPANIES'!$Y$52&lt;0,'01_INPUT_COMPANIES'!$Y$52&gt;20),OR('01_INPUT_COMPANIES'!$Z$52&lt;-2,'01_INPUT_COMPANIES'!$Z$52&gt;2),OR('01_INPUT_COMPANIES'!$AA$52&lt;0,'01_INPUT_COMPANIES'!$AA$52&gt;1),OR('01_INPUT_COMPANIES'!$AB$52&lt;0,'01_INPUT_COMPANIES'!$AB$52&gt;1),OR('01_INPUT_COMPANIES'!$AC$52&lt;0,'01_INPUT_COMPANIES'!$AC$52&gt;50))," | REVIEW RANGE","")&amp;IF(COUNTIF('90_CALC_FEATURES'!$J$457:$J$466,"WINSORIZED*")&gt;0," | WINSORIZED","")&amp;IF(ABS('01_INPUT_COMPANIES'!$U$52-'01_INPUT_COMPANIES'!$V$52*'01_INPUT_COMPANIES'!$AB$52)&gt;MAX(0.005,0.05*MAX(ABS('01_INPUT_COMPANIES'!$V$52*'01_INPUT_COMPANIES'!$AB$52),ABS('01_INPUT_COMPANIES'!$U$52),0.000000000001))," | DEPENDENCY",""))))))))))))))))))))</x:f>
      </x:c>
      <x:c r="AC52" s="34" t="str">
        <x:f>IF(A52="","",IF(OR(LEFT(AB52,4)="PASS",LEFT(AB52,5)="READY"),"RESEARCH BETA | 저지원 22.22% | 기업 백분위 N/A", "결과 사용 금지 | "&amp;AB52))</x:f>
      </x:c>
      <x:c r="AD52" s="34" t="str">
        <x:f>IF(A52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$52,TRIM('01_INPUT_COMPANIES'!$D$52)),EXACT('01_INPUT_COMPANIES'!$E$52,TRIM('01_INPUT_COMPANIES'!$E$52)),EXACT('01_INPUT_COMPANIES'!$F$52,TRIM('01_INPUT_COMPANIES'!$F$52)),EXACT('01_INPUT_COMPANIES'!$G$52,TRIM('01_INPUT_COMPANIES'!$G$52)),EXACT('01_INPUT_COMPANIES'!$H$52,TRIM('01_INPUT_COMPANIES'!$H$52)))),"ERROR: COHORT WHITESPACE",IF(NOT(IFERROR(AND(ISTEXT('01_INPUT_COMPANIES'!$O$52),LEN('01_INPUT_COMPANIES'!$O$52)=10,VALUE(LEFT('01_INPUT_COMPANIES'!$O$52,4))&gt;=2000,VALUE(LEFT('01_INPUT_COMPANIES'!$O$52,4))&lt;=2100,EXACT(TEXT(DATE(VALUE(LEFT('01_INPUT_COMPANIES'!$O$52,4)),VALUE(MID('01_INPUT_COMPANIES'!$O$52,6,2)),VALUE(RIGHT('01_INPUT_COMPANIES'!$O$52,2))),"yyyy-mm-dd"),'01_INPUT_COMPANIES'!$O$52)),FALSE)),"ERROR: SOURCE DATE",IF(NOT(AND(OR(EXACT('01_INPUT_COMPANIES'!$C$52,"domestic"),EXACT('01_INPUT_COMPANIES'!$C$52,"foreign"),EXACT('01_INPUT_COMPANIES'!$C$52,"other")),OR(EXACT('01_INPUT_COMPANIES'!$K$52,"A"),EXACT('01_INPUT_COMPANIES'!$K$52,"B"),EXACT('01_INPUT_COMPANIES'!$K$52,"C"),EXACT('01_INPUT_COMPANIES'!$K$52,"SYNTHETIC")),OR(EXACT('01_INPUT_COMPANIES'!$L$52,"yes"),EXACT('01_INPUT_COMPANIES'!$L$52,"no")),OR(EXACT('01_INPUT_COMPANIES'!$M$52,"direct"),EXACT('01_INPUT_COMPANIES'!$M$52,"derived"),EXACT('01_INPUT_COMPANIES'!$M$52,"proxy"),EXACT('01_INPUT_COMPANIES'!$M$52,"mixed")),OR(EXACT('01_INPUT_COMPANIES'!$Q$52,"yes")),EXACT('01_INPUT_COMPANIES'!$I$52,UPPER('01_INPUT_COMPANIES'!$I$52)))),"ERROR: EXACT ENUM",IF(NOT(IFERROR(OR(AND(EXACT('92_REF_VARIABLES'!$A$21,'01_INPUT_COMPANIES'!$H$52),EXACT('92_REF_VARIABLES'!$B$21,'01_INPUT_COMPANIES'!$D$52),EXACT('92_REF_VARIABLES'!$C$21,'01_INPUT_COMPANIES'!$G$52))),FALSE)),"ERROR: BENCHMARK",""))))))</x:f>
      </x:c>
    </x:row>
    <x:row r="53">
      <x:c r="A53" s="34" t="str">
        <x:f>IF(OR('01_INPUT_COMPANIES'!$A$53="",'01_INPUT_COMPANIES'!$A$53=""),"",'01_INPUT_COMPANIES'!$A$53)</x:f>
      </x:c>
      <x:c r="B53" s="34" t="str">
        <x:f>IF(OR('01_INPUT_COMPANIES'!$A$53="",'01_INPUT_COMPANIES'!$B$53=""),"",'01_INPUT_COMPANIES'!$B$53)</x:f>
      </x:c>
      <x:c r="C53" s="34" t="str">
        <x:f>IF(OR('01_INPUT_COMPANIES'!$A$53="",'01_INPUT_COMPANIES'!$C$53=""),"",'01_INPUT_COMPANIES'!$C$53)</x:f>
      </x:c>
      <x:c r="D53" s="34" t="str">
        <x:f>IF(OR('01_INPUT_COMPANIES'!$A$53="",'01_INPUT_COMPANIES'!$D$53=""),"",'01_INPUT_COMPANIES'!$D$53)</x:f>
      </x:c>
      <x:c r="E53" s="34" t="str">
        <x:f>IF(OR('01_INPUT_COMPANIES'!$A$53="",'01_INPUT_COMPANIES'!$E$53=""),"",'01_INPUT_COMPANIES'!$E$53)</x:f>
      </x:c>
      <x:c r="F53" s="34" t="str">
        <x:f>IF(OR('01_INPUT_COMPANIES'!$A$53="",'01_INPUT_COMPANIES'!$F$53=""),"",'01_INPUT_COMPANIES'!$F$53)</x:f>
      </x:c>
      <x:c r="G53" s="34" t="str">
        <x:f>IF(OR('01_INPUT_COMPANIES'!$A$53="",'01_INPUT_COMPANIES'!$G$53=""),"",'01_INPUT_COMPANIES'!$G$53)</x:f>
      </x:c>
      <x:c r="H53" s="34" t="str">
        <x:f>IF(OR('01_INPUT_COMPANIES'!$A$53="",'01_INPUT_COMPANIES'!$H$53=""),"",'01_INPUT_COMPANIES'!$H$53)</x:f>
      </x:c>
      <x:c r="I53" s="34" t="str">
        <x:f>IF(OR('01_INPUT_COMPANIES'!$A$53="",'01_INPUT_COMPANIES'!$K$53=""),"",'01_INPUT_COMPANIES'!$K$53)</x:f>
      </x:c>
      <x:c r="J53" s="34" t="str">
        <x:f>IF(OR('01_INPUT_COMPANIES'!$A$53="",'01_INPUT_COMPANIES'!$M$53=""),"",'01_INPUT_COMPANIES'!$M$53)</x:f>
      </x:c>
      <x:c r="K53" s="34" t="str">
        <x:f>IF(OR(A53="",COUNTBLANK(D53:H53)&gt;0),"",LEN(D53)&amp;":"&amp;D53&amp;LEN(E53)&amp;":"&amp;E53&amp;LEN(F53)&amp;":"&amp;F53&amp;LEN(G53)&amp;":"&amp;G53&amp;LEN(H53)&amp;":"&amp;H53)</x:f>
      </x:c>
      <x:c r="L53" s="47" t="str">
        <x:f>IF(A53="","",'90_CALC_FEATURES'!$I$467)</x:f>
      </x:c>
      <x:c r="M53" s="47" t="str">
        <x:f>IF(A53="","",'90_CALC_FEATURES'!$I$468)</x:f>
      </x:c>
      <x:c r="N53" s="47" t="str">
        <x:f>IF(A53="","",'90_CALC_FEATURES'!$I$469)</x:f>
      </x:c>
      <x:c r="O53" s="47" t="str">
        <x:f>IF(A53="","",'90_CALC_FEATURES'!$I$470)</x:f>
      </x:c>
      <x:c r="P53" s="47" t="str">
        <x:f>IF(A53="","",'90_CALC_FEATURES'!$I$471)</x:f>
      </x:c>
      <x:c r="Q53" s="47" t="str">
        <x:f>IF(A53="","",'90_CALC_FEATURES'!$I$472)</x:f>
      </x:c>
      <x:c r="R53" s="47" t="str">
        <x:f>IF(A53="","",'90_CALC_FEATURES'!$I$473)</x:f>
      </x:c>
      <x:c r="S53" s="47" t="str">
        <x:f>IF(A53="","",'90_CALC_FEATURES'!$I$474)</x:f>
      </x:c>
      <x:c r="T53" s="47" t="str">
        <x:f>IF(A53="","",'90_CALC_FEATURES'!$I$475)</x:f>
      </x:c>
      <x:c r="U53" s="47" t="str">
        <x:f>IF(A53="","",'90_CALC_FEATURES'!$I$476)</x:f>
      </x:c>
      <x:c r="V53" s="47" t="str">
        <x:f>IF(COUNT(L53:N53)=3,100*AVERAGE(L53:N53),"")</x:f>
      </x:c>
      <x:c r="W53" s="47" t="str">
        <x:f>IF(COUNT(O53:R53)=4,100*AVERAGE(O53:R53),"")</x:f>
      </x:c>
      <x:c r="X53" s="47" t="str">
        <x:f>IF(COUNT(S53:U53)=3,100*AVERAGE(S53:U53),"")</x:f>
      </x:c>
      <x:c r="Y53" s="47" t="str">
        <x:f>IF(COUNT(V53:X53)=3,AVERAGE(V53:X53),"")</x:f>
      </x:c>
      <x:c r="Z53" s="47" t="str">
        <x:f>IF(OR(AND(EXACT(A53,"SYN-A"),COUNT('01_INPUT_COMPANIES'!$T$53:$AC$53)=10,'01_INPUT_COMPANIES'!$T$53=-0.02,'01_INPUT_COMPANIES'!$U$53=0.1332,'01_INPUT_COMPANIES'!$V$53=0.18,'01_INPUT_COMPANIES'!$W$53=0.42,'01_INPUT_COMPANIES'!$X$53=0.012,'01_INPUT_COMPANIES'!$Y$53=3.2,'01_INPUT_COMPANIES'!$Z$53=0.08,'01_INPUT_COMPANIES'!$AA$53=0.28,'01_INPUT_COMPANIES'!$AB$53=0.74,'01_INPUT_COMPANIES'!$AC$53=8.5),AND(EXACT(A53,"SYN-B"),COUNT('01_INPUT_COMPANIES'!$T$53:$AC$53)=10,'01_INPUT_COMPANIES'!$T$53=-0.055,'01_INPUT_COMPANIES'!$U$53=0.06405,'01_INPUT_COMPANIES'!$V$53=0.105,'01_INPUT_COMPANIES'!$W$53=0.73,'01_INPUT_COMPANIES'!$X$53=0.004,'01_INPUT_COMPANIES'!$Y$53=4.1,'01_INPUT_COMPANIES'!$Z$53=0.025,'01_INPUT_COMPANIES'!$AA$53=0.16,'01_INPUT_COMPANIES'!$AB$53=0.61,'01_INPUT_COMPANIES'!$AC$53=4),AND(EXACT(A53,"SYN-C"),COUNT('01_INPUT_COMPANIES'!$T$53:$AC$53)=10,'01_INPUT_COMPANIES'!$T$53=0.01,'01_INPUT_COMPANIES'!$U$53=0.0986,'01_INPUT_COMPANIES'!$V$53=0.145,'01_INPUT_COMPANIES'!$W$53=0.18,'01_INPUT_COMPANIES'!$X$53=0.018,'01_INPUT_COMPANIES'!$Y$53=2.65,'01_INPUT_COMPANIES'!$Z$53=0.11,'01_INPUT_COMPANIES'!$AA$53=0.34,'01_INPUT_COMPANIES'!$AB$53=0.68,'01_INPUT_COMPANIES'!$AC$53=6.8),AND(EXACT(A53,"SYN-D"),COUNT('01_INPUT_COMPANIES'!$T$53:$AC$53)=10,'01_INPUT_COMPANIES'!$T$53=-0.005,'01_INPUT_COMPANIES'!$U$53=0.1136,'01_INPUT_COMPANIES'!$V$53=0.16,'01_INPUT_COMPANIES'!$W$53=0.51,'01_INPUT_COMPANIES'!$X$53=0.009,'01_INPUT_COMPANIES'!$Y$53=3.55,'01_INPUT_COMPANIES'!$Z$53=0.065,'01_INPUT_COMPANIES'!$AA$53=0.24,'01_INPUT_COMPANIES'!$AB$53=0.71,'01_INPUT_COMPANIES'!$AC$53=7.4)),IFERROR(INDEX('94_EXPECTED_OUTPUTS'!$B$7:$B$10,MATCH(A53,'94_EXPECTED_OUTPUTS'!$A$7:$A$10,0)),""),"")</x:f>
      </x:c>
      <x:c r="AA53" s="47" t="str">
        <x:f>IF(OR(COUNT(Y53)=0,COUNT(Z53)=0),"",ABS(Y53-Z53))</x:f>
      </x:c>
      <x:c r="AB53" s="34" t="str">
        <x:f>IF(A53="","",IF(AD53&lt;&gt;"",AD53,IF('01_INPUT_COMPANIES'!$A$53="","",IF(OR(LEN(TRIM('01_INPUT_COMPANIES'!$A$53&amp;""))=0,LEN(TRIM('01_INPUT_COMPANIES'!$B$53&amp;""))=0,LEN(TRIM('01_INPUT_COMPANIES'!$C$53&amp;""))=0,LEN(TRIM('01_INPUT_COMPANIES'!$D$53&amp;""))=0,LEN(TRIM('01_INPUT_COMPANIES'!$E$53&amp;""))=0,LEN(TRIM('01_INPUT_COMPANIES'!$F$53&amp;""))=0,LEN(TRIM('01_INPUT_COMPANIES'!$G$53&amp;""))=0,LEN(TRIM('01_INPUT_COMPANIES'!$H$53&amp;""))=0,LEN(TRIM('01_INPUT_COMPANIES'!$I$53&amp;""))=0,LEN(TRIM('01_INPUT_COMPANIES'!$K$53&amp;""))=0,LEN(TRIM('01_INPUT_COMPANIES'!$L$53&amp;""))=0,LEN(TRIM('01_INPUT_COMPANIES'!$M$53&amp;""))=0,LEN(TRIM('01_INPUT_COMPANIES'!$N$53&amp;""))=0,LEN(TRIM('01_INPUT_COMPANIES'!$O$53&amp;""))=0,LEN(TRIM('01_INPUT_COMPANIES'!$Q$53&amp;""))=0,COUNTBLANK('01_INPUT_COMPANIES'!$A$53:$R$53)&gt;0),"INPUT REQUIRED",IF(OR('01_INPUT_COMPANIES'!$A$53&lt;&gt;TRIM('01_INPUT_COMPANIES'!$A$53),NOT(EXACT('01_INPUT_COMPANIES'!$A$53,UPPER('01_INPUT_COMPANIES'!$A$53))),LEN('01_INPUT_COMPANIES'!$A$53)&gt;64,ISNUMBER(FIND("*",'01_INPUT_COMPANIES'!$A$53)),ISNUMBER(FIND("?",'01_INPUT_COMPANIES'!$A$53)),ISNUMBER(FIND("~",'01_INPUT_COMPANIES'!$A$53))),"ERROR: ID FORMAT",IF(COUNTIF('01_INPUT_COMPANIES'!$A$7:$A$106,'01_INPUT_COMPANIES'!$A$53)&lt;&gt;1,"ERROR: DUPLICATE ID",IF(COUNT('01_INPUT_COMPANIES'!$T$53:$AC$53)&lt;&gt;10,"INPUT REQUIRED",IF(NOT(OR('01_INPUT_COMPANIES'!$C$53="domestic",'01_INPUT_COMPANIES'!$C$53="foreign",'01_INPUT_COMPANIES'!$C$53="other")),"ERROR: COMPANY GROUP",IF(OR(LEN('01_INPUT_COMPANIES'!$G$53)&lt;&gt;6,MID('01_INPUT_COMPANIES'!$G$53,5,1)&lt;&gt;"Q",IFERROR(VALUE(LEFT('01_INPUT_COMPANIES'!$G$53,4)),0)&lt;2000,IFERROR(VALUE(LEFT('01_INPUT_COMPANIES'!$G$53,4)),0)&gt;2100,IFERROR(VALUE(RIGHT('01_INPUT_COMPANIES'!$G$53,1)),0)&lt;1,IFERROR(VALUE(RIGHT('01_INPUT_COMPANIES'!$G$53,1)),0)&gt;4),"ERROR: REPORTING PERIOD",IF(OR(COUNTIFS('92_REF_VARIABLES'!$A$21:$A$21,'01_INPUT_COMPANIES'!$H$53,'92_REF_VARIABLES'!$B$21:$B$21,'01_INPUT_COMPANIES'!$D$53,'92_REF_VARIABLES'!$C$21:$C$21,'01_INPUT_COMPANIES'!$G$53)&lt;&gt;1,AND(IFERROR(INDEX('92_REF_VARIABLES'!$I$21:$I$21,MATCH('01_INPUT_COMPANIES'!$H$53,'92_REF_VARIABLES'!$A$21:$A$21,0)),"")="synthetic_only",'01_INPUT_COMPANIES'!$L$53&lt;&gt;"yes")),"ERROR: BENCHMARK",IF(COUNTIF('92_REF_VARIABLES'!$L$21:$L$50,'01_INPUT_COMPANIES'!$I$53)&lt;&gt;1,"ERROR: CURRENCY",IF(OR(NOT(ISNUMBER('01_INPUT_COMPANIES'!$J$53)),'01_INPUT_COMPANIES'!$J$53&lt;&gt;INT('01_INPUT_COMPANIES'!$J$53),'01_INPUT_COMPANIES'!$J$53&lt;2000,'01_INPUT_COMPANIES'!$J$53&gt;2100),"ERROR: PRICE YEAR",IF(NOT(OR('01_INPUT_COMPANIES'!$K$53="A",'01_INPUT_COMPANIES'!$K$53="B",'01_INPUT_COMPANIES'!$K$53="C",'01_INPUT_COMPANIES'!$K$53="SYNTHETIC")),"ERROR: QUALITY",IF(NOT(OR(AND('01_INPUT_COMPANIES'!$L$53="yes",'01_INPUT_COMPANIES'!$K$53="SYNTHETIC"),AND('01_INPUT_COMPANIES'!$L$53="no",'01_INPUT_COMPANIES'!$K$53&lt;&gt;"SYNTHETIC"))),"ERROR: SYNTHETIC FLAG",IF(NOT(OR('01_INPUT_COMPANIES'!$M$53="direct",'01_INPUT_COMPANIES'!$M$53="derived",'01_INPUT_COMPANIES'!$M$53="proxy",'01_INPUT_COMPANIES'!$M$53="mixed")),"ERROR: CONSTRUCTION MODE",IF(OR(NOT(ISNUMBER('01_INPUT_COMPANIES'!$P$53)),'01_INPUT_COMPANIES'!$P$53&lt;0,'01_INPUT_COMPANIES'!$P$53&lt;&gt;INT('01_INPUT_COMPANIES'!$P$53)),"ERROR: CARRY LAG",IF('01_INPUT_COMPANIES'!$Q$53&lt;&gt;"yes","ERROR: EXPOSURE ADJUSTMENT",IF(OR(NOT(ISNUMBER('01_INPUT_COMPANIES'!$R$53)),'01_INPUT_COMPANIES'!$R$53&lt;0,'01_INPUT_COMPANIES'!$R$53&gt;1),"ERROR: EXPOSURE FACTOR",IF(COUNT(Y53)=0,"ERROR: SCORE",IF(COUNT(Z53)=0,"READY",IF(AA53&lt;=0.0000000001,"PASS","CHECK"))&amp;IF('01_INPUT_COMPANIES'!$K$53="C"," | C QUALITY","")&amp;IF(OR('01_INPUT_COMPANIES'!$M$53="proxy",'01_INPUT_COMPANIES'!$M$53="mixed")," | PROXY/MIXED","")&amp;IF('01_INPUT_COMPANIES'!$P$53&gt;1," | CARRY&gt;1","")&amp;IF(OR(OR('01_INPUT_COMPANIES'!$T$53&lt;-1,'01_INPUT_COMPANIES'!$T$53&gt;1),OR('01_INPUT_COMPANIES'!$U$53&lt;0,'01_INPUT_COMPANIES'!$U$53&gt;1),OR('01_INPUT_COMPANIES'!$V$53&lt;0,'01_INPUT_COMPANIES'!$V$53&gt;1),OR('01_INPUT_COMPANIES'!$W$53&lt;-10,'01_INPUT_COMPANIES'!$W$53&gt;10),OR('01_INPUT_COMPANIES'!$X$53&lt;-1,'01_INPUT_COMPANIES'!$X$53&gt;1),OR('01_INPUT_COMPANIES'!$Y$53&lt;0,'01_INPUT_COMPANIES'!$Y$53&gt;20),OR('01_INPUT_COMPANIES'!$Z$53&lt;-2,'01_INPUT_COMPANIES'!$Z$53&gt;2),OR('01_INPUT_COMPANIES'!$AA$53&lt;0,'01_INPUT_COMPANIES'!$AA$53&gt;1),OR('01_INPUT_COMPANIES'!$AB$53&lt;0,'01_INPUT_COMPANIES'!$AB$53&gt;1),OR('01_INPUT_COMPANIES'!$AC$53&lt;0,'01_INPUT_COMPANIES'!$AC$53&gt;50))," | REVIEW RANGE","")&amp;IF(COUNTIF('90_CALC_FEATURES'!$J$467:$J$476,"WINSORIZED*")&gt;0," | WINSORIZED","")&amp;IF(ABS('01_INPUT_COMPANIES'!$U$53-'01_INPUT_COMPANIES'!$V$53*'01_INPUT_COMPANIES'!$AB$53)&gt;MAX(0.005,0.05*MAX(ABS('01_INPUT_COMPANIES'!$V$53*'01_INPUT_COMPANIES'!$AB$53),ABS('01_INPUT_COMPANIES'!$U$53),0.000000000001))," | DEPENDENCY",""))))))))))))))))))))</x:f>
      </x:c>
      <x:c r="AC53" s="34" t="str">
        <x:f>IF(A53="","",IF(OR(LEFT(AB53,4)="PASS",LEFT(AB53,5)="READY"),"RESEARCH BETA | 저지원 22.22% | 기업 백분위 N/A", "결과 사용 금지 | "&amp;AB53))</x:f>
      </x:c>
      <x:c r="AD53" s="34" t="str">
        <x:f>IF(A53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$53,TRIM('01_INPUT_COMPANIES'!$D$53)),EXACT('01_INPUT_COMPANIES'!$E$53,TRIM('01_INPUT_COMPANIES'!$E$53)),EXACT('01_INPUT_COMPANIES'!$F$53,TRIM('01_INPUT_COMPANIES'!$F$53)),EXACT('01_INPUT_COMPANIES'!$G$53,TRIM('01_INPUT_COMPANIES'!$G$53)),EXACT('01_INPUT_COMPANIES'!$H$53,TRIM('01_INPUT_COMPANIES'!$H$53)))),"ERROR: COHORT WHITESPACE",IF(NOT(IFERROR(AND(ISTEXT('01_INPUT_COMPANIES'!$O$53),LEN('01_INPUT_COMPANIES'!$O$53)=10,VALUE(LEFT('01_INPUT_COMPANIES'!$O$53,4))&gt;=2000,VALUE(LEFT('01_INPUT_COMPANIES'!$O$53,4))&lt;=2100,EXACT(TEXT(DATE(VALUE(LEFT('01_INPUT_COMPANIES'!$O$53,4)),VALUE(MID('01_INPUT_COMPANIES'!$O$53,6,2)),VALUE(RIGHT('01_INPUT_COMPANIES'!$O$53,2))),"yyyy-mm-dd"),'01_INPUT_COMPANIES'!$O$53)),FALSE)),"ERROR: SOURCE DATE",IF(NOT(AND(OR(EXACT('01_INPUT_COMPANIES'!$C$53,"domestic"),EXACT('01_INPUT_COMPANIES'!$C$53,"foreign"),EXACT('01_INPUT_COMPANIES'!$C$53,"other")),OR(EXACT('01_INPUT_COMPANIES'!$K$53,"A"),EXACT('01_INPUT_COMPANIES'!$K$53,"B"),EXACT('01_INPUT_COMPANIES'!$K$53,"C"),EXACT('01_INPUT_COMPANIES'!$K$53,"SYNTHETIC")),OR(EXACT('01_INPUT_COMPANIES'!$L$53,"yes"),EXACT('01_INPUT_COMPANIES'!$L$53,"no")),OR(EXACT('01_INPUT_COMPANIES'!$M$53,"direct"),EXACT('01_INPUT_COMPANIES'!$M$53,"derived"),EXACT('01_INPUT_COMPANIES'!$M$53,"proxy"),EXACT('01_INPUT_COMPANIES'!$M$53,"mixed")),OR(EXACT('01_INPUT_COMPANIES'!$Q$53,"yes")),EXACT('01_INPUT_COMPANIES'!$I$53,UPPER('01_INPUT_COMPANIES'!$I$53)))),"ERROR: EXACT ENUM",IF(NOT(IFERROR(OR(AND(EXACT('92_REF_VARIABLES'!$A$21,'01_INPUT_COMPANIES'!$H$53),EXACT('92_REF_VARIABLES'!$B$21,'01_INPUT_COMPANIES'!$D$53),EXACT('92_REF_VARIABLES'!$C$21,'01_INPUT_COMPANIES'!$G$53))),FALSE)),"ERROR: BENCHMARK",""))))))</x:f>
      </x:c>
    </x:row>
    <x:row r="54">
      <x:c r="A54" s="34" t="str">
        <x:f>IF(OR('01_INPUT_COMPANIES'!$A$54="",'01_INPUT_COMPANIES'!$A$54=""),"",'01_INPUT_COMPANIES'!$A$54)</x:f>
      </x:c>
      <x:c r="B54" s="34" t="str">
        <x:f>IF(OR('01_INPUT_COMPANIES'!$A$54="",'01_INPUT_COMPANIES'!$B$54=""),"",'01_INPUT_COMPANIES'!$B$54)</x:f>
      </x:c>
      <x:c r="C54" s="34" t="str">
        <x:f>IF(OR('01_INPUT_COMPANIES'!$A$54="",'01_INPUT_COMPANIES'!$C$54=""),"",'01_INPUT_COMPANIES'!$C$54)</x:f>
      </x:c>
      <x:c r="D54" s="34" t="str">
        <x:f>IF(OR('01_INPUT_COMPANIES'!$A$54="",'01_INPUT_COMPANIES'!$D$54=""),"",'01_INPUT_COMPANIES'!$D$54)</x:f>
      </x:c>
      <x:c r="E54" s="34" t="str">
        <x:f>IF(OR('01_INPUT_COMPANIES'!$A$54="",'01_INPUT_COMPANIES'!$E$54=""),"",'01_INPUT_COMPANIES'!$E$54)</x:f>
      </x:c>
      <x:c r="F54" s="34" t="str">
        <x:f>IF(OR('01_INPUT_COMPANIES'!$A$54="",'01_INPUT_COMPANIES'!$F$54=""),"",'01_INPUT_COMPANIES'!$F$54)</x:f>
      </x:c>
      <x:c r="G54" s="34" t="str">
        <x:f>IF(OR('01_INPUT_COMPANIES'!$A$54="",'01_INPUT_COMPANIES'!$G$54=""),"",'01_INPUT_COMPANIES'!$G$54)</x:f>
      </x:c>
      <x:c r="H54" s="34" t="str">
        <x:f>IF(OR('01_INPUT_COMPANIES'!$A$54="",'01_INPUT_COMPANIES'!$H$54=""),"",'01_INPUT_COMPANIES'!$H$54)</x:f>
      </x:c>
      <x:c r="I54" s="34" t="str">
        <x:f>IF(OR('01_INPUT_COMPANIES'!$A$54="",'01_INPUT_COMPANIES'!$K$54=""),"",'01_INPUT_COMPANIES'!$K$54)</x:f>
      </x:c>
      <x:c r="J54" s="34" t="str">
        <x:f>IF(OR('01_INPUT_COMPANIES'!$A$54="",'01_INPUT_COMPANIES'!$M$54=""),"",'01_INPUT_COMPANIES'!$M$54)</x:f>
      </x:c>
      <x:c r="K54" s="34" t="str">
        <x:f>IF(OR(A54="",COUNTBLANK(D54:H54)&gt;0),"",LEN(D54)&amp;":"&amp;D54&amp;LEN(E54)&amp;":"&amp;E54&amp;LEN(F54)&amp;":"&amp;F54&amp;LEN(G54)&amp;":"&amp;G54&amp;LEN(H54)&amp;":"&amp;H54)</x:f>
      </x:c>
      <x:c r="L54" s="47" t="str">
        <x:f>IF(A54="","",'90_CALC_FEATURES'!$I$477)</x:f>
      </x:c>
      <x:c r="M54" s="47" t="str">
        <x:f>IF(A54="","",'90_CALC_FEATURES'!$I$478)</x:f>
      </x:c>
      <x:c r="N54" s="47" t="str">
        <x:f>IF(A54="","",'90_CALC_FEATURES'!$I$479)</x:f>
      </x:c>
      <x:c r="O54" s="47" t="str">
        <x:f>IF(A54="","",'90_CALC_FEATURES'!$I$480)</x:f>
      </x:c>
      <x:c r="P54" s="47" t="str">
        <x:f>IF(A54="","",'90_CALC_FEATURES'!$I$481)</x:f>
      </x:c>
      <x:c r="Q54" s="47" t="str">
        <x:f>IF(A54="","",'90_CALC_FEATURES'!$I$482)</x:f>
      </x:c>
      <x:c r="R54" s="47" t="str">
        <x:f>IF(A54="","",'90_CALC_FEATURES'!$I$483)</x:f>
      </x:c>
      <x:c r="S54" s="47" t="str">
        <x:f>IF(A54="","",'90_CALC_FEATURES'!$I$484)</x:f>
      </x:c>
      <x:c r="T54" s="47" t="str">
        <x:f>IF(A54="","",'90_CALC_FEATURES'!$I$485)</x:f>
      </x:c>
      <x:c r="U54" s="47" t="str">
        <x:f>IF(A54="","",'90_CALC_FEATURES'!$I$486)</x:f>
      </x:c>
      <x:c r="V54" s="47" t="str">
        <x:f>IF(COUNT(L54:N54)=3,100*AVERAGE(L54:N54),"")</x:f>
      </x:c>
      <x:c r="W54" s="47" t="str">
        <x:f>IF(COUNT(O54:R54)=4,100*AVERAGE(O54:R54),"")</x:f>
      </x:c>
      <x:c r="X54" s="47" t="str">
        <x:f>IF(COUNT(S54:U54)=3,100*AVERAGE(S54:U54),"")</x:f>
      </x:c>
      <x:c r="Y54" s="47" t="str">
        <x:f>IF(COUNT(V54:X54)=3,AVERAGE(V54:X54),"")</x:f>
      </x:c>
      <x:c r="Z54" s="47" t="str">
        <x:f>IF(OR(AND(EXACT(A54,"SYN-A"),COUNT('01_INPUT_COMPANIES'!$T$54:$AC$54)=10,'01_INPUT_COMPANIES'!$T$54=-0.02,'01_INPUT_COMPANIES'!$U$54=0.1332,'01_INPUT_COMPANIES'!$V$54=0.18,'01_INPUT_COMPANIES'!$W$54=0.42,'01_INPUT_COMPANIES'!$X$54=0.012,'01_INPUT_COMPANIES'!$Y$54=3.2,'01_INPUT_COMPANIES'!$Z$54=0.08,'01_INPUT_COMPANIES'!$AA$54=0.28,'01_INPUT_COMPANIES'!$AB$54=0.74,'01_INPUT_COMPANIES'!$AC$54=8.5),AND(EXACT(A54,"SYN-B"),COUNT('01_INPUT_COMPANIES'!$T$54:$AC$54)=10,'01_INPUT_COMPANIES'!$T$54=-0.055,'01_INPUT_COMPANIES'!$U$54=0.06405,'01_INPUT_COMPANIES'!$V$54=0.105,'01_INPUT_COMPANIES'!$W$54=0.73,'01_INPUT_COMPANIES'!$X$54=0.004,'01_INPUT_COMPANIES'!$Y$54=4.1,'01_INPUT_COMPANIES'!$Z$54=0.025,'01_INPUT_COMPANIES'!$AA$54=0.16,'01_INPUT_COMPANIES'!$AB$54=0.61,'01_INPUT_COMPANIES'!$AC$54=4),AND(EXACT(A54,"SYN-C"),COUNT('01_INPUT_COMPANIES'!$T$54:$AC$54)=10,'01_INPUT_COMPANIES'!$T$54=0.01,'01_INPUT_COMPANIES'!$U$54=0.0986,'01_INPUT_COMPANIES'!$V$54=0.145,'01_INPUT_COMPANIES'!$W$54=0.18,'01_INPUT_COMPANIES'!$X$54=0.018,'01_INPUT_COMPANIES'!$Y$54=2.65,'01_INPUT_COMPANIES'!$Z$54=0.11,'01_INPUT_COMPANIES'!$AA$54=0.34,'01_INPUT_COMPANIES'!$AB$54=0.68,'01_INPUT_COMPANIES'!$AC$54=6.8),AND(EXACT(A54,"SYN-D"),COUNT('01_INPUT_COMPANIES'!$T$54:$AC$54)=10,'01_INPUT_COMPANIES'!$T$54=-0.005,'01_INPUT_COMPANIES'!$U$54=0.1136,'01_INPUT_COMPANIES'!$V$54=0.16,'01_INPUT_COMPANIES'!$W$54=0.51,'01_INPUT_COMPANIES'!$X$54=0.009,'01_INPUT_COMPANIES'!$Y$54=3.55,'01_INPUT_COMPANIES'!$Z$54=0.065,'01_INPUT_COMPANIES'!$AA$54=0.24,'01_INPUT_COMPANIES'!$AB$54=0.71,'01_INPUT_COMPANIES'!$AC$54=7.4)),IFERROR(INDEX('94_EXPECTED_OUTPUTS'!$B$7:$B$10,MATCH(A54,'94_EXPECTED_OUTPUTS'!$A$7:$A$10,0)),""),"")</x:f>
      </x:c>
      <x:c r="AA54" s="47" t="str">
        <x:f>IF(OR(COUNT(Y54)=0,COUNT(Z54)=0),"",ABS(Y54-Z54))</x:f>
      </x:c>
      <x:c r="AB54" s="34" t="str">
        <x:f>IF(A54="","",IF(AD54&lt;&gt;"",AD54,IF('01_INPUT_COMPANIES'!$A$54="","",IF(OR(LEN(TRIM('01_INPUT_COMPANIES'!$A$54&amp;""))=0,LEN(TRIM('01_INPUT_COMPANIES'!$B$54&amp;""))=0,LEN(TRIM('01_INPUT_COMPANIES'!$C$54&amp;""))=0,LEN(TRIM('01_INPUT_COMPANIES'!$D$54&amp;""))=0,LEN(TRIM('01_INPUT_COMPANIES'!$E$54&amp;""))=0,LEN(TRIM('01_INPUT_COMPANIES'!$F$54&amp;""))=0,LEN(TRIM('01_INPUT_COMPANIES'!$G$54&amp;""))=0,LEN(TRIM('01_INPUT_COMPANIES'!$H$54&amp;""))=0,LEN(TRIM('01_INPUT_COMPANIES'!$I$54&amp;""))=0,LEN(TRIM('01_INPUT_COMPANIES'!$K$54&amp;""))=0,LEN(TRIM('01_INPUT_COMPANIES'!$L$54&amp;""))=0,LEN(TRIM('01_INPUT_COMPANIES'!$M$54&amp;""))=0,LEN(TRIM('01_INPUT_COMPANIES'!$N$54&amp;""))=0,LEN(TRIM('01_INPUT_COMPANIES'!$O$54&amp;""))=0,LEN(TRIM('01_INPUT_COMPANIES'!$Q$54&amp;""))=0,COUNTBLANK('01_INPUT_COMPANIES'!$A$54:$R$54)&gt;0),"INPUT REQUIRED",IF(OR('01_INPUT_COMPANIES'!$A$54&lt;&gt;TRIM('01_INPUT_COMPANIES'!$A$54),NOT(EXACT('01_INPUT_COMPANIES'!$A$54,UPPER('01_INPUT_COMPANIES'!$A$54))),LEN('01_INPUT_COMPANIES'!$A$54)&gt;64,ISNUMBER(FIND("*",'01_INPUT_COMPANIES'!$A$54)),ISNUMBER(FIND("?",'01_INPUT_COMPANIES'!$A$54)),ISNUMBER(FIND("~",'01_INPUT_COMPANIES'!$A$54))),"ERROR: ID FORMAT",IF(COUNTIF('01_INPUT_COMPANIES'!$A$7:$A$106,'01_INPUT_COMPANIES'!$A$54)&lt;&gt;1,"ERROR: DUPLICATE ID",IF(COUNT('01_INPUT_COMPANIES'!$T$54:$AC$54)&lt;&gt;10,"INPUT REQUIRED",IF(NOT(OR('01_INPUT_COMPANIES'!$C$54="domestic",'01_INPUT_COMPANIES'!$C$54="foreign",'01_INPUT_COMPANIES'!$C$54="other")),"ERROR: COMPANY GROUP",IF(OR(LEN('01_INPUT_COMPANIES'!$G$54)&lt;&gt;6,MID('01_INPUT_COMPANIES'!$G$54,5,1)&lt;&gt;"Q",IFERROR(VALUE(LEFT('01_INPUT_COMPANIES'!$G$54,4)),0)&lt;2000,IFERROR(VALUE(LEFT('01_INPUT_COMPANIES'!$G$54,4)),0)&gt;2100,IFERROR(VALUE(RIGHT('01_INPUT_COMPANIES'!$G$54,1)),0)&lt;1,IFERROR(VALUE(RIGHT('01_INPUT_COMPANIES'!$G$54,1)),0)&gt;4),"ERROR: REPORTING PERIOD",IF(OR(COUNTIFS('92_REF_VARIABLES'!$A$21:$A$21,'01_INPUT_COMPANIES'!$H$54,'92_REF_VARIABLES'!$B$21:$B$21,'01_INPUT_COMPANIES'!$D$54,'92_REF_VARIABLES'!$C$21:$C$21,'01_INPUT_COMPANIES'!$G$54)&lt;&gt;1,AND(IFERROR(INDEX('92_REF_VARIABLES'!$I$21:$I$21,MATCH('01_INPUT_COMPANIES'!$H$54,'92_REF_VARIABLES'!$A$21:$A$21,0)),"")="synthetic_only",'01_INPUT_COMPANIES'!$L$54&lt;&gt;"yes")),"ERROR: BENCHMARK",IF(COUNTIF('92_REF_VARIABLES'!$L$21:$L$50,'01_INPUT_COMPANIES'!$I$54)&lt;&gt;1,"ERROR: CURRENCY",IF(OR(NOT(ISNUMBER('01_INPUT_COMPANIES'!$J$54)),'01_INPUT_COMPANIES'!$J$54&lt;&gt;INT('01_INPUT_COMPANIES'!$J$54),'01_INPUT_COMPANIES'!$J$54&lt;2000,'01_INPUT_COMPANIES'!$J$54&gt;2100),"ERROR: PRICE YEAR",IF(NOT(OR('01_INPUT_COMPANIES'!$K$54="A",'01_INPUT_COMPANIES'!$K$54="B",'01_INPUT_COMPANIES'!$K$54="C",'01_INPUT_COMPANIES'!$K$54="SYNTHETIC")),"ERROR: QUALITY",IF(NOT(OR(AND('01_INPUT_COMPANIES'!$L$54="yes",'01_INPUT_COMPANIES'!$K$54="SYNTHETIC"),AND('01_INPUT_COMPANIES'!$L$54="no",'01_INPUT_COMPANIES'!$K$54&lt;&gt;"SYNTHETIC"))),"ERROR: SYNTHETIC FLAG",IF(NOT(OR('01_INPUT_COMPANIES'!$M$54="direct",'01_INPUT_COMPANIES'!$M$54="derived",'01_INPUT_COMPANIES'!$M$54="proxy",'01_INPUT_COMPANIES'!$M$54="mixed")),"ERROR: CONSTRUCTION MODE",IF(OR(NOT(ISNUMBER('01_INPUT_COMPANIES'!$P$54)),'01_INPUT_COMPANIES'!$P$54&lt;0,'01_INPUT_COMPANIES'!$P$54&lt;&gt;INT('01_INPUT_COMPANIES'!$P$54)),"ERROR: CARRY LAG",IF('01_INPUT_COMPANIES'!$Q$54&lt;&gt;"yes","ERROR: EXPOSURE ADJUSTMENT",IF(OR(NOT(ISNUMBER('01_INPUT_COMPANIES'!$R$54)),'01_INPUT_COMPANIES'!$R$54&lt;0,'01_INPUT_COMPANIES'!$R$54&gt;1),"ERROR: EXPOSURE FACTOR",IF(COUNT(Y54)=0,"ERROR: SCORE",IF(COUNT(Z54)=0,"READY",IF(AA54&lt;=0.0000000001,"PASS","CHECK"))&amp;IF('01_INPUT_COMPANIES'!$K$54="C"," | C QUALITY","")&amp;IF(OR('01_INPUT_COMPANIES'!$M$54="proxy",'01_INPUT_COMPANIES'!$M$54="mixed")," | PROXY/MIXED","")&amp;IF('01_INPUT_COMPANIES'!$P$54&gt;1," | CARRY&gt;1","")&amp;IF(OR(OR('01_INPUT_COMPANIES'!$T$54&lt;-1,'01_INPUT_COMPANIES'!$T$54&gt;1),OR('01_INPUT_COMPANIES'!$U$54&lt;0,'01_INPUT_COMPANIES'!$U$54&gt;1),OR('01_INPUT_COMPANIES'!$V$54&lt;0,'01_INPUT_COMPANIES'!$V$54&gt;1),OR('01_INPUT_COMPANIES'!$W$54&lt;-10,'01_INPUT_COMPANIES'!$W$54&gt;10),OR('01_INPUT_COMPANIES'!$X$54&lt;-1,'01_INPUT_COMPANIES'!$X$54&gt;1),OR('01_INPUT_COMPANIES'!$Y$54&lt;0,'01_INPUT_COMPANIES'!$Y$54&gt;20),OR('01_INPUT_COMPANIES'!$Z$54&lt;-2,'01_INPUT_COMPANIES'!$Z$54&gt;2),OR('01_INPUT_COMPANIES'!$AA$54&lt;0,'01_INPUT_COMPANIES'!$AA$54&gt;1),OR('01_INPUT_COMPANIES'!$AB$54&lt;0,'01_INPUT_COMPANIES'!$AB$54&gt;1),OR('01_INPUT_COMPANIES'!$AC$54&lt;0,'01_INPUT_COMPANIES'!$AC$54&gt;50))," | REVIEW RANGE","")&amp;IF(COUNTIF('90_CALC_FEATURES'!$J$477:$J$486,"WINSORIZED*")&gt;0," | WINSORIZED","")&amp;IF(ABS('01_INPUT_COMPANIES'!$U$54-'01_INPUT_COMPANIES'!$V$54*'01_INPUT_COMPANIES'!$AB$54)&gt;MAX(0.005,0.05*MAX(ABS('01_INPUT_COMPANIES'!$V$54*'01_INPUT_COMPANIES'!$AB$54),ABS('01_INPUT_COMPANIES'!$U$54),0.000000000001))," | DEPENDENCY",""))))))))))))))))))))</x:f>
      </x:c>
      <x:c r="AC54" s="34" t="str">
        <x:f>IF(A54="","",IF(OR(LEFT(AB54,4)="PASS",LEFT(AB54,5)="READY"),"RESEARCH BETA | 저지원 22.22% | 기업 백분위 N/A", "결과 사용 금지 | "&amp;AB54))</x:f>
      </x:c>
      <x:c r="AD54" s="34" t="str">
        <x:f>IF(A54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$54,TRIM('01_INPUT_COMPANIES'!$D$54)),EXACT('01_INPUT_COMPANIES'!$E$54,TRIM('01_INPUT_COMPANIES'!$E$54)),EXACT('01_INPUT_COMPANIES'!$F$54,TRIM('01_INPUT_COMPANIES'!$F$54)),EXACT('01_INPUT_COMPANIES'!$G$54,TRIM('01_INPUT_COMPANIES'!$G$54)),EXACT('01_INPUT_COMPANIES'!$H$54,TRIM('01_INPUT_COMPANIES'!$H$54)))),"ERROR: COHORT WHITESPACE",IF(NOT(IFERROR(AND(ISTEXT('01_INPUT_COMPANIES'!$O$54),LEN('01_INPUT_COMPANIES'!$O$54)=10,VALUE(LEFT('01_INPUT_COMPANIES'!$O$54,4))&gt;=2000,VALUE(LEFT('01_INPUT_COMPANIES'!$O$54,4))&lt;=2100,EXACT(TEXT(DATE(VALUE(LEFT('01_INPUT_COMPANIES'!$O$54,4)),VALUE(MID('01_INPUT_COMPANIES'!$O$54,6,2)),VALUE(RIGHT('01_INPUT_COMPANIES'!$O$54,2))),"yyyy-mm-dd"),'01_INPUT_COMPANIES'!$O$54)),FALSE)),"ERROR: SOURCE DATE",IF(NOT(AND(OR(EXACT('01_INPUT_COMPANIES'!$C$54,"domestic"),EXACT('01_INPUT_COMPANIES'!$C$54,"foreign"),EXACT('01_INPUT_COMPANIES'!$C$54,"other")),OR(EXACT('01_INPUT_COMPANIES'!$K$54,"A"),EXACT('01_INPUT_COMPANIES'!$K$54,"B"),EXACT('01_INPUT_COMPANIES'!$K$54,"C"),EXACT('01_INPUT_COMPANIES'!$K$54,"SYNTHETIC")),OR(EXACT('01_INPUT_COMPANIES'!$L$54,"yes"),EXACT('01_INPUT_COMPANIES'!$L$54,"no")),OR(EXACT('01_INPUT_COMPANIES'!$M$54,"direct"),EXACT('01_INPUT_COMPANIES'!$M$54,"derived"),EXACT('01_INPUT_COMPANIES'!$M$54,"proxy"),EXACT('01_INPUT_COMPANIES'!$M$54,"mixed")),OR(EXACT('01_INPUT_COMPANIES'!$Q$54,"yes")),EXACT('01_INPUT_COMPANIES'!$I$54,UPPER('01_INPUT_COMPANIES'!$I$54)))),"ERROR: EXACT ENUM",IF(NOT(IFERROR(OR(AND(EXACT('92_REF_VARIABLES'!$A$21,'01_INPUT_COMPANIES'!$H$54),EXACT('92_REF_VARIABLES'!$B$21,'01_INPUT_COMPANIES'!$D$54),EXACT('92_REF_VARIABLES'!$C$21,'01_INPUT_COMPANIES'!$G$54))),FALSE)),"ERROR: BENCHMARK",""))))))</x:f>
      </x:c>
    </x:row>
    <x:row r="55">
      <x:c r="A55" s="34" t="str">
        <x:f>IF(OR('01_INPUT_COMPANIES'!$A$55="",'01_INPUT_COMPANIES'!$A$55=""),"",'01_INPUT_COMPANIES'!$A$55)</x:f>
      </x:c>
      <x:c r="B55" s="34" t="str">
        <x:f>IF(OR('01_INPUT_COMPANIES'!$A$55="",'01_INPUT_COMPANIES'!$B$55=""),"",'01_INPUT_COMPANIES'!$B$55)</x:f>
      </x:c>
      <x:c r="C55" s="34" t="str">
        <x:f>IF(OR('01_INPUT_COMPANIES'!$A$55="",'01_INPUT_COMPANIES'!$C$55=""),"",'01_INPUT_COMPANIES'!$C$55)</x:f>
      </x:c>
      <x:c r="D55" s="34" t="str">
        <x:f>IF(OR('01_INPUT_COMPANIES'!$A$55="",'01_INPUT_COMPANIES'!$D$55=""),"",'01_INPUT_COMPANIES'!$D$55)</x:f>
      </x:c>
      <x:c r="E55" s="34" t="str">
        <x:f>IF(OR('01_INPUT_COMPANIES'!$A$55="",'01_INPUT_COMPANIES'!$E$55=""),"",'01_INPUT_COMPANIES'!$E$55)</x:f>
      </x:c>
      <x:c r="F55" s="34" t="str">
        <x:f>IF(OR('01_INPUT_COMPANIES'!$A$55="",'01_INPUT_COMPANIES'!$F$55=""),"",'01_INPUT_COMPANIES'!$F$55)</x:f>
      </x:c>
      <x:c r="G55" s="34" t="str">
        <x:f>IF(OR('01_INPUT_COMPANIES'!$A$55="",'01_INPUT_COMPANIES'!$G$55=""),"",'01_INPUT_COMPANIES'!$G$55)</x:f>
      </x:c>
      <x:c r="H55" s="34" t="str">
        <x:f>IF(OR('01_INPUT_COMPANIES'!$A$55="",'01_INPUT_COMPANIES'!$H$55=""),"",'01_INPUT_COMPANIES'!$H$55)</x:f>
      </x:c>
      <x:c r="I55" s="34" t="str">
        <x:f>IF(OR('01_INPUT_COMPANIES'!$A$55="",'01_INPUT_COMPANIES'!$K$55=""),"",'01_INPUT_COMPANIES'!$K$55)</x:f>
      </x:c>
      <x:c r="J55" s="34" t="str">
        <x:f>IF(OR('01_INPUT_COMPANIES'!$A$55="",'01_INPUT_COMPANIES'!$M$55=""),"",'01_INPUT_COMPANIES'!$M$55)</x:f>
      </x:c>
      <x:c r="K55" s="34" t="str">
        <x:f>IF(OR(A55="",COUNTBLANK(D55:H55)&gt;0),"",LEN(D55)&amp;":"&amp;D55&amp;LEN(E55)&amp;":"&amp;E55&amp;LEN(F55)&amp;":"&amp;F55&amp;LEN(G55)&amp;":"&amp;G55&amp;LEN(H55)&amp;":"&amp;H55)</x:f>
      </x:c>
      <x:c r="L55" s="47" t="str">
        <x:f>IF(A55="","",'90_CALC_FEATURES'!$I$487)</x:f>
      </x:c>
      <x:c r="M55" s="47" t="str">
        <x:f>IF(A55="","",'90_CALC_FEATURES'!$I$488)</x:f>
      </x:c>
      <x:c r="N55" s="47" t="str">
        <x:f>IF(A55="","",'90_CALC_FEATURES'!$I$489)</x:f>
      </x:c>
      <x:c r="O55" s="47" t="str">
        <x:f>IF(A55="","",'90_CALC_FEATURES'!$I$490)</x:f>
      </x:c>
      <x:c r="P55" s="47" t="str">
        <x:f>IF(A55="","",'90_CALC_FEATURES'!$I$491)</x:f>
      </x:c>
      <x:c r="Q55" s="47" t="str">
        <x:f>IF(A55="","",'90_CALC_FEATURES'!$I$492)</x:f>
      </x:c>
      <x:c r="R55" s="47" t="str">
        <x:f>IF(A55="","",'90_CALC_FEATURES'!$I$493)</x:f>
      </x:c>
      <x:c r="S55" s="47" t="str">
        <x:f>IF(A55="","",'90_CALC_FEATURES'!$I$494)</x:f>
      </x:c>
      <x:c r="T55" s="47" t="str">
        <x:f>IF(A55="","",'90_CALC_FEATURES'!$I$495)</x:f>
      </x:c>
      <x:c r="U55" s="47" t="str">
        <x:f>IF(A55="","",'90_CALC_FEATURES'!$I$496)</x:f>
      </x:c>
      <x:c r="V55" s="47" t="str">
        <x:f>IF(COUNT(L55:N55)=3,100*AVERAGE(L55:N55),"")</x:f>
      </x:c>
      <x:c r="W55" s="47" t="str">
        <x:f>IF(COUNT(O55:R55)=4,100*AVERAGE(O55:R55),"")</x:f>
      </x:c>
      <x:c r="X55" s="47" t="str">
        <x:f>IF(COUNT(S55:U55)=3,100*AVERAGE(S55:U55),"")</x:f>
      </x:c>
      <x:c r="Y55" s="47" t="str">
        <x:f>IF(COUNT(V55:X55)=3,AVERAGE(V55:X55),"")</x:f>
      </x:c>
      <x:c r="Z55" s="47" t="str">
        <x:f>IF(OR(AND(EXACT(A55,"SYN-A"),COUNT('01_INPUT_COMPANIES'!$T$55:$AC$55)=10,'01_INPUT_COMPANIES'!$T$55=-0.02,'01_INPUT_COMPANIES'!$U$55=0.1332,'01_INPUT_COMPANIES'!$V$55=0.18,'01_INPUT_COMPANIES'!$W$55=0.42,'01_INPUT_COMPANIES'!$X$55=0.012,'01_INPUT_COMPANIES'!$Y$55=3.2,'01_INPUT_COMPANIES'!$Z$55=0.08,'01_INPUT_COMPANIES'!$AA$55=0.28,'01_INPUT_COMPANIES'!$AB$55=0.74,'01_INPUT_COMPANIES'!$AC$55=8.5),AND(EXACT(A55,"SYN-B"),COUNT('01_INPUT_COMPANIES'!$T$55:$AC$55)=10,'01_INPUT_COMPANIES'!$T$55=-0.055,'01_INPUT_COMPANIES'!$U$55=0.06405,'01_INPUT_COMPANIES'!$V$55=0.105,'01_INPUT_COMPANIES'!$W$55=0.73,'01_INPUT_COMPANIES'!$X$55=0.004,'01_INPUT_COMPANIES'!$Y$55=4.1,'01_INPUT_COMPANIES'!$Z$55=0.025,'01_INPUT_COMPANIES'!$AA$55=0.16,'01_INPUT_COMPANIES'!$AB$55=0.61,'01_INPUT_COMPANIES'!$AC$55=4),AND(EXACT(A55,"SYN-C"),COUNT('01_INPUT_COMPANIES'!$T$55:$AC$55)=10,'01_INPUT_COMPANIES'!$T$55=0.01,'01_INPUT_COMPANIES'!$U$55=0.0986,'01_INPUT_COMPANIES'!$V$55=0.145,'01_INPUT_COMPANIES'!$W$55=0.18,'01_INPUT_COMPANIES'!$X$55=0.018,'01_INPUT_COMPANIES'!$Y$55=2.65,'01_INPUT_COMPANIES'!$Z$55=0.11,'01_INPUT_COMPANIES'!$AA$55=0.34,'01_INPUT_COMPANIES'!$AB$55=0.68,'01_INPUT_COMPANIES'!$AC$55=6.8),AND(EXACT(A55,"SYN-D"),COUNT('01_INPUT_COMPANIES'!$T$55:$AC$55)=10,'01_INPUT_COMPANIES'!$T$55=-0.005,'01_INPUT_COMPANIES'!$U$55=0.1136,'01_INPUT_COMPANIES'!$V$55=0.16,'01_INPUT_COMPANIES'!$W$55=0.51,'01_INPUT_COMPANIES'!$X$55=0.009,'01_INPUT_COMPANIES'!$Y$55=3.55,'01_INPUT_COMPANIES'!$Z$55=0.065,'01_INPUT_COMPANIES'!$AA$55=0.24,'01_INPUT_COMPANIES'!$AB$55=0.71,'01_INPUT_COMPANIES'!$AC$55=7.4)),IFERROR(INDEX('94_EXPECTED_OUTPUTS'!$B$7:$B$10,MATCH(A55,'94_EXPECTED_OUTPUTS'!$A$7:$A$10,0)),""),"")</x:f>
      </x:c>
      <x:c r="AA55" s="47" t="str">
        <x:f>IF(OR(COUNT(Y55)=0,COUNT(Z55)=0),"",ABS(Y55-Z55))</x:f>
      </x:c>
      <x:c r="AB55" s="34" t="str">
        <x:f>IF(A55="","",IF(AD55&lt;&gt;"",AD55,IF('01_INPUT_COMPANIES'!$A$55="","",IF(OR(LEN(TRIM('01_INPUT_COMPANIES'!$A$55&amp;""))=0,LEN(TRIM('01_INPUT_COMPANIES'!$B$55&amp;""))=0,LEN(TRIM('01_INPUT_COMPANIES'!$C$55&amp;""))=0,LEN(TRIM('01_INPUT_COMPANIES'!$D$55&amp;""))=0,LEN(TRIM('01_INPUT_COMPANIES'!$E$55&amp;""))=0,LEN(TRIM('01_INPUT_COMPANIES'!$F$55&amp;""))=0,LEN(TRIM('01_INPUT_COMPANIES'!$G$55&amp;""))=0,LEN(TRIM('01_INPUT_COMPANIES'!$H$55&amp;""))=0,LEN(TRIM('01_INPUT_COMPANIES'!$I$55&amp;""))=0,LEN(TRIM('01_INPUT_COMPANIES'!$K$55&amp;""))=0,LEN(TRIM('01_INPUT_COMPANIES'!$L$55&amp;""))=0,LEN(TRIM('01_INPUT_COMPANIES'!$M$55&amp;""))=0,LEN(TRIM('01_INPUT_COMPANIES'!$N$55&amp;""))=0,LEN(TRIM('01_INPUT_COMPANIES'!$O$55&amp;""))=0,LEN(TRIM('01_INPUT_COMPANIES'!$Q$55&amp;""))=0,COUNTBLANK('01_INPUT_COMPANIES'!$A$55:$R$55)&gt;0),"INPUT REQUIRED",IF(OR('01_INPUT_COMPANIES'!$A$55&lt;&gt;TRIM('01_INPUT_COMPANIES'!$A$55),NOT(EXACT('01_INPUT_COMPANIES'!$A$55,UPPER('01_INPUT_COMPANIES'!$A$55))),LEN('01_INPUT_COMPANIES'!$A$55)&gt;64,ISNUMBER(FIND("*",'01_INPUT_COMPANIES'!$A$55)),ISNUMBER(FIND("?",'01_INPUT_COMPANIES'!$A$55)),ISNUMBER(FIND("~",'01_INPUT_COMPANIES'!$A$55))),"ERROR: ID FORMAT",IF(COUNTIF('01_INPUT_COMPANIES'!$A$7:$A$106,'01_INPUT_COMPANIES'!$A$55)&lt;&gt;1,"ERROR: DUPLICATE ID",IF(COUNT('01_INPUT_COMPANIES'!$T$55:$AC$55)&lt;&gt;10,"INPUT REQUIRED",IF(NOT(OR('01_INPUT_COMPANIES'!$C$55="domestic",'01_INPUT_COMPANIES'!$C$55="foreign",'01_INPUT_COMPANIES'!$C$55="other")),"ERROR: COMPANY GROUP",IF(OR(LEN('01_INPUT_COMPANIES'!$G$55)&lt;&gt;6,MID('01_INPUT_COMPANIES'!$G$55,5,1)&lt;&gt;"Q",IFERROR(VALUE(LEFT('01_INPUT_COMPANIES'!$G$55,4)),0)&lt;2000,IFERROR(VALUE(LEFT('01_INPUT_COMPANIES'!$G$55,4)),0)&gt;2100,IFERROR(VALUE(RIGHT('01_INPUT_COMPANIES'!$G$55,1)),0)&lt;1,IFERROR(VALUE(RIGHT('01_INPUT_COMPANIES'!$G$55,1)),0)&gt;4),"ERROR: REPORTING PERIOD",IF(OR(COUNTIFS('92_REF_VARIABLES'!$A$21:$A$21,'01_INPUT_COMPANIES'!$H$55,'92_REF_VARIABLES'!$B$21:$B$21,'01_INPUT_COMPANIES'!$D$55,'92_REF_VARIABLES'!$C$21:$C$21,'01_INPUT_COMPANIES'!$G$55)&lt;&gt;1,AND(IFERROR(INDEX('92_REF_VARIABLES'!$I$21:$I$21,MATCH('01_INPUT_COMPANIES'!$H$55,'92_REF_VARIABLES'!$A$21:$A$21,0)),"")="synthetic_only",'01_INPUT_COMPANIES'!$L$55&lt;&gt;"yes")),"ERROR: BENCHMARK",IF(COUNTIF('92_REF_VARIABLES'!$L$21:$L$50,'01_INPUT_COMPANIES'!$I$55)&lt;&gt;1,"ERROR: CURRENCY",IF(OR(NOT(ISNUMBER('01_INPUT_COMPANIES'!$J$55)),'01_INPUT_COMPANIES'!$J$55&lt;&gt;INT('01_INPUT_COMPANIES'!$J$55),'01_INPUT_COMPANIES'!$J$55&lt;2000,'01_INPUT_COMPANIES'!$J$55&gt;2100),"ERROR: PRICE YEAR",IF(NOT(OR('01_INPUT_COMPANIES'!$K$55="A",'01_INPUT_COMPANIES'!$K$55="B",'01_INPUT_COMPANIES'!$K$55="C",'01_INPUT_COMPANIES'!$K$55="SYNTHETIC")),"ERROR: QUALITY",IF(NOT(OR(AND('01_INPUT_COMPANIES'!$L$55="yes",'01_INPUT_COMPANIES'!$K$55="SYNTHETIC"),AND('01_INPUT_COMPANIES'!$L$55="no",'01_INPUT_COMPANIES'!$K$55&lt;&gt;"SYNTHETIC"))),"ERROR: SYNTHETIC FLAG",IF(NOT(OR('01_INPUT_COMPANIES'!$M$55="direct",'01_INPUT_COMPANIES'!$M$55="derived",'01_INPUT_COMPANIES'!$M$55="proxy",'01_INPUT_COMPANIES'!$M$55="mixed")),"ERROR: CONSTRUCTION MODE",IF(OR(NOT(ISNUMBER('01_INPUT_COMPANIES'!$P$55)),'01_INPUT_COMPANIES'!$P$55&lt;0,'01_INPUT_COMPANIES'!$P$55&lt;&gt;INT('01_INPUT_COMPANIES'!$P$55)),"ERROR: CARRY LAG",IF('01_INPUT_COMPANIES'!$Q$55&lt;&gt;"yes","ERROR: EXPOSURE ADJUSTMENT",IF(OR(NOT(ISNUMBER('01_INPUT_COMPANIES'!$R$55)),'01_INPUT_COMPANIES'!$R$55&lt;0,'01_INPUT_COMPANIES'!$R$55&gt;1),"ERROR: EXPOSURE FACTOR",IF(COUNT(Y55)=0,"ERROR: SCORE",IF(COUNT(Z55)=0,"READY",IF(AA55&lt;=0.0000000001,"PASS","CHECK"))&amp;IF('01_INPUT_COMPANIES'!$K$55="C"," | C QUALITY","")&amp;IF(OR('01_INPUT_COMPANIES'!$M$55="proxy",'01_INPUT_COMPANIES'!$M$55="mixed")," | PROXY/MIXED","")&amp;IF('01_INPUT_COMPANIES'!$P$55&gt;1," | CARRY&gt;1","")&amp;IF(OR(OR('01_INPUT_COMPANIES'!$T$55&lt;-1,'01_INPUT_COMPANIES'!$T$55&gt;1),OR('01_INPUT_COMPANIES'!$U$55&lt;0,'01_INPUT_COMPANIES'!$U$55&gt;1),OR('01_INPUT_COMPANIES'!$V$55&lt;0,'01_INPUT_COMPANIES'!$V$55&gt;1),OR('01_INPUT_COMPANIES'!$W$55&lt;-10,'01_INPUT_COMPANIES'!$W$55&gt;10),OR('01_INPUT_COMPANIES'!$X$55&lt;-1,'01_INPUT_COMPANIES'!$X$55&gt;1),OR('01_INPUT_COMPANIES'!$Y$55&lt;0,'01_INPUT_COMPANIES'!$Y$55&gt;20),OR('01_INPUT_COMPANIES'!$Z$55&lt;-2,'01_INPUT_COMPANIES'!$Z$55&gt;2),OR('01_INPUT_COMPANIES'!$AA$55&lt;0,'01_INPUT_COMPANIES'!$AA$55&gt;1),OR('01_INPUT_COMPANIES'!$AB$55&lt;0,'01_INPUT_COMPANIES'!$AB$55&gt;1),OR('01_INPUT_COMPANIES'!$AC$55&lt;0,'01_INPUT_COMPANIES'!$AC$55&gt;50))," | REVIEW RANGE","")&amp;IF(COUNTIF('90_CALC_FEATURES'!$J$487:$J$496,"WINSORIZED*")&gt;0," | WINSORIZED","")&amp;IF(ABS('01_INPUT_COMPANIES'!$U$55-'01_INPUT_COMPANIES'!$V$55*'01_INPUT_COMPANIES'!$AB$55)&gt;MAX(0.005,0.05*MAX(ABS('01_INPUT_COMPANIES'!$V$55*'01_INPUT_COMPANIES'!$AB$55),ABS('01_INPUT_COMPANIES'!$U$55),0.000000000001))," | DEPENDENCY",""))))))))))))))))))))</x:f>
      </x:c>
      <x:c r="AC55" s="34" t="str">
        <x:f>IF(A55="","",IF(OR(LEFT(AB55,4)="PASS",LEFT(AB55,5)="READY"),"RESEARCH BETA | 저지원 22.22% | 기업 백분위 N/A", "결과 사용 금지 | "&amp;AB55))</x:f>
      </x:c>
      <x:c r="AD55" s="34" t="str">
        <x:f>IF(A55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$55,TRIM('01_INPUT_COMPANIES'!$D$55)),EXACT('01_INPUT_COMPANIES'!$E$55,TRIM('01_INPUT_COMPANIES'!$E$55)),EXACT('01_INPUT_COMPANIES'!$F$55,TRIM('01_INPUT_COMPANIES'!$F$55)),EXACT('01_INPUT_COMPANIES'!$G$55,TRIM('01_INPUT_COMPANIES'!$G$55)),EXACT('01_INPUT_COMPANIES'!$H$55,TRIM('01_INPUT_COMPANIES'!$H$55)))),"ERROR: COHORT WHITESPACE",IF(NOT(IFERROR(AND(ISTEXT('01_INPUT_COMPANIES'!$O$55),LEN('01_INPUT_COMPANIES'!$O$55)=10,VALUE(LEFT('01_INPUT_COMPANIES'!$O$55,4))&gt;=2000,VALUE(LEFT('01_INPUT_COMPANIES'!$O$55,4))&lt;=2100,EXACT(TEXT(DATE(VALUE(LEFT('01_INPUT_COMPANIES'!$O$55,4)),VALUE(MID('01_INPUT_COMPANIES'!$O$55,6,2)),VALUE(RIGHT('01_INPUT_COMPANIES'!$O$55,2))),"yyyy-mm-dd"),'01_INPUT_COMPANIES'!$O$55)),FALSE)),"ERROR: SOURCE DATE",IF(NOT(AND(OR(EXACT('01_INPUT_COMPANIES'!$C$55,"domestic"),EXACT('01_INPUT_COMPANIES'!$C$55,"foreign"),EXACT('01_INPUT_COMPANIES'!$C$55,"other")),OR(EXACT('01_INPUT_COMPANIES'!$K$55,"A"),EXACT('01_INPUT_COMPANIES'!$K$55,"B"),EXACT('01_INPUT_COMPANIES'!$K$55,"C"),EXACT('01_INPUT_COMPANIES'!$K$55,"SYNTHETIC")),OR(EXACT('01_INPUT_COMPANIES'!$L$55,"yes"),EXACT('01_INPUT_COMPANIES'!$L$55,"no")),OR(EXACT('01_INPUT_COMPANIES'!$M$55,"direct"),EXACT('01_INPUT_COMPANIES'!$M$55,"derived"),EXACT('01_INPUT_COMPANIES'!$M$55,"proxy"),EXACT('01_INPUT_COMPANIES'!$M$55,"mixed")),OR(EXACT('01_INPUT_COMPANIES'!$Q$55,"yes")),EXACT('01_INPUT_COMPANIES'!$I$55,UPPER('01_INPUT_COMPANIES'!$I$55)))),"ERROR: EXACT ENUM",IF(NOT(IFERROR(OR(AND(EXACT('92_REF_VARIABLES'!$A$21,'01_INPUT_COMPANIES'!$H$55),EXACT('92_REF_VARIABLES'!$B$21,'01_INPUT_COMPANIES'!$D$55),EXACT('92_REF_VARIABLES'!$C$21,'01_INPUT_COMPANIES'!$G$55))),FALSE)),"ERROR: BENCHMARK",""))))))</x:f>
      </x:c>
    </x:row>
    <x:row r="56">
      <x:c r="A56" s="34" t="str">
        <x:f>IF(OR('01_INPUT_COMPANIES'!$A$56="",'01_INPUT_COMPANIES'!$A$56=""),"",'01_INPUT_COMPANIES'!$A$56)</x:f>
      </x:c>
      <x:c r="B56" s="34" t="str">
        <x:f>IF(OR('01_INPUT_COMPANIES'!$A$56="",'01_INPUT_COMPANIES'!$B$56=""),"",'01_INPUT_COMPANIES'!$B$56)</x:f>
      </x:c>
      <x:c r="C56" s="34" t="str">
        <x:f>IF(OR('01_INPUT_COMPANIES'!$A$56="",'01_INPUT_COMPANIES'!$C$56=""),"",'01_INPUT_COMPANIES'!$C$56)</x:f>
      </x:c>
      <x:c r="D56" s="34" t="str">
        <x:f>IF(OR('01_INPUT_COMPANIES'!$A$56="",'01_INPUT_COMPANIES'!$D$56=""),"",'01_INPUT_COMPANIES'!$D$56)</x:f>
      </x:c>
      <x:c r="E56" s="34" t="str">
        <x:f>IF(OR('01_INPUT_COMPANIES'!$A$56="",'01_INPUT_COMPANIES'!$E$56=""),"",'01_INPUT_COMPANIES'!$E$56)</x:f>
      </x:c>
      <x:c r="F56" s="34" t="str">
        <x:f>IF(OR('01_INPUT_COMPANIES'!$A$56="",'01_INPUT_COMPANIES'!$F$56=""),"",'01_INPUT_COMPANIES'!$F$56)</x:f>
      </x:c>
      <x:c r="G56" s="34" t="str">
        <x:f>IF(OR('01_INPUT_COMPANIES'!$A$56="",'01_INPUT_COMPANIES'!$G$56=""),"",'01_INPUT_COMPANIES'!$G$56)</x:f>
      </x:c>
      <x:c r="H56" s="34" t="str">
        <x:f>IF(OR('01_INPUT_COMPANIES'!$A$56="",'01_INPUT_COMPANIES'!$H$56=""),"",'01_INPUT_COMPANIES'!$H$56)</x:f>
      </x:c>
      <x:c r="I56" s="34" t="str">
        <x:f>IF(OR('01_INPUT_COMPANIES'!$A$56="",'01_INPUT_COMPANIES'!$K$56=""),"",'01_INPUT_COMPANIES'!$K$56)</x:f>
      </x:c>
      <x:c r="J56" s="34" t="str">
        <x:f>IF(OR('01_INPUT_COMPANIES'!$A$56="",'01_INPUT_COMPANIES'!$M$56=""),"",'01_INPUT_COMPANIES'!$M$56)</x:f>
      </x:c>
      <x:c r="K56" s="34" t="str">
        <x:f>IF(OR(A56="",COUNTBLANK(D56:H56)&gt;0),"",LEN(D56)&amp;":"&amp;D56&amp;LEN(E56)&amp;":"&amp;E56&amp;LEN(F56)&amp;":"&amp;F56&amp;LEN(G56)&amp;":"&amp;G56&amp;LEN(H56)&amp;":"&amp;H56)</x:f>
      </x:c>
      <x:c r="L56" s="47" t="str">
        <x:f>IF(A56="","",'90_CALC_FEATURES'!$I$497)</x:f>
      </x:c>
      <x:c r="M56" s="47" t="str">
        <x:f>IF(A56="","",'90_CALC_FEATURES'!$I$498)</x:f>
      </x:c>
      <x:c r="N56" s="47" t="str">
        <x:f>IF(A56="","",'90_CALC_FEATURES'!$I$499)</x:f>
      </x:c>
      <x:c r="O56" s="47" t="str">
        <x:f>IF(A56="","",'90_CALC_FEATURES'!$I$500)</x:f>
      </x:c>
      <x:c r="P56" s="47" t="str">
        <x:f>IF(A56="","",'90_CALC_FEATURES'!$I$501)</x:f>
      </x:c>
      <x:c r="Q56" s="47" t="str">
        <x:f>IF(A56="","",'90_CALC_FEATURES'!$I$502)</x:f>
      </x:c>
      <x:c r="R56" s="47" t="str">
        <x:f>IF(A56="","",'90_CALC_FEATURES'!$I$503)</x:f>
      </x:c>
      <x:c r="S56" s="47" t="str">
        <x:f>IF(A56="","",'90_CALC_FEATURES'!$I$504)</x:f>
      </x:c>
      <x:c r="T56" s="47" t="str">
        <x:f>IF(A56="","",'90_CALC_FEATURES'!$I$505)</x:f>
      </x:c>
      <x:c r="U56" s="47" t="str">
        <x:f>IF(A56="","",'90_CALC_FEATURES'!$I$506)</x:f>
      </x:c>
      <x:c r="V56" s="47" t="str">
        <x:f>IF(COUNT(L56:N56)=3,100*AVERAGE(L56:N56),"")</x:f>
      </x:c>
      <x:c r="W56" s="47" t="str">
        <x:f>IF(COUNT(O56:R56)=4,100*AVERAGE(O56:R56),"")</x:f>
      </x:c>
      <x:c r="X56" s="47" t="str">
        <x:f>IF(COUNT(S56:U56)=3,100*AVERAGE(S56:U56),"")</x:f>
      </x:c>
      <x:c r="Y56" s="47" t="str">
        <x:f>IF(COUNT(V56:X56)=3,AVERAGE(V56:X56),"")</x:f>
      </x:c>
      <x:c r="Z56" s="47" t="str">
        <x:f>IF(OR(AND(EXACT(A56,"SYN-A"),COUNT('01_INPUT_COMPANIES'!$T$56:$AC$56)=10,'01_INPUT_COMPANIES'!$T$56=-0.02,'01_INPUT_COMPANIES'!$U$56=0.1332,'01_INPUT_COMPANIES'!$V$56=0.18,'01_INPUT_COMPANIES'!$W$56=0.42,'01_INPUT_COMPANIES'!$X$56=0.012,'01_INPUT_COMPANIES'!$Y$56=3.2,'01_INPUT_COMPANIES'!$Z$56=0.08,'01_INPUT_COMPANIES'!$AA$56=0.28,'01_INPUT_COMPANIES'!$AB$56=0.74,'01_INPUT_COMPANIES'!$AC$56=8.5),AND(EXACT(A56,"SYN-B"),COUNT('01_INPUT_COMPANIES'!$T$56:$AC$56)=10,'01_INPUT_COMPANIES'!$T$56=-0.055,'01_INPUT_COMPANIES'!$U$56=0.06405,'01_INPUT_COMPANIES'!$V$56=0.105,'01_INPUT_COMPANIES'!$W$56=0.73,'01_INPUT_COMPANIES'!$X$56=0.004,'01_INPUT_COMPANIES'!$Y$56=4.1,'01_INPUT_COMPANIES'!$Z$56=0.025,'01_INPUT_COMPANIES'!$AA$56=0.16,'01_INPUT_COMPANIES'!$AB$56=0.61,'01_INPUT_COMPANIES'!$AC$56=4),AND(EXACT(A56,"SYN-C"),COUNT('01_INPUT_COMPANIES'!$T$56:$AC$56)=10,'01_INPUT_COMPANIES'!$T$56=0.01,'01_INPUT_COMPANIES'!$U$56=0.0986,'01_INPUT_COMPANIES'!$V$56=0.145,'01_INPUT_COMPANIES'!$W$56=0.18,'01_INPUT_COMPANIES'!$X$56=0.018,'01_INPUT_COMPANIES'!$Y$56=2.65,'01_INPUT_COMPANIES'!$Z$56=0.11,'01_INPUT_COMPANIES'!$AA$56=0.34,'01_INPUT_COMPANIES'!$AB$56=0.68,'01_INPUT_COMPANIES'!$AC$56=6.8),AND(EXACT(A56,"SYN-D"),COUNT('01_INPUT_COMPANIES'!$T$56:$AC$56)=10,'01_INPUT_COMPANIES'!$T$56=-0.005,'01_INPUT_COMPANIES'!$U$56=0.1136,'01_INPUT_COMPANIES'!$V$56=0.16,'01_INPUT_COMPANIES'!$W$56=0.51,'01_INPUT_COMPANIES'!$X$56=0.009,'01_INPUT_COMPANIES'!$Y$56=3.55,'01_INPUT_COMPANIES'!$Z$56=0.065,'01_INPUT_COMPANIES'!$AA$56=0.24,'01_INPUT_COMPANIES'!$AB$56=0.71,'01_INPUT_COMPANIES'!$AC$56=7.4)),IFERROR(INDEX('94_EXPECTED_OUTPUTS'!$B$7:$B$10,MATCH(A56,'94_EXPECTED_OUTPUTS'!$A$7:$A$10,0)),""),"")</x:f>
      </x:c>
      <x:c r="AA56" s="47" t="str">
        <x:f>IF(OR(COUNT(Y56)=0,COUNT(Z56)=0),"",ABS(Y56-Z56))</x:f>
      </x:c>
      <x:c r="AB56" s="34" t="str">
        <x:f>IF(A56="","",IF(AD56&lt;&gt;"",AD56,IF('01_INPUT_COMPANIES'!$A$56="","",IF(OR(LEN(TRIM('01_INPUT_COMPANIES'!$A$56&amp;""))=0,LEN(TRIM('01_INPUT_COMPANIES'!$B$56&amp;""))=0,LEN(TRIM('01_INPUT_COMPANIES'!$C$56&amp;""))=0,LEN(TRIM('01_INPUT_COMPANIES'!$D$56&amp;""))=0,LEN(TRIM('01_INPUT_COMPANIES'!$E$56&amp;""))=0,LEN(TRIM('01_INPUT_COMPANIES'!$F$56&amp;""))=0,LEN(TRIM('01_INPUT_COMPANIES'!$G$56&amp;""))=0,LEN(TRIM('01_INPUT_COMPANIES'!$H$56&amp;""))=0,LEN(TRIM('01_INPUT_COMPANIES'!$I$56&amp;""))=0,LEN(TRIM('01_INPUT_COMPANIES'!$K$56&amp;""))=0,LEN(TRIM('01_INPUT_COMPANIES'!$L$56&amp;""))=0,LEN(TRIM('01_INPUT_COMPANIES'!$M$56&amp;""))=0,LEN(TRIM('01_INPUT_COMPANIES'!$N$56&amp;""))=0,LEN(TRIM('01_INPUT_COMPANIES'!$O$56&amp;""))=0,LEN(TRIM('01_INPUT_COMPANIES'!$Q$56&amp;""))=0,COUNTBLANK('01_INPUT_COMPANIES'!$A$56:$R$56)&gt;0),"INPUT REQUIRED",IF(OR('01_INPUT_COMPANIES'!$A$56&lt;&gt;TRIM('01_INPUT_COMPANIES'!$A$56),NOT(EXACT('01_INPUT_COMPANIES'!$A$56,UPPER('01_INPUT_COMPANIES'!$A$56))),LEN('01_INPUT_COMPANIES'!$A$56)&gt;64,ISNUMBER(FIND("*",'01_INPUT_COMPANIES'!$A$56)),ISNUMBER(FIND("?",'01_INPUT_COMPANIES'!$A$56)),ISNUMBER(FIND("~",'01_INPUT_COMPANIES'!$A$56))),"ERROR: ID FORMAT",IF(COUNTIF('01_INPUT_COMPANIES'!$A$7:$A$106,'01_INPUT_COMPANIES'!$A$56)&lt;&gt;1,"ERROR: DUPLICATE ID",IF(COUNT('01_INPUT_COMPANIES'!$T$56:$AC$56)&lt;&gt;10,"INPUT REQUIRED",IF(NOT(OR('01_INPUT_COMPANIES'!$C$56="domestic",'01_INPUT_COMPANIES'!$C$56="foreign",'01_INPUT_COMPANIES'!$C$56="other")),"ERROR: COMPANY GROUP",IF(OR(LEN('01_INPUT_COMPANIES'!$G$56)&lt;&gt;6,MID('01_INPUT_COMPANIES'!$G$56,5,1)&lt;&gt;"Q",IFERROR(VALUE(LEFT('01_INPUT_COMPANIES'!$G$56,4)),0)&lt;2000,IFERROR(VALUE(LEFT('01_INPUT_COMPANIES'!$G$56,4)),0)&gt;2100,IFERROR(VALUE(RIGHT('01_INPUT_COMPANIES'!$G$56,1)),0)&lt;1,IFERROR(VALUE(RIGHT('01_INPUT_COMPANIES'!$G$56,1)),0)&gt;4),"ERROR: REPORTING PERIOD",IF(OR(COUNTIFS('92_REF_VARIABLES'!$A$21:$A$21,'01_INPUT_COMPANIES'!$H$56,'92_REF_VARIABLES'!$B$21:$B$21,'01_INPUT_COMPANIES'!$D$56,'92_REF_VARIABLES'!$C$21:$C$21,'01_INPUT_COMPANIES'!$G$56)&lt;&gt;1,AND(IFERROR(INDEX('92_REF_VARIABLES'!$I$21:$I$21,MATCH('01_INPUT_COMPANIES'!$H$56,'92_REF_VARIABLES'!$A$21:$A$21,0)),"")="synthetic_only",'01_INPUT_COMPANIES'!$L$56&lt;&gt;"yes")),"ERROR: BENCHMARK",IF(COUNTIF('92_REF_VARIABLES'!$L$21:$L$50,'01_INPUT_COMPANIES'!$I$56)&lt;&gt;1,"ERROR: CURRENCY",IF(OR(NOT(ISNUMBER('01_INPUT_COMPANIES'!$J$56)),'01_INPUT_COMPANIES'!$J$56&lt;&gt;INT('01_INPUT_COMPANIES'!$J$56),'01_INPUT_COMPANIES'!$J$56&lt;2000,'01_INPUT_COMPANIES'!$J$56&gt;2100),"ERROR: PRICE YEAR",IF(NOT(OR('01_INPUT_COMPANIES'!$K$56="A",'01_INPUT_COMPANIES'!$K$56="B",'01_INPUT_COMPANIES'!$K$56="C",'01_INPUT_COMPANIES'!$K$56="SYNTHETIC")),"ERROR: QUALITY",IF(NOT(OR(AND('01_INPUT_COMPANIES'!$L$56="yes",'01_INPUT_COMPANIES'!$K$56="SYNTHETIC"),AND('01_INPUT_COMPANIES'!$L$56="no",'01_INPUT_COMPANIES'!$K$56&lt;&gt;"SYNTHETIC"))),"ERROR: SYNTHETIC FLAG",IF(NOT(OR('01_INPUT_COMPANIES'!$M$56="direct",'01_INPUT_COMPANIES'!$M$56="derived",'01_INPUT_COMPANIES'!$M$56="proxy",'01_INPUT_COMPANIES'!$M$56="mixed")),"ERROR: CONSTRUCTION MODE",IF(OR(NOT(ISNUMBER('01_INPUT_COMPANIES'!$P$56)),'01_INPUT_COMPANIES'!$P$56&lt;0,'01_INPUT_COMPANIES'!$P$56&lt;&gt;INT('01_INPUT_COMPANIES'!$P$56)),"ERROR: CARRY LAG",IF('01_INPUT_COMPANIES'!$Q$56&lt;&gt;"yes","ERROR: EXPOSURE ADJUSTMENT",IF(OR(NOT(ISNUMBER('01_INPUT_COMPANIES'!$R$56)),'01_INPUT_COMPANIES'!$R$56&lt;0,'01_INPUT_COMPANIES'!$R$56&gt;1),"ERROR: EXPOSURE FACTOR",IF(COUNT(Y56)=0,"ERROR: SCORE",IF(COUNT(Z56)=0,"READY",IF(AA56&lt;=0.0000000001,"PASS","CHECK"))&amp;IF('01_INPUT_COMPANIES'!$K$56="C"," | C QUALITY","")&amp;IF(OR('01_INPUT_COMPANIES'!$M$56="proxy",'01_INPUT_COMPANIES'!$M$56="mixed")," | PROXY/MIXED","")&amp;IF('01_INPUT_COMPANIES'!$P$56&gt;1," | CARRY&gt;1","")&amp;IF(OR(OR('01_INPUT_COMPANIES'!$T$56&lt;-1,'01_INPUT_COMPANIES'!$T$56&gt;1),OR('01_INPUT_COMPANIES'!$U$56&lt;0,'01_INPUT_COMPANIES'!$U$56&gt;1),OR('01_INPUT_COMPANIES'!$V$56&lt;0,'01_INPUT_COMPANIES'!$V$56&gt;1),OR('01_INPUT_COMPANIES'!$W$56&lt;-10,'01_INPUT_COMPANIES'!$W$56&gt;10),OR('01_INPUT_COMPANIES'!$X$56&lt;-1,'01_INPUT_COMPANIES'!$X$56&gt;1),OR('01_INPUT_COMPANIES'!$Y$56&lt;0,'01_INPUT_COMPANIES'!$Y$56&gt;20),OR('01_INPUT_COMPANIES'!$Z$56&lt;-2,'01_INPUT_COMPANIES'!$Z$56&gt;2),OR('01_INPUT_COMPANIES'!$AA$56&lt;0,'01_INPUT_COMPANIES'!$AA$56&gt;1),OR('01_INPUT_COMPANIES'!$AB$56&lt;0,'01_INPUT_COMPANIES'!$AB$56&gt;1),OR('01_INPUT_COMPANIES'!$AC$56&lt;0,'01_INPUT_COMPANIES'!$AC$56&gt;50))," | REVIEW RANGE","")&amp;IF(COUNTIF('90_CALC_FEATURES'!$J$497:$J$506,"WINSORIZED*")&gt;0," | WINSORIZED","")&amp;IF(ABS('01_INPUT_COMPANIES'!$U$56-'01_INPUT_COMPANIES'!$V$56*'01_INPUT_COMPANIES'!$AB$56)&gt;MAX(0.005,0.05*MAX(ABS('01_INPUT_COMPANIES'!$V$56*'01_INPUT_COMPANIES'!$AB$56),ABS('01_INPUT_COMPANIES'!$U$56),0.000000000001))," | DEPENDENCY",""))))))))))))))))))))</x:f>
      </x:c>
      <x:c r="AC56" s="34" t="str">
        <x:f>IF(A56="","",IF(OR(LEFT(AB56,4)="PASS",LEFT(AB56,5)="READY"),"RESEARCH BETA | 저지원 22.22% | 기업 백분위 N/A", "결과 사용 금지 | "&amp;AB56))</x:f>
      </x:c>
      <x:c r="AD56" s="34" t="str">
        <x:f>IF(A56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$56,TRIM('01_INPUT_COMPANIES'!$D$56)),EXACT('01_INPUT_COMPANIES'!$E$56,TRIM('01_INPUT_COMPANIES'!$E$56)),EXACT('01_INPUT_COMPANIES'!$F$56,TRIM('01_INPUT_COMPANIES'!$F$56)),EXACT('01_INPUT_COMPANIES'!$G$56,TRIM('01_INPUT_COMPANIES'!$G$56)),EXACT('01_INPUT_COMPANIES'!$H$56,TRIM('01_INPUT_COMPANIES'!$H$56)))),"ERROR: COHORT WHITESPACE",IF(NOT(IFERROR(AND(ISTEXT('01_INPUT_COMPANIES'!$O$56),LEN('01_INPUT_COMPANIES'!$O$56)=10,VALUE(LEFT('01_INPUT_COMPANIES'!$O$56,4))&gt;=2000,VALUE(LEFT('01_INPUT_COMPANIES'!$O$56,4))&lt;=2100,EXACT(TEXT(DATE(VALUE(LEFT('01_INPUT_COMPANIES'!$O$56,4)),VALUE(MID('01_INPUT_COMPANIES'!$O$56,6,2)),VALUE(RIGHT('01_INPUT_COMPANIES'!$O$56,2))),"yyyy-mm-dd"),'01_INPUT_COMPANIES'!$O$56)),FALSE)),"ERROR: SOURCE DATE",IF(NOT(AND(OR(EXACT('01_INPUT_COMPANIES'!$C$56,"domestic"),EXACT('01_INPUT_COMPANIES'!$C$56,"foreign"),EXACT('01_INPUT_COMPANIES'!$C$56,"other")),OR(EXACT('01_INPUT_COMPANIES'!$K$56,"A"),EXACT('01_INPUT_COMPANIES'!$K$56,"B"),EXACT('01_INPUT_COMPANIES'!$K$56,"C"),EXACT('01_INPUT_COMPANIES'!$K$56,"SYNTHETIC")),OR(EXACT('01_INPUT_COMPANIES'!$L$56,"yes"),EXACT('01_INPUT_COMPANIES'!$L$56,"no")),OR(EXACT('01_INPUT_COMPANIES'!$M$56,"direct"),EXACT('01_INPUT_COMPANIES'!$M$56,"derived"),EXACT('01_INPUT_COMPANIES'!$M$56,"proxy"),EXACT('01_INPUT_COMPANIES'!$M$56,"mixed")),OR(EXACT('01_INPUT_COMPANIES'!$Q$56,"yes")),EXACT('01_INPUT_COMPANIES'!$I$56,UPPER('01_INPUT_COMPANIES'!$I$56)))),"ERROR: EXACT ENUM",IF(NOT(IFERROR(OR(AND(EXACT('92_REF_VARIABLES'!$A$21,'01_INPUT_COMPANIES'!$H$56),EXACT('92_REF_VARIABLES'!$B$21,'01_INPUT_COMPANIES'!$D$56),EXACT('92_REF_VARIABLES'!$C$21,'01_INPUT_COMPANIES'!$G$56))),FALSE)),"ERROR: BENCHMARK",""))))))</x:f>
      </x:c>
    </x:row>
    <x:row r="57">
      <x:c r="A57" s="34" t="str">
        <x:f>IF(OR('01_INPUT_COMPANIES'!$A$57="",'01_INPUT_COMPANIES'!$A$57=""),"",'01_INPUT_COMPANIES'!$A$57)</x:f>
      </x:c>
      <x:c r="B57" s="34" t="str">
        <x:f>IF(OR('01_INPUT_COMPANIES'!$A$57="",'01_INPUT_COMPANIES'!$B$57=""),"",'01_INPUT_COMPANIES'!$B$57)</x:f>
      </x:c>
      <x:c r="C57" s="34" t="str">
        <x:f>IF(OR('01_INPUT_COMPANIES'!$A$57="",'01_INPUT_COMPANIES'!$C$57=""),"",'01_INPUT_COMPANIES'!$C$57)</x:f>
      </x:c>
      <x:c r="D57" s="34" t="str">
        <x:f>IF(OR('01_INPUT_COMPANIES'!$A$57="",'01_INPUT_COMPANIES'!$D$57=""),"",'01_INPUT_COMPANIES'!$D$57)</x:f>
      </x:c>
      <x:c r="E57" s="34" t="str">
        <x:f>IF(OR('01_INPUT_COMPANIES'!$A$57="",'01_INPUT_COMPANIES'!$E$57=""),"",'01_INPUT_COMPANIES'!$E$57)</x:f>
      </x:c>
      <x:c r="F57" s="34" t="str">
        <x:f>IF(OR('01_INPUT_COMPANIES'!$A$57="",'01_INPUT_COMPANIES'!$F$57=""),"",'01_INPUT_COMPANIES'!$F$57)</x:f>
      </x:c>
      <x:c r="G57" s="34" t="str">
        <x:f>IF(OR('01_INPUT_COMPANIES'!$A$57="",'01_INPUT_COMPANIES'!$G$57=""),"",'01_INPUT_COMPANIES'!$G$57)</x:f>
      </x:c>
      <x:c r="H57" s="34" t="str">
        <x:f>IF(OR('01_INPUT_COMPANIES'!$A$57="",'01_INPUT_COMPANIES'!$H$57=""),"",'01_INPUT_COMPANIES'!$H$57)</x:f>
      </x:c>
      <x:c r="I57" s="34" t="str">
        <x:f>IF(OR('01_INPUT_COMPANIES'!$A$57="",'01_INPUT_COMPANIES'!$K$57=""),"",'01_INPUT_COMPANIES'!$K$57)</x:f>
      </x:c>
      <x:c r="J57" s="34" t="str">
        <x:f>IF(OR('01_INPUT_COMPANIES'!$A$57="",'01_INPUT_COMPANIES'!$M$57=""),"",'01_INPUT_COMPANIES'!$M$57)</x:f>
      </x:c>
      <x:c r="K57" s="34" t="str">
        <x:f>IF(OR(A57="",COUNTBLANK(D57:H57)&gt;0),"",LEN(D57)&amp;":"&amp;D57&amp;LEN(E57)&amp;":"&amp;E57&amp;LEN(F57)&amp;":"&amp;F57&amp;LEN(G57)&amp;":"&amp;G57&amp;LEN(H57)&amp;":"&amp;H57)</x:f>
      </x:c>
      <x:c r="L57" s="47" t="str">
        <x:f>IF(A57="","",'90_CALC_FEATURES'!$I$507)</x:f>
      </x:c>
      <x:c r="M57" s="47" t="str">
        <x:f>IF(A57="","",'90_CALC_FEATURES'!$I$508)</x:f>
      </x:c>
      <x:c r="N57" s="47" t="str">
        <x:f>IF(A57="","",'90_CALC_FEATURES'!$I$509)</x:f>
      </x:c>
      <x:c r="O57" s="47" t="str">
        <x:f>IF(A57="","",'90_CALC_FEATURES'!$I$510)</x:f>
      </x:c>
      <x:c r="P57" s="47" t="str">
        <x:f>IF(A57="","",'90_CALC_FEATURES'!$I$511)</x:f>
      </x:c>
      <x:c r="Q57" s="47" t="str">
        <x:f>IF(A57="","",'90_CALC_FEATURES'!$I$512)</x:f>
      </x:c>
      <x:c r="R57" s="47" t="str">
        <x:f>IF(A57="","",'90_CALC_FEATURES'!$I$513)</x:f>
      </x:c>
      <x:c r="S57" s="47" t="str">
        <x:f>IF(A57="","",'90_CALC_FEATURES'!$I$514)</x:f>
      </x:c>
      <x:c r="T57" s="47" t="str">
        <x:f>IF(A57="","",'90_CALC_FEATURES'!$I$515)</x:f>
      </x:c>
      <x:c r="U57" s="47" t="str">
        <x:f>IF(A57="","",'90_CALC_FEATURES'!$I$516)</x:f>
      </x:c>
      <x:c r="V57" s="47" t="str">
        <x:f>IF(COUNT(L57:N57)=3,100*AVERAGE(L57:N57),"")</x:f>
      </x:c>
      <x:c r="W57" s="47" t="str">
        <x:f>IF(COUNT(O57:R57)=4,100*AVERAGE(O57:R57),"")</x:f>
      </x:c>
      <x:c r="X57" s="47" t="str">
        <x:f>IF(COUNT(S57:U57)=3,100*AVERAGE(S57:U57),"")</x:f>
      </x:c>
      <x:c r="Y57" s="47" t="str">
        <x:f>IF(COUNT(V57:X57)=3,AVERAGE(V57:X57),"")</x:f>
      </x:c>
      <x:c r="Z57" s="47" t="str">
        <x:f>IF(OR(AND(EXACT(A57,"SYN-A"),COUNT('01_INPUT_COMPANIES'!$T$57:$AC$57)=10,'01_INPUT_COMPANIES'!$T$57=-0.02,'01_INPUT_COMPANIES'!$U$57=0.1332,'01_INPUT_COMPANIES'!$V$57=0.18,'01_INPUT_COMPANIES'!$W$57=0.42,'01_INPUT_COMPANIES'!$X$57=0.012,'01_INPUT_COMPANIES'!$Y$57=3.2,'01_INPUT_COMPANIES'!$Z$57=0.08,'01_INPUT_COMPANIES'!$AA$57=0.28,'01_INPUT_COMPANIES'!$AB$57=0.74,'01_INPUT_COMPANIES'!$AC$57=8.5),AND(EXACT(A57,"SYN-B"),COUNT('01_INPUT_COMPANIES'!$T$57:$AC$57)=10,'01_INPUT_COMPANIES'!$T$57=-0.055,'01_INPUT_COMPANIES'!$U$57=0.06405,'01_INPUT_COMPANIES'!$V$57=0.105,'01_INPUT_COMPANIES'!$W$57=0.73,'01_INPUT_COMPANIES'!$X$57=0.004,'01_INPUT_COMPANIES'!$Y$57=4.1,'01_INPUT_COMPANIES'!$Z$57=0.025,'01_INPUT_COMPANIES'!$AA$57=0.16,'01_INPUT_COMPANIES'!$AB$57=0.61,'01_INPUT_COMPANIES'!$AC$57=4),AND(EXACT(A57,"SYN-C"),COUNT('01_INPUT_COMPANIES'!$T$57:$AC$57)=10,'01_INPUT_COMPANIES'!$T$57=0.01,'01_INPUT_COMPANIES'!$U$57=0.0986,'01_INPUT_COMPANIES'!$V$57=0.145,'01_INPUT_COMPANIES'!$W$57=0.18,'01_INPUT_COMPANIES'!$X$57=0.018,'01_INPUT_COMPANIES'!$Y$57=2.65,'01_INPUT_COMPANIES'!$Z$57=0.11,'01_INPUT_COMPANIES'!$AA$57=0.34,'01_INPUT_COMPANIES'!$AB$57=0.68,'01_INPUT_COMPANIES'!$AC$57=6.8),AND(EXACT(A57,"SYN-D"),COUNT('01_INPUT_COMPANIES'!$T$57:$AC$57)=10,'01_INPUT_COMPANIES'!$T$57=-0.005,'01_INPUT_COMPANIES'!$U$57=0.1136,'01_INPUT_COMPANIES'!$V$57=0.16,'01_INPUT_COMPANIES'!$W$57=0.51,'01_INPUT_COMPANIES'!$X$57=0.009,'01_INPUT_COMPANIES'!$Y$57=3.55,'01_INPUT_COMPANIES'!$Z$57=0.065,'01_INPUT_COMPANIES'!$AA$57=0.24,'01_INPUT_COMPANIES'!$AB$57=0.71,'01_INPUT_COMPANIES'!$AC$57=7.4)),IFERROR(INDEX('94_EXPECTED_OUTPUTS'!$B$7:$B$10,MATCH(A57,'94_EXPECTED_OUTPUTS'!$A$7:$A$10,0)),""),"")</x:f>
      </x:c>
      <x:c r="AA57" s="47" t="str">
        <x:f>IF(OR(COUNT(Y57)=0,COUNT(Z57)=0),"",ABS(Y57-Z57))</x:f>
      </x:c>
      <x:c r="AB57" s="34" t="str">
        <x:f>IF(A57="","",IF(AD57&lt;&gt;"",AD57,IF('01_INPUT_COMPANIES'!$A$57="","",IF(OR(LEN(TRIM('01_INPUT_COMPANIES'!$A$57&amp;""))=0,LEN(TRIM('01_INPUT_COMPANIES'!$B$57&amp;""))=0,LEN(TRIM('01_INPUT_COMPANIES'!$C$57&amp;""))=0,LEN(TRIM('01_INPUT_COMPANIES'!$D$57&amp;""))=0,LEN(TRIM('01_INPUT_COMPANIES'!$E$57&amp;""))=0,LEN(TRIM('01_INPUT_COMPANIES'!$F$57&amp;""))=0,LEN(TRIM('01_INPUT_COMPANIES'!$G$57&amp;""))=0,LEN(TRIM('01_INPUT_COMPANIES'!$H$57&amp;""))=0,LEN(TRIM('01_INPUT_COMPANIES'!$I$57&amp;""))=0,LEN(TRIM('01_INPUT_COMPANIES'!$K$57&amp;""))=0,LEN(TRIM('01_INPUT_COMPANIES'!$L$57&amp;""))=0,LEN(TRIM('01_INPUT_COMPANIES'!$M$57&amp;""))=0,LEN(TRIM('01_INPUT_COMPANIES'!$N$57&amp;""))=0,LEN(TRIM('01_INPUT_COMPANIES'!$O$57&amp;""))=0,LEN(TRIM('01_INPUT_COMPANIES'!$Q$57&amp;""))=0,COUNTBLANK('01_INPUT_COMPANIES'!$A$57:$R$57)&gt;0),"INPUT REQUIRED",IF(OR('01_INPUT_COMPANIES'!$A$57&lt;&gt;TRIM('01_INPUT_COMPANIES'!$A$57),NOT(EXACT('01_INPUT_COMPANIES'!$A$57,UPPER('01_INPUT_COMPANIES'!$A$57))),LEN('01_INPUT_COMPANIES'!$A$57)&gt;64,ISNUMBER(FIND("*",'01_INPUT_COMPANIES'!$A$57)),ISNUMBER(FIND("?",'01_INPUT_COMPANIES'!$A$57)),ISNUMBER(FIND("~",'01_INPUT_COMPANIES'!$A$57))),"ERROR: ID FORMAT",IF(COUNTIF('01_INPUT_COMPANIES'!$A$7:$A$106,'01_INPUT_COMPANIES'!$A$57)&lt;&gt;1,"ERROR: DUPLICATE ID",IF(COUNT('01_INPUT_COMPANIES'!$T$57:$AC$57)&lt;&gt;10,"INPUT REQUIRED",IF(NOT(OR('01_INPUT_COMPANIES'!$C$57="domestic",'01_INPUT_COMPANIES'!$C$57="foreign",'01_INPUT_COMPANIES'!$C$57="other")),"ERROR: COMPANY GROUP",IF(OR(LEN('01_INPUT_COMPANIES'!$G$57)&lt;&gt;6,MID('01_INPUT_COMPANIES'!$G$57,5,1)&lt;&gt;"Q",IFERROR(VALUE(LEFT('01_INPUT_COMPANIES'!$G$57,4)),0)&lt;2000,IFERROR(VALUE(LEFT('01_INPUT_COMPANIES'!$G$57,4)),0)&gt;2100,IFERROR(VALUE(RIGHT('01_INPUT_COMPANIES'!$G$57,1)),0)&lt;1,IFERROR(VALUE(RIGHT('01_INPUT_COMPANIES'!$G$57,1)),0)&gt;4),"ERROR: REPORTING PERIOD",IF(OR(COUNTIFS('92_REF_VARIABLES'!$A$21:$A$21,'01_INPUT_COMPANIES'!$H$57,'92_REF_VARIABLES'!$B$21:$B$21,'01_INPUT_COMPANIES'!$D$57,'92_REF_VARIABLES'!$C$21:$C$21,'01_INPUT_COMPANIES'!$G$57)&lt;&gt;1,AND(IFERROR(INDEX('92_REF_VARIABLES'!$I$21:$I$21,MATCH('01_INPUT_COMPANIES'!$H$57,'92_REF_VARIABLES'!$A$21:$A$21,0)),"")="synthetic_only",'01_INPUT_COMPANIES'!$L$57&lt;&gt;"yes")),"ERROR: BENCHMARK",IF(COUNTIF('92_REF_VARIABLES'!$L$21:$L$50,'01_INPUT_COMPANIES'!$I$57)&lt;&gt;1,"ERROR: CURRENCY",IF(OR(NOT(ISNUMBER('01_INPUT_COMPANIES'!$J$57)),'01_INPUT_COMPANIES'!$J$57&lt;&gt;INT('01_INPUT_COMPANIES'!$J$57),'01_INPUT_COMPANIES'!$J$57&lt;2000,'01_INPUT_COMPANIES'!$J$57&gt;2100),"ERROR: PRICE YEAR",IF(NOT(OR('01_INPUT_COMPANIES'!$K$57="A",'01_INPUT_COMPANIES'!$K$57="B",'01_INPUT_COMPANIES'!$K$57="C",'01_INPUT_COMPANIES'!$K$57="SYNTHETIC")),"ERROR: QUALITY",IF(NOT(OR(AND('01_INPUT_COMPANIES'!$L$57="yes",'01_INPUT_COMPANIES'!$K$57="SYNTHETIC"),AND('01_INPUT_COMPANIES'!$L$57="no",'01_INPUT_COMPANIES'!$K$57&lt;&gt;"SYNTHETIC"))),"ERROR: SYNTHETIC FLAG",IF(NOT(OR('01_INPUT_COMPANIES'!$M$57="direct",'01_INPUT_COMPANIES'!$M$57="derived",'01_INPUT_COMPANIES'!$M$57="proxy",'01_INPUT_COMPANIES'!$M$57="mixed")),"ERROR: CONSTRUCTION MODE",IF(OR(NOT(ISNUMBER('01_INPUT_COMPANIES'!$P$57)),'01_INPUT_COMPANIES'!$P$57&lt;0,'01_INPUT_COMPANIES'!$P$57&lt;&gt;INT('01_INPUT_COMPANIES'!$P$57)),"ERROR: CARRY LAG",IF('01_INPUT_COMPANIES'!$Q$57&lt;&gt;"yes","ERROR: EXPOSURE ADJUSTMENT",IF(OR(NOT(ISNUMBER('01_INPUT_COMPANIES'!$R$57)),'01_INPUT_COMPANIES'!$R$57&lt;0,'01_INPUT_COMPANIES'!$R$57&gt;1),"ERROR: EXPOSURE FACTOR",IF(COUNT(Y57)=0,"ERROR: SCORE",IF(COUNT(Z57)=0,"READY",IF(AA57&lt;=0.0000000001,"PASS","CHECK"))&amp;IF('01_INPUT_COMPANIES'!$K$57="C"," | C QUALITY","")&amp;IF(OR('01_INPUT_COMPANIES'!$M$57="proxy",'01_INPUT_COMPANIES'!$M$57="mixed")," | PROXY/MIXED","")&amp;IF('01_INPUT_COMPANIES'!$P$57&gt;1," | CARRY&gt;1","")&amp;IF(OR(OR('01_INPUT_COMPANIES'!$T$57&lt;-1,'01_INPUT_COMPANIES'!$T$57&gt;1),OR('01_INPUT_COMPANIES'!$U$57&lt;0,'01_INPUT_COMPANIES'!$U$57&gt;1),OR('01_INPUT_COMPANIES'!$V$57&lt;0,'01_INPUT_COMPANIES'!$V$57&gt;1),OR('01_INPUT_COMPANIES'!$W$57&lt;-10,'01_INPUT_COMPANIES'!$W$57&gt;10),OR('01_INPUT_COMPANIES'!$X$57&lt;-1,'01_INPUT_COMPANIES'!$X$57&gt;1),OR('01_INPUT_COMPANIES'!$Y$57&lt;0,'01_INPUT_COMPANIES'!$Y$57&gt;20),OR('01_INPUT_COMPANIES'!$Z$57&lt;-2,'01_INPUT_COMPANIES'!$Z$57&gt;2),OR('01_INPUT_COMPANIES'!$AA$57&lt;0,'01_INPUT_COMPANIES'!$AA$57&gt;1),OR('01_INPUT_COMPANIES'!$AB$57&lt;0,'01_INPUT_COMPANIES'!$AB$57&gt;1),OR('01_INPUT_COMPANIES'!$AC$57&lt;0,'01_INPUT_COMPANIES'!$AC$57&gt;50))," | REVIEW RANGE","")&amp;IF(COUNTIF('90_CALC_FEATURES'!$J$507:$J$516,"WINSORIZED*")&gt;0," | WINSORIZED","")&amp;IF(ABS('01_INPUT_COMPANIES'!$U$57-'01_INPUT_COMPANIES'!$V$57*'01_INPUT_COMPANIES'!$AB$57)&gt;MAX(0.005,0.05*MAX(ABS('01_INPUT_COMPANIES'!$V$57*'01_INPUT_COMPANIES'!$AB$57),ABS('01_INPUT_COMPANIES'!$U$57),0.000000000001))," | DEPENDENCY",""))))))))))))))))))))</x:f>
      </x:c>
      <x:c r="AC57" s="34" t="str">
        <x:f>IF(A57="","",IF(OR(LEFT(AB57,4)="PASS",LEFT(AB57,5)="READY"),"RESEARCH BETA | 저지원 22.22% | 기업 백분위 N/A", "결과 사용 금지 | "&amp;AB57))</x:f>
      </x:c>
      <x:c r="AD57" s="34" t="str">
        <x:f>IF(A57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$57,TRIM('01_INPUT_COMPANIES'!$D$57)),EXACT('01_INPUT_COMPANIES'!$E$57,TRIM('01_INPUT_COMPANIES'!$E$57)),EXACT('01_INPUT_COMPANIES'!$F$57,TRIM('01_INPUT_COMPANIES'!$F$57)),EXACT('01_INPUT_COMPANIES'!$G$57,TRIM('01_INPUT_COMPANIES'!$G$57)),EXACT('01_INPUT_COMPANIES'!$H$57,TRIM('01_INPUT_COMPANIES'!$H$57)))),"ERROR: COHORT WHITESPACE",IF(NOT(IFERROR(AND(ISTEXT('01_INPUT_COMPANIES'!$O$57),LEN('01_INPUT_COMPANIES'!$O$57)=10,VALUE(LEFT('01_INPUT_COMPANIES'!$O$57,4))&gt;=2000,VALUE(LEFT('01_INPUT_COMPANIES'!$O$57,4))&lt;=2100,EXACT(TEXT(DATE(VALUE(LEFT('01_INPUT_COMPANIES'!$O$57,4)),VALUE(MID('01_INPUT_COMPANIES'!$O$57,6,2)),VALUE(RIGHT('01_INPUT_COMPANIES'!$O$57,2))),"yyyy-mm-dd"),'01_INPUT_COMPANIES'!$O$57)),FALSE)),"ERROR: SOURCE DATE",IF(NOT(AND(OR(EXACT('01_INPUT_COMPANIES'!$C$57,"domestic"),EXACT('01_INPUT_COMPANIES'!$C$57,"foreign"),EXACT('01_INPUT_COMPANIES'!$C$57,"other")),OR(EXACT('01_INPUT_COMPANIES'!$K$57,"A"),EXACT('01_INPUT_COMPANIES'!$K$57,"B"),EXACT('01_INPUT_COMPANIES'!$K$57,"C"),EXACT('01_INPUT_COMPANIES'!$K$57,"SYNTHETIC")),OR(EXACT('01_INPUT_COMPANIES'!$L$57,"yes"),EXACT('01_INPUT_COMPANIES'!$L$57,"no")),OR(EXACT('01_INPUT_COMPANIES'!$M$57,"direct"),EXACT('01_INPUT_COMPANIES'!$M$57,"derived"),EXACT('01_INPUT_COMPANIES'!$M$57,"proxy"),EXACT('01_INPUT_COMPANIES'!$M$57,"mixed")),OR(EXACT('01_INPUT_COMPANIES'!$Q$57,"yes")),EXACT('01_INPUT_COMPANIES'!$I$57,UPPER('01_INPUT_COMPANIES'!$I$57)))),"ERROR: EXACT ENUM",IF(NOT(IFERROR(OR(AND(EXACT('92_REF_VARIABLES'!$A$21,'01_INPUT_COMPANIES'!$H$57),EXACT('92_REF_VARIABLES'!$B$21,'01_INPUT_COMPANIES'!$D$57),EXACT('92_REF_VARIABLES'!$C$21,'01_INPUT_COMPANIES'!$G$57))),FALSE)),"ERROR: BENCHMARK",""))))))</x:f>
      </x:c>
    </x:row>
    <x:row r="58">
      <x:c r="A58" s="34" t="str">
        <x:f>IF(OR('01_INPUT_COMPANIES'!$A$58="",'01_INPUT_COMPANIES'!$A$58=""),"",'01_INPUT_COMPANIES'!$A$58)</x:f>
      </x:c>
      <x:c r="B58" s="34" t="str">
        <x:f>IF(OR('01_INPUT_COMPANIES'!$A$58="",'01_INPUT_COMPANIES'!$B$58=""),"",'01_INPUT_COMPANIES'!$B$58)</x:f>
      </x:c>
      <x:c r="C58" s="34" t="str">
        <x:f>IF(OR('01_INPUT_COMPANIES'!$A$58="",'01_INPUT_COMPANIES'!$C$58=""),"",'01_INPUT_COMPANIES'!$C$58)</x:f>
      </x:c>
      <x:c r="D58" s="34" t="str">
        <x:f>IF(OR('01_INPUT_COMPANIES'!$A$58="",'01_INPUT_COMPANIES'!$D$58=""),"",'01_INPUT_COMPANIES'!$D$58)</x:f>
      </x:c>
      <x:c r="E58" s="34" t="str">
        <x:f>IF(OR('01_INPUT_COMPANIES'!$A$58="",'01_INPUT_COMPANIES'!$E$58=""),"",'01_INPUT_COMPANIES'!$E$58)</x:f>
      </x:c>
      <x:c r="F58" s="34" t="str">
        <x:f>IF(OR('01_INPUT_COMPANIES'!$A$58="",'01_INPUT_COMPANIES'!$F$58=""),"",'01_INPUT_COMPANIES'!$F$58)</x:f>
      </x:c>
      <x:c r="G58" s="34" t="str">
        <x:f>IF(OR('01_INPUT_COMPANIES'!$A$58="",'01_INPUT_COMPANIES'!$G$58=""),"",'01_INPUT_COMPANIES'!$G$58)</x:f>
      </x:c>
      <x:c r="H58" s="34" t="str">
        <x:f>IF(OR('01_INPUT_COMPANIES'!$A$58="",'01_INPUT_COMPANIES'!$H$58=""),"",'01_INPUT_COMPANIES'!$H$58)</x:f>
      </x:c>
      <x:c r="I58" s="34" t="str">
        <x:f>IF(OR('01_INPUT_COMPANIES'!$A$58="",'01_INPUT_COMPANIES'!$K$58=""),"",'01_INPUT_COMPANIES'!$K$58)</x:f>
      </x:c>
      <x:c r="J58" s="34" t="str">
        <x:f>IF(OR('01_INPUT_COMPANIES'!$A$58="",'01_INPUT_COMPANIES'!$M$58=""),"",'01_INPUT_COMPANIES'!$M$58)</x:f>
      </x:c>
      <x:c r="K58" s="34" t="str">
        <x:f>IF(OR(A58="",COUNTBLANK(D58:H58)&gt;0),"",LEN(D58)&amp;":"&amp;D58&amp;LEN(E58)&amp;":"&amp;E58&amp;LEN(F58)&amp;":"&amp;F58&amp;LEN(G58)&amp;":"&amp;G58&amp;LEN(H58)&amp;":"&amp;H58)</x:f>
      </x:c>
      <x:c r="L58" s="47" t="str">
        <x:f>IF(A58="","",'90_CALC_FEATURES'!$I$517)</x:f>
      </x:c>
      <x:c r="M58" s="47" t="str">
        <x:f>IF(A58="","",'90_CALC_FEATURES'!$I$518)</x:f>
      </x:c>
      <x:c r="N58" s="47" t="str">
        <x:f>IF(A58="","",'90_CALC_FEATURES'!$I$519)</x:f>
      </x:c>
      <x:c r="O58" s="47" t="str">
        <x:f>IF(A58="","",'90_CALC_FEATURES'!$I$520)</x:f>
      </x:c>
      <x:c r="P58" s="47" t="str">
        <x:f>IF(A58="","",'90_CALC_FEATURES'!$I$521)</x:f>
      </x:c>
      <x:c r="Q58" s="47" t="str">
        <x:f>IF(A58="","",'90_CALC_FEATURES'!$I$522)</x:f>
      </x:c>
      <x:c r="R58" s="47" t="str">
        <x:f>IF(A58="","",'90_CALC_FEATURES'!$I$523)</x:f>
      </x:c>
      <x:c r="S58" s="47" t="str">
        <x:f>IF(A58="","",'90_CALC_FEATURES'!$I$524)</x:f>
      </x:c>
      <x:c r="T58" s="47" t="str">
        <x:f>IF(A58="","",'90_CALC_FEATURES'!$I$525)</x:f>
      </x:c>
      <x:c r="U58" s="47" t="str">
        <x:f>IF(A58="","",'90_CALC_FEATURES'!$I$526)</x:f>
      </x:c>
      <x:c r="V58" s="47" t="str">
        <x:f>IF(COUNT(L58:N58)=3,100*AVERAGE(L58:N58),"")</x:f>
      </x:c>
      <x:c r="W58" s="47" t="str">
        <x:f>IF(COUNT(O58:R58)=4,100*AVERAGE(O58:R58),"")</x:f>
      </x:c>
      <x:c r="X58" s="47" t="str">
        <x:f>IF(COUNT(S58:U58)=3,100*AVERAGE(S58:U58),"")</x:f>
      </x:c>
      <x:c r="Y58" s="47" t="str">
        <x:f>IF(COUNT(V58:X58)=3,AVERAGE(V58:X58),"")</x:f>
      </x:c>
      <x:c r="Z58" s="47" t="str">
        <x:f>IF(OR(AND(EXACT(A58,"SYN-A"),COUNT('01_INPUT_COMPANIES'!$T$58:$AC$58)=10,'01_INPUT_COMPANIES'!$T$58=-0.02,'01_INPUT_COMPANIES'!$U$58=0.1332,'01_INPUT_COMPANIES'!$V$58=0.18,'01_INPUT_COMPANIES'!$W$58=0.42,'01_INPUT_COMPANIES'!$X$58=0.012,'01_INPUT_COMPANIES'!$Y$58=3.2,'01_INPUT_COMPANIES'!$Z$58=0.08,'01_INPUT_COMPANIES'!$AA$58=0.28,'01_INPUT_COMPANIES'!$AB$58=0.74,'01_INPUT_COMPANIES'!$AC$58=8.5),AND(EXACT(A58,"SYN-B"),COUNT('01_INPUT_COMPANIES'!$T$58:$AC$58)=10,'01_INPUT_COMPANIES'!$T$58=-0.055,'01_INPUT_COMPANIES'!$U$58=0.06405,'01_INPUT_COMPANIES'!$V$58=0.105,'01_INPUT_COMPANIES'!$W$58=0.73,'01_INPUT_COMPANIES'!$X$58=0.004,'01_INPUT_COMPANIES'!$Y$58=4.1,'01_INPUT_COMPANIES'!$Z$58=0.025,'01_INPUT_COMPANIES'!$AA$58=0.16,'01_INPUT_COMPANIES'!$AB$58=0.61,'01_INPUT_COMPANIES'!$AC$58=4),AND(EXACT(A58,"SYN-C"),COUNT('01_INPUT_COMPANIES'!$T$58:$AC$58)=10,'01_INPUT_COMPANIES'!$T$58=0.01,'01_INPUT_COMPANIES'!$U$58=0.0986,'01_INPUT_COMPANIES'!$V$58=0.145,'01_INPUT_COMPANIES'!$W$58=0.18,'01_INPUT_COMPANIES'!$X$58=0.018,'01_INPUT_COMPANIES'!$Y$58=2.65,'01_INPUT_COMPANIES'!$Z$58=0.11,'01_INPUT_COMPANIES'!$AA$58=0.34,'01_INPUT_COMPANIES'!$AB$58=0.68,'01_INPUT_COMPANIES'!$AC$58=6.8),AND(EXACT(A58,"SYN-D"),COUNT('01_INPUT_COMPANIES'!$T$58:$AC$58)=10,'01_INPUT_COMPANIES'!$T$58=-0.005,'01_INPUT_COMPANIES'!$U$58=0.1136,'01_INPUT_COMPANIES'!$V$58=0.16,'01_INPUT_COMPANIES'!$W$58=0.51,'01_INPUT_COMPANIES'!$X$58=0.009,'01_INPUT_COMPANIES'!$Y$58=3.55,'01_INPUT_COMPANIES'!$Z$58=0.065,'01_INPUT_COMPANIES'!$AA$58=0.24,'01_INPUT_COMPANIES'!$AB$58=0.71,'01_INPUT_COMPANIES'!$AC$58=7.4)),IFERROR(INDEX('94_EXPECTED_OUTPUTS'!$B$7:$B$10,MATCH(A58,'94_EXPECTED_OUTPUTS'!$A$7:$A$10,0)),""),"")</x:f>
      </x:c>
      <x:c r="AA58" s="47" t="str">
        <x:f>IF(OR(COUNT(Y58)=0,COUNT(Z58)=0),"",ABS(Y58-Z58))</x:f>
      </x:c>
      <x:c r="AB58" s="34" t="str">
        <x:f>IF(A58="","",IF(AD58&lt;&gt;"",AD58,IF('01_INPUT_COMPANIES'!$A$58="","",IF(OR(LEN(TRIM('01_INPUT_COMPANIES'!$A$58&amp;""))=0,LEN(TRIM('01_INPUT_COMPANIES'!$B$58&amp;""))=0,LEN(TRIM('01_INPUT_COMPANIES'!$C$58&amp;""))=0,LEN(TRIM('01_INPUT_COMPANIES'!$D$58&amp;""))=0,LEN(TRIM('01_INPUT_COMPANIES'!$E$58&amp;""))=0,LEN(TRIM('01_INPUT_COMPANIES'!$F$58&amp;""))=0,LEN(TRIM('01_INPUT_COMPANIES'!$G$58&amp;""))=0,LEN(TRIM('01_INPUT_COMPANIES'!$H$58&amp;""))=0,LEN(TRIM('01_INPUT_COMPANIES'!$I$58&amp;""))=0,LEN(TRIM('01_INPUT_COMPANIES'!$K$58&amp;""))=0,LEN(TRIM('01_INPUT_COMPANIES'!$L$58&amp;""))=0,LEN(TRIM('01_INPUT_COMPANIES'!$M$58&amp;""))=0,LEN(TRIM('01_INPUT_COMPANIES'!$N$58&amp;""))=0,LEN(TRIM('01_INPUT_COMPANIES'!$O$58&amp;""))=0,LEN(TRIM('01_INPUT_COMPANIES'!$Q$58&amp;""))=0,COUNTBLANK('01_INPUT_COMPANIES'!$A$58:$R$58)&gt;0),"INPUT REQUIRED",IF(OR('01_INPUT_COMPANIES'!$A$58&lt;&gt;TRIM('01_INPUT_COMPANIES'!$A$58),NOT(EXACT('01_INPUT_COMPANIES'!$A$58,UPPER('01_INPUT_COMPANIES'!$A$58))),LEN('01_INPUT_COMPANIES'!$A$58)&gt;64,ISNUMBER(FIND("*",'01_INPUT_COMPANIES'!$A$58)),ISNUMBER(FIND("?",'01_INPUT_COMPANIES'!$A$58)),ISNUMBER(FIND("~",'01_INPUT_COMPANIES'!$A$58))),"ERROR: ID FORMAT",IF(COUNTIF('01_INPUT_COMPANIES'!$A$7:$A$106,'01_INPUT_COMPANIES'!$A$58)&lt;&gt;1,"ERROR: DUPLICATE ID",IF(COUNT('01_INPUT_COMPANIES'!$T$58:$AC$58)&lt;&gt;10,"INPUT REQUIRED",IF(NOT(OR('01_INPUT_COMPANIES'!$C$58="domestic",'01_INPUT_COMPANIES'!$C$58="foreign",'01_INPUT_COMPANIES'!$C$58="other")),"ERROR: COMPANY GROUP",IF(OR(LEN('01_INPUT_COMPANIES'!$G$58)&lt;&gt;6,MID('01_INPUT_COMPANIES'!$G$58,5,1)&lt;&gt;"Q",IFERROR(VALUE(LEFT('01_INPUT_COMPANIES'!$G$58,4)),0)&lt;2000,IFERROR(VALUE(LEFT('01_INPUT_COMPANIES'!$G$58,4)),0)&gt;2100,IFERROR(VALUE(RIGHT('01_INPUT_COMPANIES'!$G$58,1)),0)&lt;1,IFERROR(VALUE(RIGHT('01_INPUT_COMPANIES'!$G$58,1)),0)&gt;4),"ERROR: REPORTING PERIOD",IF(OR(COUNTIFS('92_REF_VARIABLES'!$A$21:$A$21,'01_INPUT_COMPANIES'!$H$58,'92_REF_VARIABLES'!$B$21:$B$21,'01_INPUT_COMPANIES'!$D$58,'92_REF_VARIABLES'!$C$21:$C$21,'01_INPUT_COMPANIES'!$G$58)&lt;&gt;1,AND(IFERROR(INDEX('92_REF_VARIABLES'!$I$21:$I$21,MATCH('01_INPUT_COMPANIES'!$H$58,'92_REF_VARIABLES'!$A$21:$A$21,0)),"")="synthetic_only",'01_INPUT_COMPANIES'!$L$58&lt;&gt;"yes")),"ERROR: BENCHMARK",IF(COUNTIF('92_REF_VARIABLES'!$L$21:$L$50,'01_INPUT_COMPANIES'!$I$58)&lt;&gt;1,"ERROR: CURRENCY",IF(OR(NOT(ISNUMBER('01_INPUT_COMPANIES'!$J$58)),'01_INPUT_COMPANIES'!$J$58&lt;&gt;INT('01_INPUT_COMPANIES'!$J$58),'01_INPUT_COMPANIES'!$J$58&lt;2000,'01_INPUT_COMPANIES'!$J$58&gt;2100),"ERROR: PRICE YEAR",IF(NOT(OR('01_INPUT_COMPANIES'!$K$58="A",'01_INPUT_COMPANIES'!$K$58="B",'01_INPUT_COMPANIES'!$K$58="C",'01_INPUT_COMPANIES'!$K$58="SYNTHETIC")),"ERROR: QUALITY",IF(NOT(OR(AND('01_INPUT_COMPANIES'!$L$58="yes",'01_INPUT_COMPANIES'!$K$58="SYNTHETIC"),AND('01_INPUT_COMPANIES'!$L$58="no",'01_INPUT_COMPANIES'!$K$58&lt;&gt;"SYNTHETIC"))),"ERROR: SYNTHETIC FLAG",IF(NOT(OR('01_INPUT_COMPANIES'!$M$58="direct",'01_INPUT_COMPANIES'!$M$58="derived",'01_INPUT_COMPANIES'!$M$58="proxy",'01_INPUT_COMPANIES'!$M$58="mixed")),"ERROR: CONSTRUCTION MODE",IF(OR(NOT(ISNUMBER('01_INPUT_COMPANIES'!$P$58)),'01_INPUT_COMPANIES'!$P$58&lt;0,'01_INPUT_COMPANIES'!$P$58&lt;&gt;INT('01_INPUT_COMPANIES'!$P$58)),"ERROR: CARRY LAG",IF('01_INPUT_COMPANIES'!$Q$58&lt;&gt;"yes","ERROR: EXPOSURE ADJUSTMENT",IF(OR(NOT(ISNUMBER('01_INPUT_COMPANIES'!$R$58)),'01_INPUT_COMPANIES'!$R$58&lt;0,'01_INPUT_COMPANIES'!$R$58&gt;1),"ERROR: EXPOSURE FACTOR",IF(COUNT(Y58)=0,"ERROR: SCORE",IF(COUNT(Z58)=0,"READY",IF(AA58&lt;=0.0000000001,"PASS","CHECK"))&amp;IF('01_INPUT_COMPANIES'!$K$58="C"," | C QUALITY","")&amp;IF(OR('01_INPUT_COMPANIES'!$M$58="proxy",'01_INPUT_COMPANIES'!$M$58="mixed")," | PROXY/MIXED","")&amp;IF('01_INPUT_COMPANIES'!$P$58&gt;1," | CARRY&gt;1","")&amp;IF(OR(OR('01_INPUT_COMPANIES'!$T$58&lt;-1,'01_INPUT_COMPANIES'!$T$58&gt;1),OR('01_INPUT_COMPANIES'!$U$58&lt;0,'01_INPUT_COMPANIES'!$U$58&gt;1),OR('01_INPUT_COMPANIES'!$V$58&lt;0,'01_INPUT_COMPANIES'!$V$58&gt;1),OR('01_INPUT_COMPANIES'!$W$58&lt;-10,'01_INPUT_COMPANIES'!$W$58&gt;10),OR('01_INPUT_COMPANIES'!$X$58&lt;-1,'01_INPUT_COMPANIES'!$X$58&gt;1),OR('01_INPUT_COMPANIES'!$Y$58&lt;0,'01_INPUT_COMPANIES'!$Y$58&gt;20),OR('01_INPUT_COMPANIES'!$Z$58&lt;-2,'01_INPUT_COMPANIES'!$Z$58&gt;2),OR('01_INPUT_COMPANIES'!$AA$58&lt;0,'01_INPUT_COMPANIES'!$AA$58&gt;1),OR('01_INPUT_COMPANIES'!$AB$58&lt;0,'01_INPUT_COMPANIES'!$AB$58&gt;1),OR('01_INPUT_COMPANIES'!$AC$58&lt;0,'01_INPUT_COMPANIES'!$AC$58&gt;50))," | REVIEW RANGE","")&amp;IF(COUNTIF('90_CALC_FEATURES'!$J$517:$J$526,"WINSORIZED*")&gt;0," | WINSORIZED","")&amp;IF(ABS('01_INPUT_COMPANIES'!$U$58-'01_INPUT_COMPANIES'!$V$58*'01_INPUT_COMPANIES'!$AB$58)&gt;MAX(0.005,0.05*MAX(ABS('01_INPUT_COMPANIES'!$V$58*'01_INPUT_COMPANIES'!$AB$58),ABS('01_INPUT_COMPANIES'!$U$58),0.000000000001))," | DEPENDENCY",""))))))))))))))))))))</x:f>
      </x:c>
      <x:c r="AC58" s="34" t="str">
        <x:f>IF(A58="","",IF(OR(LEFT(AB58,4)="PASS",LEFT(AB58,5)="READY"),"RESEARCH BETA | 저지원 22.22% | 기업 백분위 N/A", "결과 사용 금지 | "&amp;AB58))</x:f>
      </x:c>
      <x:c r="AD58" s="34" t="str">
        <x:f>IF(A58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$58,TRIM('01_INPUT_COMPANIES'!$D$58)),EXACT('01_INPUT_COMPANIES'!$E$58,TRIM('01_INPUT_COMPANIES'!$E$58)),EXACT('01_INPUT_COMPANIES'!$F$58,TRIM('01_INPUT_COMPANIES'!$F$58)),EXACT('01_INPUT_COMPANIES'!$G$58,TRIM('01_INPUT_COMPANIES'!$G$58)),EXACT('01_INPUT_COMPANIES'!$H$58,TRIM('01_INPUT_COMPANIES'!$H$58)))),"ERROR: COHORT WHITESPACE",IF(NOT(IFERROR(AND(ISTEXT('01_INPUT_COMPANIES'!$O$58),LEN('01_INPUT_COMPANIES'!$O$58)=10,VALUE(LEFT('01_INPUT_COMPANIES'!$O$58,4))&gt;=2000,VALUE(LEFT('01_INPUT_COMPANIES'!$O$58,4))&lt;=2100,EXACT(TEXT(DATE(VALUE(LEFT('01_INPUT_COMPANIES'!$O$58,4)),VALUE(MID('01_INPUT_COMPANIES'!$O$58,6,2)),VALUE(RIGHT('01_INPUT_COMPANIES'!$O$58,2))),"yyyy-mm-dd"),'01_INPUT_COMPANIES'!$O$58)),FALSE)),"ERROR: SOURCE DATE",IF(NOT(AND(OR(EXACT('01_INPUT_COMPANIES'!$C$58,"domestic"),EXACT('01_INPUT_COMPANIES'!$C$58,"foreign"),EXACT('01_INPUT_COMPANIES'!$C$58,"other")),OR(EXACT('01_INPUT_COMPANIES'!$K$58,"A"),EXACT('01_INPUT_COMPANIES'!$K$58,"B"),EXACT('01_INPUT_COMPANIES'!$K$58,"C"),EXACT('01_INPUT_COMPANIES'!$K$58,"SYNTHETIC")),OR(EXACT('01_INPUT_COMPANIES'!$L$58,"yes"),EXACT('01_INPUT_COMPANIES'!$L$58,"no")),OR(EXACT('01_INPUT_COMPANIES'!$M$58,"direct"),EXACT('01_INPUT_COMPANIES'!$M$58,"derived"),EXACT('01_INPUT_COMPANIES'!$M$58,"proxy"),EXACT('01_INPUT_COMPANIES'!$M$58,"mixed")),OR(EXACT('01_INPUT_COMPANIES'!$Q$58,"yes")),EXACT('01_INPUT_COMPANIES'!$I$58,UPPER('01_INPUT_COMPANIES'!$I$58)))),"ERROR: EXACT ENUM",IF(NOT(IFERROR(OR(AND(EXACT('92_REF_VARIABLES'!$A$21,'01_INPUT_COMPANIES'!$H$58),EXACT('92_REF_VARIABLES'!$B$21,'01_INPUT_COMPANIES'!$D$58),EXACT('92_REF_VARIABLES'!$C$21,'01_INPUT_COMPANIES'!$G$58))),FALSE)),"ERROR: BENCHMARK",""))))))</x:f>
      </x:c>
    </x:row>
    <x:row r="59">
      <x:c r="A59" s="34" t="str">
        <x:f>IF(OR('01_INPUT_COMPANIES'!$A$59="",'01_INPUT_COMPANIES'!$A$59=""),"",'01_INPUT_COMPANIES'!$A$59)</x:f>
      </x:c>
      <x:c r="B59" s="34" t="str">
        <x:f>IF(OR('01_INPUT_COMPANIES'!$A$59="",'01_INPUT_COMPANIES'!$B$59=""),"",'01_INPUT_COMPANIES'!$B$59)</x:f>
      </x:c>
      <x:c r="C59" s="34" t="str">
        <x:f>IF(OR('01_INPUT_COMPANIES'!$A$59="",'01_INPUT_COMPANIES'!$C$59=""),"",'01_INPUT_COMPANIES'!$C$59)</x:f>
      </x:c>
      <x:c r="D59" s="34" t="str">
        <x:f>IF(OR('01_INPUT_COMPANIES'!$A$59="",'01_INPUT_COMPANIES'!$D$59=""),"",'01_INPUT_COMPANIES'!$D$59)</x:f>
      </x:c>
      <x:c r="E59" s="34" t="str">
        <x:f>IF(OR('01_INPUT_COMPANIES'!$A$59="",'01_INPUT_COMPANIES'!$E$59=""),"",'01_INPUT_COMPANIES'!$E$59)</x:f>
      </x:c>
      <x:c r="F59" s="34" t="str">
        <x:f>IF(OR('01_INPUT_COMPANIES'!$A$59="",'01_INPUT_COMPANIES'!$F$59=""),"",'01_INPUT_COMPANIES'!$F$59)</x:f>
      </x:c>
      <x:c r="G59" s="34" t="str">
        <x:f>IF(OR('01_INPUT_COMPANIES'!$A$59="",'01_INPUT_COMPANIES'!$G$59=""),"",'01_INPUT_COMPANIES'!$G$59)</x:f>
      </x:c>
      <x:c r="H59" s="34" t="str">
        <x:f>IF(OR('01_INPUT_COMPANIES'!$A$59="",'01_INPUT_COMPANIES'!$H$59=""),"",'01_INPUT_COMPANIES'!$H$59)</x:f>
      </x:c>
      <x:c r="I59" s="34" t="str">
        <x:f>IF(OR('01_INPUT_COMPANIES'!$A$59="",'01_INPUT_COMPANIES'!$K$59=""),"",'01_INPUT_COMPANIES'!$K$59)</x:f>
      </x:c>
      <x:c r="J59" s="34" t="str">
        <x:f>IF(OR('01_INPUT_COMPANIES'!$A$59="",'01_INPUT_COMPANIES'!$M$59=""),"",'01_INPUT_COMPANIES'!$M$59)</x:f>
      </x:c>
      <x:c r="K59" s="34" t="str">
        <x:f>IF(OR(A59="",COUNTBLANK(D59:H59)&gt;0),"",LEN(D59)&amp;":"&amp;D59&amp;LEN(E59)&amp;":"&amp;E59&amp;LEN(F59)&amp;":"&amp;F59&amp;LEN(G59)&amp;":"&amp;G59&amp;LEN(H59)&amp;":"&amp;H59)</x:f>
      </x:c>
      <x:c r="L59" s="47" t="str">
        <x:f>IF(A59="","",'90_CALC_FEATURES'!$I$527)</x:f>
      </x:c>
      <x:c r="M59" s="47" t="str">
        <x:f>IF(A59="","",'90_CALC_FEATURES'!$I$528)</x:f>
      </x:c>
      <x:c r="N59" s="47" t="str">
        <x:f>IF(A59="","",'90_CALC_FEATURES'!$I$529)</x:f>
      </x:c>
      <x:c r="O59" s="47" t="str">
        <x:f>IF(A59="","",'90_CALC_FEATURES'!$I$530)</x:f>
      </x:c>
      <x:c r="P59" s="47" t="str">
        <x:f>IF(A59="","",'90_CALC_FEATURES'!$I$531)</x:f>
      </x:c>
      <x:c r="Q59" s="47" t="str">
        <x:f>IF(A59="","",'90_CALC_FEATURES'!$I$532)</x:f>
      </x:c>
      <x:c r="R59" s="47" t="str">
        <x:f>IF(A59="","",'90_CALC_FEATURES'!$I$533)</x:f>
      </x:c>
      <x:c r="S59" s="47" t="str">
        <x:f>IF(A59="","",'90_CALC_FEATURES'!$I$534)</x:f>
      </x:c>
      <x:c r="T59" s="47" t="str">
        <x:f>IF(A59="","",'90_CALC_FEATURES'!$I$535)</x:f>
      </x:c>
      <x:c r="U59" s="47" t="str">
        <x:f>IF(A59="","",'90_CALC_FEATURES'!$I$536)</x:f>
      </x:c>
      <x:c r="V59" s="47" t="str">
        <x:f>IF(COUNT(L59:N59)=3,100*AVERAGE(L59:N59),"")</x:f>
      </x:c>
      <x:c r="W59" s="47" t="str">
        <x:f>IF(COUNT(O59:R59)=4,100*AVERAGE(O59:R59),"")</x:f>
      </x:c>
      <x:c r="X59" s="47" t="str">
        <x:f>IF(COUNT(S59:U59)=3,100*AVERAGE(S59:U59),"")</x:f>
      </x:c>
      <x:c r="Y59" s="47" t="str">
        <x:f>IF(COUNT(V59:X59)=3,AVERAGE(V59:X59),"")</x:f>
      </x:c>
      <x:c r="Z59" s="47" t="str">
        <x:f>IF(OR(AND(EXACT(A59,"SYN-A"),COUNT('01_INPUT_COMPANIES'!$T$59:$AC$59)=10,'01_INPUT_COMPANIES'!$T$59=-0.02,'01_INPUT_COMPANIES'!$U$59=0.1332,'01_INPUT_COMPANIES'!$V$59=0.18,'01_INPUT_COMPANIES'!$W$59=0.42,'01_INPUT_COMPANIES'!$X$59=0.012,'01_INPUT_COMPANIES'!$Y$59=3.2,'01_INPUT_COMPANIES'!$Z$59=0.08,'01_INPUT_COMPANIES'!$AA$59=0.28,'01_INPUT_COMPANIES'!$AB$59=0.74,'01_INPUT_COMPANIES'!$AC$59=8.5),AND(EXACT(A59,"SYN-B"),COUNT('01_INPUT_COMPANIES'!$T$59:$AC$59)=10,'01_INPUT_COMPANIES'!$T$59=-0.055,'01_INPUT_COMPANIES'!$U$59=0.06405,'01_INPUT_COMPANIES'!$V$59=0.105,'01_INPUT_COMPANIES'!$W$59=0.73,'01_INPUT_COMPANIES'!$X$59=0.004,'01_INPUT_COMPANIES'!$Y$59=4.1,'01_INPUT_COMPANIES'!$Z$59=0.025,'01_INPUT_COMPANIES'!$AA$59=0.16,'01_INPUT_COMPANIES'!$AB$59=0.61,'01_INPUT_COMPANIES'!$AC$59=4),AND(EXACT(A59,"SYN-C"),COUNT('01_INPUT_COMPANIES'!$T$59:$AC$59)=10,'01_INPUT_COMPANIES'!$T$59=0.01,'01_INPUT_COMPANIES'!$U$59=0.0986,'01_INPUT_COMPANIES'!$V$59=0.145,'01_INPUT_COMPANIES'!$W$59=0.18,'01_INPUT_COMPANIES'!$X$59=0.018,'01_INPUT_COMPANIES'!$Y$59=2.65,'01_INPUT_COMPANIES'!$Z$59=0.11,'01_INPUT_COMPANIES'!$AA$59=0.34,'01_INPUT_COMPANIES'!$AB$59=0.68,'01_INPUT_COMPANIES'!$AC$59=6.8),AND(EXACT(A59,"SYN-D"),COUNT('01_INPUT_COMPANIES'!$T$59:$AC$59)=10,'01_INPUT_COMPANIES'!$T$59=-0.005,'01_INPUT_COMPANIES'!$U$59=0.1136,'01_INPUT_COMPANIES'!$V$59=0.16,'01_INPUT_COMPANIES'!$W$59=0.51,'01_INPUT_COMPANIES'!$X$59=0.009,'01_INPUT_COMPANIES'!$Y$59=3.55,'01_INPUT_COMPANIES'!$Z$59=0.065,'01_INPUT_COMPANIES'!$AA$59=0.24,'01_INPUT_COMPANIES'!$AB$59=0.71,'01_INPUT_COMPANIES'!$AC$59=7.4)),IFERROR(INDEX('94_EXPECTED_OUTPUTS'!$B$7:$B$10,MATCH(A59,'94_EXPECTED_OUTPUTS'!$A$7:$A$10,0)),""),"")</x:f>
      </x:c>
      <x:c r="AA59" s="47" t="str">
        <x:f>IF(OR(COUNT(Y59)=0,COUNT(Z59)=0),"",ABS(Y59-Z59))</x:f>
      </x:c>
      <x:c r="AB59" s="34" t="str">
        <x:f>IF(A59="","",IF(AD59&lt;&gt;"",AD59,IF('01_INPUT_COMPANIES'!$A$59="","",IF(OR(LEN(TRIM('01_INPUT_COMPANIES'!$A$59&amp;""))=0,LEN(TRIM('01_INPUT_COMPANIES'!$B$59&amp;""))=0,LEN(TRIM('01_INPUT_COMPANIES'!$C$59&amp;""))=0,LEN(TRIM('01_INPUT_COMPANIES'!$D$59&amp;""))=0,LEN(TRIM('01_INPUT_COMPANIES'!$E$59&amp;""))=0,LEN(TRIM('01_INPUT_COMPANIES'!$F$59&amp;""))=0,LEN(TRIM('01_INPUT_COMPANIES'!$G$59&amp;""))=0,LEN(TRIM('01_INPUT_COMPANIES'!$H$59&amp;""))=0,LEN(TRIM('01_INPUT_COMPANIES'!$I$59&amp;""))=0,LEN(TRIM('01_INPUT_COMPANIES'!$K$59&amp;""))=0,LEN(TRIM('01_INPUT_COMPANIES'!$L$59&amp;""))=0,LEN(TRIM('01_INPUT_COMPANIES'!$M$59&amp;""))=0,LEN(TRIM('01_INPUT_COMPANIES'!$N$59&amp;""))=0,LEN(TRIM('01_INPUT_COMPANIES'!$O$59&amp;""))=0,LEN(TRIM('01_INPUT_COMPANIES'!$Q$59&amp;""))=0,COUNTBLANK('01_INPUT_COMPANIES'!$A$59:$R$59)&gt;0),"INPUT REQUIRED",IF(OR('01_INPUT_COMPANIES'!$A$59&lt;&gt;TRIM('01_INPUT_COMPANIES'!$A$59),NOT(EXACT('01_INPUT_COMPANIES'!$A$59,UPPER('01_INPUT_COMPANIES'!$A$59))),LEN('01_INPUT_COMPANIES'!$A$59)&gt;64,ISNUMBER(FIND("*",'01_INPUT_COMPANIES'!$A$59)),ISNUMBER(FIND("?",'01_INPUT_COMPANIES'!$A$59)),ISNUMBER(FIND("~",'01_INPUT_COMPANIES'!$A$59))),"ERROR: ID FORMAT",IF(COUNTIF('01_INPUT_COMPANIES'!$A$7:$A$106,'01_INPUT_COMPANIES'!$A$59)&lt;&gt;1,"ERROR: DUPLICATE ID",IF(COUNT('01_INPUT_COMPANIES'!$T$59:$AC$59)&lt;&gt;10,"INPUT REQUIRED",IF(NOT(OR('01_INPUT_COMPANIES'!$C$59="domestic",'01_INPUT_COMPANIES'!$C$59="foreign",'01_INPUT_COMPANIES'!$C$59="other")),"ERROR: COMPANY GROUP",IF(OR(LEN('01_INPUT_COMPANIES'!$G$59)&lt;&gt;6,MID('01_INPUT_COMPANIES'!$G$59,5,1)&lt;&gt;"Q",IFERROR(VALUE(LEFT('01_INPUT_COMPANIES'!$G$59,4)),0)&lt;2000,IFERROR(VALUE(LEFT('01_INPUT_COMPANIES'!$G$59,4)),0)&gt;2100,IFERROR(VALUE(RIGHT('01_INPUT_COMPANIES'!$G$59,1)),0)&lt;1,IFERROR(VALUE(RIGHT('01_INPUT_COMPANIES'!$G$59,1)),0)&gt;4),"ERROR: REPORTING PERIOD",IF(OR(COUNTIFS('92_REF_VARIABLES'!$A$21:$A$21,'01_INPUT_COMPANIES'!$H$59,'92_REF_VARIABLES'!$B$21:$B$21,'01_INPUT_COMPANIES'!$D$59,'92_REF_VARIABLES'!$C$21:$C$21,'01_INPUT_COMPANIES'!$G$59)&lt;&gt;1,AND(IFERROR(INDEX('92_REF_VARIABLES'!$I$21:$I$21,MATCH('01_INPUT_COMPANIES'!$H$59,'92_REF_VARIABLES'!$A$21:$A$21,0)),"")="synthetic_only",'01_INPUT_COMPANIES'!$L$59&lt;&gt;"yes")),"ERROR: BENCHMARK",IF(COUNTIF('92_REF_VARIABLES'!$L$21:$L$50,'01_INPUT_COMPANIES'!$I$59)&lt;&gt;1,"ERROR: CURRENCY",IF(OR(NOT(ISNUMBER('01_INPUT_COMPANIES'!$J$59)),'01_INPUT_COMPANIES'!$J$59&lt;&gt;INT('01_INPUT_COMPANIES'!$J$59),'01_INPUT_COMPANIES'!$J$59&lt;2000,'01_INPUT_COMPANIES'!$J$59&gt;2100),"ERROR: PRICE YEAR",IF(NOT(OR('01_INPUT_COMPANIES'!$K$59="A",'01_INPUT_COMPANIES'!$K$59="B",'01_INPUT_COMPANIES'!$K$59="C",'01_INPUT_COMPANIES'!$K$59="SYNTHETIC")),"ERROR: QUALITY",IF(NOT(OR(AND('01_INPUT_COMPANIES'!$L$59="yes",'01_INPUT_COMPANIES'!$K$59="SYNTHETIC"),AND('01_INPUT_COMPANIES'!$L$59="no",'01_INPUT_COMPANIES'!$K$59&lt;&gt;"SYNTHETIC"))),"ERROR: SYNTHETIC FLAG",IF(NOT(OR('01_INPUT_COMPANIES'!$M$59="direct",'01_INPUT_COMPANIES'!$M$59="derived",'01_INPUT_COMPANIES'!$M$59="proxy",'01_INPUT_COMPANIES'!$M$59="mixed")),"ERROR: CONSTRUCTION MODE",IF(OR(NOT(ISNUMBER('01_INPUT_COMPANIES'!$P$59)),'01_INPUT_COMPANIES'!$P$59&lt;0,'01_INPUT_COMPANIES'!$P$59&lt;&gt;INT('01_INPUT_COMPANIES'!$P$59)),"ERROR: CARRY LAG",IF('01_INPUT_COMPANIES'!$Q$59&lt;&gt;"yes","ERROR: EXPOSURE ADJUSTMENT",IF(OR(NOT(ISNUMBER('01_INPUT_COMPANIES'!$R$59)),'01_INPUT_COMPANIES'!$R$59&lt;0,'01_INPUT_COMPANIES'!$R$59&gt;1),"ERROR: EXPOSURE FACTOR",IF(COUNT(Y59)=0,"ERROR: SCORE",IF(COUNT(Z59)=0,"READY",IF(AA59&lt;=0.0000000001,"PASS","CHECK"))&amp;IF('01_INPUT_COMPANIES'!$K$59="C"," | C QUALITY","")&amp;IF(OR('01_INPUT_COMPANIES'!$M$59="proxy",'01_INPUT_COMPANIES'!$M$59="mixed")," | PROXY/MIXED","")&amp;IF('01_INPUT_COMPANIES'!$P$59&gt;1," | CARRY&gt;1","")&amp;IF(OR(OR('01_INPUT_COMPANIES'!$T$59&lt;-1,'01_INPUT_COMPANIES'!$T$59&gt;1),OR('01_INPUT_COMPANIES'!$U$59&lt;0,'01_INPUT_COMPANIES'!$U$59&gt;1),OR('01_INPUT_COMPANIES'!$V$59&lt;0,'01_INPUT_COMPANIES'!$V$59&gt;1),OR('01_INPUT_COMPANIES'!$W$59&lt;-10,'01_INPUT_COMPANIES'!$W$59&gt;10),OR('01_INPUT_COMPANIES'!$X$59&lt;-1,'01_INPUT_COMPANIES'!$X$59&gt;1),OR('01_INPUT_COMPANIES'!$Y$59&lt;0,'01_INPUT_COMPANIES'!$Y$59&gt;20),OR('01_INPUT_COMPANIES'!$Z$59&lt;-2,'01_INPUT_COMPANIES'!$Z$59&gt;2),OR('01_INPUT_COMPANIES'!$AA$59&lt;0,'01_INPUT_COMPANIES'!$AA$59&gt;1),OR('01_INPUT_COMPANIES'!$AB$59&lt;0,'01_INPUT_COMPANIES'!$AB$59&gt;1),OR('01_INPUT_COMPANIES'!$AC$59&lt;0,'01_INPUT_COMPANIES'!$AC$59&gt;50))," | REVIEW RANGE","")&amp;IF(COUNTIF('90_CALC_FEATURES'!$J$527:$J$536,"WINSORIZED*")&gt;0," | WINSORIZED","")&amp;IF(ABS('01_INPUT_COMPANIES'!$U$59-'01_INPUT_COMPANIES'!$V$59*'01_INPUT_COMPANIES'!$AB$59)&gt;MAX(0.005,0.05*MAX(ABS('01_INPUT_COMPANIES'!$V$59*'01_INPUT_COMPANIES'!$AB$59),ABS('01_INPUT_COMPANIES'!$U$59),0.000000000001))," | DEPENDENCY",""))))))))))))))))))))</x:f>
      </x:c>
      <x:c r="AC59" s="34" t="str">
        <x:f>IF(A59="","",IF(OR(LEFT(AB59,4)="PASS",LEFT(AB59,5)="READY"),"RESEARCH BETA | 저지원 22.22% | 기업 백분위 N/A", "결과 사용 금지 | "&amp;AB59))</x:f>
      </x:c>
      <x:c r="AD59" s="34" t="str">
        <x:f>IF(A59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$59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$59,TRIM('01_INPUT_COMPANIES'!$D$59)),EXACT('01_INPUT_COMPANIES'!$E$59,TRIM('01_INPUT_COMPANIES'!$E$59)),EXACT('01_INPUT_COMPANIES'!$F$59,TRIM('01_INPUT_COMPANIES'!$F$59)),EXACT('01_INPUT_COMPANIES'!$G$59,TRIM('01_INPUT_COMPANIES'!$G$59)),EXACT('01_INPUT_COMPANIES'!$H$59,TRIM('01_INPUT_COMPANIES'!$H$59)))),"ERROR: COHORT WHITESPACE",IF(NOT(IFERROR(AND(ISTEXT('01_INPUT_COMPANIES'!$O$59),LEN('01_INPUT_COMPANIES'!$O$59)=10,VALUE(LEFT('01_INPUT_COMPANIES'!$O$59,4))&gt;=2000,VALUE(LEFT('01_INPUT_COMPANIES'!$O$59,4))&lt;=2100,EXACT(TEXT(DATE(VALUE(LEFT('01_INPUT_COMPANIES'!$O$59,4)),VALUE(MID('01_INPUT_COMPANIES'!$O$59,6,2)),VALUE(RIGHT('01_INPUT_COMPANIES'!$O$59,2))),"yyyy-mm-dd"),'01_INPUT_COMPANIES'!$O$59)),FALSE)),"ERROR: SOURCE DATE",IF(NOT(AND(OR(EXACT('01_INPUT_COMPANIES'!$C$59,"domestic"),EXACT('01_INPUT_COMPANIES'!$C$59,"foreign"),EXACT('01_INPUT_COMPANIES'!$C$59,"other")),OR(EXACT('01_INPUT_COMPANIES'!$K$59,"A"),EXACT('01_INPUT_COMPANIES'!$K$59,"B"),EXACT('01_INPUT_COMPANIES'!$K$59,"C"),EXACT('01_INPUT_COMPANIES'!$K$59,"SYNTHETIC")),OR(EXACT('01_INPUT_COMPANIES'!$L$59,"yes"),EXACT('01_INPUT_COMPANIES'!$L$59,"no")),OR(EXACT('01_INPUT_COMPANIES'!$M$59,"direct"),EXACT('01_INPUT_COMPANIES'!$M$59,"derived"),EXACT('01_INPUT_COMPANIES'!$M$59,"proxy"),EXACT('01_INPUT_COMPANIES'!$M$59,"mixed")),OR(EXACT('01_INPUT_COMPANIES'!$Q$59,"yes")),EXACT('01_INPUT_COMPANIES'!$I$59,UPPER('01_INPUT_COMPANIES'!$I$59)))),"ERROR: EXACT ENUM",IF(NOT(IFERROR(OR(AND(EXACT('92_REF_VARIABLES'!$A$21,'01_INPUT_COMPANIES'!$H$59),EXACT('92_REF_VARIABLES'!$B$21,'01_INPUT_COMPANIES'!$D$59),EXACT('92_REF_VARIABLES'!$C$21,'01_INPUT_COMPANIES'!$G$59))),FALSE)),"ERROR: BENCHMARK",""))))))</x:f>
      </x:c>
    </x:row>
    <x:row r="60">
      <x:c r="A60" s="34" t="str">
        <x:f>IF(OR('01_INPUT_COMPANIES'!$A$60="",'01_INPUT_COMPANIES'!$A$60=""),"",'01_INPUT_COMPANIES'!$A$60)</x:f>
      </x:c>
      <x:c r="B60" s="34" t="str">
        <x:f>IF(OR('01_INPUT_COMPANIES'!$A$60="",'01_INPUT_COMPANIES'!$B$60=""),"",'01_INPUT_COMPANIES'!$B$60)</x:f>
      </x:c>
      <x:c r="C60" s="34" t="str">
        <x:f>IF(OR('01_INPUT_COMPANIES'!$A$60="",'01_INPUT_COMPANIES'!$C$60=""),"",'01_INPUT_COMPANIES'!$C$60)</x:f>
      </x:c>
      <x:c r="D60" s="34" t="str">
        <x:f>IF(OR('01_INPUT_COMPANIES'!$A$60="",'01_INPUT_COMPANIES'!$D$60=""),"",'01_INPUT_COMPANIES'!$D$60)</x:f>
      </x:c>
      <x:c r="E60" s="34" t="str">
        <x:f>IF(OR('01_INPUT_COMPANIES'!$A$60="",'01_INPUT_COMPANIES'!$E$60=""),"",'01_INPUT_COMPANIES'!$E$60)</x:f>
      </x:c>
      <x:c r="F60" s="34" t="str">
        <x:f>IF(OR('01_INPUT_COMPANIES'!$A$60="",'01_INPUT_COMPANIES'!$F$60=""),"",'01_INPUT_COMPANIES'!$F$60)</x:f>
      </x:c>
      <x:c r="G60" s="34" t="str">
        <x:f>IF(OR('01_INPUT_COMPANIES'!$A$60="",'01_INPUT_COMPANIES'!$G$60=""),"",'01_INPUT_COMPANIES'!$G$60)</x:f>
      </x:c>
      <x:c r="H60" s="34" t="str">
        <x:f>IF(OR('01_INPUT_COMPANIES'!$A$60="",'01_INPUT_COMPANIES'!$H$60=""),"",'01_INPUT_COMPANIES'!$H$60)</x:f>
      </x:c>
      <x:c r="I60" s="34" t="str">
        <x:f>IF(OR('01_INPUT_COMPANIES'!$A$60="",'01_INPUT_COMPANIES'!$K$60=""),"",'01_INPUT_COMPANIES'!$K$60)</x:f>
      </x:c>
      <x:c r="J60" s="34" t="str">
        <x:f>IF(OR('01_INPUT_COMPANIES'!$A$60="",'01_INPUT_COMPANIES'!$M$60=""),"",'01_INPUT_COMPANIES'!$M$60)</x:f>
      </x:c>
      <x:c r="K60" s="34" t="str">
        <x:f>IF(OR(A60="",COUNTBLANK(D60:H60)&gt;0),"",LEN(D60)&amp;":"&amp;D60&amp;LEN(E60)&amp;":"&amp;E60&amp;LEN(F60)&amp;":"&amp;F60&amp;LEN(G60)&amp;":"&amp;G60&amp;LEN(H60)&amp;":"&amp;H60)</x:f>
      </x:c>
      <x:c r="L60" s="47" t="str">
        <x:f>IF(A60="","",'90_CALC_FEATURES'!$I$537)</x:f>
      </x:c>
      <x:c r="M60" s="47" t="str">
        <x:f>IF(A60="","",'90_CALC_FEATURES'!$I$538)</x:f>
      </x:c>
      <x:c r="N60" s="47" t="str">
        <x:f>IF(A60="","",'90_CALC_FEATURES'!$I$539)</x:f>
      </x:c>
      <x:c r="O60" s="47" t="str">
        <x:f>IF(A60="","",'90_CALC_FEATURES'!$I$540)</x:f>
      </x:c>
      <x:c r="P60" s="47" t="str">
        <x:f>IF(A60="","",'90_CALC_FEATURES'!$I$541)</x:f>
      </x:c>
      <x:c r="Q60" s="47" t="str">
        <x:f>IF(A60="","",'90_CALC_FEATURES'!$I$542)</x:f>
      </x:c>
      <x:c r="R60" s="47" t="str">
        <x:f>IF(A60="","",'90_CALC_FEATURES'!$I$543)</x:f>
      </x:c>
      <x:c r="S60" s="47" t="str">
        <x:f>IF(A60="","",'90_CALC_FEATURES'!$I$544)</x:f>
      </x:c>
      <x:c r="T60" s="47" t="str">
        <x:f>IF(A60="","",'90_CALC_FEATURES'!$I$545)</x:f>
      </x:c>
      <x:c r="U60" s="47" t="str">
        <x:f>IF(A60="","",'90_CALC_FEATURES'!$I$546)</x:f>
      </x:c>
      <x:c r="V60" s="47" t="str">
        <x:f>IF(COUNT(L60:N60)=3,100*AVERAGE(L60:N60),"")</x:f>
      </x:c>
      <x:c r="W60" s="47" t="str">
        <x:f>IF(COUNT(O60:R60)=4,100*AVERAGE(O60:R60),"")</x:f>
      </x:c>
      <x:c r="X60" s="47" t="str">
        <x:f>IF(COUNT(S60:U60)=3,100*AVERAGE(S60:U60),"")</x:f>
      </x:c>
      <x:c r="Y60" s="47" t="str">
        <x:f>IF(COUNT(V60:X60)=3,AVERAGE(V60:X60),"")</x:f>
      </x:c>
      <x:c r="Z60" s="47" t="str">
        <x:f>IF(OR(AND(EXACT(A60,"SYN-A"),COUNT('01_INPUT_COMPANIES'!$T$60:$AC$60)=10,'01_INPUT_COMPANIES'!$T$60=-0.02,'01_INPUT_COMPANIES'!$U$60=0.1332,'01_INPUT_COMPANIES'!$V$60=0.18,'01_INPUT_COMPANIES'!$W$60=0.42,'01_INPUT_COMPANIES'!$X$60=0.012,'01_INPUT_COMPANIES'!$Y$60=3.2,'01_INPUT_COMPANIES'!$Z$60=0.08,'01_INPUT_COMPANIES'!$AA$60=0.28,'01_INPUT_COMPANIES'!$AB$60=0.74,'01_INPUT_COMPANIES'!$AC$60=8.5),AND(EXACT(A60,"SYN-B"),COUNT('01_INPUT_COMPANIES'!$T$60:$AC$60)=10,'01_INPUT_COMPANIES'!$T$60=-0.055,'01_INPUT_COMPANIES'!$U$60=0.06405,'01_INPUT_COMPANIES'!$V$60=0.105,'01_INPUT_COMPANIES'!$W$60=0.73,'01_INPUT_COMPANIES'!$X$60=0.004,'01_INPUT_COMPANIES'!$Y$60=4.1,'01_INPUT_COMPANIES'!$Z$60=0.025,'01_INPUT_COMPANIES'!$AA$60=0.16,'01_INPUT_COMPANIES'!$AB$60=0.61,'01_INPUT_COMPANIES'!$AC$60=4),AND(EXACT(A60,"SYN-C"),COUNT('01_INPUT_COMPANIES'!$T$60:$AC$60)=10,'01_INPUT_COMPANIES'!$T$60=0.01,'01_INPUT_COMPANIES'!$U$60=0.0986,'01_INPUT_COMPANIES'!$V$60=0.145,'01_INPUT_COMPANIES'!$W$60=0.18,'01_INPUT_COMPANIES'!$X$60=0.018,'01_INPUT_COMPANIES'!$Y$60=2.65,'01_INPUT_COMPANIES'!$Z$60=0.11,'01_INPUT_COMPANIES'!$AA$60=0.34,'01_INPUT_COMPANIES'!$AB$60=0.68,'01_INPUT_COMPANIES'!$AC$60=6.8),AND(EXACT(A60,"SYN-D"),COUNT('01_INPUT_COMPANIES'!$T$60:$AC$60)=10,'01_INPUT_COMPANIES'!$T$60=-0.005,'01_INPUT_COMPANIES'!$U$60=0.1136,'01_INPUT_COMPANIES'!$V$60=0.16,'01_INPUT_COMPANIES'!$W$60=0.51,'01_INPUT_COMPANIES'!$X$60=0.009,'01_INPUT_COMPANIES'!$Y$60=3.55,'01_INPUT_COMPANIES'!$Z$60=0.065,'01_INPUT_COMPANIES'!$AA$60=0.24,'01_INPUT_COMPANIES'!$AB$60=0.71,'01_INPUT_COMPANIES'!$AC$60=7.4)),IFERROR(INDEX('94_EXPECTED_OUTPUTS'!$B$7:$B$10,MATCH(A60,'94_EXPECTED_OUTPUTS'!$A$7:$A$10,0)),""),"")</x:f>
      </x:c>
      <x:c r="AA60" s="47" t="str">
        <x:f>IF(OR(COUNT(Y60)=0,COUNT(Z60)=0),"",ABS(Y60-Z60))</x:f>
      </x:c>
      <x:c r="AB60" s="34" t="str">
        <x:f>IF(A60="","",IF(AD60&lt;&gt;"",AD60,IF('01_INPUT_COMPANIES'!$A$60="","",IF(OR(LEN(TRIM('01_INPUT_COMPANIES'!$A$60&amp;""))=0,LEN(TRIM('01_INPUT_COMPANIES'!$B$60&amp;""))=0,LEN(TRIM('01_INPUT_COMPANIES'!$C$60&amp;""))=0,LEN(TRIM('01_INPUT_COMPANIES'!$D$60&amp;""))=0,LEN(TRIM('01_INPUT_COMPANIES'!$E$60&amp;""))=0,LEN(TRIM('01_INPUT_COMPANIES'!$F$60&amp;""))=0,LEN(TRIM('01_INPUT_COMPANIES'!$G$60&amp;""))=0,LEN(TRIM('01_INPUT_COMPANIES'!$H$60&amp;""))=0,LEN(TRIM('01_INPUT_COMPANIES'!$I$60&amp;""))=0,LEN(TRIM('01_INPUT_COMPANIES'!$K$60&amp;""))=0,LEN(TRIM('01_INPUT_COMPANIES'!$L$60&amp;""))=0,LEN(TRIM('01_INPUT_COMPANIES'!$M$60&amp;""))=0,LEN(TRIM('01_INPUT_COMPANIES'!$N$60&amp;""))=0,LEN(TRIM('01_INPUT_COMPANIES'!$O$60&amp;""))=0,LEN(TRIM('01_INPUT_COMPANIES'!$Q$60&amp;""))=0,COUNTBLANK('01_INPUT_COMPANIES'!$A$60:$R$60)&gt;0),"INPUT REQUIRED",IF(OR('01_INPUT_COMPANIES'!$A$60&lt;&gt;TRIM('01_INPUT_COMPANIES'!$A$60),NOT(EXACT('01_INPUT_COMPANIES'!$A$60,UPPER('01_INPUT_COMPANIES'!$A$60))),LEN('01_INPUT_COMPANIES'!$A$60)&gt;64,ISNUMBER(FIND("*",'01_INPUT_COMPANIES'!$A$60)),ISNUMBER(FIND("?",'01_INPUT_COMPANIES'!$A$60)),ISNUMBER(FIND("~",'01_INPUT_COMPANIES'!$A$60))),"ERROR: ID FORMAT",IF(COUNTIF('01_INPUT_COMPANIES'!$A$7:$A$106,'01_INPUT_COMPANIES'!$A$60)&lt;&gt;1,"ERROR: DUPLICATE ID",IF(COUNT('01_INPUT_COMPANIES'!$T$60:$AC$60)&lt;&gt;10,"INPUT REQUIRED",IF(NOT(OR('01_INPUT_COMPANIES'!$C$60="domestic",'01_INPUT_COMPANIES'!$C$60="foreign",'01_INPUT_COMPANIES'!$C$60="other")),"ERROR: COMPANY GROUP",IF(OR(LEN('01_INPUT_COMPANIES'!$G$60)&lt;&gt;6,MID('01_INPUT_COMPANIES'!$G$60,5,1)&lt;&gt;"Q",IFERROR(VALUE(LEFT('01_INPUT_COMPANIES'!$G$60,4)),0)&lt;2000,IFERROR(VALUE(LEFT('01_INPUT_COMPANIES'!$G$60,4)),0)&gt;2100,IFERROR(VALUE(RIGHT('01_INPUT_COMPANIES'!$G$60,1)),0)&lt;1,IFERROR(VALUE(RIGHT('01_INPUT_COMPANIES'!$G$60,1)),0)&gt;4),"ERROR: REPORTING PERIOD",IF(OR(COUNTIFS('92_REF_VARIABLES'!$A$21:$A$21,'01_INPUT_COMPANIES'!$H$60,'92_REF_VARIABLES'!$B$21:$B$21,'01_INPUT_COMPANIES'!$D$60,'92_REF_VARIABLES'!$C$21:$C$21,'01_INPUT_COMPANIES'!$G$60)&lt;&gt;1,AND(IFERROR(INDEX('92_REF_VARIABLES'!$I$21:$I$21,MATCH('01_INPUT_COMPANIES'!$H$60,'92_REF_VARIABLES'!$A$21:$A$21,0)),"")="synthetic_only",'01_INPUT_COMPANIES'!$L$60&lt;&gt;"yes")),"ERROR: BENCHMARK",IF(COUNTIF('92_REF_VARIABLES'!$L$21:$L$50,'01_INPUT_COMPANIES'!$I$60)&lt;&gt;1,"ERROR: CURRENCY",IF(OR(NOT(ISNUMBER('01_INPUT_COMPANIES'!$J$60)),'01_INPUT_COMPANIES'!$J$60&lt;&gt;INT('01_INPUT_COMPANIES'!$J$60),'01_INPUT_COMPANIES'!$J$60&lt;2000,'01_INPUT_COMPANIES'!$J$60&gt;2100),"ERROR: PRICE YEAR",IF(NOT(OR('01_INPUT_COMPANIES'!$K$60="A",'01_INPUT_COMPANIES'!$K$60="B",'01_INPUT_COMPANIES'!$K$60="C",'01_INPUT_COMPANIES'!$K$60="SYNTHETIC")),"ERROR: QUALITY",IF(NOT(OR(AND('01_INPUT_COMPANIES'!$L$60="yes",'01_INPUT_COMPANIES'!$K$60="SYNTHETIC"),AND('01_INPUT_COMPANIES'!$L$60="no",'01_INPUT_COMPANIES'!$K$60&lt;&gt;"SYNTHETIC"))),"ERROR: SYNTHETIC FLAG",IF(NOT(OR('01_INPUT_COMPANIES'!$M$60="direct",'01_INPUT_COMPANIES'!$M$60="derived",'01_INPUT_COMPANIES'!$M$60="proxy",'01_INPUT_COMPANIES'!$M$60="mixed")),"ERROR: CONSTRUCTION MODE",IF(OR(NOT(ISNUMBER('01_INPUT_COMPANIES'!$P$60)),'01_INPUT_COMPANIES'!$P$60&lt;0,'01_INPUT_COMPANIES'!$P$60&lt;&gt;INT('01_INPUT_COMPANIES'!$P$60)),"ERROR: CARRY LAG",IF('01_INPUT_COMPANIES'!$Q$60&lt;&gt;"yes","ERROR: EXPOSURE ADJUSTMENT",IF(OR(NOT(ISNUMBER('01_INPUT_COMPANIES'!$R$60)),'01_INPUT_COMPANIES'!$R$60&lt;0,'01_INPUT_COMPANIES'!$R$60&gt;1),"ERROR: EXPOSURE FACTOR",IF(COUNT(Y60)=0,"ERROR: SCORE",IF(COUNT(Z60)=0,"READY",IF(AA60&lt;=0.0000000001,"PASS","CHECK"))&amp;IF('01_INPUT_COMPANIES'!$K$60="C"," | C QUALITY","")&amp;IF(OR('01_INPUT_COMPANIES'!$M$60="proxy",'01_INPUT_COMPANIES'!$M$60="mixed")," | PROXY/MIXED","")&amp;IF('01_INPUT_COMPANIES'!$P$60&gt;1," | CARRY&gt;1","")&amp;IF(OR(OR('01_INPUT_COMPANIES'!$T$60&lt;-1,'01_INPUT_COMPANIES'!$T$60&gt;1),OR('01_INPUT_COMPANIES'!$U$60&lt;0,'01_INPUT_COMPANIES'!$U$60&gt;1),OR('01_INPUT_COMPANIES'!$V$60&lt;0,'01_INPUT_COMPANIES'!$V$60&gt;1),OR('01_INPUT_COMPANIES'!$W$60&lt;-10,'01_INPUT_COMPANIES'!$W$60&gt;10),OR('01_INPUT_COMPANIES'!$X$60&lt;-1,'01_INPUT_COMPANIES'!$X$60&gt;1),OR('01_INPUT_COMPANIES'!$Y$60&lt;0,'01_INPUT_COMPANIES'!$Y$60&gt;20),OR('01_INPUT_COMPANIES'!$Z$60&lt;-2,'01_INPUT_COMPANIES'!$Z$60&gt;2),OR('01_INPUT_COMPANIES'!$AA$60&lt;0,'01_INPUT_COMPANIES'!$AA$60&gt;1),OR('01_INPUT_COMPANIES'!$AB$60&lt;0,'01_INPUT_COMPANIES'!$AB$60&gt;1),OR('01_INPUT_COMPANIES'!$AC$60&lt;0,'01_INPUT_COMPANIES'!$AC$60&gt;50))," | REVIEW RANGE","")&amp;IF(COUNTIF('90_CALC_FEATURES'!$J$537:$J$546,"WINSORIZED*")&gt;0," | WINSORIZED","")&amp;IF(ABS('01_INPUT_COMPANIES'!$U$60-'01_INPUT_COMPANIES'!$V$60*'01_INPUT_COMPANIES'!$AB$60)&gt;MAX(0.005,0.05*MAX(ABS('01_INPUT_COMPANIES'!$V$60*'01_INPUT_COMPANIES'!$AB$60),ABS('01_INPUT_COMPANIES'!$U$60),0.000000000001))," | DEPENDENCY",""))))))))))))))))))))</x:f>
      </x:c>
      <x:c r="AC60" s="34" t="str">
        <x:f>IF(A60="","",IF(OR(LEFT(AB60,4)="PASS",LEFT(AB60,5)="READY"),"RESEARCH BETA | 저지원 22.22% | 기업 백분위 N/A", "결과 사용 금지 | "&amp;AB60))</x:f>
      </x:c>
      <x:c r="AD60" s="34" t="str">
        <x:f>IF(A60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$60,TRIM('01_INPUT_COMPANIES'!$D$60)),EXACT('01_INPUT_COMPANIES'!$E$60,TRIM('01_INPUT_COMPANIES'!$E$60)),EXACT('01_INPUT_COMPANIES'!$F$60,TRIM('01_INPUT_COMPANIES'!$F$60)),EXACT('01_INPUT_COMPANIES'!$G$60,TRIM('01_INPUT_COMPANIES'!$G$60)),EXACT('01_INPUT_COMPANIES'!$H$60,TRIM('01_INPUT_COMPANIES'!$H$60)))),"ERROR: COHORT WHITESPACE",IF(NOT(IFERROR(AND(ISTEXT('01_INPUT_COMPANIES'!$O$60),LEN('01_INPUT_COMPANIES'!$O$60)=10,VALUE(LEFT('01_INPUT_COMPANIES'!$O$60,4))&gt;=2000,VALUE(LEFT('01_INPUT_COMPANIES'!$O$60,4))&lt;=2100,EXACT(TEXT(DATE(VALUE(LEFT('01_INPUT_COMPANIES'!$O$60,4)),VALUE(MID('01_INPUT_COMPANIES'!$O$60,6,2)),VALUE(RIGHT('01_INPUT_COMPANIES'!$O$60,2))),"yyyy-mm-dd"),'01_INPUT_COMPANIES'!$O$60)),FALSE)),"ERROR: SOURCE DATE",IF(NOT(AND(OR(EXACT('01_INPUT_COMPANIES'!$C$60,"domestic"),EXACT('01_INPUT_COMPANIES'!$C$60,"foreign"),EXACT('01_INPUT_COMPANIES'!$C$60,"other")),OR(EXACT('01_INPUT_COMPANIES'!$K$60,"A"),EXACT('01_INPUT_COMPANIES'!$K$60,"B"),EXACT('01_INPUT_COMPANIES'!$K$60,"C"),EXACT('01_INPUT_COMPANIES'!$K$60,"SYNTHETIC")),OR(EXACT('01_INPUT_COMPANIES'!$L$60,"yes"),EXACT('01_INPUT_COMPANIES'!$L$60,"no")),OR(EXACT('01_INPUT_COMPANIES'!$M$60,"direct"),EXACT('01_INPUT_COMPANIES'!$M$60,"derived"),EXACT('01_INPUT_COMPANIES'!$M$60,"proxy"),EXACT('01_INPUT_COMPANIES'!$M$60,"mixed")),OR(EXACT('01_INPUT_COMPANIES'!$Q$60,"yes")),EXACT('01_INPUT_COMPANIES'!$I$60,UPPER('01_INPUT_COMPANIES'!$I$60)))),"ERROR: EXACT ENUM",IF(NOT(IFERROR(OR(AND(EXACT('92_REF_VARIABLES'!$A$21,'01_INPUT_COMPANIES'!$H$60),EXACT('92_REF_VARIABLES'!$B$21,'01_INPUT_COMPANIES'!$D$60),EXACT('92_REF_VARIABLES'!$C$21,'01_INPUT_COMPANIES'!$G$60))),FALSE)),"ERROR: BENCHMARK",""))))))</x:f>
      </x:c>
    </x:row>
    <x:row r="61">
      <x:c r="A61" s="34" t="str">
        <x:f>IF(OR('01_INPUT_COMPANIES'!$A$61="",'01_INPUT_COMPANIES'!$A$61=""),"",'01_INPUT_COMPANIES'!$A$61)</x:f>
      </x:c>
      <x:c r="B61" s="34" t="str">
        <x:f>IF(OR('01_INPUT_COMPANIES'!$A$61="",'01_INPUT_COMPANIES'!$B$61=""),"",'01_INPUT_COMPANIES'!$B$61)</x:f>
      </x:c>
      <x:c r="C61" s="34" t="str">
        <x:f>IF(OR('01_INPUT_COMPANIES'!$A$61="",'01_INPUT_COMPANIES'!$C$61=""),"",'01_INPUT_COMPANIES'!$C$61)</x:f>
      </x:c>
      <x:c r="D61" s="34" t="str">
        <x:f>IF(OR('01_INPUT_COMPANIES'!$A$61="",'01_INPUT_COMPANIES'!$D$61=""),"",'01_INPUT_COMPANIES'!$D$61)</x:f>
      </x:c>
      <x:c r="E61" s="34" t="str">
        <x:f>IF(OR('01_INPUT_COMPANIES'!$A$61="",'01_INPUT_COMPANIES'!$E$61=""),"",'01_INPUT_COMPANIES'!$E$61)</x:f>
      </x:c>
      <x:c r="F61" s="34" t="str">
        <x:f>IF(OR('01_INPUT_COMPANIES'!$A$61="",'01_INPUT_COMPANIES'!$F$61=""),"",'01_INPUT_COMPANIES'!$F$61)</x:f>
      </x:c>
      <x:c r="G61" s="34" t="str">
        <x:f>IF(OR('01_INPUT_COMPANIES'!$A$61="",'01_INPUT_COMPANIES'!$G$61=""),"",'01_INPUT_COMPANIES'!$G$61)</x:f>
      </x:c>
      <x:c r="H61" s="34" t="str">
        <x:f>IF(OR('01_INPUT_COMPANIES'!$A$61="",'01_INPUT_COMPANIES'!$H$61=""),"",'01_INPUT_COMPANIES'!$H$61)</x:f>
      </x:c>
      <x:c r="I61" s="34" t="str">
        <x:f>IF(OR('01_INPUT_COMPANIES'!$A$61="",'01_INPUT_COMPANIES'!$K$61=""),"",'01_INPUT_COMPANIES'!$K$61)</x:f>
      </x:c>
      <x:c r="J61" s="34" t="str">
        <x:f>IF(OR('01_INPUT_COMPANIES'!$A$61="",'01_INPUT_COMPANIES'!$M$61=""),"",'01_INPUT_COMPANIES'!$M$61)</x:f>
      </x:c>
      <x:c r="K61" s="34" t="str">
        <x:f>IF(OR(A61="",COUNTBLANK(D61:H61)&gt;0),"",LEN(D61)&amp;":"&amp;D61&amp;LEN(E61)&amp;":"&amp;E61&amp;LEN(F61)&amp;":"&amp;F61&amp;LEN(G61)&amp;":"&amp;G61&amp;LEN(H61)&amp;":"&amp;H61)</x:f>
      </x:c>
      <x:c r="L61" s="47" t="str">
        <x:f>IF(A61="","",'90_CALC_FEATURES'!$I$547)</x:f>
      </x:c>
      <x:c r="M61" s="47" t="str">
        <x:f>IF(A61="","",'90_CALC_FEATURES'!$I$548)</x:f>
      </x:c>
      <x:c r="N61" s="47" t="str">
        <x:f>IF(A61="","",'90_CALC_FEATURES'!$I$549)</x:f>
      </x:c>
      <x:c r="O61" s="47" t="str">
        <x:f>IF(A61="","",'90_CALC_FEATURES'!$I$550)</x:f>
      </x:c>
      <x:c r="P61" s="47" t="str">
        <x:f>IF(A61="","",'90_CALC_FEATURES'!$I$551)</x:f>
      </x:c>
      <x:c r="Q61" s="47" t="str">
        <x:f>IF(A61="","",'90_CALC_FEATURES'!$I$552)</x:f>
      </x:c>
      <x:c r="R61" s="47" t="str">
        <x:f>IF(A61="","",'90_CALC_FEATURES'!$I$553)</x:f>
      </x:c>
      <x:c r="S61" s="47" t="str">
        <x:f>IF(A61="","",'90_CALC_FEATURES'!$I$554)</x:f>
      </x:c>
      <x:c r="T61" s="47" t="str">
        <x:f>IF(A61="","",'90_CALC_FEATURES'!$I$555)</x:f>
      </x:c>
      <x:c r="U61" s="47" t="str">
        <x:f>IF(A61="","",'90_CALC_FEATURES'!$I$556)</x:f>
      </x:c>
      <x:c r="V61" s="47" t="str">
        <x:f>IF(COUNT(L61:N61)=3,100*AVERAGE(L61:N61),"")</x:f>
      </x:c>
      <x:c r="W61" s="47" t="str">
        <x:f>IF(COUNT(O61:R61)=4,100*AVERAGE(O61:R61),"")</x:f>
      </x:c>
      <x:c r="X61" s="47" t="str">
        <x:f>IF(COUNT(S61:U61)=3,100*AVERAGE(S61:U61),"")</x:f>
      </x:c>
      <x:c r="Y61" s="47" t="str">
        <x:f>IF(COUNT(V61:X61)=3,AVERAGE(V61:X61),"")</x:f>
      </x:c>
      <x:c r="Z61" s="47" t="str">
        <x:f>IF(OR(AND(EXACT(A61,"SYN-A"),COUNT('01_INPUT_COMPANIES'!$T$61:$AC$61)=10,'01_INPUT_COMPANIES'!$T$61=-0.02,'01_INPUT_COMPANIES'!$U$61=0.1332,'01_INPUT_COMPANIES'!$V$61=0.18,'01_INPUT_COMPANIES'!$W$61=0.42,'01_INPUT_COMPANIES'!$X$61=0.012,'01_INPUT_COMPANIES'!$Y$61=3.2,'01_INPUT_COMPANIES'!$Z$61=0.08,'01_INPUT_COMPANIES'!$AA$61=0.28,'01_INPUT_COMPANIES'!$AB$61=0.74,'01_INPUT_COMPANIES'!$AC$61=8.5),AND(EXACT(A61,"SYN-B"),COUNT('01_INPUT_COMPANIES'!$T$61:$AC$61)=10,'01_INPUT_COMPANIES'!$T$61=-0.055,'01_INPUT_COMPANIES'!$U$61=0.06405,'01_INPUT_COMPANIES'!$V$61=0.105,'01_INPUT_COMPANIES'!$W$61=0.73,'01_INPUT_COMPANIES'!$X$61=0.004,'01_INPUT_COMPANIES'!$Y$61=4.1,'01_INPUT_COMPANIES'!$Z$61=0.025,'01_INPUT_COMPANIES'!$AA$61=0.16,'01_INPUT_COMPANIES'!$AB$61=0.61,'01_INPUT_COMPANIES'!$AC$61=4),AND(EXACT(A61,"SYN-C"),COUNT('01_INPUT_COMPANIES'!$T$61:$AC$61)=10,'01_INPUT_COMPANIES'!$T$61=0.01,'01_INPUT_COMPANIES'!$U$61=0.0986,'01_INPUT_COMPANIES'!$V$61=0.145,'01_INPUT_COMPANIES'!$W$61=0.18,'01_INPUT_COMPANIES'!$X$61=0.018,'01_INPUT_COMPANIES'!$Y$61=2.65,'01_INPUT_COMPANIES'!$Z$61=0.11,'01_INPUT_COMPANIES'!$AA$61=0.34,'01_INPUT_COMPANIES'!$AB$61=0.68,'01_INPUT_COMPANIES'!$AC$61=6.8),AND(EXACT(A61,"SYN-D"),COUNT('01_INPUT_COMPANIES'!$T$61:$AC$61)=10,'01_INPUT_COMPANIES'!$T$61=-0.005,'01_INPUT_COMPANIES'!$U$61=0.1136,'01_INPUT_COMPANIES'!$V$61=0.16,'01_INPUT_COMPANIES'!$W$61=0.51,'01_INPUT_COMPANIES'!$X$61=0.009,'01_INPUT_COMPANIES'!$Y$61=3.55,'01_INPUT_COMPANIES'!$Z$61=0.065,'01_INPUT_COMPANIES'!$AA$61=0.24,'01_INPUT_COMPANIES'!$AB$61=0.71,'01_INPUT_COMPANIES'!$AC$61=7.4)),IFERROR(INDEX('94_EXPECTED_OUTPUTS'!$B$7:$B$10,MATCH(A61,'94_EXPECTED_OUTPUTS'!$A$7:$A$10,0)),""),"")</x:f>
      </x:c>
      <x:c r="AA61" s="47" t="str">
        <x:f>IF(OR(COUNT(Y61)=0,COUNT(Z61)=0),"",ABS(Y61-Z61))</x:f>
      </x:c>
      <x:c r="AB61" s="34" t="str">
        <x:f>IF(A61="","",IF(AD61&lt;&gt;"",AD61,IF('01_INPUT_COMPANIES'!$A$61="","",IF(OR(LEN(TRIM('01_INPUT_COMPANIES'!$A$61&amp;""))=0,LEN(TRIM('01_INPUT_COMPANIES'!$B$61&amp;""))=0,LEN(TRIM('01_INPUT_COMPANIES'!$C$61&amp;""))=0,LEN(TRIM('01_INPUT_COMPANIES'!$D$61&amp;""))=0,LEN(TRIM('01_INPUT_COMPANIES'!$E$61&amp;""))=0,LEN(TRIM('01_INPUT_COMPANIES'!$F$61&amp;""))=0,LEN(TRIM('01_INPUT_COMPANIES'!$G$61&amp;""))=0,LEN(TRIM('01_INPUT_COMPANIES'!$H$61&amp;""))=0,LEN(TRIM('01_INPUT_COMPANIES'!$I$61&amp;""))=0,LEN(TRIM('01_INPUT_COMPANIES'!$K$61&amp;""))=0,LEN(TRIM('01_INPUT_COMPANIES'!$L$61&amp;""))=0,LEN(TRIM('01_INPUT_COMPANIES'!$M$61&amp;""))=0,LEN(TRIM('01_INPUT_COMPANIES'!$N$61&amp;""))=0,LEN(TRIM('01_INPUT_COMPANIES'!$O$61&amp;""))=0,LEN(TRIM('01_INPUT_COMPANIES'!$Q$61&amp;""))=0,COUNTBLANK('01_INPUT_COMPANIES'!$A$61:$R$61)&gt;0),"INPUT REQUIRED",IF(OR('01_INPUT_COMPANIES'!$A$61&lt;&gt;TRIM('01_INPUT_COMPANIES'!$A$61),NOT(EXACT('01_INPUT_COMPANIES'!$A$61,UPPER('01_INPUT_COMPANIES'!$A$61))),LEN('01_INPUT_COMPANIES'!$A$61)&gt;64,ISNUMBER(FIND("*",'01_INPUT_COMPANIES'!$A$61)),ISNUMBER(FIND("?",'01_INPUT_COMPANIES'!$A$61)),ISNUMBER(FIND("~",'01_INPUT_COMPANIES'!$A$61))),"ERROR: ID FORMAT",IF(COUNTIF('01_INPUT_COMPANIES'!$A$7:$A$106,'01_INPUT_COMPANIES'!$A$61)&lt;&gt;1,"ERROR: DUPLICATE ID",IF(COUNT('01_INPUT_COMPANIES'!$T$61:$AC$61)&lt;&gt;10,"INPUT REQUIRED",IF(NOT(OR('01_INPUT_COMPANIES'!$C$61="domestic",'01_INPUT_COMPANIES'!$C$61="foreign",'01_INPUT_COMPANIES'!$C$61="other")),"ERROR: COMPANY GROUP",IF(OR(LEN('01_INPUT_COMPANIES'!$G$61)&lt;&gt;6,MID('01_INPUT_COMPANIES'!$G$61,5,1)&lt;&gt;"Q",IFERROR(VALUE(LEFT('01_INPUT_COMPANIES'!$G$61,4)),0)&lt;2000,IFERROR(VALUE(LEFT('01_INPUT_COMPANIES'!$G$61,4)),0)&gt;2100,IFERROR(VALUE(RIGHT('01_INPUT_COMPANIES'!$G$61,1)),0)&lt;1,IFERROR(VALUE(RIGHT('01_INPUT_COMPANIES'!$G$61,1)),0)&gt;4),"ERROR: REPORTING PERIOD",IF(OR(COUNTIFS('92_REF_VARIABLES'!$A$21:$A$21,'01_INPUT_COMPANIES'!$H$61,'92_REF_VARIABLES'!$B$21:$B$21,'01_INPUT_COMPANIES'!$D$61,'92_REF_VARIABLES'!$C$21:$C$21,'01_INPUT_COMPANIES'!$G$61)&lt;&gt;1,AND(IFERROR(INDEX('92_REF_VARIABLES'!$I$21:$I$21,MATCH('01_INPUT_COMPANIES'!$H$61,'92_REF_VARIABLES'!$A$21:$A$21,0)),"")="synthetic_only",'01_INPUT_COMPANIES'!$L$61&lt;&gt;"yes")),"ERROR: BENCHMARK",IF(COUNTIF('92_REF_VARIABLES'!$L$21:$L$50,'01_INPUT_COMPANIES'!$I$61)&lt;&gt;1,"ERROR: CURRENCY",IF(OR(NOT(ISNUMBER('01_INPUT_COMPANIES'!$J$61)),'01_INPUT_COMPANIES'!$J$61&lt;&gt;INT('01_INPUT_COMPANIES'!$J$61),'01_INPUT_COMPANIES'!$J$61&lt;2000,'01_INPUT_COMPANIES'!$J$61&gt;2100),"ERROR: PRICE YEAR",IF(NOT(OR('01_INPUT_COMPANIES'!$K$61="A",'01_INPUT_COMPANIES'!$K$61="B",'01_INPUT_COMPANIES'!$K$61="C",'01_INPUT_COMPANIES'!$K$61="SYNTHETIC")),"ERROR: QUALITY",IF(NOT(OR(AND('01_INPUT_COMPANIES'!$L$61="yes",'01_INPUT_COMPANIES'!$K$61="SYNTHETIC"),AND('01_INPUT_COMPANIES'!$L$61="no",'01_INPUT_COMPANIES'!$K$61&lt;&gt;"SYNTHETIC"))),"ERROR: SYNTHETIC FLAG",IF(NOT(OR('01_INPUT_COMPANIES'!$M$61="direct",'01_INPUT_COMPANIES'!$M$61="derived",'01_INPUT_COMPANIES'!$M$61="proxy",'01_INPUT_COMPANIES'!$M$61="mixed")),"ERROR: CONSTRUCTION MODE",IF(OR(NOT(ISNUMBER('01_INPUT_COMPANIES'!$P$61)),'01_INPUT_COMPANIES'!$P$61&lt;0,'01_INPUT_COMPANIES'!$P$61&lt;&gt;INT('01_INPUT_COMPANIES'!$P$61)),"ERROR: CARRY LAG",IF('01_INPUT_COMPANIES'!$Q$61&lt;&gt;"yes","ERROR: EXPOSURE ADJUSTMENT",IF(OR(NOT(ISNUMBER('01_INPUT_COMPANIES'!$R$61)),'01_INPUT_COMPANIES'!$R$61&lt;0,'01_INPUT_COMPANIES'!$R$61&gt;1),"ERROR: EXPOSURE FACTOR",IF(COUNT(Y61)=0,"ERROR: SCORE",IF(COUNT(Z61)=0,"READY",IF(AA61&lt;=0.0000000001,"PASS","CHECK"))&amp;IF('01_INPUT_COMPANIES'!$K$61="C"," | C QUALITY","")&amp;IF(OR('01_INPUT_COMPANIES'!$M$61="proxy",'01_INPUT_COMPANIES'!$M$61="mixed")," | PROXY/MIXED","")&amp;IF('01_INPUT_COMPANIES'!$P$61&gt;1," | CARRY&gt;1","")&amp;IF(OR(OR('01_INPUT_COMPANIES'!$T$61&lt;-1,'01_INPUT_COMPANIES'!$T$61&gt;1),OR('01_INPUT_COMPANIES'!$U$61&lt;0,'01_INPUT_COMPANIES'!$U$61&gt;1),OR('01_INPUT_COMPANIES'!$V$61&lt;0,'01_INPUT_COMPANIES'!$V$61&gt;1),OR('01_INPUT_COMPANIES'!$W$61&lt;-10,'01_INPUT_COMPANIES'!$W$61&gt;10),OR('01_INPUT_COMPANIES'!$X$61&lt;-1,'01_INPUT_COMPANIES'!$X$61&gt;1),OR('01_INPUT_COMPANIES'!$Y$61&lt;0,'01_INPUT_COMPANIES'!$Y$61&gt;20),OR('01_INPUT_COMPANIES'!$Z$61&lt;-2,'01_INPUT_COMPANIES'!$Z$61&gt;2),OR('01_INPUT_COMPANIES'!$AA$61&lt;0,'01_INPUT_COMPANIES'!$AA$61&gt;1),OR('01_INPUT_COMPANIES'!$AB$61&lt;0,'01_INPUT_COMPANIES'!$AB$61&gt;1),OR('01_INPUT_COMPANIES'!$AC$61&lt;0,'01_INPUT_COMPANIES'!$AC$61&gt;50))," | REVIEW RANGE","")&amp;IF(COUNTIF('90_CALC_FEATURES'!$J$547:$J$556,"WINSORIZED*")&gt;0," | WINSORIZED","")&amp;IF(ABS('01_INPUT_COMPANIES'!$U$61-'01_INPUT_COMPANIES'!$V$61*'01_INPUT_COMPANIES'!$AB$61)&gt;MAX(0.005,0.05*MAX(ABS('01_INPUT_COMPANIES'!$V$61*'01_INPUT_COMPANIES'!$AB$61),ABS('01_INPUT_COMPANIES'!$U$61),0.000000000001))," | DEPENDENCY",""))))))))))))))))))))</x:f>
      </x:c>
      <x:c r="AC61" s="34" t="str">
        <x:f>IF(A61="","",IF(OR(LEFT(AB61,4)="PASS",LEFT(AB61,5)="READY"),"RESEARCH BETA | 저지원 22.22% | 기업 백분위 N/A", "결과 사용 금지 | "&amp;AB61))</x:f>
      </x:c>
      <x:c r="AD61" s="34" t="str">
        <x:f>IF(A61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$61,TRIM('01_INPUT_COMPANIES'!$D$61)),EXACT('01_INPUT_COMPANIES'!$E$61,TRIM('01_INPUT_COMPANIES'!$E$61)),EXACT('01_INPUT_COMPANIES'!$F$61,TRIM('01_INPUT_COMPANIES'!$F$61)),EXACT('01_INPUT_COMPANIES'!$G$61,TRIM('01_INPUT_COMPANIES'!$G$61)),EXACT('01_INPUT_COMPANIES'!$H$61,TRIM('01_INPUT_COMPANIES'!$H$61)))),"ERROR: COHORT WHITESPACE",IF(NOT(IFERROR(AND(ISTEXT('01_INPUT_COMPANIES'!$O$61),LEN('01_INPUT_COMPANIES'!$O$61)=10,VALUE(LEFT('01_INPUT_COMPANIES'!$O$61,4))&gt;=2000,VALUE(LEFT('01_INPUT_COMPANIES'!$O$61,4))&lt;=2100,EXACT(TEXT(DATE(VALUE(LEFT('01_INPUT_COMPANIES'!$O$61,4)),VALUE(MID('01_INPUT_COMPANIES'!$O$61,6,2)),VALUE(RIGHT('01_INPUT_COMPANIES'!$O$61,2))),"yyyy-mm-dd"),'01_INPUT_COMPANIES'!$O$61)),FALSE)),"ERROR: SOURCE DATE",IF(NOT(AND(OR(EXACT('01_INPUT_COMPANIES'!$C$61,"domestic"),EXACT('01_INPUT_COMPANIES'!$C$61,"foreign"),EXACT('01_INPUT_COMPANIES'!$C$61,"other")),OR(EXACT('01_INPUT_COMPANIES'!$K$61,"A"),EXACT('01_INPUT_COMPANIES'!$K$61,"B"),EXACT('01_INPUT_COMPANIES'!$K$61,"C"),EXACT('01_INPUT_COMPANIES'!$K$61,"SYNTHETIC")),OR(EXACT('01_INPUT_COMPANIES'!$L$61,"yes"),EXACT('01_INPUT_COMPANIES'!$L$61,"no")),OR(EXACT('01_INPUT_COMPANIES'!$M$61,"direct"),EXACT('01_INPUT_COMPANIES'!$M$61,"derived"),EXACT('01_INPUT_COMPANIES'!$M$61,"proxy"),EXACT('01_INPUT_COMPANIES'!$M$61,"mixed")),OR(EXACT('01_INPUT_COMPANIES'!$Q$61,"yes")),EXACT('01_INPUT_COMPANIES'!$I$61,UPPER('01_INPUT_COMPANIES'!$I$61)))),"ERROR: EXACT ENUM",IF(NOT(IFERROR(OR(AND(EXACT('92_REF_VARIABLES'!$A$21,'01_INPUT_COMPANIES'!$H$61),EXACT('92_REF_VARIABLES'!$B$21,'01_INPUT_COMPANIES'!$D$61),EXACT('92_REF_VARIABLES'!$C$21,'01_INPUT_COMPANIES'!$G$61))),FALSE)),"ERROR: BENCHMARK",""))))))</x:f>
      </x:c>
    </x:row>
    <x:row r="62">
      <x:c r="A62" s="34" t="str">
        <x:f>IF(OR('01_INPUT_COMPANIES'!$A$62="",'01_INPUT_COMPANIES'!$A$62=""),"",'01_INPUT_COMPANIES'!$A$62)</x:f>
      </x:c>
      <x:c r="B62" s="34" t="str">
        <x:f>IF(OR('01_INPUT_COMPANIES'!$A$62="",'01_INPUT_COMPANIES'!$B$62=""),"",'01_INPUT_COMPANIES'!$B$62)</x:f>
      </x:c>
      <x:c r="C62" s="34" t="str">
        <x:f>IF(OR('01_INPUT_COMPANIES'!$A$62="",'01_INPUT_COMPANIES'!$C$62=""),"",'01_INPUT_COMPANIES'!$C$62)</x:f>
      </x:c>
      <x:c r="D62" s="34" t="str">
        <x:f>IF(OR('01_INPUT_COMPANIES'!$A$62="",'01_INPUT_COMPANIES'!$D$62=""),"",'01_INPUT_COMPANIES'!$D$62)</x:f>
      </x:c>
      <x:c r="E62" s="34" t="str">
        <x:f>IF(OR('01_INPUT_COMPANIES'!$A$62="",'01_INPUT_COMPANIES'!$E$62=""),"",'01_INPUT_COMPANIES'!$E$62)</x:f>
      </x:c>
      <x:c r="F62" s="34" t="str">
        <x:f>IF(OR('01_INPUT_COMPANIES'!$A$62="",'01_INPUT_COMPANIES'!$F$62=""),"",'01_INPUT_COMPANIES'!$F$62)</x:f>
      </x:c>
      <x:c r="G62" s="34" t="str">
        <x:f>IF(OR('01_INPUT_COMPANIES'!$A$62="",'01_INPUT_COMPANIES'!$G$62=""),"",'01_INPUT_COMPANIES'!$G$62)</x:f>
      </x:c>
      <x:c r="H62" s="34" t="str">
        <x:f>IF(OR('01_INPUT_COMPANIES'!$A$62="",'01_INPUT_COMPANIES'!$H$62=""),"",'01_INPUT_COMPANIES'!$H$62)</x:f>
      </x:c>
      <x:c r="I62" s="34" t="str">
        <x:f>IF(OR('01_INPUT_COMPANIES'!$A$62="",'01_INPUT_COMPANIES'!$K$62=""),"",'01_INPUT_COMPANIES'!$K$62)</x:f>
      </x:c>
      <x:c r="J62" s="34" t="str">
        <x:f>IF(OR('01_INPUT_COMPANIES'!$A$62="",'01_INPUT_COMPANIES'!$M$62=""),"",'01_INPUT_COMPANIES'!$M$62)</x:f>
      </x:c>
      <x:c r="K62" s="34" t="str">
        <x:f>IF(OR(A62="",COUNTBLANK(D62:H62)&gt;0),"",LEN(D62)&amp;":"&amp;D62&amp;LEN(E62)&amp;":"&amp;E62&amp;LEN(F62)&amp;":"&amp;F62&amp;LEN(G62)&amp;":"&amp;G62&amp;LEN(H62)&amp;":"&amp;H62)</x:f>
      </x:c>
      <x:c r="L62" s="47" t="str">
        <x:f>IF(A62="","",'90_CALC_FEATURES'!$I$557)</x:f>
      </x:c>
      <x:c r="M62" s="47" t="str">
        <x:f>IF(A62="","",'90_CALC_FEATURES'!$I$558)</x:f>
      </x:c>
      <x:c r="N62" s="47" t="str">
        <x:f>IF(A62="","",'90_CALC_FEATURES'!$I$559)</x:f>
      </x:c>
      <x:c r="O62" s="47" t="str">
        <x:f>IF(A62="","",'90_CALC_FEATURES'!$I$560)</x:f>
      </x:c>
      <x:c r="P62" s="47" t="str">
        <x:f>IF(A62="","",'90_CALC_FEATURES'!$I$561)</x:f>
      </x:c>
      <x:c r="Q62" s="47" t="str">
        <x:f>IF(A62="","",'90_CALC_FEATURES'!$I$562)</x:f>
      </x:c>
      <x:c r="R62" s="47" t="str">
        <x:f>IF(A62="","",'90_CALC_FEATURES'!$I$563)</x:f>
      </x:c>
      <x:c r="S62" s="47" t="str">
        <x:f>IF(A62="","",'90_CALC_FEATURES'!$I$564)</x:f>
      </x:c>
      <x:c r="T62" s="47" t="str">
        <x:f>IF(A62="","",'90_CALC_FEATURES'!$I$565)</x:f>
      </x:c>
      <x:c r="U62" s="47" t="str">
        <x:f>IF(A62="","",'90_CALC_FEATURES'!$I$566)</x:f>
      </x:c>
      <x:c r="V62" s="47" t="str">
        <x:f>IF(COUNT(L62:N62)=3,100*AVERAGE(L62:N62),"")</x:f>
      </x:c>
      <x:c r="W62" s="47" t="str">
        <x:f>IF(COUNT(O62:R62)=4,100*AVERAGE(O62:R62),"")</x:f>
      </x:c>
      <x:c r="X62" s="47" t="str">
        <x:f>IF(COUNT(S62:U62)=3,100*AVERAGE(S62:U62),"")</x:f>
      </x:c>
      <x:c r="Y62" s="47" t="str">
        <x:f>IF(COUNT(V62:X62)=3,AVERAGE(V62:X62),"")</x:f>
      </x:c>
      <x:c r="Z62" s="47" t="str">
        <x:f>IF(OR(AND(EXACT(A62,"SYN-A"),COUNT('01_INPUT_COMPANIES'!$T$62:$AC$62)=10,'01_INPUT_COMPANIES'!$T$62=-0.02,'01_INPUT_COMPANIES'!$U$62=0.1332,'01_INPUT_COMPANIES'!$V$62=0.18,'01_INPUT_COMPANIES'!$W$62=0.42,'01_INPUT_COMPANIES'!$X$62=0.012,'01_INPUT_COMPANIES'!$Y$62=3.2,'01_INPUT_COMPANIES'!$Z$62=0.08,'01_INPUT_COMPANIES'!$AA$62=0.28,'01_INPUT_COMPANIES'!$AB$62=0.74,'01_INPUT_COMPANIES'!$AC$62=8.5),AND(EXACT(A62,"SYN-B"),COUNT('01_INPUT_COMPANIES'!$T$62:$AC$62)=10,'01_INPUT_COMPANIES'!$T$62=-0.055,'01_INPUT_COMPANIES'!$U$62=0.06405,'01_INPUT_COMPANIES'!$V$62=0.105,'01_INPUT_COMPANIES'!$W$62=0.73,'01_INPUT_COMPANIES'!$X$62=0.004,'01_INPUT_COMPANIES'!$Y$62=4.1,'01_INPUT_COMPANIES'!$Z$62=0.025,'01_INPUT_COMPANIES'!$AA$62=0.16,'01_INPUT_COMPANIES'!$AB$62=0.61,'01_INPUT_COMPANIES'!$AC$62=4),AND(EXACT(A62,"SYN-C"),COUNT('01_INPUT_COMPANIES'!$T$62:$AC$62)=10,'01_INPUT_COMPANIES'!$T$62=0.01,'01_INPUT_COMPANIES'!$U$62=0.0986,'01_INPUT_COMPANIES'!$V$62=0.145,'01_INPUT_COMPANIES'!$W$62=0.18,'01_INPUT_COMPANIES'!$X$62=0.018,'01_INPUT_COMPANIES'!$Y$62=2.65,'01_INPUT_COMPANIES'!$Z$62=0.11,'01_INPUT_COMPANIES'!$AA$62=0.34,'01_INPUT_COMPANIES'!$AB$62=0.68,'01_INPUT_COMPANIES'!$AC$62=6.8),AND(EXACT(A62,"SYN-D"),COUNT('01_INPUT_COMPANIES'!$T$62:$AC$62)=10,'01_INPUT_COMPANIES'!$T$62=-0.005,'01_INPUT_COMPANIES'!$U$62=0.1136,'01_INPUT_COMPANIES'!$V$62=0.16,'01_INPUT_COMPANIES'!$W$62=0.51,'01_INPUT_COMPANIES'!$X$62=0.009,'01_INPUT_COMPANIES'!$Y$62=3.55,'01_INPUT_COMPANIES'!$Z$62=0.065,'01_INPUT_COMPANIES'!$AA$62=0.24,'01_INPUT_COMPANIES'!$AB$62=0.71,'01_INPUT_COMPANIES'!$AC$62=7.4)),IFERROR(INDEX('94_EXPECTED_OUTPUTS'!$B$7:$B$10,MATCH(A62,'94_EXPECTED_OUTPUTS'!$A$7:$A$10,0)),""),"")</x:f>
      </x:c>
      <x:c r="AA62" s="47" t="str">
        <x:f>IF(OR(COUNT(Y62)=0,COUNT(Z62)=0),"",ABS(Y62-Z62))</x:f>
      </x:c>
      <x:c r="AB62" s="34" t="str">
        <x:f>IF(A62="","",IF(AD62&lt;&gt;"",AD62,IF('01_INPUT_COMPANIES'!$A$62="","",IF(OR(LEN(TRIM('01_INPUT_COMPANIES'!$A$62&amp;""))=0,LEN(TRIM('01_INPUT_COMPANIES'!$B$62&amp;""))=0,LEN(TRIM('01_INPUT_COMPANIES'!$C$62&amp;""))=0,LEN(TRIM('01_INPUT_COMPANIES'!$D$62&amp;""))=0,LEN(TRIM('01_INPUT_COMPANIES'!$E$62&amp;""))=0,LEN(TRIM('01_INPUT_COMPANIES'!$F$62&amp;""))=0,LEN(TRIM('01_INPUT_COMPANIES'!$G$62&amp;""))=0,LEN(TRIM('01_INPUT_COMPANIES'!$H$62&amp;""))=0,LEN(TRIM('01_INPUT_COMPANIES'!$I$62&amp;""))=0,LEN(TRIM('01_INPUT_COMPANIES'!$K$62&amp;""))=0,LEN(TRIM('01_INPUT_COMPANIES'!$L$62&amp;""))=0,LEN(TRIM('01_INPUT_COMPANIES'!$M$62&amp;""))=0,LEN(TRIM('01_INPUT_COMPANIES'!$N$62&amp;""))=0,LEN(TRIM('01_INPUT_COMPANIES'!$O$62&amp;""))=0,LEN(TRIM('01_INPUT_COMPANIES'!$Q$62&amp;""))=0,COUNTBLANK('01_INPUT_COMPANIES'!$A$62:$R$62)&gt;0),"INPUT REQUIRED",IF(OR('01_INPUT_COMPANIES'!$A$62&lt;&gt;TRIM('01_INPUT_COMPANIES'!$A$62),NOT(EXACT('01_INPUT_COMPANIES'!$A$62,UPPER('01_INPUT_COMPANIES'!$A$62))),LEN('01_INPUT_COMPANIES'!$A$62)&gt;64,ISNUMBER(FIND("*",'01_INPUT_COMPANIES'!$A$62)),ISNUMBER(FIND("?",'01_INPUT_COMPANIES'!$A$62)),ISNUMBER(FIND("~",'01_INPUT_COMPANIES'!$A$62))),"ERROR: ID FORMAT",IF(COUNTIF('01_INPUT_COMPANIES'!$A$7:$A$106,'01_INPUT_COMPANIES'!$A$62)&lt;&gt;1,"ERROR: DUPLICATE ID",IF(COUNT('01_INPUT_COMPANIES'!$T$62:$AC$62)&lt;&gt;10,"INPUT REQUIRED",IF(NOT(OR('01_INPUT_COMPANIES'!$C$62="domestic",'01_INPUT_COMPANIES'!$C$62="foreign",'01_INPUT_COMPANIES'!$C$62="other")),"ERROR: COMPANY GROUP",IF(OR(LEN('01_INPUT_COMPANIES'!$G$62)&lt;&gt;6,MID('01_INPUT_COMPANIES'!$G$62,5,1)&lt;&gt;"Q",IFERROR(VALUE(LEFT('01_INPUT_COMPANIES'!$G$62,4)),0)&lt;2000,IFERROR(VALUE(LEFT('01_INPUT_COMPANIES'!$G$62,4)),0)&gt;2100,IFERROR(VALUE(RIGHT('01_INPUT_COMPANIES'!$G$62,1)),0)&lt;1,IFERROR(VALUE(RIGHT('01_INPUT_COMPANIES'!$G$62,1)),0)&gt;4),"ERROR: REPORTING PERIOD",IF(OR(COUNTIFS('92_REF_VARIABLES'!$A$21:$A$21,'01_INPUT_COMPANIES'!$H$62,'92_REF_VARIABLES'!$B$21:$B$21,'01_INPUT_COMPANIES'!$D$62,'92_REF_VARIABLES'!$C$21:$C$21,'01_INPUT_COMPANIES'!$G$62)&lt;&gt;1,AND(IFERROR(INDEX('92_REF_VARIABLES'!$I$21:$I$21,MATCH('01_INPUT_COMPANIES'!$H$62,'92_REF_VARIABLES'!$A$21:$A$21,0)),"")="synthetic_only",'01_INPUT_COMPANIES'!$L$62&lt;&gt;"yes")),"ERROR: BENCHMARK",IF(COUNTIF('92_REF_VARIABLES'!$L$21:$L$50,'01_INPUT_COMPANIES'!$I$62)&lt;&gt;1,"ERROR: CURRENCY",IF(OR(NOT(ISNUMBER('01_INPUT_COMPANIES'!$J$62)),'01_INPUT_COMPANIES'!$J$62&lt;&gt;INT('01_INPUT_COMPANIES'!$J$62),'01_INPUT_COMPANIES'!$J$62&lt;2000,'01_INPUT_COMPANIES'!$J$62&gt;2100),"ERROR: PRICE YEAR",IF(NOT(OR('01_INPUT_COMPANIES'!$K$62="A",'01_INPUT_COMPANIES'!$K$62="B",'01_INPUT_COMPANIES'!$K$62="C",'01_INPUT_COMPANIES'!$K$62="SYNTHETIC")),"ERROR: QUALITY",IF(NOT(OR(AND('01_INPUT_COMPANIES'!$L$62="yes",'01_INPUT_COMPANIES'!$K$62="SYNTHETIC"),AND('01_INPUT_COMPANIES'!$L$62="no",'01_INPUT_COMPANIES'!$K$62&lt;&gt;"SYNTHETIC"))),"ERROR: SYNTHETIC FLAG",IF(NOT(OR('01_INPUT_COMPANIES'!$M$62="direct",'01_INPUT_COMPANIES'!$M$62="derived",'01_INPUT_COMPANIES'!$M$62="proxy",'01_INPUT_COMPANIES'!$M$62="mixed")),"ERROR: CONSTRUCTION MODE",IF(OR(NOT(ISNUMBER('01_INPUT_COMPANIES'!$P$62)),'01_INPUT_COMPANIES'!$P$62&lt;0,'01_INPUT_COMPANIES'!$P$62&lt;&gt;INT('01_INPUT_COMPANIES'!$P$62)),"ERROR: CARRY LAG",IF('01_INPUT_COMPANIES'!$Q$62&lt;&gt;"yes","ERROR: EXPOSURE ADJUSTMENT",IF(OR(NOT(ISNUMBER('01_INPUT_COMPANIES'!$R$62)),'01_INPUT_COMPANIES'!$R$62&lt;0,'01_INPUT_COMPANIES'!$R$62&gt;1),"ERROR: EXPOSURE FACTOR",IF(COUNT(Y62)=0,"ERROR: SCORE",IF(COUNT(Z62)=0,"READY",IF(AA62&lt;=0.0000000001,"PASS","CHECK"))&amp;IF('01_INPUT_COMPANIES'!$K$62="C"," | C QUALITY","")&amp;IF(OR('01_INPUT_COMPANIES'!$M$62="proxy",'01_INPUT_COMPANIES'!$M$62="mixed")," | PROXY/MIXED","")&amp;IF('01_INPUT_COMPANIES'!$P$62&gt;1," | CARRY&gt;1","")&amp;IF(OR(OR('01_INPUT_COMPANIES'!$T$62&lt;-1,'01_INPUT_COMPANIES'!$T$62&gt;1),OR('01_INPUT_COMPANIES'!$U$62&lt;0,'01_INPUT_COMPANIES'!$U$62&gt;1),OR('01_INPUT_COMPANIES'!$V$62&lt;0,'01_INPUT_COMPANIES'!$V$62&gt;1),OR('01_INPUT_COMPANIES'!$W$62&lt;-10,'01_INPUT_COMPANIES'!$W$62&gt;10),OR('01_INPUT_COMPANIES'!$X$62&lt;-1,'01_INPUT_COMPANIES'!$X$62&gt;1),OR('01_INPUT_COMPANIES'!$Y$62&lt;0,'01_INPUT_COMPANIES'!$Y$62&gt;20),OR('01_INPUT_COMPANIES'!$Z$62&lt;-2,'01_INPUT_COMPANIES'!$Z$62&gt;2),OR('01_INPUT_COMPANIES'!$AA$62&lt;0,'01_INPUT_COMPANIES'!$AA$62&gt;1),OR('01_INPUT_COMPANIES'!$AB$62&lt;0,'01_INPUT_COMPANIES'!$AB$62&gt;1),OR('01_INPUT_COMPANIES'!$AC$62&lt;0,'01_INPUT_COMPANIES'!$AC$62&gt;50))," | REVIEW RANGE","")&amp;IF(COUNTIF('90_CALC_FEATURES'!$J$557:$J$566,"WINSORIZED*")&gt;0," | WINSORIZED","")&amp;IF(ABS('01_INPUT_COMPANIES'!$U$62-'01_INPUT_COMPANIES'!$V$62*'01_INPUT_COMPANIES'!$AB$62)&gt;MAX(0.005,0.05*MAX(ABS('01_INPUT_COMPANIES'!$V$62*'01_INPUT_COMPANIES'!$AB$62),ABS('01_INPUT_COMPANIES'!$U$62),0.000000000001))," | DEPENDENCY",""))))))))))))))))))))</x:f>
      </x:c>
      <x:c r="AC62" s="34" t="str">
        <x:f>IF(A62="","",IF(OR(LEFT(AB62,4)="PASS",LEFT(AB62,5)="READY"),"RESEARCH BETA | 저지원 22.22% | 기업 백분위 N/A", "결과 사용 금지 | "&amp;AB62))</x:f>
      </x:c>
      <x:c r="AD62" s="34" t="str">
        <x:f>IF(A62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$62,TRIM('01_INPUT_COMPANIES'!$D$62)),EXACT('01_INPUT_COMPANIES'!$E$62,TRIM('01_INPUT_COMPANIES'!$E$62)),EXACT('01_INPUT_COMPANIES'!$F$62,TRIM('01_INPUT_COMPANIES'!$F$62)),EXACT('01_INPUT_COMPANIES'!$G$62,TRIM('01_INPUT_COMPANIES'!$G$62)),EXACT('01_INPUT_COMPANIES'!$H$62,TRIM('01_INPUT_COMPANIES'!$H$62)))),"ERROR: COHORT WHITESPACE",IF(NOT(IFERROR(AND(ISTEXT('01_INPUT_COMPANIES'!$O$62),LEN('01_INPUT_COMPANIES'!$O$62)=10,VALUE(LEFT('01_INPUT_COMPANIES'!$O$62,4))&gt;=2000,VALUE(LEFT('01_INPUT_COMPANIES'!$O$62,4))&lt;=2100,EXACT(TEXT(DATE(VALUE(LEFT('01_INPUT_COMPANIES'!$O$62,4)),VALUE(MID('01_INPUT_COMPANIES'!$O$62,6,2)),VALUE(RIGHT('01_INPUT_COMPANIES'!$O$62,2))),"yyyy-mm-dd"),'01_INPUT_COMPANIES'!$O$62)),FALSE)),"ERROR: SOURCE DATE",IF(NOT(AND(OR(EXACT('01_INPUT_COMPANIES'!$C$62,"domestic"),EXACT('01_INPUT_COMPANIES'!$C$62,"foreign"),EXACT('01_INPUT_COMPANIES'!$C$62,"other")),OR(EXACT('01_INPUT_COMPANIES'!$K$62,"A"),EXACT('01_INPUT_COMPANIES'!$K$62,"B"),EXACT('01_INPUT_COMPANIES'!$K$62,"C"),EXACT('01_INPUT_COMPANIES'!$K$62,"SYNTHETIC")),OR(EXACT('01_INPUT_COMPANIES'!$L$62,"yes"),EXACT('01_INPUT_COMPANIES'!$L$62,"no")),OR(EXACT('01_INPUT_COMPANIES'!$M$62,"direct"),EXACT('01_INPUT_COMPANIES'!$M$62,"derived"),EXACT('01_INPUT_COMPANIES'!$M$62,"proxy"),EXACT('01_INPUT_COMPANIES'!$M$62,"mixed")),OR(EXACT('01_INPUT_COMPANIES'!$Q$62,"yes")),EXACT('01_INPUT_COMPANIES'!$I$62,UPPER('01_INPUT_COMPANIES'!$I$62)))),"ERROR: EXACT ENUM",IF(NOT(IFERROR(OR(AND(EXACT('92_REF_VARIABLES'!$A$21,'01_INPUT_COMPANIES'!$H$62),EXACT('92_REF_VARIABLES'!$B$21,'01_INPUT_COMPANIES'!$D$62),EXACT('92_REF_VARIABLES'!$C$21,'01_INPUT_COMPANIES'!$G$62))),FALSE)),"ERROR: BENCHMARK",""))))))</x:f>
      </x:c>
    </x:row>
    <x:row r="63">
      <x:c r="A63" s="34" t="str">
        <x:f>IF(OR('01_INPUT_COMPANIES'!$A$63="",'01_INPUT_COMPANIES'!$A$63=""),"",'01_INPUT_COMPANIES'!$A$63)</x:f>
      </x:c>
      <x:c r="B63" s="34" t="str">
        <x:f>IF(OR('01_INPUT_COMPANIES'!$A$63="",'01_INPUT_COMPANIES'!$B$63=""),"",'01_INPUT_COMPANIES'!$B$63)</x:f>
      </x:c>
      <x:c r="C63" s="34" t="str">
        <x:f>IF(OR('01_INPUT_COMPANIES'!$A$63="",'01_INPUT_COMPANIES'!$C$63=""),"",'01_INPUT_COMPANIES'!$C$63)</x:f>
      </x:c>
      <x:c r="D63" s="34" t="str">
        <x:f>IF(OR('01_INPUT_COMPANIES'!$A$63="",'01_INPUT_COMPANIES'!$D$63=""),"",'01_INPUT_COMPANIES'!$D$63)</x:f>
      </x:c>
      <x:c r="E63" s="34" t="str">
        <x:f>IF(OR('01_INPUT_COMPANIES'!$A$63="",'01_INPUT_COMPANIES'!$E$63=""),"",'01_INPUT_COMPANIES'!$E$63)</x:f>
      </x:c>
      <x:c r="F63" s="34" t="str">
        <x:f>IF(OR('01_INPUT_COMPANIES'!$A$63="",'01_INPUT_COMPANIES'!$F$63=""),"",'01_INPUT_COMPANIES'!$F$63)</x:f>
      </x:c>
      <x:c r="G63" s="34" t="str">
        <x:f>IF(OR('01_INPUT_COMPANIES'!$A$63="",'01_INPUT_COMPANIES'!$G$63=""),"",'01_INPUT_COMPANIES'!$G$63)</x:f>
      </x:c>
      <x:c r="H63" s="34" t="str">
        <x:f>IF(OR('01_INPUT_COMPANIES'!$A$63="",'01_INPUT_COMPANIES'!$H$63=""),"",'01_INPUT_COMPANIES'!$H$63)</x:f>
      </x:c>
      <x:c r="I63" s="34" t="str">
        <x:f>IF(OR('01_INPUT_COMPANIES'!$A$63="",'01_INPUT_COMPANIES'!$K$63=""),"",'01_INPUT_COMPANIES'!$K$63)</x:f>
      </x:c>
      <x:c r="J63" s="34" t="str">
        <x:f>IF(OR('01_INPUT_COMPANIES'!$A$63="",'01_INPUT_COMPANIES'!$M$63=""),"",'01_INPUT_COMPANIES'!$M$63)</x:f>
      </x:c>
      <x:c r="K63" s="34" t="str">
        <x:f>IF(OR(A63="",COUNTBLANK(D63:H63)&gt;0),"",LEN(D63)&amp;":"&amp;D63&amp;LEN(E63)&amp;":"&amp;E63&amp;LEN(F63)&amp;":"&amp;F63&amp;LEN(G63)&amp;":"&amp;G63&amp;LEN(H63)&amp;":"&amp;H63)</x:f>
      </x:c>
      <x:c r="L63" s="47" t="str">
        <x:f>IF(A63="","",'90_CALC_FEATURES'!$I$567)</x:f>
      </x:c>
      <x:c r="M63" s="47" t="str">
        <x:f>IF(A63="","",'90_CALC_FEATURES'!$I$568)</x:f>
      </x:c>
      <x:c r="N63" s="47" t="str">
        <x:f>IF(A63="","",'90_CALC_FEATURES'!$I$569)</x:f>
      </x:c>
      <x:c r="O63" s="47" t="str">
        <x:f>IF(A63="","",'90_CALC_FEATURES'!$I$570)</x:f>
      </x:c>
      <x:c r="P63" s="47" t="str">
        <x:f>IF(A63="","",'90_CALC_FEATURES'!$I$571)</x:f>
      </x:c>
      <x:c r="Q63" s="47" t="str">
        <x:f>IF(A63="","",'90_CALC_FEATURES'!$I$572)</x:f>
      </x:c>
      <x:c r="R63" s="47" t="str">
        <x:f>IF(A63="","",'90_CALC_FEATURES'!$I$573)</x:f>
      </x:c>
      <x:c r="S63" s="47" t="str">
        <x:f>IF(A63="","",'90_CALC_FEATURES'!$I$574)</x:f>
      </x:c>
      <x:c r="T63" s="47" t="str">
        <x:f>IF(A63="","",'90_CALC_FEATURES'!$I$575)</x:f>
      </x:c>
      <x:c r="U63" s="47" t="str">
        <x:f>IF(A63="","",'90_CALC_FEATURES'!$I$576)</x:f>
      </x:c>
      <x:c r="V63" s="47" t="str">
        <x:f>IF(COUNT(L63:N63)=3,100*AVERAGE(L63:N63),"")</x:f>
      </x:c>
      <x:c r="W63" s="47" t="str">
        <x:f>IF(COUNT(O63:R63)=4,100*AVERAGE(O63:R63),"")</x:f>
      </x:c>
      <x:c r="X63" s="47" t="str">
        <x:f>IF(COUNT(S63:U63)=3,100*AVERAGE(S63:U63),"")</x:f>
      </x:c>
      <x:c r="Y63" s="47" t="str">
        <x:f>IF(COUNT(V63:X63)=3,AVERAGE(V63:X63),"")</x:f>
      </x:c>
      <x:c r="Z63" s="47" t="str">
        <x:f>IF(OR(AND(EXACT(A63,"SYN-A"),COUNT('01_INPUT_COMPANIES'!$T$63:$AC$63)=10,'01_INPUT_COMPANIES'!$T$63=-0.02,'01_INPUT_COMPANIES'!$U$63=0.1332,'01_INPUT_COMPANIES'!$V$63=0.18,'01_INPUT_COMPANIES'!$W$63=0.42,'01_INPUT_COMPANIES'!$X$63=0.012,'01_INPUT_COMPANIES'!$Y$63=3.2,'01_INPUT_COMPANIES'!$Z$63=0.08,'01_INPUT_COMPANIES'!$AA$63=0.28,'01_INPUT_COMPANIES'!$AB$63=0.74,'01_INPUT_COMPANIES'!$AC$63=8.5),AND(EXACT(A63,"SYN-B"),COUNT('01_INPUT_COMPANIES'!$T$63:$AC$63)=10,'01_INPUT_COMPANIES'!$T$63=-0.055,'01_INPUT_COMPANIES'!$U$63=0.06405,'01_INPUT_COMPANIES'!$V$63=0.105,'01_INPUT_COMPANIES'!$W$63=0.73,'01_INPUT_COMPANIES'!$X$63=0.004,'01_INPUT_COMPANIES'!$Y$63=4.1,'01_INPUT_COMPANIES'!$Z$63=0.025,'01_INPUT_COMPANIES'!$AA$63=0.16,'01_INPUT_COMPANIES'!$AB$63=0.61,'01_INPUT_COMPANIES'!$AC$63=4),AND(EXACT(A63,"SYN-C"),COUNT('01_INPUT_COMPANIES'!$T$63:$AC$63)=10,'01_INPUT_COMPANIES'!$T$63=0.01,'01_INPUT_COMPANIES'!$U$63=0.0986,'01_INPUT_COMPANIES'!$V$63=0.145,'01_INPUT_COMPANIES'!$W$63=0.18,'01_INPUT_COMPANIES'!$X$63=0.018,'01_INPUT_COMPANIES'!$Y$63=2.65,'01_INPUT_COMPANIES'!$Z$63=0.11,'01_INPUT_COMPANIES'!$AA$63=0.34,'01_INPUT_COMPANIES'!$AB$63=0.68,'01_INPUT_COMPANIES'!$AC$63=6.8),AND(EXACT(A63,"SYN-D"),COUNT('01_INPUT_COMPANIES'!$T$63:$AC$63)=10,'01_INPUT_COMPANIES'!$T$63=-0.005,'01_INPUT_COMPANIES'!$U$63=0.1136,'01_INPUT_COMPANIES'!$V$63=0.16,'01_INPUT_COMPANIES'!$W$63=0.51,'01_INPUT_COMPANIES'!$X$63=0.009,'01_INPUT_COMPANIES'!$Y$63=3.55,'01_INPUT_COMPANIES'!$Z$63=0.065,'01_INPUT_COMPANIES'!$AA$63=0.24,'01_INPUT_COMPANIES'!$AB$63=0.71,'01_INPUT_COMPANIES'!$AC$63=7.4)),IFERROR(INDEX('94_EXPECTED_OUTPUTS'!$B$7:$B$10,MATCH(A63,'94_EXPECTED_OUTPUTS'!$A$7:$A$10,0)),""),"")</x:f>
      </x:c>
      <x:c r="AA63" s="47" t="str">
        <x:f>IF(OR(COUNT(Y63)=0,COUNT(Z63)=0),"",ABS(Y63-Z63))</x:f>
      </x:c>
      <x:c r="AB63" s="34" t="str">
        <x:f>IF(A63="","",IF(AD63&lt;&gt;"",AD63,IF('01_INPUT_COMPANIES'!$A$63="","",IF(OR(LEN(TRIM('01_INPUT_COMPANIES'!$A$63&amp;""))=0,LEN(TRIM('01_INPUT_COMPANIES'!$B$63&amp;""))=0,LEN(TRIM('01_INPUT_COMPANIES'!$C$63&amp;""))=0,LEN(TRIM('01_INPUT_COMPANIES'!$D$63&amp;""))=0,LEN(TRIM('01_INPUT_COMPANIES'!$E$63&amp;""))=0,LEN(TRIM('01_INPUT_COMPANIES'!$F$63&amp;""))=0,LEN(TRIM('01_INPUT_COMPANIES'!$G$63&amp;""))=0,LEN(TRIM('01_INPUT_COMPANIES'!$H$63&amp;""))=0,LEN(TRIM('01_INPUT_COMPANIES'!$I$63&amp;""))=0,LEN(TRIM('01_INPUT_COMPANIES'!$K$63&amp;""))=0,LEN(TRIM('01_INPUT_COMPANIES'!$L$63&amp;""))=0,LEN(TRIM('01_INPUT_COMPANIES'!$M$63&amp;""))=0,LEN(TRIM('01_INPUT_COMPANIES'!$N$63&amp;""))=0,LEN(TRIM('01_INPUT_COMPANIES'!$O$63&amp;""))=0,LEN(TRIM('01_INPUT_COMPANIES'!$Q$63&amp;""))=0,COUNTBLANK('01_INPUT_COMPANIES'!$A$63:$R$63)&gt;0),"INPUT REQUIRED",IF(OR('01_INPUT_COMPANIES'!$A$63&lt;&gt;TRIM('01_INPUT_COMPANIES'!$A$63),NOT(EXACT('01_INPUT_COMPANIES'!$A$63,UPPER('01_INPUT_COMPANIES'!$A$63))),LEN('01_INPUT_COMPANIES'!$A$63)&gt;64,ISNUMBER(FIND("*",'01_INPUT_COMPANIES'!$A$63)),ISNUMBER(FIND("?",'01_INPUT_COMPANIES'!$A$63)),ISNUMBER(FIND("~",'01_INPUT_COMPANIES'!$A$63))),"ERROR: ID FORMAT",IF(COUNTIF('01_INPUT_COMPANIES'!$A$7:$A$106,'01_INPUT_COMPANIES'!$A$63)&lt;&gt;1,"ERROR: DUPLICATE ID",IF(COUNT('01_INPUT_COMPANIES'!$T$63:$AC$63)&lt;&gt;10,"INPUT REQUIRED",IF(NOT(OR('01_INPUT_COMPANIES'!$C$63="domestic",'01_INPUT_COMPANIES'!$C$63="foreign",'01_INPUT_COMPANIES'!$C$63="other")),"ERROR: COMPANY GROUP",IF(OR(LEN('01_INPUT_COMPANIES'!$G$63)&lt;&gt;6,MID('01_INPUT_COMPANIES'!$G$63,5,1)&lt;&gt;"Q",IFERROR(VALUE(LEFT('01_INPUT_COMPANIES'!$G$63,4)),0)&lt;2000,IFERROR(VALUE(LEFT('01_INPUT_COMPANIES'!$G$63,4)),0)&gt;2100,IFERROR(VALUE(RIGHT('01_INPUT_COMPANIES'!$G$63,1)),0)&lt;1,IFERROR(VALUE(RIGHT('01_INPUT_COMPANIES'!$G$63,1)),0)&gt;4),"ERROR: REPORTING PERIOD",IF(OR(COUNTIFS('92_REF_VARIABLES'!$A$21:$A$21,'01_INPUT_COMPANIES'!$H$63,'92_REF_VARIABLES'!$B$21:$B$21,'01_INPUT_COMPANIES'!$D$63,'92_REF_VARIABLES'!$C$21:$C$21,'01_INPUT_COMPANIES'!$G$63)&lt;&gt;1,AND(IFERROR(INDEX('92_REF_VARIABLES'!$I$21:$I$21,MATCH('01_INPUT_COMPANIES'!$H$63,'92_REF_VARIABLES'!$A$21:$A$21,0)),"")="synthetic_only",'01_INPUT_COMPANIES'!$L$63&lt;&gt;"yes")),"ERROR: BENCHMARK",IF(COUNTIF('92_REF_VARIABLES'!$L$21:$L$50,'01_INPUT_COMPANIES'!$I$63)&lt;&gt;1,"ERROR: CURRENCY",IF(OR(NOT(ISNUMBER('01_INPUT_COMPANIES'!$J$63)),'01_INPUT_COMPANIES'!$J$63&lt;&gt;INT('01_INPUT_COMPANIES'!$J$63),'01_INPUT_COMPANIES'!$J$63&lt;2000,'01_INPUT_COMPANIES'!$J$63&gt;2100),"ERROR: PRICE YEAR",IF(NOT(OR('01_INPUT_COMPANIES'!$K$63="A",'01_INPUT_COMPANIES'!$K$63="B",'01_INPUT_COMPANIES'!$K$63="C",'01_INPUT_COMPANIES'!$K$63="SYNTHETIC")),"ERROR: QUALITY",IF(NOT(OR(AND('01_INPUT_COMPANIES'!$L$63="yes",'01_INPUT_COMPANIES'!$K$63="SYNTHETIC"),AND('01_INPUT_COMPANIES'!$L$63="no",'01_INPUT_COMPANIES'!$K$63&lt;&gt;"SYNTHETIC"))),"ERROR: SYNTHETIC FLAG",IF(NOT(OR('01_INPUT_COMPANIES'!$M$63="direct",'01_INPUT_COMPANIES'!$M$63="derived",'01_INPUT_COMPANIES'!$M$63="proxy",'01_INPUT_COMPANIES'!$M$63="mixed")),"ERROR: CONSTRUCTION MODE",IF(OR(NOT(ISNUMBER('01_INPUT_COMPANIES'!$P$63)),'01_INPUT_COMPANIES'!$P$63&lt;0,'01_INPUT_COMPANIES'!$P$63&lt;&gt;INT('01_INPUT_COMPANIES'!$P$63)),"ERROR: CARRY LAG",IF('01_INPUT_COMPANIES'!$Q$63&lt;&gt;"yes","ERROR: EXPOSURE ADJUSTMENT",IF(OR(NOT(ISNUMBER('01_INPUT_COMPANIES'!$R$63)),'01_INPUT_COMPANIES'!$R$63&lt;0,'01_INPUT_COMPANIES'!$R$63&gt;1),"ERROR: EXPOSURE FACTOR",IF(COUNT(Y63)=0,"ERROR: SCORE",IF(COUNT(Z63)=0,"READY",IF(AA63&lt;=0.0000000001,"PASS","CHECK"))&amp;IF('01_INPUT_COMPANIES'!$K$63="C"," | C QUALITY","")&amp;IF(OR('01_INPUT_COMPANIES'!$M$63="proxy",'01_INPUT_COMPANIES'!$M$63="mixed")," | PROXY/MIXED","")&amp;IF('01_INPUT_COMPANIES'!$P$63&gt;1," | CARRY&gt;1","")&amp;IF(OR(OR('01_INPUT_COMPANIES'!$T$63&lt;-1,'01_INPUT_COMPANIES'!$T$63&gt;1),OR('01_INPUT_COMPANIES'!$U$63&lt;0,'01_INPUT_COMPANIES'!$U$63&gt;1),OR('01_INPUT_COMPANIES'!$V$63&lt;0,'01_INPUT_COMPANIES'!$V$63&gt;1),OR('01_INPUT_COMPANIES'!$W$63&lt;-10,'01_INPUT_COMPANIES'!$W$63&gt;10),OR('01_INPUT_COMPANIES'!$X$63&lt;-1,'01_INPUT_COMPANIES'!$X$63&gt;1),OR('01_INPUT_COMPANIES'!$Y$63&lt;0,'01_INPUT_COMPANIES'!$Y$63&gt;20),OR('01_INPUT_COMPANIES'!$Z$63&lt;-2,'01_INPUT_COMPANIES'!$Z$63&gt;2),OR('01_INPUT_COMPANIES'!$AA$63&lt;0,'01_INPUT_COMPANIES'!$AA$63&gt;1),OR('01_INPUT_COMPANIES'!$AB$63&lt;0,'01_INPUT_COMPANIES'!$AB$63&gt;1),OR('01_INPUT_COMPANIES'!$AC$63&lt;0,'01_INPUT_COMPANIES'!$AC$63&gt;50))," | REVIEW RANGE","")&amp;IF(COUNTIF('90_CALC_FEATURES'!$J$567:$J$576,"WINSORIZED*")&gt;0," | WINSORIZED","")&amp;IF(ABS('01_INPUT_COMPANIES'!$U$63-'01_INPUT_COMPANIES'!$V$63*'01_INPUT_COMPANIES'!$AB$63)&gt;MAX(0.005,0.05*MAX(ABS('01_INPUT_COMPANIES'!$V$63*'01_INPUT_COMPANIES'!$AB$63),ABS('01_INPUT_COMPANIES'!$U$63),0.000000000001))," | DEPENDENCY",""))))))))))))))))))))</x:f>
      </x:c>
      <x:c r="AC63" s="34" t="str">
        <x:f>IF(A63="","",IF(OR(LEFT(AB63,4)="PASS",LEFT(AB63,5)="READY"),"RESEARCH BETA | 저지원 22.22% | 기업 백분위 N/A", "결과 사용 금지 | "&amp;AB63))</x:f>
      </x:c>
      <x:c r="AD63" s="34" t="str">
        <x:f>IF(A63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$63,TRIM('01_INPUT_COMPANIES'!$D$63)),EXACT('01_INPUT_COMPANIES'!$E$63,TRIM('01_INPUT_COMPANIES'!$E$63)),EXACT('01_INPUT_COMPANIES'!$F$63,TRIM('01_INPUT_COMPANIES'!$F$63)),EXACT('01_INPUT_COMPANIES'!$G$63,TRIM('01_INPUT_COMPANIES'!$G$63)),EXACT('01_INPUT_COMPANIES'!$H$63,TRIM('01_INPUT_COMPANIES'!$H$63)))),"ERROR: COHORT WHITESPACE",IF(NOT(IFERROR(AND(ISTEXT('01_INPUT_COMPANIES'!$O$63),LEN('01_INPUT_COMPANIES'!$O$63)=10,VALUE(LEFT('01_INPUT_COMPANIES'!$O$63,4))&gt;=2000,VALUE(LEFT('01_INPUT_COMPANIES'!$O$63,4))&lt;=2100,EXACT(TEXT(DATE(VALUE(LEFT('01_INPUT_COMPANIES'!$O$63,4)),VALUE(MID('01_INPUT_COMPANIES'!$O$63,6,2)),VALUE(RIGHT('01_INPUT_COMPANIES'!$O$63,2))),"yyyy-mm-dd"),'01_INPUT_COMPANIES'!$O$63)),FALSE)),"ERROR: SOURCE DATE",IF(NOT(AND(OR(EXACT('01_INPUT_COMPANIES'!$C$63,"domestic"),EXACT('01_INPUT_COMPANIES'!$C$63,"foreign"),EXACT('01_INPUT_COMPANIES'!$C$63,"other")),OR(EXACT('01_INPUT_COMPANIES'!$K$63,"A"),EXACT('01_INPUT_COMPANIES'!$K$63,"B"),EXACT('01_INPUT_COMPANIES'!$K$63,"C"),EXACT('01_INPUT_COMPANIES'!$K$63,"SYNTHETIC")),OR(EXACT('01_INPUT_COMPANIES'!$L$63,"yes"),EXACT('01_INPUT_COMPANIES'!$L$63,"no")),OR(EXACT('01_INPUT_COMPANIES'!$M$63,"direct"),EXACT('01_INPUT_COMPANIES'!$M$63,"derived"),EXACT('01_INPUT_COMPANIES'!$M$63,"proxy"),EXACT('01_INPUT_COMPANIES'!$M$63,"mixed")),OR(EXACT('01_INPUT_COMPANIES'!$Q$63,"yes")),EXACT('01_INPUT_COMPANIES'!$I$63,UPPER('01_INPUT_COMPANIES'!$I$63)))),"ERROR: EXACT ENUM",IF(NOT(IFERROR(OR(AND(EXACT('92_REF_VARIABLES'!$A$21,'01_INPUT_COMPANIES'!$H$63),EXACT('92_REF_VARIABLES'!$B$21,'01_INPUT_COMPANIES'!$D$63),EXACT('92_REF_VARIABLES'!$C$21,'01_INPUT_COMPANIES'!$G$63))),FALSE)),"ERROR: BENCHMARK",""))))))</x:f>
      </x:c>
    </x:row>
    <x:row r="64">
      <x:c r="A64" s="34" t="str">
        <x:f>IF(OR('01_INPUT_COMPANIES'!$A$64="",'01_INPUT_COMPANIES'!$A$64=""),"",'01_INPUT_COMPANIES'!$A$64)</x:f>
      </x:c>
      <x:c r="B64" s="34" t="str">
        <x:f>IF(OR('01_INPUT_COMPANIES'!$A$64="",'01_INPUT_COMPANIES'!$B$64=""),"",'01_INPUT_COMPANIES'!$B$64)</x:f>
      </x:c>
      <x:c r="C64" s="34" t="str">
        <x:f>IF(OR('01_INPUT_COMPANIES'!$A$64="",'01_INPUT_COMPANIES'!$C$64=""),"",'01_INPUT_COMPANIES'!$C$64)</x:f>
      </x:c>
      <x:c r="D64" s="34" t="str">
        <x:f>IF(OR('01_INPUT_COMPANIES'!$A$64="",'01_INPUT_COMPANIES'!$D$64=""),"",'01_INPUT_COMPANIES'!$D$64)</x:f>
      </x:c>
      <x:c r="E64" s="34" t="str">
        <x:f>IF(OR('01_INPUT_COMPANIES'!$A$64="",'01_INPUT_COMPANIES'!$E$64=""),"",'01_INPUT_COMPANIES'!$E$64)</x:f>
      </x:c>
      <x:c r="F64" s="34" t="str">
        <x:f>IF(OR('01_INPUT_COMPANIES'!$A$64="",'01_INPUT_COMPANIES'!$F$64=""),"",'01_INPUT_COMPANIES'!$F$64)</x:f>
      </x:c>
      <x:c r="G64" s="34" t="str">
        <x:f>IF(OR('01_INPUT_COMPANIES'!$A$64="",'01_INPUT_COMPANIES'!$G$64=""),"",'01_INPUT_COMPANIES'!$G$64)</x:f>
      </x:c>
      <x:c r="H64" s="34" t="str">
        <x:f>IF(OR('01_INPUT_COMPANIES'!$A$64="",'01_INPUT_COMPANIES'!$H$64=""),"",'01_INPUT_COMPANIES'!$H$64)</x:f>
      </x:c>
      <x:c r="I64" s="34" t="str">
        <x:f>IF(OR('01_INPUT_COMPANIES'!$A$64="",'01_INPUT_COMPANIES'!$K$64=""),"",'01_INPUT_COMPANIES'!$K$64)</x:f>
      </x:c>
      <x:c r="J64" s="34" t="str">
        <x:f>IF(OR('01_INPUT_COMPANIES'!$A$64="",'01_INPUT_COMPANIES'!$M$64=""),"",'01_INPUT_COMPANIES'!$M$64)</x:f>
      </x:c>
      <x:c r="K64" s="34" t="str">
        <x:f>IF(OR(A64="",COUNTBLANK(D64:H64)&gt;0),"",LEN(D64)&amp;":"&amp;D64&amp;LEN(E64)&amp;":"&amp;E64&amp;LEN(F64)&amp;":"&amp;F64&amp;LEN(G64)&amp;":"&amp;G64&amp;LEN(H64)&amp;":"&amp;H64)</x:f>
      </x:c>
      <x:c r="L64" s="47" t="str">
        <x:f>IF(A64="","",'90_CALC_FEATURES'!$I$577)</x:f>
      </x:c>
      <x:c r="M64" s="47" t="str">
        <x:f>IF(A64="","",'90_CALC_FEATURES'!$I$578)</x:f>
      </x:c>
      <x:c r="N64" s="47" t="str">
        <x:f>IF(A64="","",'90_CALC_FEATURES'!$I$579)</x:f>
      </x:c>
      <x:c r="O64" s="47" t="str">
        <x:f>IF(A64="","",'90_CALC_FEATURES'!$I$580)</x:f>
      </x:c>
      <x:c r="P64" s="47" t="str">
        <x:f>IF(A64="","",'90_CALC_FEATURES'!$I$581)</x:f>
      </x:c>
      <x:c r="Q64" s="47" t="str">
        <x:f>IF(A64="","",'90_CALC_FEATURES'!$I$582)</x:f>
      </x:c>
      <x:c r="R64" s="47" t="str">
        <x:f>IF(A64="","",'90_CALC_FEATURES'!$I$583)</x:f>
      </x:c>
      <x:c r="S64" s="47" t="str">
        <x:f>IF(A64="","",'90_CALC_FEATURES'!$I$584)</x:f>
      </x:c>
      <x:c r="T64" s="47" t="str">
        <x:f>IF(A64="","",'90_CALC_FEATURES'!$I$585)</x:f>
      </x:c>
      <x:c r="U64" s="47" t="str">
        <x:f>IF(A64="","",'90_CALC_FEATURES'!$I$586)</x:f>
      </x:c>
      <x:c r="V64" s="47" t="str">
        <x:f>IF(COUNT(L64:N64)=3,100*AVERAGE(L64:N64),"")</x:f>
      </x:c>
      <x:c r="W64" s="47" t="str">
        <x:f>IF(COUNT(O64:R64)=4,100*AVERAGE(O64:R64),"")</x:f>
      </x:c>
      <x:c r="X64" s="47" t="str">
        <x:f>IF(COUNT(S64:U64)=3,100*AVERAGE(S64:U64),"")</x:f>
      </x:c>
      <x:c r="Y64" s="47" t="str">
        <x:f>IF(COUNT(V64:X64)=3,AVERAGE(V64:X64),"")</x:f>
      </x:c>
      <x:c r="Z64" s="47" t="str">
        <x:f>IF(OR(AND(EXACT(A64,"SYN-A"),COUNT('01_INPUT_COMPANIES'!$T$64:$AC$64)=10,'01_INPUT_COMPANIES'!$T$64=-0.02,'01_INPUT_COMPANIES'!$U$64=0.1332,'01_INPUT_COMPANIES'!$V$64=0.18,'01_INPUT_COMPANIES'!$W$64=0.42,'01_INPUT_COMPANIES'!$X$64=0.012,'01_INPUT_COMPANIES'!$Y$64=3.2,'01_INPUT_COMPANIES'!$Z$64=0.08,'01_INPUT_COMPANIES'!$AA$64=0.28,'01_INPUT_COMPANIES'!$AB$64=0.74,'01_INPUT_COMPANIES'!$AC$64=8.5),AND(EXACT(A64,"SYN-B"),COUNT('01_INPUT_COMPANIES'!$T$64:$AC$64)=10,'01_INPUT_COMPANIES'!$T$64=-0.055,'01_INPUT_COMPANIES'!$U$64=0.06405,'01_INPUT_COMPANIES'!$V$64=0.105,'01_INPUT_COMPANIES'!$W$64=0.73,'01_INPUT_COMPANIES'!$X$64=0.004,'01_INPUT_COMPANIES'!$Y$64=4.1,'01_INPUT_COMPANIES'!$Z$64=0.025,'01_INPUT_COMPANIES'!$AA$64=0.16,'01_INPUT_COMPANIES'!$AB$64=0.61,'01_INPUT_COMPANIES'!$AC$64=4),AND(EXACT(A64,"SYN-C"),COUNT('01_INPUT_COMPANIES'!$T$64:$AC$64)=10,'01_INPUT_COMPANIES'!$T$64=0.01,'01_INPUT_COMPANIES'!$U$64=0.0986,'01_INPUT_COMPANIES'!$V$64=0.145,'01_INPUT_COMPANIES'!$W$64=0.18,'01_INPUT_COMPANIES'!$X$64=0.018,'01_INPUT_COMPANIES'!$Y$64=2.65,'01_INPUT_COMPANIES'!$Z$64=0.11,'01_INPUT_COMPANIES'!$AA$64=0.34,'01_INPUT_COMPANIES'!$AB$64=0.68,'01_INPUT_COMPANIES'!$AC$64=6.8),AND(EXACT(A64,"SYN-D"),COUNT('01_INPUT_COMPANIES'!$T$64:$AC$64)=10,'01_INPUT_COMPANIES'!$T$64=-0.005,'01_INPUT_COMPANIES'!$U$64=0.1136,'01_INPUT_COMPANIES'!$V$64=0.16,'01_INPUT_COMPANIES'!$W$64=0.51,'01_INPUT_COMPANIES'!$X$64=0.009,'01_INPUT_COMPANIES'!$Y$64=3.55,'01_INPUT_COMPANIES'!$Z$64=0.065,'01_INPUT_COMPANIES'!$AA$64=0.24,'01_INPUT_COMPANIES'!$AB$64=0.71,'01_INPUT_COMPANIES'!$AC$64=7.4)),IFERROR(INDEX('94_EXPECTED_OUTPUTS'!$B$7:$B$10,MATCH(A64,'94_EXPECTED_OUTPUTS'!$A$7:$A$10,0)),""),"")</x:f>
      </x:c>
      <x:c r="AA64" s="47" t="str">
        <x:f>IF(OR(COUNT(Y64)=0,COUNT(Z64)=0),"",ABS(Y64-Z64))</x:f>
      </x:c>
      <x:c r="AB64" s="34" t="str">
        <x:f>IF(A64="","",IF(AD64&lt;&gt;"",AD64,IF('01_INPUT_COMPANIES'!$A$64="","",IF(OR(LEN(TRIM('01_INPUT_COMPANIES'!$A$64&amp;""))=0,LEN(TRIM('01_INPUT_COMPANIES'!$B$64&amp;""))=0,LEN(TRIM('01_INPUT_COMPANIES'!$C$64&amp;""))=0,LEN(TRIM('01_INPUT_COMPANIES'!$D$64&amp;""))=0,LEN(TRIM('01_INPUT_COMPANIES'!$E$64&amp;""))=0,LEN(TRIM('01_INPUT_COMPANIES'!$F$64&amp;""))=0,LEN(TRIM('01_INPUT_COMPANIES'!$G$64&amp;""))=0,LEN(TRIM('01_INPUT_COMPANIES'!$H$64&amp;""))=0,LEN(TRIM('01_INPUT_COMPANIES'!$I$64&amp;""))=0,LEN(TRIM('01_INPUT_COMPANIES'!$K$64&amp;""))=0,LEN(TRIM('01_INPUT_COMPANIES'!$L$64&amp;""))=0,LEN(TRIM('01_INPUT_COMPANIES'!$M$64&amp;""))=0,LEN(TRIM('01_INPUT_COMPANIES'!$N$64&amp;""))=0,LEN(TRIM('01_INPUT_COMPANIES'!$O$64&amp;""))=0,LEN(TRIM('01_INPUT_COMPANIES'!$Q$64&amp;""))=0,COUNTBLANK('01_INPUT_COMPANIES'!$A$64:$R$64)&gt;0),"INPUT REQUIRED",IF(OR('01_INPUT_COMPANIES'!$A$64&lt;&gt;TRIM('01_INPUT_COMPANIES'!$A$64),NOT(EXACT('01_INPUT_COMPANIES'!$A$64,UPPER('01_INPUT_COMPANIES'!$A$64))),LEN('01_INPUT_COMPANIES'!$A$64)&gt;64,ISNUMBER(FIND("*",'01_INPUT_COMPANIES'!$A$64)),ISNUMBER(FIND("?",'01_INPUT_COMPANIES'!$A$64)),ISNUMBER(FIND("~",'01_INPUT_COMPANIES'!$A$64))),"ERROR: ID FORMAT",IF(COUNTIF('01_INPUT_COMPANIES'!$A$7:$A$106,'01_INPUT_COMPANIES'!$A$64)&lt;&gt;1,"ERROR: DUPLICATE ID",IF(COUNT('01_INPUT_COMPANIES'!$T$64:$AC$64)&lt;&gt;10,"INPUT REQUIRED",IF(NOT(OR('01_INPUT_COMPANIES'!$C$64="domestic",'01_INPUT_COMPANIES'!$C$64="foreign",'01_INPUT_COMPANIES'!$C$64="other")),"ERROR: COMPANY GROUP",IF(OR(LEN('01_INPUT_COMPANIES'!$G$64)&lt;&gt;6,MID('01_INPUT_COMPANIES'!$G$64,5,1)&lt;&gt;"Q",IFERROR(VALUE(LEFT('01_INPUT_COMPANIES'!$G$64,4)),0)&lt;2000,IFERROR(VALUE(LEFT('01_INPUT_COMPANIES'!$G$64,4)),0)&gt;2100,IFERROR(VALUE(RIGHT('01_INPUT_COMPANIES'!$G$64,1)),0)&lt;1,IFERROR(VALUE(RIGHT('01_INPUT_COMPANIES'!$G$64,1)),0)&gt;4),"ERROR: REPORTING PERIOD",IF(OR(COUNTIFS('92_REF_VARIABLES'!$A$21:$A$21,'01_INPUT_COMPANIES'!$H$64,'92_REF_VARIABLES'!$B$21:$B$21,'01_INPUT_COMPANIES'!$D$64,'92_REF_VARIABLES'!$C$21:$C$21,'01_INPUT_COMPANIES'!$G$64)&lt;&gt;1,AND(IFERROR(INDEX('92_REF_VARIABLES'!$I$21:$I$21,MATCH('01_INPUT_COMPANIES'!$H$64,'92_REF_VARIABLES'!$A$21:$A$21,0)),"")="synthetic_only",'01_INPUT_COMPANIES'!$L$64&lt;&gt;"yes")),"ERROR: BENCHMARK",IF(COUNTIF('92_REF_VARIABLES'!$L$21:$L$50,'01_INPUT_COMPANIES'!$I$64)&lt;&gt;1,"ERROR: CURRENCY",IF(OR(NOT(ISNUMBER('01_INPUT_COMPANIES'!$J$64)),'01_INPUT_COMPANIES'!$J$64&lt;&gt;INT('01_INPUT_COMPANIES'!$J$64),'01_INPUT_COMPANIES'!$J$64&lt;2000,'01_INPUT_COMPANIES'!$J$64&gt;2100),"ERROR: PRICE YEAR",IF(NOT(OR('01_INPUT_COMPANIES'!$K$64="A",'01_INPUT_COMPANIES'!$K$64="B",'01_INPUT_COMPANIES'!$K$64="C",'01_INPUT_COMPANIES'!$K$64="SYNTHETIC")),"ERROR: QUALITY",IF(NOT(OR(AND('01_INPUT_COMPANIES'!$L$64="yes",'01_INPUT_COMPANIES'!$K$64="SYNTHETIC"),AND('01_INPUT_COMPANIES'!$L$64="no",'01_INPUT_COMPANIES'!$K$64&lt;&gt;"SYNTHETIC"))),"ERROR: SYNTHETIC FLAG",IF(NOT(OR('01_INPUT_COMPANIES'!$M$64="direct",'01_INPUT_COMPANIES'!$M$64="derived",'01_INPUT_COMPANIES'!$M$64="proxy",'01_INPUT_COMPANIES'!$M$64="mixed")),"ERROR: CONSTRUCTION MODE",IF(OR(NOT(ISNUMBER('01_INPUT_COMPANIES'!$P$64)),'01_INPUT_COMPANIES'!$P$64&lt;0,'01_INPUT_COMPANIES'!$P$64&lt;&gt;INT('01_INPUT_COMPANIES'!$P$64)),"ERROR: CARRY LAG",IF('01_INPUT_COMPANIES'!$Q$64&lt;&gt;"yes","ERROR: EXPOSURE ADJUSTMENT",IF(OR(NOT(ISNUMBER('01_INPUT_COMPANIES'!$R$64)),'01_INPUT_COMPANIES'!$R$64&lt;0,'01_INPUT_COMPANIES'!$R$64&gt;1),"ERROR: EXPOSURE FACTOR",IF(COUNT(Y64)=0,"ERROR: SCORE",IF(COUNT(Z64)=0,"READY",IF(AA64&lt;=0.0000000001,"PASS","CHECK"))&amp;IF('01_INPUT_COMPANIES'!$K$64="C"," | C QUALITY","")&amp;IF(OR('01_INPUT_COMPANIES'!$M$64="proxy",'01_INPUT_COMPANIES'!$M$64="mixed")," | PROXY/MIXED","")&amp;IF('01_INPUT_COMPANIES'!$P$64&gt;1," | CARRY&gt;1","")&amp;IF(OR(OR('01_INPUT_COMPANIES'!$T$64&lt;-1,'01_INPUT_COMPANIES'!$T$64&gt;1),OR('01_INPUT_COMPANIES'!$U$64&lt;0,'01_INPUT_COMPANIES'!$U$64&gt;1),OR('01_INPUT_COMPANIES'!$V$64&lt;0,'01_INPUT_COMPANIES'!$V$64&gt;1),OR('01_INPUT_COMPANIES'!$W$64&lt;-10,'01_INPUT_COMPANIES'!$W$64&gt;10),OR('01_INPUT_COMPANIES'!$X$64&lt;-1,'01_INPUT_COMPANIES'!$X$64&gt;1),OR('01_INPUT_COMPANIES'!$Y$64&lt;0,'01_INPUT_COMPANIES'!$Y$64&gt;20),OR('01_INPUT_COMPANIES'!$Z$64&lt;-2,'01_INPUT_COMPANIES'!$Z$64&gt;2),OR('01_INPUT_COMPANIES'!$AA$64&lt;0,'01_INPUT_COMPANIES'!$AA$64&gt;1),OR('01_INPUT_COMPANIES'!$AB$64&lt;0,'01_INPUT_COMPANIES'!$AB$64&gt;1),OR('01_INPUT_COMPANIES'!$AC$64&lt;0,'01_INPUT_COMPANIES'!$AC$64&gt;50))," | REVIEW RANGE","")&amp;IF(COUNTIF('90_CALC_FEATURES'!$J$577:$J$586,"WINSORIZED*")&gt;0," | WINSORIZED","")&amp;IF(ABS('01_INPUT_COMPANIES'!$U$64-'01_INPUT_COMPANIES'!$V$64*'01_INPUT_COMPANIES'!$AB$64)&gt;MAX(0.005,0.05*MAX(ABS('01_INPUT_COMPANIES'!$V$64*'01_INPUT_COMPANIES'!$AB$64),ABS('01_INPUT_COMPANIES'!$U$64),0.000000000001))," | DEPENDENCY",""))))))))))))))))))))</x:f>
      </x:c>
      <x:c r="AC64" s="34" t="str">
        <x:f>IF(A64="","",IF(OR(LEFT(AB64,4)="PASS",LEFT(AB64,5)="READY"),"RESEARCH BETA | 저지원 22.22% | 기업 백분위 N/A", "결과 사용 금지 | "&amp;AB64))</x:f>
      </x:c>
      <x:c r="AD64" s="34" t="str">
        <x:f>IF(A64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$64,TRIM('01_INPUT_COMPANIES'!$D$64)),EXACT('01_INPUT_COMPANIES'!$E$64,TRIM('01_INPUT_COMPANIES'!$E$64)),EXACT('01_INPUT_COMPANIES'!$F$64,TRIM('01_INPUT_COMPANIES'!$F$64)),EXACT('01_INPUT_COMPANIES'!$G$64,TRIM('01_INPUT_COMPANIES'!$G$64)),EXACT('01_INPUT_COMPANIES'!$H$64,TRIM('01_INPUT_COMPANIES'!$H$64)))),"ERROR: COHORT WHITESPACE",IF(NOT(IFERROR(AND(ISTEXT('01_INPUT_COMPANIES'!$O$64),LEN('01_INPUT_COMPANIES'!$O$64)=10,VALUE(LEFT('01_INPUT_COMPANIES'!$O$64,4))&gt;=2000,VALUE(LEFT('01_INPUT_COMPANIES'!$O$64,4))&lt;=2100,EXACT(TEXT(DATE(VALUE(LEFT('01_INPUT_COMPANIES'!$O$64,4)),VALUE(MID('01_INPUT_COMPANIES'!$O$64,6,2)),VALUE(RIGHT('01_INPUT_COMPANIES'!$O$64,2))),"yyyy-mm-dd"),'01_INPUT_COMPANIES'!$O$64)),FALSE)),"ERROR: SOURCE DATE",IF(NOT(AND(OR(EXACT('01_INPUT_COMPANIES'!$C$64,"domestic"),EXACT('01_INPUT_COMPANIES'!$C$64,"foreign"),EXACT('01_INPUT_COMPANIES'!$C$64,"other")),OR(EXACT('01_INPUT_COMPANIES'!$K$64,"A"),EXACT('01_INPUT_COMPANIES'!$K$64,"B"),EXACT('01_INPUT_COMPANIES'!$K$64,"C"),EXACT('01_INPUT_COMPANIES'!$K$64,"SYNTHETIC")),OR(EXACT('01_INPUT_COMPANIES'!$L$64,"yes"),EXACT('01_INPUT_COMPANIES'!$L$64,"no")),OR(EXACT('01_INPUT_COMPANIES'!$M$64,"direct"),EXACT('01_INPUT_COMPANIES'!$M$64,"derived"),EXACT('01_INPUT_COMPANIES'!$M$64,"proxy"),EXACT('01_INPUT_COMPANIES'!$M$64,"mixed")),OR(EXACT('01_INPUT_COMPANIES'!$Q$64,"yes")),EXACT('01_INPUT_COMPANIES'!$I$64,UPPER('01_INPUT_COMPANIES'!$I$64)))),"ERROR: EXACT ENUM",IF(NOT(IFERROR(OR(AND(EXACT('92_REF_VARIABLES'!$A$21,'01_INPUT_COMPANIES'!$H$64),EXACT('92_REF_VARIABLES'!$B$21,'01_INPUT_COMPANIES'!$D$64),EXACT('92_REF_VARIABLES'!$C$21,'01_INPUT_COMPANIES'!$G$64))),FALSE)),"ERROR: BENCHMARK",""))))))</x:f>
      </x:c>
    </x:row>
    <x:row r="65">
      <x:c r="A65" s="34" t="str">
        <x:f>IF(OR('01_INPUT_COMPANIES'!$A$65="",'01_INPUT_COMPANIES'!$A$65=""),"",'01_INPUT_COMPANIES'!$A$65)</x:f>
      </x:c>
      <x:c r="B65" s="34" t="str">
        <x:f>IF(OR('01_INPUT_COMPANIES'!$A$65="",'01_INPUT_COMPANIES'!$B$65=""),"",'01_INPUT_COMPANIES'!$B$65)</x:f>
      </x:c>
      <x:c r="C65" s="34" t="str">
        <x:f>IF(OR('01_INPUT_COMPANIES'!$A$65="",'01_INPUT_COMPANIES'!$C$65=""),"",'01_INPUT_COMPANIES'!$C$65)</x:f>
      </x:c>
      <x:c r="D65" s="34" t="str">
        <x:f>IF(OR('01_INPUT_COMPANIES'!$A$65="",'01_INPUT_COMPANIES'!$D$65=""),"",'01_INPUT_COMPANIES'!$D$65)</x:f>
      </x:c>
      <x:c r="E65" s="34" t="str">
        <x:f>IF(OR('01_INPUT_COMPANIES'!$A$65="",'01_INPUT_COMPANIES'!$E$65=""),"",'01_INPUT_COMPANIES'!$E$65)</x:f>
      </x:c>
      <x:c r="F65" s="34" t="str">
        <x:f>IF(OR('01_INPUT_COMPANIES'!$A$65="",'01_INPUT_COMPANIES'!$F$65=""),"",'01_INPUT_COMPANIES'!$F$65)</x:f>
      </x:c>
      <x:c r="G65" s="34" t="str">
        <x:f>IF(OR('01_INPUT_COMPANIES'!$A$65="",'01_INPUT_COMPANIES'!$G$65=""),"",'01_INPUT_COMPANIES'!$G$65)</x:f>
      </x:c>
      <x:c r="H65" s="34" t="str">
        <x:f>IF(OR('01_INPUT_COMPANIES'!$A$65="",'01_INPUT_COMPANIES'!$H$65=""),"",'01_INPUT_COMPANIES'!$H$65)</x:f>
      </x:c>
      <x:c r="I65" s="34" t="str">
        <x:f>IF(OR('01_INPUT_COMPANIES'!$A$65="",'01_INPUT_COMPANIES'!$K$65=""),"",'01_INPUT_COMPANIES'!$K$65)</x:f>
      </x:c>
      <x:c r="J65" s="34" t="str">
        <x:f>IF(OR('01_INPUT_COMPANIES'!$A$65="",'01_INPUT_COMPANIES'!$M$65=""),"",'01_INPUT_COMPANIES'!$M$65)</x:f>
      </x:c>
      <x:c r="K65" s="34" t="str">
        <x:f>IF(OR(A65="",COUNTBLANK(D65:H65)&gt;0),"",LEN(D65)&amp;":"&amp;D65&amp;LEN(E65)&amp;":"&amp;E65&amp;LEN(F65)&amp;":"&amp;F65&amp;LEN(G65)&amp;":"&amp;G65&amp;LEN(H65)&amp;":"&amp;H65)</x:f>
      </x:c>
      <x:c r="L65" s="47" t="str">
        <x:f>IF(A65="","",'90_CALC_FEATURES'!$I$587)</x:f>
      </x:c>
      <x:c r="M65" s="47" t="str">
        <x:f>IF(A65="","",'90_CALC_FEATURES'!$I$588)</x:f>
      </x:c>
      <x:c r="N65" s="47" t="str">
        <x:f>IF(A65="","",'90_CALC_FEATURES'!$I$589)</x:f>
      </x:c>
      <x:c r="O65" s="47" t="str">
        <x:f>IF(A65="","",'90_CALC_FEATURES'!$I$590)</x:f>
      </x:c>
      <x:c r="P65" s="47" t="str">
        <x:f>IF(A65="","",'90_CALC_FEATURES'!$I$591)</x:f>
      </x:c>
      <x:c r="Q65" s="47" t="str">
        <x:f>IF(A65="","",'90_CALC_FEATURES'!$I$592)</x:f>
      </x:c>
      <x:c r="R65" s="47" t="str">
        <x:f>IF(A65="","",'90_CALC_FEATURES'!$I$593)</x:f>
      </x:c>
      <x:c r="S65" s="47" t="str">
        <x:f>IF(A65="","",'90_CALC_FEATURES'!$I$594)</x:f>
      </x:c>
      <x:c r="T65" s="47" t="str">
        <x:f>IF(A65="","",'90_CALC_FEATURES'!$I$595)</x:f>
      </x:c>
      <x:c r="U65" s="47" t="str">
        <x:f>IF(A65="","",'90_CALC_FEATURES'!$I$596)</x:f>
      </x:c>
      <x:c r="V65" s="47" t="str">
        <x:f>IF(COUNT(L65:N65)=3,100*AVERAGE(L65:N65),"")</x:f>
      </x:c>
      <x:c r="W65" s="47" t="str">
        <x:f>IF(COUNT(O65:R65)=4,100*AVERAGE(O65:R65),"")</x:f>
      </x:c>
      <x:c r="X65" s="47" t="str">
        <x:f>IF(COUNT(S65:U65)=3,100*AVERAGE(S65:U65),"")</x:f>
      </x:c>
      <x:c r="Y65" s="47" t="str">
        <x:f>IF(COUNT(V65:X65)=3,AVERAGE(V65:X65),"")</x:f>
      </x:c>
      <x:c r="Z65" s="47" t="str">
        <x:f>IF(OR(AND(EXACT(A65,"SYN-A"),COUNT('01_INPUT_COMPANIES'!$T$65:$AC$65)=10,'01_INPUT_COMPANIES'!$T$65=-0.02,'01_INPUT_COMPANIES'!$U$65=0.1332,'01_INPUT_COMPANIES'!$V$65=0.18,'01_INPUT_COMPANIES'!$W$65=0.42,'01_INPUT_COMPANIES'!$X$65=0.012,'01_INPUT_COMPANIES'!$Y$65=3.2,'01_INPUT_COMPANIES'!$Z$65=0.08,'01_INPUT_COMPANIES'!$AA$65=0.28,'01_INPUT_COMPANIES'!$AB$65=0.74,'01_INPUT_COMPANIES'!$AC$65=8.5),AND(EXACT(A65,"SYN-B"),COUNT('01_INPUT_COMPANIES'!$T$65:$AC$65)=10,'01_INPUT_COMPANIES'!$T$65=-0.055,'01_INPUT_COMPANIES'!$U$65=0.06405,'01_INPUT_COMPANIES'!$V$65=0.105,'01_INPUT_COMPANIES'!$W$65=0.73,'01_INPUT_COMPANIES'!$X$65=0.004,'01_INPUT_COMPANIES'!$Y$65=4.1,'01_INPUT_COMPANIES'!$Z$65=0.025,'01_INPUT_COMPANIES'!$AA$65=0.16,'01_INPUT_COMPANIES'!$AB$65=0.61,'01_INPUT_COMPANIES'!$AC$65=4),AND(EXACT(A65,"SYN-C"),COUNT('01_INPUT_COMPANIES'!$T$65:$AC$65)=10,'01_INPUT_COMPANIES'!$T$65=0.01,'01_INPUT_COMPANIES'!$U$65=0.0986,'01_INPUT_COMPANIES'!$V$65=0.145,'01_INPUT_COMPANIES'!$W$65=0.18,'01_INPUT_COMPANIES'!$X$65=0.018,'01_INPUT_COMPANIES'!$Y$65=2.65,'01_INPUT_COMPANIES'!$Z$65=0.11,'01_INPUT_COMPANIES'!$AA$65=0.34,'01_INPUT_COMPANIES'!$AB$65=0.68,'01_INPUT_COMPANIES'!$AC$65=6.8),AND(EXACT(A65,"SYN-D"),COUNT('01_INPUT_COMPANIES'!$T$65:$AC$65)=10,'01_INPUT_COMPANIES'!$T$65=-0.005,'01_INPUT_COMPANIES'!$U$65=0.1136,'01_INPUT_COMPANIES'!$V$65=0.16,'01_INPUT_COMPANIES'!$W$65=0.51,'01_INPUT_COMPANIES'!$X$65=0.009,'01_INPUT_COMPANIES'!$Y$65=3.55,'01_INPUT_COMPANIES'!$Z$65=0.065,'01_INPUT_COMPANIES'!$AA$65=0.24,'01_INPUT_COMPANIES'!$AB$65=0.71,'01_INPUT_COMPANIES'!$AC$65=7.4)),IFERROR(INDEX('94_EXPECTED_OUTPUTS'!$B$7:$B$10,MATCH(A65,'94_EXPECTED_OUTPUTS'!$A$7:$A$10,0)),""),"")</x:f>
      </x:c>
      <x:c r="AA65" s="47" t="str">
        <x:f>IF(OR(COUNT(Y65)=0,COUNT(Z65)=0),"",ABS(Y65-Z65))</x:f>
      </x:c>
      <x:c r="AB65" s="34" t="str">
        <x:f>IF(A65="","",IF(AD65&lt;&gt;"",AD65,IF('01_INPUT_COMPANIES'!$A$65="","",IF(OR(LEN(TRIM('01_INPUT_COMPANIES'!$A$65&amp;""))=0,LEN(TRIM('01_INPUT_COMPANIES'!$B$65&amp;""))=0,LEN(TRIM('01_INPUT_COMPANIES'!$C$65&amp;""))=0,LEN(TRIM('01_INPUT_COMPANIES'!$D$65&amp;""))=0,LEN(TRIM('01_INPUT_COMPANIES'!$E$65&amp;""))=0,LEN(TRIM('01_INPUT_COMPANIES'!$F$65&amp;""))=0,LEN(TRIM('01_INPUT_COMPANIES'!$G$65&amp;""))=0,LEN(TRIM('01_INPUT_COMPANIES'!$H$65&amp;""))=0,LEN(TRIM('01_INPUT_COMPANIES'!$I$65&amp;""))=0,LEN(TRIM('01_INPUT_COMPANIES'!$K$65&amp;""))=0,LEN(TRIM('01_INPUT_COMPANIES'!$L$65&amp;""))=0,LEN(TRIM('01_INPUT_COMPANIES'!$M$65&amp;""))=0,LEN(TRIM('01_INPUT_COMPANIES'!$N$65&amp;""))=0,LEN(TRIM('01_INPUT_COMPANIES'!$O$65&amp;""))=0,LEN(TRIM('01_INPUT_COMPANIES'!$Q$65&amp;""))=0,COUNTBLANK('01_INPUT_COMPANIES'!$A$65:$R$65)&gt;0),"INPUT REQUIRED",IF(OR('01_INPUT_COMPANIES'!$A$65&lt;&gt;TRIM('01_INPUT_COMPANIES'!$A$65),NOT(EXACT('01_INPUT_COMPANIES'!$A$65,UPPER('01_INPUT_COMPANIES'!$A$65))),LEN('01_INPUT_COMPANIES'!$A$65)&gt;64,ISNUMBER(FIND("*",'01_INPUT_COMPANIES'!$A$65)),ISNUMBER(FIND("?",'01_INPUT_COMPANIES'!$A$65)),ISNUMBER(FIND("~",'01_INPUT_COMPANIES'!$A$65))),"ERROR: ID FORMAT",IF(COUNTIF('01_INPUT_COMPANIES'!$A$7:$A$106,'01_INPUT_COMPANIES'!$A$65)&lt;&gt;1,"ERROR: DUPLICATE ID",IF(COUNT('01_INPUT_COMPANIES'!$T$65:$AC$65)&lt;&gt;10,"INPUT REQUIRED",IF(NOT(OR('01_INPUT_COMPANIES'!$C$65="domestic",'01_INPUT_COMPANIES'!$C$65="foreign",'01_INPUT_COMPANIES'!$C$65="other")),"ERROR: COMPANY GROUP",IF(OR(LEN('01_INPUT_COMPANIES'!$G$65)&lt;&gt;6,MID('01_INPUT_COMPANIES'!$G$65,5,1)&lt;&gt;"Q",IFERROR(VALUE(LEFT('01_INPUT_COMPANIES'!$G$65,4)),0)&lt;2000,IFERROR(VALUE(LEFT('01_INPUT_COMPANIES'!$G$65,4)),0)&gt;2100,IFERROR(VALUE(RIGHT('01_INPUT_COMPANIES'!$G$65,1)),0)&lt;1,IFERROR(VALUE(RIGHT('01_INPUT_COMPANIES'!$G$65,1)),0)&gt;4),"ERROR: REPORTING PERIOD",IF(OR(COUNTIFS('92_REF_VARIABLES'!$A$21:$A$21,'01_INPUT_COMPANIES'!$H$65,'92_REF_VARIABLES'!$B$21:$B$21,'01_INPUT_COMPANIES'!$D$65,'92_REF_VARIABLES'!$C$21:$C$21,'01_INPUT_COMPANIES'!$G$65)&lt;&gt;1,AND(IFERROR(INDEX('92_REF_VARIABLES'!$I$21:$I$21,MATCH('01_INPUT_COMPANIES'!$H$65,'92_REF_VARIABLES'!$A$21:$A$21,0)),"")="synthetic_only",'01_INPUT_COMPANIES'!$L$65&lt;&gt;"yes")),"ERROR: BENCHMARK",IF(COUNTIF('92_REF_VARIABLES'!$L$21:$L$50,'01_INPUT_COMPANIES'!$I$65)&lt;&gt;1,"ERROR: CURRENCY",IF(OR(NOT(ISNUMBER('01_INPUT_COMPANIES'!$J$65)),'01_INPUT_COMPANIES'!$J$65&lt;&gt;INT('01_INPUT_COMPANIES'!$J$65),'01_INPUT_COMPANIES'!$J$65&lt;2000,'01_INPUT_COMPANIES'!$J$65&gt;2100),"ERROR: PRICE YEAR",IF(NOT(OR('01_INPUT_COMPANIES'!$K$65="A",'01_INPUT_COMPANIES'!$K$65="B",'01_INPUT_COMPANIES'!$K$65="C",'01_INPUT_COMPANIES'!$K$65="SYNTHETIC")),"ERROR: QUALITY",IF(NOT(OR(AND('01_INPUT_COMPANIES'!$L$65="yes",'01_INPUT_COMPANIES'!$K$65="SYNTHETIC"),AND('01_INPUT_COMPANIES'!$L$65="no",'01_INPUT_COMPANIES'!$K$65&lt;&gt;"SYNTHETIC"))),"ERROR: SYNTHETIC FLAG",IF(NOT(OR('01_INPUT_COMPANIES'!$M$65="direct",'01_INPUT_COMPANIES'!$M$65="derived",'01_INPUT_COMPANIES'!$M$65="proxy",'01_INPUT_COMPANIES'!$M$65="mixed")),"ERROR: CONSTRUCTION MODE",IF(OR(NOT(ISNUMBER('01_INPUT_COMPANIES'!$P$65)),'01_INPUT_COMPANIES'!$P$65&lt;0,'01_INPUT_COMPANIES'!$P$65&lt;&gt;INT('01_INPUT_COMPANIES'!$P$65)),"ERROR: CARRY LAG",IF('01_INPUT_COMPANIES'!$Q$65&lt;&gt;"yes","ERROR: EXPOSURE ADJUSTMENT",IF(OR(NOT(ISNUMBER('01_INPUT_COMPANIES'!$R$65)),'01_INPUT_COMPANIES'!$R$65&lt;0,'01_INPUT_COMPANIES'!$R$65&gt;1),"ERROR: EXPOSURE FACTOR",IF(COUNT(Y65)=0,"ERROR: SCORE",IF(COUNT(Z65)=0,"READY",IF(AA65&lt;=0.0000000001,"PASS","CHECK"))&amp;IF('01_INPUT_COMPANIES'!$K$65="C"," | C QUALITY","")&amp;IF(OR('01_INPUT_COMPANIES'!$M$65="proxy",'01_INPUT_COMPANIES'!$M$65="mixed")," | PROXY/MIXED","")&amp;IF('01_INPUT_COMPANIES'!$P$65&gt;1," | CARRY&gt;1","")&amp;IF(OR(OR('01_INPUT_COMPANIES'!$T$65&lt;-1,'01_INPUT_COMPANIES'!$T$65&gt;1),OR('01_INPUT_COMPANIES'!$U$65&lt;0,'01_INPUT_COMPANIES'!$U$65&gt;1),OR('01_INPUT_COMPANIES'!$V$65&lt;0,'01_INPUT_COMPANIES'!$V$65&gt;1),OR('01_INPUT_COMPANIES'!$W$65&lt;-10,'01_INPUT_COMPANIES'!$W$65&gt;10),OR('01_INPUT_COMPANIES'!$X$65&lt;-1,'01_INPUT_COMPANIES'!$X$65&gt;1),OR('01_INPUT_COMPANIES'!$Y$65&lt;0,'01_INPUT_COMPANIES'!$Y$65&gt;20),OR('01_INPUT_COMPANIES'!$Z$65&lt;-2,'01_INPUT_COMPANIES'!$Z$65&gt;2),OR('01_INPUT_COMPANIES'!$AA$65&lt;0,'01_INPUT_COMPANIES'!$AA$65&gt;1),OR('01_INPUT_COMPANIES'!$AB$65&lt;0,'01_INPUT_COMPANIES'!$AB$65&gt;1),OR('01_INPUT_COMPANIES'!$AC$65&lt;0,'01_INPUT_COMPANIES'!$AC$65&gt;50))," | REVIEW RANGE","")&amp;IF(COUNTIF('90_CALC_FEATURES'!$J$587:$J$596,"WINSORIZED*")&gt;0," | WINSORIZED","")&amp;IF(ABS('01_INPUT_COMPANIES'!$U$65-'01_INPUT_COMPANIES'!$V$65*'01_INPUT_COMPANIES'!$AB$65)&gt;MAX(0.005,0.05*MAX(ABS('01_INPUT_COMPANIES'!$V$65*'01_INPUT_COMPANIES'!$AB$65),ABS('01_INPUT_COMPANIES'!$U$65),0.000000000001))," | DEPENDENCY",""))))))))))))))))))))</x:f>
      </x:c>
      <x:c r="AC65" s="34" t="str">
        <x:f>IF(A65="","",IF(OR(LEFT(AB65,4)="PASS",LEFT(AB65,5)="READY"),"RESEARCH BETA | 저지원 22.22% | 기업 백분위 N/A", "결과 사용 금지 | "&amp;AB65))</x:f>
      </x:c>
      <x:c r="AD65" s="34" t="str">
        <x:f>IF(A65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$65,TRIM('01_INPUT_COMPANIES'!$D$65)),EXACT('01_INPUT_COMPANIES'!$E$65,TRIM('01_INPUT_COMPANIES'!$E$65)),EXACT('01_INPUT_COMPANIES'!$F$65,TRIM('01_INPUT_COMPANIES'!$F$65)),EXACT('01_INPUT_COMPANIES'!$G$65,TRIM('01_INPUT_COMPANIES'!$G$65)),EXACT('01_INPUT_COMPANIES'!$H$65,TRIM('01_INPUT_COMPANIES'!$H$65)))),"ERROR: COHORT WHITESPACE",IF(NOT(IFERROR(AND(ISTEXT('01_INPUT_COMPANIES'!$O$65),LEN('01_INPUT_COMPANIES'!$O$65)=10,VALUE(LEFT('01_INPUT_COMPANIES'!$O$65,4))&gt;=2000,VALUE(LEFT('01_INPUT_COMPANIES'!$O$65,4))&lt;=2100,EXACT(TEXT(DATE(VALUE(LEFT('01_INPUT_COMPANIES'!$O$65,4)),VALUE(MID('01_INPUT_COMPANIES'!$O$65,6,2)),VALUE(RIGHT('01_INPUT_COMPANIES'!$O$65,2))),"yyyy-mm-dd"),'01_INPUT_COMPANIES'!$O$65)),FALSE)),"ERROR: SOURCE DATE",IF(NOT(AND(OR(EXACT('01_INPUT_COMPANIES'!$C$65,"domestic"),EXACT('01_INPUT_COMPANIES'!$C$65,"foreign"),EXACT('01_INPUT_COMPANIES'!$C$65,"other")),OR(EXACT('01_INPUT_COMPANIES'!$K$65,"A"),EXACT('01_INPUT_COMPANIES'!$K$65,"B"),EXACT('01_INPUT_COMPANIES'!$K$65,"C"),EXACT('01_INPUT_COMPANIES'!$K$65,"SYNTHETIC")),OR(EXACT('01_INPUT_COMPANIES'!$L$65,"yes"),EXACT('01_INPUT_COMPANIES'!$L$65,"no")),OR(EXACT('01_INPUT_COMPANIES'!$M$65,"direct"),EXACT('01_INPUT_COMPANIES'!$M$65,"derived"),EXACT('01_INPUT_COMPANIES'!$M$65,"proxy"),EXACT('01_INPUT_COMPANIES'!$M$65,"mixed")),OR(EXACT('01_INPUT_COMPANIES'!$Q$65,"yes")),EXACT('01_INPUT_COMPANIES'!$I$65,UPPER('01_INPUT_COMPANIES'!$I$65)))),"ERROR: EXACT ENUM",IF(NOT(IFERROR(OR(AND(EXACT('92_REF_VARIABLES'!$A$21,'01_INPUT_COMPANIES'!$H$65),EXACT('92_REF_VARIABLES'!$B$21,'01_INPUT_COMPANIES'!$D$65),EXACT('92_REF_VARIABLES'!$C$21,'01_INPUT_COMPANIES'!$G$65))),FALSE)),"ERROR: BENCHMARK",""))))))</x:f>
      </x:c>
    </x:row>
    <x:row r="66">
      <x:c r="A66" s="34" t="str">
        <x:f>IF(OR('01_INPUT_COMPANIES'!$A$66="",'01_INPUT_COMPANIES'!$A$66=""),"",'01_INPUT_COMPANIES'!$A$66)</x:f>
      </x:c>
      <x:c r="B66" s="34" t="str">
        <x:f>IF(OR('01_INPUT_COMPANIES'!$A$66="",'01_INPUT_COMPANIES'!$B$66=""),"",'01_INPUT_COMPANIES'!$B$66)</x:f>
      </x:c>
      <x:c r="C66" s="34" t="str">
        <x:f>IF(OR('01_INPUT_COMPANIES'!$A$66="",'01_INPUT_COMPANIES'!$C$66=""),"",'01_INPUT_COMPANIES'!$C$66)</x:f>
      </x:c>
      <x:c r="D66" s="34" t="str">
        <x:f>IF(OR('01_INPUT_COMPANIES'!$A$66="",'01_INPUT_COMPANIES'!$D$66=""),"",'01_INPUT_COMPANIES'!$D$66)</x:f>
      </x:c>
      <x:c r="E66" s="34" t="str">
        <x:f>IF(OR('01_INPUT_COMPANIES'!$A$66="",'01_INPUT_COMPANIES'!$E$66=""),"",'01_INPUT_COMPANIES'!$E$66)</x:f>
      </x:c>
      <x:c r="F66" s="34" t="str">
        <x:f>IF(OR('01_INPUT_COMPANIES'!$A$66="",'01_INPUT_COMPANIES'!$F$66=""),"",'01_INPUT_COMPANIES'!$F$66)</x:f>
      </x:c>
      <x:c r="G66" s="34" t="str">
        <x:f>IF(OR('01_INPUT_COMPANIES'!$A$66="",'01_INPUT_COMPANIES'!$G$66=""),"",'01_INPUT_COMPANIES'!$G$66)</x:f>
      </x:c>
      <x:c r="H66" s="34" t="str">
        <x:f>IF(OR('01_INPUT_COMPANIES'!$A$66="",'01_INPUT_COMPANIES'!$H$66=""),"",'01_INPUT_COMPANIES'!$H$66)</x:f>
      </x:c>
      <x:c r="I66" s="34" t="str">
        <x:f>IF(OR('01_INPUT_COMPANIES'!$A$66="",'01_INPUT_COMPANIES'!$K$66=""),"",'01_INPUT_COMPANIES'!$K$66)</x:f>
      </x:c>
      <x:c r="J66" s="34" t="str">
        <x:f>IF(OR('01_INPUT_COMPANIES'!$A$66="",'01_INPUT_COMPANIES'!$M$66=""),"",'01_INPUT_COMPANIES'!$M$66)</x:f>
      </x:c>
      <x:c r="K66" s="34" t="str">
        <x:f>IF(OR(A66="",COUNTBLANK(D66:H66)&gt;0),"",LEN(D66)&amp;":"&amp;D66&amp;LEN(E66)&amp;":"&amp;E66&amp;LEN(F66)&amp;":"&amp;F66&amp;LEN(G66)&amp;":"&amp;G66&amp;LEN(H66)&amp;":"&amp;H66)</x:f>
      </x:c>
      <x:c r="L66" s="47" t="str">
        <x:f>IF(A66="","",'90_CALC_FEATURES'!$I$597)</x:f>
      </x:c>
      <x:c r="M66" s="47" t="str">
        <x:f>IF(A66="","",'90_CALC_FEATURES'!$I$598)</x:f>
      </x:c>
      <x:c r="N66" s="47" t="str">
        <x:f>IF(A66="","",'90_CALC_FEATURES'!$I$599)</x:f>
      </x:c>
      <x:c r="O66" s="47" t="str">
        <x:f>IF(A66="","",'90_CALC_FEATURES'!$I$600)</x:f>
      </x:c>
      <x:c r="P66" s="47" t="str">
        <x:f>IF(A66="","",'90_CALC_FEATURES'!$I$601)</x:f>
      </x:c>
      <x:c r="Q66" s="47" t="str">
        <x:f>IF(A66="","",'90_CALC_FEATURES'!$I$602)</x:f>
      </x:c>
      <x:c r="R66" s="47" t="str">
        <x:f>IF(A66="","",'90_CALC_FEATURES'!$I$603)</x:f>
      </x:c>
      <x:c r="S66" s="47" t="str">
        <x:f>IF(A66="","",'90_CALC_FEATURES'!$I$604)</x:f>
      </x:c>
      <x:c r="T66" s="47" t="str">
        <x:f>IF(A66="","",'90_CALC_FEATURES'!$I$605)</x:f>
      </x:c>
      <x:c r="U66" s="47" t="str">
        <x:f>IF(A66="","",'90_CALC_FEATURES'!$I$606)</x:f>
      </x:c>
      <x:c r="V66" s="47" t="str">
        <x:f>IF(COUNT(L66:N66)=3,100*AVERAGE(L66:N66),"")</x:f>
      </x:c>
      <x:c r="W66" s="47" t="str">
        <x:f>IF(COUNT(O66:R66)=4,100*AVERAGE(O66:R66),"")</x:f>
      </x:c>
      <x:c r="X66" s="47" t="str">
        <x:f>IF(COUNT(S66:U66)=3,100*AVERAGE(S66:U66),"")</x:f>
      </x:c>
      <x:c r="Y66" s="47" t="str">
        <x:f>IF(COUNT(V66:X66)=3,AVERAGE(V66:X66),"")</x:f>
      </x:c>
      <x:c r="Z66" s="47" t="str">
        <x:f>IF(OR(AND(EXACT(A66,"SYN-A"),COUNT('01_INPUT_COMPANIES'!$T$66:$AC$66)=10,'01_INPUT_COMPANIES'!$T$66=-0.02,'01_INPUT_COMPANIES'!$U$66=0.1332,'01_INPUT_COMPANIES'!$V$66=0.18,'01_INPUT_COMPANIES'!$W$66=0.42,'01_INPUT_COMPANIES'!$X$66=0.012,'01_INPUT_COMPANIES'!$Y$66=3.2,'01_INPUT_COMPANIES'!$Z$66=0.08,'01_INPUT_COMPANIES'!$AA$66=0.28,'01_INPUT_COMPANIES'!$AB$66=0.74,'01_INPUT_COMPANIES'!$AC$66=8.5),AND(EXACT(A66,"SYN-B"),COUNT('01_INPUT_COMPANIES'!$T$66:$AC$66)=10,'01_INPUT_COMPANIES'!$T$66=-0.055,'01_INPUT_COMPANIES'!$U$66=0.06405,'01_INPUT_COMPANIES'!$V$66=0.105,'01_INPUT_COMPANIES'!$W$66=0.73,'01_INPUT_COMPANIES'!$X$66=0.004,'01_INPUT_COMPANIES'!$Y$66=4.1,'01_INPUT_COMPANIES'!$Z$66=0.025,'01_INPUT_COMPANIES'!$AA$66=0.16,'01_INPUT_COMPANIES'!$AB$66=0.61,'01_INPUT_COMPANIES'!$AC$66=4),AND(EXACT(A66,"SYN-C"),COUNT('01_INPUT_COMPANIES'!$T$66:$AC$66)=10,'01_INPUT_COMPANIES'!$T$66=0.01,'01_INPUT_COMPANIES'!$U$66=0.0986,'01_INPUT_COMPANIES'!$V$66=0.145,'01_INPUT_COMPANIES'!$W$66=0.18,'01_INPUT_COMPANIES'!$X$66=0.018,'01_INPUT_COMPANIES'!$Y$66=2.65,'01_INPUT_COMPANIES'!$Z$66=0.11,'01_INPUT_COMPANIES'!$AA$66=0.34,'01_INPUT_COMPANIES'!$AB$66=0.68,'01_INPUT_COMPANIES'!$AC$66=6.8),AND(EXACT(A66,"SYN-D"),COUNT('01_INPUT_COMPANIES'!$T$66:$AC$66)=10,'01_INPUT_COMPANIES'!$T$66=-0.005,'01_INPUT_COMPANIES'!$U$66=0.1136,'01_INPUT_COMPANIES'!$V$66=0.16,'01_INPUT_COMPANIES'!$W$66=0.51,'01_INPUT_COMPANIES'!$X$66=0.009,'01_INPUT_COMPANIES'!$Y$66=3.55,'01_INPUT_COMPANIES'!$Z$66=0.065,'01_INPUT_COMPANIES'!$AA$66=0.24,'01_INPUT_COMPANIES'!$AB$66=0.71,'01_INPUT_COMPANIES'!$AC$66=7.4)),IFERROR(INDEX('94_EXPECTED_OUTPUTS'!$B$7:$B$10,MATCH(A66,'94_EXPECTED_OUTPUTS'!$A$7:$A$10,0)),""),"")</x:f>
      </x:c>
      <x:c r="AA66" s="47" t="str">
        <x:f>IF(OR(COUNT(Y66)=0,COUNT(Z66)=0),"",ABS(Y66-Z66))</x:f>
      </x:c>
      <x:c r="AB66" s="34" t="str">
        <x:f>IF(A66="","",IF(AD66&lt;&gt;"",AD66,IF('01_INPUT_COMPANIES'!$A$66="","",IF(OR(LEN(TRIM('01_INPUT_COMPANIES'!$A$66&amp;""))=0,LEN(TRIM('01_INPUT_COMPANIES'!$B$66&amp;""))=0,LEN(TRIM('01_INPUT_COMPANIES'!$C$66&amp;""))=0,LEN(TRIM('01_INPUT_COMPANIES'!$D$66&amp;""))=0,LEN(TRIM('01_INPUT_COMPANIES'!$E$66&amp;""))=0,LEN(TRIM('01_INPUT_COMPANIES'!$F$66&amp;""))=0,LEN(TRIM('01_INPUT_COMPANIES'!$G$66&amp;""))=0,LEN(TRIM('01_INPUT_COMPANIES'!$H$66&amp;""))=0,LEN(TRIM('01_INPUT_COMPANIES'!$I$66&amp;""))=0,LEN(TRIM('01_INPUT_COMPANIES'!$K$66&amp;""))=0,LEN(TRIM('01_INPUT_COMPANIES'!$L$66&amp;""))=0,LEN(TRIM('01_INPUT_COMPANIES'!$M$66&amp;""))=0,LEN(TRIM('01_INPUT_COMPANIES'!$N$66&amp;""))=0,LEN(TRIM('01_INPUT_COMPANIES'!$O$66&amp;""))=0,LEN(TRIM('01_INPUT_COMPANIES'!$Q$66&amp;""))=0,COUNTBLANK('01_INPUT_COMPANIES'!$A$66:$R$66)&gt;0),"INPUT REQUIRED",IF(OR('01_INPUT_COMPANIES'!$A$66&lt;&gt;TRIM('01_INPUT_COMPANIES'!$A$66),NOT(EXACT('01_INPUT_COMPANIES'!$A$66,UPPER('01_INPUT_COMPANIES'!$A$66))),LEN('01_INPUT_COMPANIES'!$A$66)&gt;64,ISNUMBER(FIND("*",'01_INPUT_COMPANIES'!$A$66)),ISNUMBER(FIND("?",'01_INPUT_COMPANIES'!$A$66)),ISNUMBER(FIND("~",'01_INPUT_COMPANIES'!$A$66))),"ERROR: ID FORMAT",IF(COUNTIF('01_INPUT_COMPANIES'!$A$7:$A$106,'01_INPUT_COMPANIES'!$A$66)&lt;&gt;1,"ERROR: DUPLICATE ID",IF(COUNT('01_INPUT_COMPANIES'!$T$66:$AC$66)&lt;&gt;10,"INPUT REQUIRED",IF(NOT(OR('01_INPUT_COMPANIES'!$C$66="domestic",'01_INPUT_COMPANIES'!$C$66="foreign",'01_INPUT_COMPANIES'!$C$66="other")),"ERROR: COMPANY GROUP",IF(OR(LEN('01_INPUT_COMPANIES'!$G$66)&lt;&gt;6,MID('01_INPUT_COMPANIES'!$G$66,5,1)&lt;&gt;"Q",IFERROR(VALUE(LEFT('01_INPUT_COMPANIES'!$G$66,4)),0)&lt;2000,IFERROR(VALUE(LEFT('01_INPUT_COMPANIES'!$G$66,4)),0)&gt;2100,IFERROR(VALUE(RIGHT('01_INPUT_COMPANIES'!$G$66,1)),0)&lt;1,IFERROR(VALUE(RIGHT('01_INPUT_COMPANIES'!$G$66,1)),0)&gt;4),"ERROR: REPORTING PERIOD",IF(OR(COUNTIFS('92_REF_VARIABLES'!$A$21:$A$21,'01_INPUT_COMPANIES'!$H$66,'92_REF_VARIABLES'!$B$21:$B$21,'01_INPUT_COMPANIES'!$D$66,'92_REF_VARIABLES'!$C$21:$C$21,'01_INPUT_COMPANIES'!$G$66)&lt;&gt;1,AND(IFERROR(INDEX('92_REF_VARIABLES'!$I$21:$I$21,MATCH('01_INPUT_COMPANIES'!$H$66,'92_REF_VARIABLES'!$A$21:$A$21,0)),"")="synthetic_only",'01_INPUT_COMPANIES'!$L$66&lt;&gt;"yes")),"ERROR: BENCHMARK",IF(COUNTIF('92_REF_VARIABLES'!$L$21:$L$50,'01_INPUT_COMPANIES'!$I$66)&lt;&gt;1,"ERROR: CURRENCY",IF(OR(NOT(ISNUMBER('01_INPUT_COMPANIES'!$J$66)),'01_INPUT_COMPANIES'!$J$66&lt;&gt;INT('01_INPUT_COMPANIES'!$J$66),'01_INPUT_COMPANIES'!$J$66&lt;2000,'01_INPUT_COMPANIES'!$J$66&gt;2100),"ERROR: PRICE YEAR",IF(NOT(OR('01_INPUT_COMPANIES'!$K$66="A",'01_INPUT_COMPANIES'!$K$66="B",'01_INPUT_COMPANIES'!$K$66="C",'01_INPUT_COMPANIES'!$K$66="SYNTHETIC")),"ERROR: QUALITY",IF(NOT(OR(AND('01_INPUT_COMPANIES'!$L$66="yes",'01_INPUT_COMPANIES'!$K$66="SYNTHETIC"),AND('01_INPUT_COMPANIES'!$L$66="no",'01_INPUT_COMPANIES'!$K$66&lt;&gt;"SYNTHETIC"))),"ERROR: SYNTHETIC FLAG",IF(NOT(OR('01_INPUT_COMPANIES'!$M$66="direct",'01_INPUT_COMPANIES'!$M$66="derived",'01_INPUT_COMPANIES'!$M$66="proxy",'01_INPUT_COMPANIES'!$M$66="mixed")),"ERROR: CONSTRUCTION MODE",IF(OR(NOT(ISNUMBER('01_INPUT_COMPANIES'!$P$66)),'01_INPUT_COMPANIES'!$P$66&lt;0,'01_INPUT_COMPANIES'!$P$66&lt;&gt;INT('01_INPUT_COMPANIES'!$P$66)),"ERROR: CARRY LAG",IF('01_INPUT_COMPANIES'!$Q$66&lt;&gt;"yes","ERROR: EXPOSURE ADJUSTMENT",IF(OR(NOT(ISNUMBER('01_INPUT_COMPANIES'!$R$66)),'01_INPUT_COMPANIES'!$R$66&lt;0,'01_INPUT_COMPANIES'!$R$66&gt;1),"ERROR: EXPOSURE FACTOR",IF(COUNT(Y66)=0,"ERROR: SCORE",IF(COUNT(Z66)=0,"READY",IF(AA66&lt;=0.0000000001,"PASS","CHECK"))&amp;IF('01_INPUT_COMPANIES'!$K$66="C"," | C QUALITY","")&amp;IF(OR('01_INPUT_COMPANIES'!$M$66="proxy",'01_INPUT_COMPANIES'!$M$66="mixed")," | PROXY/MIXED","")&amp;IF('01_INPUT_COMPANIES'!$P$66&gt;1," | CARRY&gt;1","")&amp;IF(OR(OR('01_INPUT_COMPANIES'!$T$66&lt;-1,'01_INPUT_COMPANIES'!$T$66&gt;1),OR('01_INPUT_COMPANIES'!$U$66&lt;0,'01_INPUT_COMPANIES'!$U$66&gt;1),OR('01_INPUT_COMPANIES'!$V$66&lt;0,'01_INPUT_COMPANIES'!$V$66&gt;1),OR('01_INPUT_COMPANIES'!$W$66&lt;-10,'01_INPUT_COMPANIES'!$W$66&gt;10),OR('01_INPUT_COMPANIES'!$X$66&lt;-1,'01_INPUT_COMPANIES'!$X$66&gt;1),OR('01_INPUT_COMPANIES'!$Y$66&lt;0,'01_INPUT_COMPANIES'!$Y$66&gt;20),OR('01_INPUT_COMPANIES'!$Z$66&lt;-2,'01_INPUT_COMPANIES'!$Z$66&gt;2),OR('01_INPUT_COMPANIES'!$AA$66&lt;0,'01_INPUT_COMPANIES'!$AA$66&gt;1),OR('01_INPUT_COMPANIES'!$AB$66&lt;0,'01_INPUT_COMPANIES'!$AB$66&gt;1),OR('01_INPUT_COMPANIES'!$AC$66&lt;0,'01_INPUT_COMPANIES'!$AC$66&gt;50))," | REVIEW RANGE","")&amp;IF(COUNTIF('90_CALC_FEATURES'!$J$597:$J$606,"WINSORIZED*")&gt;0," | WINSORIZED","")&amp;IF(ABS('01_INPUT_COMPANIES'!$U$66-'01_INPUT_COMPANIES'!$V$66*'01_INPUT_COMPANIES'!$AB$66)&gt;MAX(0.005,0.05*MAX(ABS('01_INPUT_COMPANIES'!$V$66*'01_INPUT_COMPANIES'!$AB$66),ABS('01_INPUT_COMPANIES'!$U$66),0.000000000001))," | DEPENDENCY",""))))))))))))))))))))</x:f>
      </x:c>
      <x:c r="AC66" s="34" t="str">
        <x:f>IF(A66="","",IF(OR(LEFT(AB66,4)="PASS",LEFT(AB66,5)="READY"),"RESEARCH BETA | 저지원 22.22% | 기업 백분위 N/A", "결과 사용 금지 | "&amp;AB66))</x:f>
      </x:c>
      <x:c r="AD66" s="34" t="str">
        <x:f>IF(A66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$66,TRIM('01_INPUT_COMPANIES'!$D$66)),EXACT('01_INPUT_COMPANIES'!$E$66,TRIM('01_INPUT_COMPANIES'!$E$66)),EXACT('01_INPUT_COMPANIES'!$F$66,TRIM('01_INPUT_COMPANIES'!$F$66)),EXACT('01_INPUT_COMPANIES'!$G$66,TRIM('01_INPUT_COMPANIES'!$G$66)),EXACT('01_INPUT_COMPANIES'!$H$66,TRIM('01_INPUT_COMPANIES'!$H$66)))),"ERROR: COHORT WHITESPACE",IF(NOT(IFERROR(AND(ISTEXT('01_INPUT_COMPANIES'!$O$66),LEN('01_INPUT_COMPANIES'!$O$66)=10,VALUE(LEFT('01_INPUT_COMPANIES'!$O$66,4))&gt;=2000,VALUE(LEFT('01_INPUT_COMPANIES'!$O$66,4))&lt;=2100,EXACT(TEXT(DATE(VALUE(LEFT('01_INPUT_COMPANIES'!$O$66,4)),VALUE(MID('01_INPUT_COMPANIES'!$O$66,6,2)),VALUE(RIGHT('01_INPUT_COMPANIES'!$O$66,2))),"yyyy-mm-dd"),'01_INPUT_COMPANIES'!$O$66)),FALSE)),"ERROR: SOURCE DATE",IF(NOT(AND(OR(EXACT('01_INPUT_COMPANIES'!$C$66,"domestic"),EXACT('01_INPUT_COMPANIES'!$C$66,"foreign"),EXACT('01_INPUT_COMPANIES'!$C$66,"other")),OR(EXACT('01_INPUT_COMPANIES'!$K$66,"A"),EXACT('01_INPUT_COMPANIES'!$K$66,"B"),EXACT('01_INPUT_COMPANIES'!$K$66,"C"),EXACT('01_INPUT_COMPANIES'!$K$66,"SYNTHETIC")),OR(EXACT('01_INPUT_COMPANIES'!$L$66,"yes"),EXACT('01_INPUT_COMPANIES'!$L$66,"no")),OR(EXACT('01_INPUT_COMPANIES'!$M$66,"direct"),EXACT('01_INPUT_COMPANIES'!$M$66,"derived"),EXACT('01_INPUT_COMPANIES'!$M$66,"proxy"),EXACT('01_INPUT_COMPANIES'!$M$66,"mixed")),OR(EXACT('01_INPUT_COMPANIES'!$Q$66,"yes")),EXACT('01_INPUT_COMPANIES'!$I$66,UPPER('01_INPUT_COMPANIES'!$I$66)))),"ERROR: EXACT ENUM",IF(NOT(IFERROR(OR(AND(EXACT('92_REF_VARIABLES'!$A$21,'01_INPUT_COMPANIES'!$H$66),EXACT('92_REF_VARIABLES'!$B$21,'01_INPUT_COMPANIES'!$D$66),EXACT('92_REF_VARIABLES'!$C$21,'01_INPUT_COMPANIES'!$G$66))),FALSE)),"ERROR: BENCHMARK",""))))))</x:f>
      </x:c>
    </x:row>
    <x:row r="67">
      <x:c r="A67" s="34" t="str">
        <x:f>IF(OR('01_INPUT_COMPANIES'!$A$67="",'01_INPUT_COMPANIES'!$A$67=""),"",'01_INPUT_COMPANIES'!$A$67)</x:f>
      </x:c>
      <x:c r="B67" s="34" t="str">
        <x:f>IF(OR('01_INPUT_COMPANIES'!$A$67="",'01_INPUT_COMPANIES'!$B$67=""),"",'01_INPUT_COMPANIES'!$B$67)</x:f>
      </x:c>
      <x:c r="C67" s="34" t="str">
        <x:f>IF(OR('01_INPUT_COMPANIES'!$A$67="",'01_INPUT_COMPANIES'!$C$67=""),"",'01_INPUT_COMPANIES'!$C$67)</x:f>
      </x:c>
      <x:c r="D67" s="34" t="str">
        <x:f>IF(OR('01_INPUT_COMPANIES'!$A$67="",'01_INPUT_COMPANIES'!$D$67=""),"",'01_INPUT_COMPANIES'!$D$67)</x:f>
      </x:c>
      <x:c r="E67" s="34" t="str">
        <x:f>IF(OR('01_INPUT_COMPANIES'!$A$67="",'01_INPUT_COMPANIES'!$E$67=""),"",'01_INPUT_COMPANIES'!$E$67)</x:f>
      </x:c>
      <x:c r="F67" s="34" t="str">
        <x:f>IF(OR('01_INPUT_COMPANIES'!$A$67="",'01_INPUT_COMPANIES'!$F$67=""),"",'01_INPUT_COMPANIES'!$F$67)</x:f>
      </x:c>
      <x:c r="G67" s="34" t="str">
        <x:f>IF(OR('01_INPUT_COMPANIES'!$A$67="",'01_INPUT_COMPANIES'!$G$67=""),"",'01_INPUT_COMPANIES'!$G$67)</x:f>
      </x:c>
      <x:c r="H67" s="34" t="str">
        <x:f>IF(OR('01_INPUT_COMPANIES'!$A$67="",'01_INPUT_COMPANIES'!$H$67=""),"",'01_INPUT_COMPANIES'!$H$67)</x:f>
      </x:c>
      <x:c r="I67" s="34" t="str">
        <x:f>IF(OR('01_INPUT_COMPANIES'!$A$67="",'01_INPUT_COMPANIES'!$K$67=""),"",'01_INPUT_COMPANIES'!$K$67)</x:f>
      </x:c>
      <x:c r="J67" s="34" t="str">
        <x:f>IF(OR('01_INPUT_COMPANIES'!$A$67="",'01_INPUT_COMPANIES'!$M$67=""),"",'01_INPUT_COMPANIES'!$M$67)</x:f>
      </x:c>
      <x:c r="K67" s="34" t="str">
        <x:f>IF(OR(A67="",COUNTBLANK(D67:H67)&gt;0),"",LEN(D67)&amp;":"&amp;D67&amp;LEN(E67)&amp;":"&amp;E67&amp;LEN(F67)&amp;":"&amp;F67&amp;LEN(G67)&amp;":"&amp;G67&amp;LEN(H67)&amp;":"&amp;H67)</x:f>
      </x:c>
      <x:c r="L67" s="47" t="str">
        <x:f>IF(A67="","",'90_CALC_FEATURES'!$I$607)</x:f>
      </x:c>
      <x:c r="M67" s="47" t="str">
        <x:f>IF(A67="","",'90_CALC_FEATURES'!$I$608)</x:f>
      </x:c>
      <x:c r="N67" s="47" t="str">
        <x:f>IF(A67="","",'90_CALC_FEATURES'!$I$609)</x:f>
      </x:c>
      <x:c r="O67" s="47" t="str">
        <x:f>IF(A67="","",'90_CALC_FEATURES'!$I$610)</x:f>
      </x:c>
      <x:c r="P67" s="47" t="str">
        <x:f>IF(A67="","",'90_CALC_FEATURES'!$I$611)</x:f>
      </x:c>
      <x:c r="Q67" s="47" t="str">
        <x:f>IF(A67="","",'90_CALC_FEATURES'!$I$612)</x:f>
      </x:c>
      <x:c r="R67" s="47" t="str">
        <x:f>IF(A67="","",'90_CALC_FEATURES'!$I$613)</x:f>
      </x:c>
      <x:c r="S67" s="47" t="str">
        <x:f>IF(A67="","",'90_CALC_FEATURES'!$I$614)</x:f>
      </x:c>
      <x:c r="T67" s="47" t="str">
        <x:f>IF(A67="","",'90_CALC_FEATURES'!$I$615)</x:f>
      </x:c>
      <x:c r="U67" s="47" t="str">
        <x:f>IF(A67="","",'90_CALC_FEATURES'!$I$616)</x:f>
      </x:c>
      <x:c r="V67" s="47" t="str">
        <x:f>IF(COUNT(L67:N67)=3,100*AVERAGE(L67:N67),"")</x:f>
      </x:c>
      <x:c r="W67" s="47" t="str">
        <x:f>IF(COUNT(O67:R67)=4,100*AVERAGE(O67:R67),"")</x:f>
      </x:c>
      <x:c r="X67" s="47" t="str">
        <x:f>IF(COUNT(S67:U67)=3,100*AVERAGE(S67:U67),"")</x:f>
      </x:c>
      <x:c r="Y67" s="47" t="str">
        <x:f>IF(COUNT(V67:X67)=3,AVERAGE(V67:X67),"")</x:f>
      </x:c>
      <x:c r="Z67" s="47" t="str">
        <x:f>IF(OR(AND(EXACT(A67,"SYN-A"),COUNT('01_INPUT_COMPANIES'!$T$67:$AC$67)=10,'01_INPUT_COMPANIES'!$T$67=-0.02,'01_INPUT_COMPANIES'!$U$67=0.1332,'01_INPUT_COMPANIES'!$V$67=0.18,'01_INPUT_COMPANIES'!$W$67=0.42,'01_INPUT_COMPANIES'!$X$67=0.012,'01_INPUT_COMPANIES'!$Y$67=3.2,'01_INPUT_COMPANIES'!$Z$67=0.08,'01_INPUT_COMPANIES'!$AA$67=0.28,'01_INPUT_COMPANIES'!$AB$67=0.74,'01_INPUT_COMPANIES'!$AC$67=8.5),AND(EXACT(A67,"SYN-B"),COUNT('01_INPUT_COMPANIES'!$T$67:$AC$67)=10,'01_INPUT_COMPANIES'!$T$67=-0.055,'01_INPUT_COMPANIES'!$U$67=0.06405,'01_INPUT_COMPANIES'!$V$67=0.105,'01_INPUT_COMPANIES'!$W$67=0.73,'01_INPUT_COMPANIES'!$X$67=0.004,'01_INPUT_COMPANIES'!$Y$67=4.1,'01_INPUT_COMPANIES'!$Z$67=0.025,'01_INPUT_COMPANIES'!$AA$67=0.16,'01_INPUT_COMPANIES'!$AB$67=0.61,'01_INPUT_COMPANIES'!$AC$67=4),AND(EXACT(A67,"SYN-C"),COUNT('01_INPUT_COMPANIES'!$T$67:$AC$67)=10,'01_INPUT_COMPANIES'!$T$67=0.01,'01_INPUT_COMPANIES'!$U$67=0.0986,'01_INPUT_COMPANIES'!$V$67=0.145,'01_INPUT_COMPANIES'!$W$67=0.18,'01_INPUT_COMPANIES'!$X$67=0.018,'01_INPUT_COMPANIES'!$Y$67=2.65,'01_INPUT_COMPANIES'!$Z$67=0.11,'01_INPUT_COMPANIES'!$AA$67=0.34,'01_INPUT_COMPANIES'!$AB$67=0.68,'01_INPUT_COMPANIES'!$AC$67=6.8),AND(EXACT(A67,"SYN-D"),COUNT('01_INPUT_COMPANIES'!$T$67:$AC$67)=10,'01_INPUT_COMPANIES'!$T$67=-0.005,'01_INPUT_COMPANIES'!$U$67=0.1136,'01_INPUT_COMPANIES'!$V$67=0.16,'01_INPUT_COMPANIES'!$W$67=0.51,'01_INPUT_COMPANIES'!$X$67=0.009,'01_INPUT_COMPANIES'!$Y$67=3.55,'01_INPUT_COMPANIES'!$Z$67=0.065,'01_INPUT_COMPANIES'!$AA$67=0.24,'01_INPUT_COMPANIES'!$AB$67=0.71,'01_INPUT_COMPANIES'!$AC$67=7.4)),IFERROR(INDEX('94_EXPECTED_OUTPUTS'!$B$7:$B$10,MATCH(A67,'94_EXPECTED_OUTPUTS'!$A$7:$A$10,0)),""),"")</x:f>
      </x:c>
      <x:c r="AA67" s="47" t="str">
        <x:f>IF(OR(COUNT(Y67)=0,COUNT(Z67)=0),"",ABS(Y67-Z67))</x:f>
      </x:c>
      <x:c r="AB67" s="34" t="str">
        <x:f>IF(A67="","",IF(AD67&lt;&gt;"",AD67,IF('01_INPUT_COMPANIES'!$A$67="","",IF(OR(LEN(TRIM('01_INPUT_COMPANIES'!$A$67&amp;""))=0,LEN(TRIM('01_INPUT_COMPANIES'!$B$67&amp;""))=0,LEN(TRIM('01_INPUT_COMPANIES'!$C$67&amp;""))=0,LEN(TRIM('01_INPUT_COMPANIES'!$D$67&amp;""))=0,LEN(TRIM('01_INPUT_COMPANIES'!$E$67&amp;""))=0,LEN(TRIM('01_INPUT_COMPANIES'!$F$67&amp;""))=0,LEN(TRIM('01_INPUT_COMPANIES'!$G$67&amp;""))=0,LEN(TRIM('01_INPUT_COMPANIES'!$H$67&amp;""))=0,LEN(TRIM('01_INPUT_COMPANIES'!$I$67&amp;""))=0,LEN(TRIM('01_INPUT_COMPANIES'!$K$67&amp;""))=0,LEN(TRIM('01_INPUT_COMPANIES'!$L$67&amp;""))=0,LEN(TRIM('01_INPUT_COMPANIES'!$M$67&amp;""))=0,LEN(TRIM('01_INPUT_COMPANIES'!$N$67&amp;""))=0,LEN(TRIM('01_INPUT_COMPANIES'!$O$67&amp;""))=0,LEN(TRIM('01_INPUT_COMPANIES'!$Q$67&amp;""))=0,COUNTBLANK('01_INPUT_COMPANIES'!$A$67:$R$67)&gt;0),"INPUT REQUIRED",IF(OR('01_INPUT_COMPANIES'!$A$67&lt;&gt;TRIM('01_INPUT_COMPANIES'!$A$67),NOT(EXACT('01_INPUT_COMPANIES'!$A$67,UPPER('01_INPUT_COMPANIES'!$A$67))),LEN('01_INPUT_COMPANIES'!$A$67)&gt;64,ISNUMBER(FIND("*",'01_INPUT_COMPANIES'!$A$67)),ISNUMBER(FIND("?",'01_INPUT_COMPANIES'!$A$67)),ISNUMBER(FIND("~",'01_INPUT_COMPANIES'!$A$67))),"ERROR: ID FORMAT",IF(COUNTIF('01_INPUT_COMPANIES'!$A$7:$A$106,'01_INPUT_COMPANIES'!$A$67)&lt;&gt;1,"ERROR: DUPLICATE ID",IF(COUNT('01_INPUT_COMPANIES'!$T$67:$AC$67)&lt;&gt;10,"INPUT REQUIRED",IF(NOT(OR('01_INPUT_COMPANIES'!$C$67="domestic",'01_INPUT_COMPANIES'!$C$67="foreign",'01_INPUT_COMPANIES'!$C$67="other")),"ERROR: COMPANY GROUP",IF(OR(LEN('01_INPUT_COMPANIES'!$G$67)&lt;&gt;6,MID('01_INPUT_COMPANIES'!$G$67,5,1)&lt;&gt;"Q",IFERROR(VALUE(LEFT('01_INPUT_COMPANIES'!$G$67,4)),0)&lt;2000,IFERROR(VALUE(LEFT('01_INPUT_COMPANIES'!$G$67,4)),0)&gt;2100,IFERROR(VALUE(RIGHT('01_INPUT_COMPANIES'!$G$67,1)),0)&lt;1,IFERROR(VALUE(RIGHT('01_INPUT_COMPANIES'!$G$67,1)),0)&gt;4),"ERROR: REPORTING PERIOD",IF(OR(COUNTIFS('92_REF_VARIABLES'!$A$21:$A$21,'01_INPUT_COMPANIES'!$H$67,'92_REF_VARIABLES'!$B$21:$B$21,'01_INPUT_COMPANIES'!$D$67,'92_REF_VARIABLES'!$C$21:$C$21,'01_INPUT_COMPANIES'!$G$67)&lt;&gt;1,AND(IFERROR(INDEX('92_REF_VARIABLES'!$I$21:$I$21,MATCH('01_INPUT_COMPANIES'!$H$67,'92_REF_VARIABLES'!$A$21:$A$21,0)),"")="synthetic_only",'01_INPUT_COMPANIES'!$L$67&lt;&gt;"yes")),"ERROR: BENCHMARK",IF(COUNTIF('92_REF_VARIABLES'!$L$21:$L$50,'01_INPUT_COMPANIES'!$I$67)&lt;&gt;1,"ERROR: CURRENCY",IF(OR(NOT(ISNUMBER('01_INPUT_COMPANIES'!$J$67)),'01_INPUT_COMPANIES'!$J$67&lt;&gt;INT('01_INPUT_COMPANIES'!$J$67),'01_INPUT_COMPANIES'!$J$67&lt;2000,'01_INPUT_COMPANIES'!$J$67&gt;2100),"ERROR: PRICE YEAR",IF(NOT(OR('01_INPUT_COMPANIES'!$K$67="A",'01_INPUT_COMPANIES'!$K$67="B",'01_INPUT_COMPANIES'!$K$67="C",'01_INPUT_COMPANIES'!$K$67="SYNTHETIC")),"ERROR: QUALITY",IF(NOT(OR(AND('01_INPUT_COMPANIES'!$L$67="yes",'01_INPUT_COMPANIES'!$K$67="SYNTHETIC"),AND('01_INPUT_COMPANIES'!$L$67="no",'01_INPUT_COMPANIES'!$K$67&lt;&gt;"SYNTHETIC"))),"ERROR: SYNTHETIC FLAG",IF(NOT(OR('01_INPUT_COMPANIES'!$M$67="direct",'01_INPUT_COMPANIES'!$M$67="derived",'01_INPUT_COMPANIES'!$M$67="proxy",'01_INPUT_COMPANIES'!$M$67="mixed")),"ERROR: CONSTRUCTION MODE",IF(OR(NOT(ISNUMBER('01_INPUT_COMPANIES'!$P$67)),'01_INPUT_COMPANIES'!$P$67&lt;0,'01_INPUT_COMPANIES'!$P$67&lt;&gt;INT('01_INPUT_COMPANIES'!$P$67)),"ERROR: CARRY LAG",IF('01_INPUT_COMPANIES'!$Q$67&lt;&gt;"yes","ERROR: EXPOSURE ADJUSTMENT",IF(OR(NOT(ISNUMBER('01_INPUT_COMPANIES'!$R$67)),'01_INPUT_COMPANIES'!$R$67&lt;0,'01_INPUT_COMPANIES'!$R$67&gt;1),"ERROR: EXPOSURE FACTOR",IF(COUNT(Y67)=0,"ERROR: SCORE",IF(COUNT(Z67)=0,"READY",IF(AA67&lt;=0.0000000001,"PASS","CHECK"))&amp;IF('01_INPUT_COMPANIES'!$K$67="C"," | C QUALITY","")&amp;IF(OR('01_INPUT_COMPANIES'!$M$67="proxy",'01_INPUT_COMPANIES'!$M$67="mixed")," | PROXY/MIXED","")&amp;IF('01_INPUT_COMPANIES'!$P$67&gt;1," | CARRY&gt;1","")&amp;IF(OR(OR('01_INPUT_COMPANIES'!$T$67&lt;-1,'01_INPUT_COMPANIES'!$T$67&gt;1),OR('01_INPUT_COMPANIES'!$U$67&lt;0,'01_INPUT_COMPANIES'!$U$67&gt;1),OR('01_INPUT_COMPANIES'!$V$67&lt;0,'01_INPUT_COMPANIES'!$V$67&gt;1),OR('01_INPUT_COMPANIES'!$W$67&lt;-10,'01_INPUT_COMPANIES'!$W$67&gt;10),OR('01_INPUT_COMPANIES'!$X$67&lt;-1,'01_INPUT_COMPANIES'!$X$67&gt;1),OR('01_INPUT_COMPANIES'!$Y$67&lt;0,'01_INPUT_COMPANIES'!$Y$67&gt;20),OR('01_INPUT_COMPANIES'!$Z$67&lt;-2,'01_INPUT_COMPANIES'!$Z$67&gt;2),OR('01_INPUT_COMPANIES'!$AA$67&lt;0,'01_INPUT_COMPANIES'!$AA$67&gt;1),OR('01_INPUT_COMPANIES'!$AB$67&lt;0,'01_INPUT_COMPANIES'!$AB$67&gt;1),OR('01_INPUT_COMPANIES'!$AC$67&lt;0,'01_INPUT_COMPANIES'!$AC$67&gt;50))," | REVIEW RANGE","")&amp;IF(COUNTIF('90_CALC_FEATURES'!$J$607:$J$616,"WINSORIZED*")&gt;0," | WINSORIZED","")&amp;IF(ABS('01_INPUT_COMPANIES'!$U$67-'01_INPUT_COMPANIES'!$V$67*'01_INPUT_COMPANIES'!$AB$67)&gt;MAX(0.005,0.05*MAX(ABS('01_INPUT_COMPANIES'!$V$67*'01_INPUT_COMPANIES'!$AB$67),ABS('01_INPUT_COMPANIES'!$U$67),0.000000000001))," | DEPENDENCY",""))))))))))))))))))))</x:f>
      </x:c>
      <x:c r="AC67" s="34" t="str">
        <x:f>IF(A67="","",IF(OR(LEFT(AB67,4)="PASS",LEFT(AB67,5)="READY"),"RESEARCH BETA | 저지원 22.22% | 기업 백분위 N/A", "결과 사용 금지 | "&amp;AB67))</x:f>
      </x:c>
      <x:c r="AD67" s="34" t="str">
        <x:f>IF(A67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$67,TRIM('01_INPUT_COMPANIES'!$D$67)),EXACT('01_INPUT_COMPANIES'!$E$67,TRIM('01_INPUT_COMPANIES'!$E$67)),EXACT('01_INPUT_COMPANIES'!$F$67,TRIM('01_INPUT_COMPANIES'!$F$67)),EXACT('01_INPUT_COMPANIES'!$G$67,TRIM('01_INPUT_COMPANIES'!$G$67)),EXACT('01_INPUT_COMPANIES'!$H$67,TRIM('01_INPUT_COMPANIES'!$H$67)))),"ERROR: COHORT WHITESPACE",IF(NOT(IFERROR(AND(ISTEXT('01_INPUT_COMPANIES'!$O$67),LEN('01_INPUT_COMPANIES'!$O$67)=10,VALUE(LEFT('01_INPUT_COMPANIES'!$O$67,4))&gt;=2000,VALUE(LEFT('01_INPUT_COMPANIES'!$O$67,4))&lt;=2100,EXACT(TEXT(DATE(VALUE(LEFT('01_INPUT_COMPANIES'!$O$67,4)),VALUE(MID('01_INPUT_COMPANIES'!$O$67,6,2)),VALUE(RIGHT('01_INPUT_COMPANIES'!$O$67,2))),"yyyy-mm-dd"),'01_INPUT_COMPANIES'!$O$67)),FALSE)),"ERROR: SOURCE DATE",IF(NOT(AND(OR(EXACT('01_INPUT_COMPANIES'!$C$67,"domestic"),EXACT('01_INPUT_COMPANIES'!$C$67,"foreign"),EXACT('01_INPUT_COMPANIES'!$C$67,"other")),OR(EXACT('01_INPUT_COMPANIES'!$K$67,"A"),EXACT('01_INPUT_COMPANIES'!$K$67,"B"),EXACT('01_INPUT_COMPANIES'!$K$67,"C"),EXACT('01_INPUT_COMPANIES'!$K$67,"SYNTHETIC")),OR(EXACT('01_INPUT_COMPANIES'!$L$67,"yes"),EXACT('01_INPUT_COMPANIES'!$L$67,"no")),OR(EXACT('01_INPUT_COMPANIES'!$M$67,"direct"),EXACT('01_INPUT_COMPANIES'!$M$67,"derived"),EXACT('01_INPUT_COMPANIES'!$M$67,"proxy"),EXACT('01_INPUT_COMPANIES'!$M$67,"mixed")),OR(EXACT('01_INPUT_COMPANIES'!$Q$67,"yes")),EXACT('01_INPUT_COMPANIES'!$I$67,UPPER('01_INPUT_COMPANIES'!$I$67)))),"ERROR: EXACT ENUM",IF(NOT(IFERROR(OR(AND(EXACT('92_REF_VARIABLES'!$A$21,'01_INPUT_COMPANIES'!$H$67),EXACT('92_REF_VARIABLES'!$B$21,'01_INPUT_COMPANIES'!$D$67),EXACT('92_REF_VARIABLES'!$C$21,'01_INPUT_COMPANIES'!$G$67))),FALSE)),"ERROR: BENCHMARK",""))))))</x:f>
      </x:c>
    </x:row>
    <x:row r="68">
      <x:c r="A68" s="34" t="str">
        <x:f>IF(OR('01_INPUT_COMPANIES'!$A$68="",'01_INPUT_COMPANIES'!$A$68=""),"",'01_INPUT_COMPANIES'!$A$68)</x:f>
      </x:c>
      <x:c r="B68" s="34" t="str">
        <x:f>IF(OR('01_INPUT_COMPANIES'!$A$68="",'01_INPUT_COMPANIES'!$B$68=""),"",'01_INPUT_COMPANIES'!$B$68)</x:f>
      </x:c>
      <x:c r="C68" s="34" t="str">
        <x:f>IF(OR('01_INPUT_COMPANIES'!$A$68="",'01_INPUT_COMPANIES'!$C$68=""),"",'01_INPUT_COMPANIES'!$C$68)</x:f>
      </x:c>
      <x:c r="D68" s="34" t="str">
        <x:f>IF(OR('01_INPUT_COMPANIES'!$A$68="",'01_INPUT_COMPANIES'!$D$68=""),"",'01_INPUT_COMPANIES'!$D$68)</x:f>
      </x:c>
      <x:c r="E68" s="34" t="str">
        <x:f>IF(OR('01_INPUT_COMPANIES'!$A$68="",'01_INPUT_COMPANIES'!$E$68=""),"",'01_INPUT_COMPANIES'!$E$68)</x:f>
      </x:c>
      <x:c r="F68" s="34" t="str">
        <x:f>IF(OR('01_INPUT_COMPANIES'!$A$68="",'01_INPUT_COMPANIES'!$F$68=""),"",'01_INPUT_COMPANIES'!$F$68)</x:f>
      </x:c>
      <x:c r="G68" s="34" t="str">
        <x:f>IF(OR('01_INPUT_COMPANIES'!$A$68="",'01_INPUT_COMPANIES'!$G$68=""),"",'01_INPUT_COMPANIES'!$G$68)</x:f>
      </x:c>
      <x:c r="H68" s="34" t="str">
        <x:f>IF(OR('01_INPUT_COMPANIES'!$A$68="",'01_INPUT_COMPANIES'!$H$68=""),"",'01_INPUT_COMPANIES'!$H$68)</x:f>
      </x:c>
      <x:c r="I68" s="34" t="str">
        <x:f>IF(OR('01_INPUT_COMPANIES'!$A$68="",'01_INPUT_COMPANIES'!$K$68=""),"",'01_INPUT_COMPANIES'!$K$68)</x:f>
      </x:c>
      <x:c r="J68" s="34" t="str">
        <x:f>IF(OR('01_INPUT_COMPANIES'!$A$68="",'01_INPUT_COMPANIES'!$M$68=""),"",'01_INPUT_COMPANIES'!$M$68)</x:f>
      </x:c>
      <x:c r="K68" s="34" t="str">
        <x:f>IF(OR(A68="",COUNTBLANK(D68:H68)&gt;0),"",LEN(D68)&amp;":"&amp;D68&amp;LEN(E68)&amp;":"&amp;E68&amp;LEN(F68)&amp;":"&amp;F68&amp;LEN(G68)&amp;":"&amp;G68&amp;LEN(H68)&amp;":"&amp;H68)</x:f>
      </x:c>
      <x:c r="L68" s="47" t="str">
        <x:f>IF(A68="","",'90_CALC_FEATURES'!$I$617)</x:f>
      </x:c>
      <x:c r="M68" s="47" t="str">
        <x:f>IF(A68="","",'90_CALC_FEATURES'!$I$618)</x:f>
      </x:c>
      <x:c r="N68" s="47" t="str">
        <x:f>IF(A68="","",'90_CALC_FEATURES'!$I$619)</x:f>
      </x:c>
      <x:c r="O68" s="47" t="str">
        <x:f>IF(A68="","",'90_CALC_FEATURES'!$I$620)</x:f>
      </x:c>
      <x:c r="P68" s="47" t="str">
        <x:f>IF(A68="","",'90_CALC_FEATURES'!$I$621)</x:f>
      </x:c>
      <x:c r="Q68" s="47" t="str">
        <x:f>IF(A68="","",'90_CALC_FEATURES'!$I$622)</x:f>
      </x:c>
      <x:c r="R68" s="47" t="str">
        <x:f>IF(A68="","",'90_CALC_FEATURES'!$I$623)</x:f>
      </x:c>
      <x:c r="S68" s="47" t="str">
        <x:f>IF(A68="","",'90_CALC_FEATURES'!$I$624)</x:f>
      </x:c>
      <x:c r="T68" s="47" t="str">
        <x:f>IF(A68="","",'90_CALC_FEATURES'!$I$625)</x:f>
      </x:c>
      <x:c r="U68" s="47" t="str">
        <x:f>IF(A68="","",'90_CALC_FEATURES'!$I$626)</x:f>
      </x:c>
      <x:c r="V68" s="47" t="str">
        <x:f>IF(COUNT(L68:N68)=3,100*AVERAGE(L68:N68),"")</x:f>
      </x:c>
      <x:c r="W68" s="47" t="str">
        <x:f>IF(COUNT(O68:R68)=4,100*AVERAGE(O68:R68),"")</x:f>
      </x:c>
      <x:c r="X68" s="47" t="str">
        <x:f>IF(COUNT(S68:U68)=3,100*AVERAGE(S68:U68),"")</x:f>
      </x:c>
      <x:c r="Y68" s="47" t="str">
        <x:f>IF(COUNT(V68:X68)=3,AVERAGE(V68:X68),"")</x:f>
      </x:c>
      <x:c r="Z68" s="47" t="str">
        <x:f>IF(OR(AND(EXACT(A68,"SYN-A"),COUNT('01_INPUT_COMPANIES'!$T$68:$AC$68)=10,'01_INPUT_COMPANIES'!$T$68=-0.02,'01_INPUT_COMPANIES'!$U$68=0.1332,'01_INPUT_COMPANIES'!$V$68=0.18,'01_INPUT_COMPANIES'!$W$68=0.42,'01_INPUT_COMPANIES'!$X$68=0.012,'01_INPUT_COMPANIES'!$Y$68=3.2,'01_INPUT_COMPANIES'!$Z$68=0.08,'01_INPUT_COMPANIES'!$AA$68=0.28,'01_INPUT_COMPANIES'!$AB$68=0.74,'01_INPUT_COMPANIES'!$AC$68=8.5),AND(EXACT(A68,"SYN-B"),COUNT('01_INPUT_COMPANIES'!$T$68:$AC$68)=10,'01_INPUT_COMPANIES'!$T$68=-0.055,'01_INPUT_COMPANIES'!$U$68=0.06405,'01_INPUT_COMPANIES'!$V$68=0.105,'01_INPUT_COMPANIES'!$W$68=0.73,'01_INPUT_COMPANIES'!$X$68=0.004,'01_INPUT_COMPANIES'!$Y$68=4.1,'01_INPUT_COMPANIES'!$Z$68=0.025,'01_INPUT_COMPANIES'!$AA$68=0.16,'01_INPUT_COMPANIES'!$AB$68=0.61,'01_INPUT_COMPANIES'!$AC$68=4),AND(EXACT(A68,"SYN-C"),COUNT('01_INPUT_COMPANIES'!$T$68:$AC$68)=10,'01_INPUT_COMPANIES'!$T$68=0.01,'01_INPUT_COMPANIES'!$U$68=0.0986,'01_INPUT_COMPANIES'!$V$68=0.145,'01_INPUT_COMPANIES'!$W$68=0.18,'01_INPUT_COMPANIES'!$X$68=0.018,'01_INPUT_COMPANIES'!$Y$68=2.65,'01_INPUT_COMPANIES'!$Z$68=0.11,'01_INPUT_COMPANIES'!$AA$68=0.34,'01_INPUT_COMPANIES'!$AB$68=0.68,'01_INPUT_COMPANIES'!$AC$68=6.8),AND(EXACT(A68,"SYN-D"),COUNT('01_INPUT_COMPANIES'!$T$68:$AC$68)=10,'01_INPUT_COMPANIES'!$T$68=-0.005,'01_INPUT_COMPANIES'!$U$68=0.1136,'01_INPUT_COMPANIES'!$V$68=0.16,'01_INPUT_COMPANIES'!$W$68=0.51,'01_INPUT_COMPANIES'!$X$68=0.009,'01_INPUT_COMPANIES'!$Y$68=3.55,'01_INPUT_COMPANIES'!$Z$68=0.065,'01_INPUT_COMPANIES'!$AA$68=0.24,'01_INPUT_COMPANIES'!$AB$68=0.71,'01_INPUT_COMPANIES'!$AC$68=7.4)),IFERROR(INDEX('94_EXPECTED_OUTPUTS'!$B$7:$B$10,MATCH(A68,'94_EXPECTED_OUTPUTS'!$A$7:$A$10,0)),""),"")</x:f>
      </x:c>
      <x:c r="AA68" s="47" t="str">
        <x:f>IF(OR(COUNT(Y68)=0,COUNT(Z68)=0),"",ABS(Y68-Z68))</x:f>
      </x:c>
      <x:c r="AB68" s="34" t="str">
        <x:f>IF(A68="","",IF(AD68&lt;&gt;"",AD68,IF('01_INPUT_COMPANIES'!$A$68="","",IF(OR(LEN(TRIM('01_INPUT_COMPANIES'!$A$68&amp;""))=0,LEN(TRIM('01_INPUT_COMPANIES'!$B$68&amp;""))=0,LEN(TRIM('01_INPUT_COMPANIES'!$C$68&amp;""))=0,LEN(TRIM('01_INPUT_COMPANIES'!$D$68&amp;""))=0,LEN(TRIM('01_INPUT_COMPANIES'!$E$68&amp;""))=0,LEN(TRIM('01_INPUT_COMPANIES'!$F$68&amp;""))=0,LEN(TRIM('01_INPUT_COMPANIES'!$G$68&amp;""))=0,LEN(TRIM('01_INPUT_COMPANIES'!$H$68&amp;""))=0,LEN(TRIM('01_INPUT_COMPANIES'!$I$68&amp;""))=0,LEN(TRIM('01_INPUT_COMPANIES'!$K$68&amp;""))=0,LEN(TRIM('01_INPUT_COMPANIES'!$L$68&amp;""))=0,LEN(TRIM('01_INPUT_COMPANIES'!$M$68&amp;""))=0,LEN(TRIM('01_INPUT_COMPANIES'!$N$68&amp;""))=0,LEN(TRIM('01_INPUT_COMPANIES'!$O$68&amp;""))=0,LEN(TRIM('01_INPUT_COMPANIES'!$Q$68&amp;""))=0,COUNTBLANK('01_INPUT_COMPANIES'!$A$68:$R$68)&gt;0),"INPUT REQUIRED",IF(OR('01_INPUT_COMPANIES'!$A$68&lt;&gt;TRIM('01_INPUT_COMPANIES'!$A$68),NOT(EXACT('01_INPUT_COMPANIES'!$A$68,UPPER('01_INPUT_COMPANIES'!$A$68))),LEN('01_INPUT_COMPANIES'!$A$68)&gt;64,ISNUMBER(FIND("*",'01_INPUT_COMPANIES'!$A$68)),ISNUMBER(FIND("?",'01_INPUT_COMPANIES'!$A$68)),ISNUMBER(FIND("~",'01_INPUT_COMPANIES'!$A$68))),"ERROR: ID FORMAT",IF(COUNTIF('01_INPUT_COMPANIES'!$A$7:$A$106,'01_INPUT_COMPANIES'!$A$68)&lt;&gt;1,"ERROR: DUPLICATE ID",IF(COUNT('01_INPUT_COMPANIES'!$T$68:$AC$68)&lt;&gt;10,"INPUT REQUIRED",IF(NOT(OR('01_INPUT_COMPANIES'!$C$68="domestic",'01_INPUT_COMPANIES'!$C$68="foreign",'01_INPUT_COMPANIES'!$C$68="other")),"ERROR: COMPANY GROUP",IF(OR(LEN('01_INPUT_COMPANIES'!$G$68)&lt;&gt;6,MID('01_INPUT_COMPANIES'!$G$68,5,1)&lt;&gt;"Q",IFERROR(VALUE(LEFT('01_INPUT_COMPANIES'!$G$68,4)),0)&lt;2000,IFERROR(VALUE(LEFT('01_INPUT_COMPANIES'!$G$68,4)),0)&gt;2100,IFERROR(VALUE(RIGHT('01_INPUT_COMPANIES'!$G$68,1)),0)&lt;1,IFERROR(VALUE(RIGHT('01_INPUT_COMPANIES'!$G$68,1)),0)&gt;4),"ERROR: REPORTING PERIOD",IF(OR(COUNTIFS('92_REF_VARIABLES'!$A$21:$A$21,'01_INPUT_COMPANIES'!$H$68,'92_REF_VARIABLES'!$B$21:$B$21,'01_INPUT_COMPANIES'!$D$68,'92_REF_VARIABLES'!$C$21:$C$21,'01_INPUT_COMPANIES'!$G$68)&lt;&gt;1,AND(IFERROR(INDEX('92_REF_VARIABLES'!$I$21:$I$21,MATCH('01_INPUT_COMPANIES'!$H$68,'92_REF_VARIABLES'!$A$21:$A$21,0)),"")="synthetic_only",'01_INPUT_COMPANIES'!$L$68&lt;&gt;"yes")),"ERROR: BENCHMARK",IF(COUNTIF('92_REF_VARIABLES'!$L$21:$L$50,'01_INPUT_COMPANIES'!$I$68)&lt;&gt;1,"ERROR: CURRENCY",IF(OR(NOT(ISNUMBER('01_INPUT_COMPANIES'!$J$68)),'01_INPUT_COMPANIES'!$J$68&lt;&gt;INT('01_INPUT_COMPANIES'!$J$68),'01_INPUT_COMPANIES'!$J$68&lt;2000,'01_INPUT_COMPANIES'!$J$68&gt;2100),"ERROR: PRICE YEAR",IF(NOT(OR('01_INPUT_COMPANIES'!$K$68="A",'01_INPUT_COMPANIES'!$K$68="B",'01_INPUT_COMPANIES'!$K$68="C",'01_INPUT_COMPANIES'!$K$68="SYNTHETIC")),"ERROR: QUALITY",IF(NOT(OR(AND('01_INPUT_COMPANIES'!$L$68="yes",'01_INPUT_COMPANIES'!$K$68="SYNTHETIC"),AND('01_INPUT_COMPANIES'!$L$68="no",'01_INPUT_COMPANIES'!$K$68&lt;&gt;"SYNTHETIC"))),"ERROR: SYNTHETIC FLAG",IF(NOT(OR('01_INPUT_COMPANIES'!$M$68="direct",'01_INPUT_COMPANIES'!$M$68="derived",'01_INPUT_COMPANIES'!$M$68="proxy",'01_INPUT_COMPANIES'!$M$68="mixed")),"ERROR: CONSTRUCTION MODE",IF(OR(NOT(ISNUMBER('01_INPUT_COMPANIES'!$P$68)),'01_INPUT_COMPANIES'!$P$68&lt;0,'01_INPUT_COMPANIES'!$P$68&lt;&gt;INT('01_INPUT_COMPANIES'!$P$68)),"ERROR: CARRY LAG",IF('01_INPUT_COMPANIES'!$Q$68&lt;&gt;"yes","ERROR: EXPOSURE ADJUSTMENT",IF(OR(NOT(ISNUMBER('01_INPUT_COMPANIES'!$R$68)),'01_INPUT_COMPANIES'!$R$68&lt;0,'01_INPUT_COMPANIES'!$R$68&gt;1),"ERROR: EXPOSURE FACTOR",IF(COUNT(Y68)=0,"ERROR: SCORE",IF(COUNT(Z68)=0,"READY",IF(AA68&lt;=0.0000000001,"PASS","CHECK"))&amp;IF('01_INPUT_COMPANIES'!$K$68="C"," | C QUALITY","")&amp;IF(OR('01_INPUT_COMPANIES'!$M$68="proxy",'01_INPUT_COMPANIES'!$M$68="mixed")," | PROXY/MIXED","")&amp;IF('01_INPUT_COMPANIES'!$P$68&gt;1," | CARRY&gt;1","")&amp;IF(OR(OR('01_INPUT_COMPANIES'!$T$68&lt;-1,'01_INPUT_COMPANIES'!$T$68&gt;1),OR('01_INPUT_COMPANIES'!$U$68&lt;0,'01_INPUT_COMPANIES'!$U$68&gt;1),OR('01_INPUT_COMPANIES'!$V$68&lt;0,'01_INPUT_COMPANIES'!$V$68&gt;1),OR('01_INPUT_COMPANIES'!$W$68&lt;-10,'01_INPUT_COMPANIES'!$W$68&gt;10),OR('01_INPUT_COMPANIES'!$X$68&lt;-1,'01_INPUT_COMPANIES'!$X$68&gt;1),OR('01_INPUT_COMPANIES'!$Y$68&lt;0,'01_INPUT_COMPANIES'!$Y$68&gt;20),OR('01_INPUT_COMPANIES'!$Z$68&lt;-2,'01_INPUT_COMPANIES'!$Z$68&gt;2),OR('01_INPUT_COMPANIES'!$AA$68&lt;0,'01_INPUT_COMPANIES'!$AA$68&gt;1),OR('01_INPUT_COMPANIES'!$AB$68&lt;0,'01_INPUT_COMPANIES'!$AB$68&gt;1),OR('01_INPUT_COMPANIES'!$AC$68&lt;0,'01_INPUT_COMPANIES'!$AC$68&gt;50))," | REVIEW RANGE","")&amp;IF(COUNTIF('90_CALC_FEATURES'!$J$617:$J$626,"WINSORIZED*")&gt;0," | WINSORIZED","")&amp;IF(ABS('01_INPUT_COMPANIES'!$U$68-'01_INPUT_COMPANIES'!$V$68*'01_INPUT_COMPANIES'!$AB$68)&gt;MAX(0.005,0.05*MAX(ABS('01_INPUT_COMPANIES'!$V$68*'01_INPUT_COMPANIES'!$AB$68),ABS('01_INPUT_COMPANIES'!$U$68),0.000000000001))," | DEPENDENCY",""))))))))))))))))))))</x:f>
      </x:c>
      <x:c r="AC68" s="34" t="str">
        <x:f>IF(A68="","",IF(OR(LEFT(AB68,4)="PASS",LEFT(AB68,5)="READY"),"RESEARCH BETA | 저지원 22.22% | 기업 백분위 N/A", "결과 사용 금지 | "&amp;AB68))</x:f>
      </x:c>
      <x:c r="AD68" s="34" t="str">
        <x:f>IF(A68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$68,TRIM('01_INPUT_COMPANIES'!$D$68)),EXACT('01_INPUT_COMPANIES'!$E$68,TRIM('01_INPUT_COMPANIES'!$E$68)),EXACT('01_INPUT_COMPANIES'!$F$68,TRIM('01_INPUT_COMPANIES'!$F$68)),EXACT('01_INPUT_COMPANIES'!$G$68,TRIM('01_INPUT_COMPANIES'!$G$68)),EXACT('01_INPUT_COMPANIES'!$H$68,TRIM('01_INPUT_COMPANIES'!$H$68)))),"ERROR: COHORT WHITESPACE",IF(NOT(IFERROR(AND(ISTEXT('01_INPUT_COMPANIES'!$O$68),LEN('01_INPUT_COMPANIES'!$O$68)=10,VALUE(LEFT('01_INPUT_COMPANIES'!$O$68,4))&gt;=2000,VALUE(LEFT('01_INPUT_COMPANIES'!$O$68,4))&lt;=2100,EXACT(TEXT(DATE(VALUE(LEFT('01_INPUT_COMPANIES'!$O$68,4)),VALUE(MID('01_INPUT_COMPANIES'!$O$68,6,2)),VALUE(RIGHT('01_INPUT_COMPANIES'!$O$68,2))),"yyyy-mm-dd"),'01_INPUT_COMPANIES'!$O$68)),FALSE)),"ERROR: SOURCE DATE",IF(NOT(AND(OR(EXACT('01_INPUT_COMPANIES'!$C$68,"domestic"),EXACT('01_INPUT_COMPANIES'!$C$68,"foreign"),EXACT('01_INPUT_COMPANIES'!$C$68,"other")),OR(EXACT('01_INPUT_COMPANIES'!$K$68,"A"),EXACT('01_INPUT_COMPANIES'!$K$68,"B"),EXACT('01_INPUT_COMPANIES'!$K$68,"C"),EXACT('01_INPUT_COMPANIES'!$K$68,"SYNTHETIC")),OR(EXACT('01_INPUT_COMPANIES'!$L$68,"yes"),EXACT('01_INPUT_COMPANIES'!$L$68,"no")),OR(EXACT('01_INPUT_COMPANIES'!$M$68,"direct"),EXACT('01_INPUT_COMPANIES'!$M$68,"derived"),EXACT('01_INPUT_COMPANIES'!$M$68,"proxy"),EXACT('01_INPUT_COMPANIES'!$M$68,"mixed")),OR(EXACT('01_INPUT_COMPANIES'!$Q$68,"yes")),EXACT('01_INPUT_COMPANIES'!$I$68,UPPER('01_INPUT_COMPANIES'!$I$68)))),"ERROR: EXACT ENUM",IF(NOT(IFERROR(OR(AND(EXACT('92_REF_VARIABLES'!$A$21,'01_INPUT_COMPANIES'!$H$68),EXACT('92_REF_VARIABLES'!$B$21,'01_INPUT_COMPANIES'!$D$68),EXACT('92_REF_VARIABLES'!$C$21,'01_INPUT_COMPANIES'!$G$68))),FALSE)),"ERROR: BENCHMARK",""))))))</x:f>
      </x:c>
    </x:row>
    <x:row r="69">
      <x:c r="A69" s="34" t="str">
        <x:f>IF(OR('01_INPUT_COMPANIES'!$A$69="",'01_INPUT_COMPANIES'!$A$69=""),"",'01_INPUT_COMPANIES'!$A$69)</x:f>
      </x:c>
      <x:c r="B69" s="34" t="str">
        <x:f>IF(OR('01_INPUT_COMPANIES'!$A$69="",'01_INPUT_COMPANIES'!$B$69=""),"",'01_INPUT_COMPANIES'!$B$69)</x:f>
      </x:c>
      <x:c r="C69" s="34" t="str">
        <x:f>IF(OR('01_INPUT_COMPANIES'!$A$69="",'01_INPUT_COMPANIES'!$C$69=""),"",'01_INPUT_COMPANIES'!$C$69)</x:f>
      </x:c>
      <x:c r="D69" s="34" t="str">
        <x:f>IF(OR('01_INPUT_COMPANIES'!$A$69="",'01_INPUT_COMPANIES'!$D$69=""),"",'01_INPUT_COMPANIES'!$D$69)</x:f>
      </x:c>
      <x:c r="E69" s="34" t="str">
        <x:f>IF(OR('01_INPUT_COMPANIES'!$A$69="",'01_INPUT_COMPANIES'!$E$69=""),"",'01_INPUT_COMPANIES'!$E$69)</x:f>
      </x:c>
      <x:c r="F69" s="34" t="str">
        <x:f>IF(OR('01_INPUT_COMPANIES'!$A$69="",'01_INPUT_COMPANIES'!$F$69=""),"",'01_INPUT_COMPANIES'!$F$69)</x:f>
      </x:c>
      <x:c r="G69" s="34" t="str">
        <x:f>IF(OR('01_INPUT_COMPANIES'!$A$69="",'01_INPUT_COMPANIES'!$G$69=""),"",'01_INPUT_COMPANIES'!$G$69)</x:f>
      </x:c>
      <x:c r="H69" s="34" t="str">
        <x:f>IF(OR('01_INPUT_COMPANIES'!$A$69="",'01_INPUT_COMPANIES'!$H$69=""),"",'01_INPUT_COMPANIES'!$H$69)</x:f>
      </x:c>
      <x:c r="I69" s="34" t="str">
        <x:f>IF(OR('01_INPUT_COMPANIES'!$A$69="",'01_INPUT_COMPANIES'!$K$69=""),"",'01_INPUT_COMPANIES'!$K$69)</x:f>
      </x:c>
      <x:c r="J69" s="34" t="str">
        <x:f>IF(OR('01_INPUT_COMPANIES'!$A$69="",'01_INPUT_COMPANIES'!$M$69=""),"",'01_INPUT_COMPANIES'!$M$69)</x:f>
      </x:c>
      <x:c r="K69" s="34" t="str">
        <x:f>IF(OR(A69="",COUNTBLANK(D69:H69)&gt;0),"",LEN(D69)&amp;":"&amp;D69&amp;LEN(E69)&amp;":"&amp;E69&amp;LEN(F69)&amp;":"&amp;F69&amp;LEN(G69)&amp;":"&amp;G69&amp;LEN(H69)&amp;":"&amp;H69)</x:f>
      </x:c>
      <x:c r="L69" s="47" t="str">
        <x:f>IF(A69="","",'90_CALC_FEATURES'!$I$627)</x:f>
      </x:c>
      <x:c r="M69" s="47" t="str">
        <x:f>IF(A69="","",'90_CALC_FEATURES'!$I$628)</x:f>
      </x:c>
      <x:c r="N69" s="47" t="str">
        <x:f>IF(A69="","",'90_CALC_FEATURES'!$I$629)</x:f>
      </x:c>
      <x:c r="O69" s="47" t="str">
        <x:f>IF(A69="","",'90_CALC_FEATURES'!$I$630)</x:f>
      </x:c>
      <x:c r="P69" s="47" t="str">
        <x:f>IF(A69="","",'90_CALC_FEATURES'!$I$631)</x:f>
      </x:c>
      <x:c r="Q69" s="47" t="str">
        <x:f>IF(A69="","",'90_CALC_FEATURES'!$I$632)</x:f>
      </x:c>
      <x:c r="R69" s="47" t="str">
        <x:f>IF(A69="","",'90_CALC_FEATURES'!$I$633)</x:f>
      </x:c>
      <x:c r="S69" s="47" t="str">
        <x:f>IF(A69="","",'90_CALC_FEATURES'!$I$634)</x:f>
      </x:c>
      <x:c r="T69" s="47" t="str">
        <x:f>IF(A69="","",'90_CALC_FEATURES'!$I$635)</x:f>
      </x:c>
      <x:c r="U69" s="47" t="str">
        <x:f>IF(A69="","",'90_CALC_FEATURES'!$I$636)</x:f>
      </x:c>
      <x:c r="V69" s="47" t="str">
        <x:f>IF(COUNT(L69:N69)=3,100*AVERAGE(L69:N69),"")</x:f>
      </x:c>
      <x:c r="W69" s="47" t="str">
        <x:f>IF(COUNT(O69:R69)=4,100*AVERAGE(O69:R69),"")</x:f>
      </x:c>
      <x:c r="X69" s="47" t="str">
        <x:f>IF(COUNT(S69:U69)=3,100*AVERAGE(S69:U69),"")</x:f>
      </x:c>
      <x:c r="Y69" s="47" t="str">
        <x:f>IF(COUNT(V69:X69)=3,AVERAGE(V69:X69),"")</x:f>
      </x:c>
      <x:c r="Z69" s="47" t="str">
        <x:f>IF(OR(AND(EXACT(A69,"SYN-A"),COUNT('01_INPUT_COMPANIES'!$T$69:$AC$69)=10,'01_INPUT_COMPANIES'!$T$69=-0.02,'01_INPUT_COMPANIES'!$U$69=0.1332,'01_INPUT_COMPANIES'!$V$69=0.18,'01_INPUT_COMPANIES'!$W$69=0.42,'01_INPUT_COMPANIES'!$X$69=0.012,'01_INPUT_COMPANIES'!$Y$69=3.2,'01_INPUT_COMPANIES'!$Z$69=0.08,'01_INPUT_COMPANIES'!$AA$69=0.28,'01_INPUT_COMPANIES'!$AB$69=0.74,'01_INPUT_COMPANIES'!$AC$69=8.5),AND(EXACT(A69,"SYN-B"),COUNT('01_INPUT_COMPANIES'!$T$69:$AC$69)=10,'01_INPUT_COMPANIES'!$T$69=-0.055,'01_INPUT_COMPANIES'!$U$69=0.06405,'01_INPUT_COMPANIES'!$V$69=0.105,'01_INPUT_COMPANIES'!$W$69=0.73,'01_INPUT_COMPANIES'!$X$69=0.004,'01_INPUT_COMPANIES'!$Y$69=4.1,'01_INPUT_COMPANIES'!$Z$69=0.025,'01_INPUT_COMPANIES'!$AA$69=0.16,'01_INPUT_COMPANIES'!$AB$69=0.61,'01_INPUT_COMPANIES'!$AC$69=4),AND(EXACT(A69,"SYN-C"),COUNT('01_INPUT_COMPANIES'!$T$69:$AC$69)=10,'01_INPUT_COMPANIES'!$T$69=0.01,'01_INPUT_COMPANIES'!$U$69=0.0986,'01_INPUT_COMPANIES'!$V$69=0.145,'01_INPUT_COMPANIES'!$W$69=0.18,'01_INPUT_COMPANIES'!$X$69=0.018,'01_INPUT_COMPANIES'!$Y$69=2.65,'01_INPUT_COMPANIES'!$Z$69=0.11,'01_INPUT_COMPANIES'!$AA$69=0.34,'01_INPUT_COMPANIES'!$AB$69=0.68,'01_INPUT_COMPANIES'!$AC$69=6.8),AND(EXACT(A69,"SYN-D"),COUNT('01_INPUT_COMPANIES'!$T$69:$AC$69)=10,'01_INPUT_COMPANIES'!$T$69=-0.005,'01_INPUT_COMPANIES'!$U$69=0.1136,'01_INPUT_COMPANIES'!$V$69=0.16,'01_INPUT_COMPANIES'!$W$69=0.51,'01_INPUT_COMPANIES'!$X$69=0.009,'01_INPUT_COMPANIES'!$Y$69=3.55,'01_INPUT_COMPANIES'!$Z$69=0.065,'01_INPUT_COMPANIES'!$AA$69=0.24,'01_INPUT_COMPANIES'!$AB$69=0.71,'01_INPUT_COMPANIES'!$AC$69=7.4)),IFERROR(INDEX('94_EXPECTED_OUTPUTS'!$B$7:$B$10,MATCH(A69,'94_EXPECTED_OUTPUTS'!$A$7:$A$10,0)),""),"")</x:f>
      </x:c>
      <x:c r="AA69" s="47" t="str">
        <x:f>IF(OR(COUNT(Y69)=0,COUNT(Z69)=0),"",ABS(Y69-Z69))</x:f>
      </x:c>
      <x:c r="AB69" s="34" t="str">
        <x:f>IF(A69="","",IF(AD69&lt;&gt;"",AD69,IF('01_INPUT_COMPANIES'!$A$69="","",IF(OR(LEN(TRIM('01_INPUT_COMPANIES'!$A$69&amp;""))=0,LEN(TRIM('01_INPUT_COMPANIES'!$B$69&amp;""))=0,LEN(TRIM('01_INPUT_COMPANIES'!$C$69&amp;""))=0,LEN(TRIM('01_INPUT_COMPANIES'!$D$69&amp;""))=0,LEN(TRIM('01_INPUT_COMPANIES'!$E$69&amp;""))=0,LEN(TRIM('01_INPUT_COMPANIES'!$F$69&amp;""))=0,LEN(TRIM('01_INPUT_COMPANIES'!$G$69&amp;""))=0,LEN(TRIM('01_INPUT_COMPANIES'!$H$69&amp;""))=0,LEN(TRIM('01_INPUT_COMPANIES'!$I$69&amp;""))=0,LEN(TRIM('01_INPUT_COMPANIES'!$K$69&amp;""))=0,LEN(TRIM('01_INPUT_COMPANIES'!$L$69&amp;""))=0,LEN(TRIM('01_INPUT_COMPANIES'!$M$69&amp;""))=0,LEN(TRIM('01_INPUT_COMPANIES'!$N$69&amp;""))=0,LEN(TRIM('01_INPUT_COMPANIES'!$O$69&amp;""))=0,LEN(TRIM('01_INPUT_COMPANIES'!$Q$69&amp;""))=0,COUNTBLANK('01_INPUT_COMPANIES'!$A$69:$R$69)&gt;0),"INPUT REQUIRED",IF(OR('01_INPUT_COMPANIES'!$A$69&lt;&gt;TRIM('01_INPUT_COMPANIES'!$A$69),NOT(EXACT('01_INPUT_COMPANIES'!$A$69,UPPER('01_INPUT_COMPANIES'!$A$69))),LEN('01_INPUT_COMPANIES'!$A$69)&gt;64,ISNUMBER(FIND("*",'01_INPUT_COMPANIES'!$A$69)),ISNUMBER(FIND("?",'01_INPUT_COMPANIES'!$A$69)),ISNUMBER(FIND("~",'01_INPUT_COMPANIES'!$A$69))),"ERROR: ID FORMAT",IF(COUNTIF('01_INPUT_COMPANIES'!$A$7:$A$106,'01_INPUT_COMPANIES'!$A$69)&lt;&gt;1,"ERROR: DUPLICATE ID",IF(COUNT('01_INPUT_COMPANIES'!$T$69:$AC$69)&lt;&gt;10,"INPUT REQUIRED",IF(NOT(OR('01_INPUT_COMPANIES'!$C$69="domestic",'01_INPUT_COMPANIES'!$C$69="foreign",'01_INPUT_COMPANIES'!$C$69="other")),"ERROR: COMPANY GROUP",IF(OR(LEN('01_INPUT_COMPANIES'!$G$69)&lt;&gt;6,MID('01_INPUT_COMPANIES'!$G$69,5,1)&lt;&gt;"Q",IFERROR(VALUE(LEFT('01_INPUT_COMPANIES'!$G$69,4)),0)&lt;2000,IFERROR(VALUE(LEFT('01_INPUT_COMPANIES'!$G$69,4)),0)&gt;2100,IFERROR(VALUE(RIGHT('01_INPUT_COMPANIES'!$G$69,1)),0)&lt;1,IFERROR(VALUE(RIGHT('01_INPUT_COMPANIES'!$G$69,1)),0)&gt;4),"ERROR: REPORTING PERIOD",IF(OR(COUNTIFS('92_REF_VARIABLES'!$A$21:$A$21,'01_INPUT_COMPANIES'!$H$69,'92_REF_VARIABLES'!$B$21:$B$21,'01_INPUT_COMPANIES'!$D$69,'92_REF_VARIABLES'!$C$21:$C$21,'01_INPUT_COMPANIES'!$G$69)&lt;&gt;1,AND(IFERROR(INDEX('92_REF_VARIABLES'!$I$21:$I$21,MATCH('01_INPUT_COMPANIES'!$H$69,'92_REF_VARIABLES'!$A$21:$A$21,0)),"")="synthetic_only",'01_INPUT_COMPANIES'!$L$69&lt;&gt;"yes")),"ERROR: BENCHMARK",IF(COUNTIF('92_REF_VARIABLES'!$L$21:$L$50,'01_INPUT_COMPANIES'!$I$69)&lt;&gt;1,"ERROR: CURRENCY",IF(OR(NOT(ISNUMBER('01_INPUT_COMPANIES'!$J$69)),'01_INPUT_COMPANIES'!$J$69&lt;&gt;INT('01_INPUT_COMPANIES'!$J$69),'01_INPUT_COMPANIES'!$J$69&lt;2000,'01_INPUT_COMPANIES'!$J$69&gt;2100),"ERROR: PRICE YEAR",IF(NOT(OR('01_INPUT_COMPANIES'!$K$69="A",'01_INPUT_COMPANIES'!$K$69="B",'01_INPUT_COMPANIES'!$K$69="C",'01_INPUT_COMPANIES'!$K$69="SYNTHETIC")),"ERROR: QUALITY",IF(NOT(OR(AND('01_INPUT_COMPANIES'!$L$69="yes",'01_INPUT_COMPANIES'!$K$69="SYNTHETIC"),AND('01_INPUT_COMPANIES'!$L$69="no",'01_INPUT_COMPANIES'!$K$69&lt;&gt;"SYNTHETIC"))),"ERROR: SYNTHETIC FLAG",IF(NOT(OR('01_INPUT_COMPANIES'!$M$69="direct",'01_INPUT_COMPANIES'!$M$69="derived",'01_INPUT_COMPANIES'!$M$69="proxy",'01_INPUT_COMPANIES'!$M$69="mixed")),"ERROR: CONSTRUCTION MODE",IF(OR(NOT(ISNUMBER('01_INPUT_COMPANIES'!$P$69)),'01_INPUT_COMPANIES'!$P$69&lt;0,'01_INPUT_COMPANIES'!$P$69&lt;&gt;INT('01_INPUT_COMPANIES'!$P$69)),"ERROR: CARRY LAG",IF('01_INPUT_COMPANIES'!$Q$69&lt;&gt;"yes","ERROR: EXPOSURE ADJUSTMENT",IF(OR(NOT(ISNUMBER('01_INPUT_COMPANIES'!$R$69)),'01_INPUT_COMPANIES'!$R$69&lt;0,'01_INPUT_COMPANIES'!$R$69&gt;1),"ERROR: EXPOSURE FACTOR",IF(COUNT(Y69)=0,"ERROR: SCORE",IF(COUNT(Z69)=0,"READY",IF(AA69&lt;=0.0000000001,"PASS","CHECK"))&amp;IF('01_INPUT_COMPANIES'!$K$69="C"," | C QUALITY","")&amp;IF(OR('01_INPUT_COMPANIES'!$M$69="proxy",'01_INPUT_COMPANIES'!$M$69="mixed")," | PROXY/MIXED","")&amp;IF('01_INPUT_COMPANIES'!$P$69&gt;1," | CARRY&gt;1","")&amp;IF(OR(OR('01_INPUT_COMPANIES'!$T$69&lt;-1,'01_INPUT_COMPANIES'!$T$69&gt;1),OR('01_INPUT_COMPANIES'!$U$69&lt;0,'01_INPUT_COMPANIES'!$U$69&gt;1),OR('01_INPUT_COMPANIES'!$V$69&lt;0,'01_INPUT_COMPANIES'!$V$69&gt;1),OR('01_INPUT_COMPANIES'!$W$69&lt;-10,'01_INPUT_COMPANIES'!$W$69&gt;10),OR('01_INPUT_COMPANIES'!$X$69&lt;-1,'01_INPUT_COMPANIES'!$X$69&gt;1),OR('01_INPUT_COMPANIES'!$Y$69&lt;0,'01_INPUT_COMPANIES'!$Y$69&gt;20),OR('01_INPUT_COMPANIES'!$Z$69&lt;-2,'01_INPUT_COMPANIES'!$Z$69&gt;2),OR('01_INPUT_COMPANIES'!$AA$69&lt;0,'01_INPUT_COMPANIES'!$AA$69&gt;1),OR('01_INPUT_COMPANIES'!$AB$69&lt;0,'01_INPUT_COMPANIES'!$AB$69&gt;1),OR('01_INPUT_COMPANIES'!$AC$69&lt;0,'01_INPUT_COMPANIES'!$AC$69&gt;50))," | REVIEW RANGE","")&amp;IF(COUNTIF('90_CALC_FEATURES'!$J$627:$J$636,"WINSORIZED*")&gt;0," | WINSORIZED","")&amp;IF(ABS('01_INPUT_COMPANIES'!$U$69-'01_INPUT_COMPANIES'!$V$69*'01_INPUT_COMPANIES'!$AB$69)&gt;MAX(0.005,0.05*MAX(ABS('01_INPUT_COMPANIES'!$V$69*'01_INPUT_COMPANIES'!$AB$69),ABS('01_INPUT_COMPANIES'!$U$69),0.000000000001))," | DEPENDENCY",""))))))))))))))))))))</x:f>
      </x:c>
      <x:c r="AC69" s="34" t="str">
        <x:f>IF(A69="","",IF(OR(LEFT(AB69,4)="PASS",LEFT(AB69,5)="READY"),"RESEARCH BETA | 저지원 22.22% | 기업 백분위 N/A", "결과 사용 금지 | "&amp;AB69))</x:f>
      </x:c>
      <x:c r="AD69" s="34" t="str">
        <x:f>IF(A69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$69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$69,TRIM('01_INPUT_COMPANIES'!$D$69)),EXACT('01_INPUT_COMPANIES'!$E$69,TRIM('01_INPUT_COMPANIES'!$E$69)),EXACT('01_INPUT_COMPANIES'!$F$69,TRIM('01_INPUT_COMPANIES'!$F$69)),EXACT('01_INPUT_COMPANIES'!$G$69,TRIM('01_INPUT_COMPANIES'!$G$69)),EXACT('01_INPUT_COMPANIES'!$H$69,TRIM('01_INPUT_COMPANIES'!$H$69)))),"ERROR: COHORT WHITESPACE",IF(NOT(IFERROR(AND(ISTEXT('01_INPUT_COMPANIES'!$O$69),LEN('01_INPUT_COMPANIES'!$O$69)=10,VALUE(LEFT('01_INPUT_COMPANIES'!$O$69,4))&gt;=2000,VALUE(LEFT('01_INPUT_COMPANIES'!$O$69,4))&lt;=2100,EXACT(TEXT(DATE(VALUE(LEFT('01_INPUT_COMPANIES'!$O$69,4)),VALUE(MID('01_INPUT_COMPANIES'!$O$69,6,2)),VALUE(RIGHT('01_INPUT_COMPANIES'!$O$69,2))),"yyyy-mm-dd"),'01_INPUT_COMPANIES'!$O$69)),FALSE)),"ERROR: SOURCE DATE",IF(NOT(AND(OR(EXACT('01_INPUT_COMPANIES'!$C$69,"domestic"),EXACT('01_INPUT_COMPANIES'!$C$69,"foreign"),EXACT('01_INPUT_COMPANIES'!$C$69,"other")),OR(EXACT('01_INPUT_COMPANIES'!$K$69,"A"),EXACT('01_INPUT_COMPANIES'!$K$69,"B"),EXACT('01_INPUT_COMPANIES'!$K$69,"C"),EXACT('01_INPUT_COMPANIES'!$K$69,"SYNTHETIC")),OR(EXACT('01_INPUT_COMPANIES'!$L$69,"yes"),EXACT('01_INPUT_COMPANIES'!$L$69,"no")),OR(EXACT('01_INPUT_COMPANIES'!$M$69,"direct"),EXACT('01_INPUT_COMPANIES'!$M$69,"derived"),EXACT('01_INPUT_COMPANIES'!$M$69,"proxy"),EXACT('01_INPUT_COMPANIES'!$M$69,"mixed")),OR(EXACT('01_INPUT_COMPANIES'!$Q$69,"yes")),EXACT('01_INPUT_COMPANIES'!$I$69,UPPER('01_INPUT_COMPANIES'!$I$69)))),"ERROR: EXACT ENUM",IF(NOT(IFERROR(OR(AND(EXACT('92_REF_VARIABLES'!$A$21,'01_INPUT_COMPANIES'!$H$69),EXACT('92_REF_VARIABLES'!$B$21,'01_INPUT_COMPANIES'!$D$69),EXACT('92_REF_VARIABLES'!$C$21,'01_INPUT_COMPANIES'!$G$69))),FALSE)),"ERROR: BENCHMARK",""))))))</x:f>
      </x:c>
    </x:row>
    <x:row r="70">
      <x:c r="A70" s="34" t="str">
        <x:f>IF(OR('01_INPUT_COMPANIES'!$A$70="",'01_INPUT_COMPANIES'!$A$70=""),"",'01_INPUT_COMPANIES'!$A$70)</x:f>
      </x:c>
      <x:c r="B70" s="34" t="str">
        <x:f>IF(OR('01_INPUT_COMPANIES'!$A$70="",'01_INPUT_COMPANIES'!$B$70=""),"",'01_INPUT_COMPANIES'!$B$70)</x:f>
      </x:c>
      <x:c r="C70" s="34" t="str">
        <x:f>IF(OR('01_INPUT_COMPANIES'!$A$70="",'01_INPUT_COMPANIES'!$C$70=""),"",'01_INPUT_COMPANIES'!$C$70)</x:f>
      </x:c>
      <x:c r="D70" s="34" t="str">
        <x:f>IF(OR('01_INPUT_COMPANIES'!$A$70="",'01_INPUT_COMPANIES'!$D$70=""),"",'01_INPUT_COMPANIES'!$D$70)</x:f>
      </x:c>
      <x:c r="E70" s="34" t="str">
        <x:f>IF(OR('01_INPUT_COMPANIES'!$A$70="",'01_INPUT_COMPANIES'!$E$70=""),"",'01_INPUT_COMPANIES'!$E$70)</x:f>
      </x:c>
      <x:c r="F70" s="34" t="str">
        <x:f>IF(OR('01_INPUT_COMPANIES'!$A$70="",'01_INPUT_COMPANIES'!$F$70=""),"",'01_INPUT_COMPANIES'!$F$70)</x:f>
      </x:c>
      <x:c r="G70" s="34" t="str">
        <x:f>IF(OR('01_INPUT_COMPANIES'!$A$70="",'01_INPUT_COMPANIES'!$G$70=""),"",'01_INPUT_COMPANIES'!$G$70)</x:f>
      </x:c>
      <x:c r="H70" s="34" t="str">
        <x:f>IF(OR('01_INPUT_COMPANIES'!$A$70="",'01_INPUT_COMPANIES'!$H$70=""),"",'01_INPUT_COMPANIES'!$H$70)</x:f>
      </x:c>
      <x:c r="I70" s="34" t="str">
        <x:f>IF(OR('01_INPUT_COMPANIES'!$A$70="",'01_INPUT_COMPANIES'!$K$70=""),"",'01_INPUT_COMPANIES'!$K$70)</x:f>
      </x:c>
      <x:c r="J70" s="34" t="str">
        <x:f>IF(OR('01_INPUT_COMPANIES'!$A$70="",'01_INPUT_COMPANIES'!$M$70=""),"",'01_INPUT_COMPANIES'!$M$70)</x:f>
      </x:c>
      <x:c r="K70" s="34" t="str">
        <x:f>IF(OR(A70="",COUNTBLANK(D70:H70)&gt;0),"",LEN(D70)&amp;":"&amp;D70&amp;LEN(E70)&amp;":"&amp;E70&amp;LEN(F70)&amp;":"&amp;F70&amp;LEN(G70)&amp;":"&amp;G70&amp;LEN(H70)&amp;":"&amp;H70)</x:f>
      </x:c>
      <x:c r="L70" s="47" t="str">
        <x:f>IF(A70="","",'90_CALC_FEATURES'!$I$637)</x:f>
      </x:c>
      <x:c r="M70" s="47" t="str">
        <x:f>IF(A70="","",'90_CALC_FEATURES'!$I$638)</x:f>
      </x:c>
      <x:c r="N70" s="47" t="str">
        <x:f>IF(A70="","",'90_CALC_FEATURES'!$I$639)</x:f>
      </x:c>
      <x:c r="O70" s="47" t="str">
        <x:f>IF(A70="","",'90_CALC_FEATURES'!$I$640)</x:f>
      </x:c>
      <x:c r="P70" s="47" t="str">
        <x:f>IF(A70="","",'90_CALC_FEATURES'!$I$641)</x:f>
      </x:c>
      <x:c r="Q70" s="47" t="str">
        <x:f>IF(A70="","",'90_CALC_FEATURES'!$I$642)</x:f>
      </x:c>
      <x:c r="R70" s="47" t="str">
        <x:f>IF(A70="","",'90_CALC_FEATURES'!$I$643)</x:f>
      </x:c>
      <x:c r="S70" s="47" t="str">
        <x:f>IF(A70="","",'90_CALC_FEATURES'!$I$644)</x:f>
      </x:c>
      <x:c r="T70" s="47" t="str">
        <x:f>IF(A70="","",'90_CALC_FEATURES'!$I$645)</x:f>
      </x:c>
      <x:c r="U70" s="47" t="str">
        <x:f>IF(A70="","",'90_CALC_FEATURES'!$I$646)</x:f>
      </x:c>
      <x:c r="V70" s="47" t="str">
        <x:f>IF(COUNT(L70:N70)=3,100*AVERAGE(L70:N70),"")</x:f>
      </x:c>
      <x:c r="W70" s="47" t="str">
        <x:f>IF(COUNT(O70:R70)=4,100*AVERAGE(O70:R70),"")</x:f>
      </x:c>
      <x:c r="X70" s="47" t="str">
        <x:f>IF(COUNT(S70:U70)=3,100*AVERAGE(S70:U70),"")</x:f>
      </x:c>
      <x:c r="Y70" s="47" t="str">
        <x:f>IF(COUNT(V70:X70)=3,AVERAGE(V70:X70),"")</x:f>
      </x:c>
      <x:c r="Z70" s="47" t="str">
        <x:f>IF(OR(AND(EXACT(A70,"SYN-A"),COUNT('01_INPUT_COMPANIES'!$T$70:$AC$70)=10,'01_INPUT_COMPANIES'!$T$70=-0.02,'01_INPUT_COMPANIES'!$U$70=0.1332,'01_INPUT_COMPANIES'!$V$70=0.18,'01_INPUT_COMPANIES'!$W$70=0.42,'01_INPUT_COMPANIES'!$X$70=0.012,'01_INPUT_COMPANIES'!$Y$70=3.2,'01_INPUT_COMPANIES'!$Z$70=0.08,'01_INPUT_COMPANIES'!$AA$70=0.28,'01_INPUT_COMPANIES'!$AB$70=0.74,'01_INPUT_COMPANIES'!$AC$70=8.5),AND(EXACT(A70,"SYN-B"),COUNT('01_INPUT_COMPANIES'!$T$70:$AC$70)=10,'01_INPUT_COMPANIES'!$T$70=-0.055,'01_INPUT_COMPANIES'!$U$70=0.06405,'01_INPUT_COMPANIES'!$V$70=0.105,'01_INPUT_COMPANIES'!$W$70=0.73,'01_INPUT_COMPANIES'!$X$70=0.004,'01_INPUT_COMPANIES'!$Y$70=4.1,'01_INPUT_COMPANIES'!$Z$70=0.025,'01_INPUT_COMPANIES'!$AA$70=0.16,'01_INPUT_COMPANIES'!$AB$70=0.61,'01_INPUT_COMPANIES'!$AC$70=4),AND(EXACT(A70,"SYN-C"),COUNT('01_INPUT_COMPANIES'!$T$70:$AC$70)=10,'01_INPUT_COMPANIES'!$T$70=0.01,'01_INPUT_COMPANIES'!$U$70=0.0986,'01_INPUT_COMPANIES'!$V$70=0.145,'01_INPUT_COMPANIES'!$W$70=0.18,'01_INPUT_COMPANIES'!$X$70=0.018,'01_INPUT_COMPANIES'!$Y$70=2.65,'01_INPUT_COMPANIES'!$Z$70=0.11,'01_INPUT_COMPANIES'!$AA$70=0.34,'01_INPUT_COMPANIES'!$AB$70=0.68,'01_INPUT_COMPANIES'!$AC$70=6.8),AND(EXACT(A70,"SYN-D"),COUNT('01_INPUT_COMPANIES'!$T$70:$AC$70)=10,'01_INPUT_COMPANIES'!$T$70=-0.005,'01_INPUT_COMPANIES'!$U$70=0.1136,'01_INPUT_COMPANIES'!$V$70=0.16,'01_INPUT_COMPANIES'!$W$70=0.51,'01_INPUT_COMPANIES'!$X$70=0.009,'01_INPUT_COMPANIES'!$Y$70=3.55,'01_INPUT_COMPANIES'!$Z$70=0.065,'01_INPUT_COMPANIES'!$AA$70=0.24,'01_INPUT_COMPANIES'!$AB$70=0.71,'01_INPUT_COMPANIES'!$AC$70=7.4)),IFERROR(INDEX('94_EXPECTED_OUTPUTS'!$B$7:$B$10,MATCH(A70,'94_EXPECTED_OUTPUTS'!$A$7:$A$10,0)),""),"")</x:f>
      </x:c>
      <x:c r="AA70" s="47" t="str">
        <x:f>IF(OR(COUNT(Y70)=0,COUNT(Z70)=0),"",ABS(Y70-Z70))</x:f>
      </x:c>
      <x:c r="AB70" s="34" t="str">
        <x:f>IF(A70="","",IF(AD70&lt;&gt;"",AD70,IF('01_INPUT_COMPANIES'!$A$70="","",IF(OR(LEN(TRIM('01_INPUT_COMPANIES'!$A$70&amp;""))=0,LEN(TRIM('01_INPUT_COMPANIES'!$B$70&amp;""))=0,LEN(TRIM('01_INPUT_COMPANIES'!$C$70&amp;""))=0,LEN(TRIM('01_INPUT_COMPANIES'!$D$70&amp;""))=0,LEN(TRIM('01_INPUT_COMPANIES'!$E$70&amp;""))=0,LEN(TRIM('01_INPUT_COMPANIES'!$F$70&amp;""))=0,LEN(TRIM('01_INPUT_COMPANIES'!$G$70&amp;""))=0,LEN(TRIM('01_INPUT_COMPANIES'!$H$70&amp;""))=0,LEN(TRIM('01_INPUT_COMPANIES'!$I$70&amp;""))=0,LEN(TRIM('01_INPUT_COMPANIES'!$K$70&amp;""))=0,LEN(TRIM('01_INPUT_COMPANIES'!$L$70&amp;""))=0,LEN(TRIM('01_INPUT_COMPANIES'!$M$70&amp;""))=0,LEN(TRIM('01_INPUT_COMPANIES'!$N$70&amp;""))=0,LEN(TRIM('01_INPUT_COMPANIES'!$O$70&amp;""))=0,LEN(TRIM('01_INPUT_COMPANIES'!$Q$70&amp;""))=0,COUNTBLANK('01_INPUT_COMPANIES'!$A$70:$R$70)&gt;0),"INPUT REQUIRED",IF(OR('01_INPUT_COMPANIES'!$A$70&lt;&gt;TRIM('01_INPUT_COMPANIES'!$A$70),NOT(EXACT('01_INPUT_COMPANIES'!$A$70,UPPER('01_INPUT_COMPANIES'!$A$70))),LEN('01_INPUT_COMPANIES'!$A$70)&gt;64,ISNUMBER(FIND("*",'01_INPUT_COMPANIES'!$A$70)),ISNUMBER(FIND("?",'01_INPUT_COMPANIES'!$A$70)),ISNUMBER(FIND("~",'01_INPUT_COMPANIES'!$A$70))),"ERROR: ID FORMAT",IF(COUNTIF('01_INPUT_COMPANIES'!$A$7:$A$106,'01_INPUT_COMPANIES'!$A$70)&lt;&gt;1,"ERROR: DUPLICATE ID",IF(COUNT('01_INPUT_COMPANIES'!$T$70:$AC$70)&lt;&gt;10,"INPUT REQUIRED",IF(NOT(OR('01_INPUT_COMPANIES'!$C$70="domestic",'01_INPUT_COMPANIES'!$C$70="foreign",'01_INPUT_COMPANIES'!$C$70="other")),"ERROR: COMPANY GROUP",IF(OR(LEN('01_INPUT_COMPANIES'!$G$70)&lt;&gt;6,MID('01_INPUT_COMPANIES'!$G$70,5,1)&lt;&gt;"Q",IFERROR(VALUE(LEFT('01_INPUT_COMPANIES'!$G$70,4)),0)&lt;2000,IFERROR(VALUE(LEFT('01_INPUT_COMPANIES'!$G$70,4)),0)&gt;2100,IFERROR(VALUE(RIGHT('01_INPUT_COMPANIES'!$G$70,1)),0)&lt;1,IFERROR(VALUE(RIGHT('01_INPUT_COMPANIES'!$G$70,1)),0)&gt;4),"ERROR: REPORTING PERIOD",IF(OR(COUNTIFS('92_REF_VARIABLES'!$A$21:$A$21,'01_INPUT_COMPANIES'!$H$70,'92_REF_VARIABLES'!$B$21:$B$21,'01_INPUT_COMPANIES'!$D$70,'92_REF_VARIABLES'!$C$21:$C$21,'01_INPUT_COMPANIES'!$G$70)&lt;&gt;1,AND(IFERROR(INDEX('92_REF_VARIABLES'!$I$21:$I$21,MATCH('01_INPUT_COMPANIES'!$H$70,'92_REF_VARIABLES'!$A$21:$A$21,0)),"")="synthetic_only",'01_INPUT_COMPANIES'!$L$70&lt;&gt;"yes")),"ERROR: BENCHMARK",IF(COUNTIF('92_REF_VARIABLES'!$L$21:$L$50,'01_INPUT_COMPANIES'!$I$70)&lt;&gt;1,"ERROR: CURRENCY",IF(OR(NOT(ISNUMBER('01_INPUT_COMPANIES'!$J$70)),'01_INPUT_COMPANIES'!$J$70&lt;&gt;INT('01_INPUT_COMPANIES'!$J$70),'01_INPUT_COMPANIES'!$J$70&lt;2000,'01_INPUT_COMPANIES'!$J$70&gt;2100),"ERROR: PRICE YEAR",IF(NOT(OR('01_INPUT_COMPANIES'!$K$70="A",'01_INPUT_COMPANIES'!$K$70="B",'01_INPUT_COMPANIES'!$K$70="C",'01_INPUT_COMPANIES'!$K$70="SYNTHETIC")),"ERROR: QUALITY",IF(NOT(OR(AND('01_INPUT_COMPANIES'!$L$70="yes",'01_INPUT_COMPANIES'!$K$70="SYNTHETIC"),AND('01_INPUT_COMPANIES'!$L$70="no",'01_INPUT_COMPANIES'!$K$70&lt;&gt;"SYNTHETIC"))),"ERROR: SYNTHETIC FLAG",IF(NOT(OR('01_INPUT_COMPANIES'!$M$70="direct",'01_INPUT_COMPANIES'!$M$70="derived",'01_INPUT_COMPANIES'!$M$70="proxy",'01_INPUT_COMPANIES'!$M$70="mixed")),"ERROR: CONSTRUCTION MODE",IF(OR(NOT(ISNUMBER('01_INPUT_COMPANIES'!$P$70)),'01_INPUT_COMPANIES'!$P$70&lt;0,'01_INPUT_COMPANIES'!$P$70&lt;&gt;INT('01_INPUT_COMPANIES'!$P$70)),"ERROR: CARRY LAG",IF('01_INPUT_COMPANIES'!$Q$70&lt;&gt;"yes","ERROR: EXPOSURE ADJUSTMENT",IF(OR(NOT(ISNUMBER('01_INPUT_COMPANIES'!$R$70)),'01_INPUT_COMPANIES'!$R$70&lt;0,'01_INPUT_COMPANIES'!$R$70&gt;1),"ERROR: EXPOSURE FACTOR",IF(COUNT(Y70)=0,"ERROR: SCORE",IF(COUNT(Z70)=0,"READY",IF(AA70&lt;=0.0000000001,"PASS","CHECK"))&amp;IF('01_INPUT_COMPANIES'!$K$70="C"," | C QUALITY","")&amp;IF(OR('01_INPUT_COMPANIES'!$M$70="proxy",'01_INPUT_COMPANIES'!$M$70="mixed")," | PROXY/MIXED","")&amp;IF('01_INPUT_COMPANIES'!$P$70&gt;1," | CARRY&gt;1","")&amp;IF(OR(OR('01_INPUT_COMPANIES'!$T$70&lt;-1,'01_INPUT_COMPANIES'!$T$70&gt;1),OR('01_INPUT_COMPANIES'!$U$70&lt;0,'01_INPUT_COMPANIES'!$U$70&gt;1),OR('01_INPUT_COMPANIES'!$V$70&lt;0,'01_INPUT_COMPANIES'!$V$70&gt;1),OR('01_INPUT_COMPANIES'!$W$70&lt;-10,'01_INPUT_COMPANIES'!$W$70&gt;10),OR('01_INPUT_COMPANIES'!$X$70&lt;-1,'01_INPUT_COMPANIES'!$X$70&gt;1),OR('01_INPUT_COMPANIES'!$Y$70&lt;0,'01_INPUT_COMPANIES'!$Y$70&gt;20),OR('01_INPUT_COMPANIES'!$Z$70&lt;-2,'01_INPUT_COMPANIES'!$Z$70&gt;2),OR('01_INPUT_COMPANIES'!$AA$70&lt;0,'01_INPUT_COMPANIES'!$AA$70&gt;1),OR('01_INPUT_COMPANIES'!$AB$70&lt;0,'01_INPUT_COMPANIES'!$AB$70&gt;1),OR('01_INPUT_COMPANIES'!$AC$70&lt;0,'01_INPUT_COMPANIES'!$AC$70&gt;50))," | REVIEW RANGE","")&amp;IF(COUNTIF('90_CALC_FEATURES'!$J$637:$J$646,"WINSORIZED*")&gt;0," | WINSORIZED","")&amp;IF(ABS('01_INPUT_COMPANIES'!$U$70-'01_INPUT_COMPANIES'!$V$70*'01_INPUT_COMPANIES'!$AB$70)&gt;MAX(0.005,0.05*MAX(ABS('01_INPUT_COMPANIES'!$V$70*'01_INPUT_COMPANIES'!$AB$70),ABS('01_INPUT_COMPANIES'!$U$70),0.000000000001))," | DEPENDENCY",""))))))))))))))))))))</x:f>
      </x:c>
      <x:c r="AC70" s="34" t="str">
        <x:f>IF(A70="","",IF(OR(LEFT(AB70,4)="PASS",LEFT(AB70,5)="READY"),"RESEARCH BETA | 저지원 22.22% | 기업 백분위 N/A", "결과 사용 금지 | "&amp;AB70))</x:f>
      </x:c>
      <x:c r="AD70" s="34" t="str">
        <x:f>IF(A70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$70,TRIM('01_INPUT_COMPANIES'!$D$70)),EXACT('01_INPUT_COMPANIES'!$E$70,TRIM('01_INPUT_COMPANIES'!$E$70)),EXACT('01_INPUT_COMPANIES'!$F$70,TRIM('01_INPUT_COMPANIES'!$F$70)),EXACT('01_INPUT_COMPANIES'!$G$70,TRIM('01_INPUT_COMPANIES'!$G$70)),EXACT('01_INPUT_COMPANIES'!$H$70,TRIM('01_INPUT_COMPANIES'!$H$70)))),"ERROR: COHORT WHITESPACE",IF(NOT(IFERROR(AND(ISTEXT('01_INPUT_COMPANIES'!$O$70),LEN('01_INPUT_COMPANIES'!$O$70)=10,VALUE(LEFT('01_INPUT_COMPANIES'!$O$70,4))&gt;=2000,VALUE(LEFT('01_INPUT_COMPANIES'!$O$70,4))&lt;=2100,EXACT(TEXT(DATE(VALUE(LEFT('01_INPUT_COMPANIES'!$O$70,4)),VALUE(MID('01_INPUT_COMPANIES'!$O$70,6,2)),VALUE(RIGHT('01_INPUT_COMPANIES'!$O$70,2))),"yyyy-mm-dd"),'01_INPUT_COMPANIES'!$O$70)),FALSE)),"ERROR: SOURCE DATE",IF(NOT(AND(OR(EXACT('01_INPUT_COMPANIES'!$C$70,"domestic"),EXACT('01_INPUT_COMPANIES'!$C$70,"foreign"),EXACT('01_INPUT_COMPANIES'!$C$70,"other")),OR(EXACT('01_INPUT_COMPANIES'!$K$70,"A"),EXACT('01_INPUT_COMPANIES'!$K$70,"B"),EXACT('01_INPUT_COMPANIES'!$K$70,"C"),EXACT('01_INPUT_COMPANIES'!$K$70,"SYNTHETIC")),OR(EXACT('01_INPUT_COMPANIES'!$L$70,"yes"),EXACT('01_INPUT_COMPANIES'!$L$70,"no")),OR(EXACT('01_INPUT_COMPANIES'!$M$70,"direct"),EXACT('01_INPUT_COMPANIES'!$M$70,"derived"),EXACT('01_INPUT_COMPANIES'!$M$70,"proxy"),EXACT('01_INPUT_COMPANIES'!$M$70,"mixed")),OR(EXACT('01_INPUT_COMPANIES'!$Q$70,"yes")),EXACT('01_INPUT_COMPANIES'!$I$70,UPPER('01_INPUT_COMPANIES'!$I$70)))),"ERROR: EXACT ENUM",IF(NOT(IFERROR(OR(AND(EXACT('92_REF_VARIABLES'!$A$21,'01_INPUT_COMPANIES'!$H$70),EXACT('92_REF_VARIABLES'!$B$21,'01_INPUT_COMPANIES'!$D$70),EXACT('92_REF_VARIABLES'!$C$21,'01_INPUT_COMPANIES'!$G$70))),FALSE)),"ERROR: BENCHMARK",""))))))</x:f>
      </x:c>
    </x:row>
    <x:row r="71">
      <x:c r="A71" s="34" t="str">
        <x:f>IF(OR('01_INPUT_COMPANIES'!$A$71="",'01_INPUT_COMPANIES'!$A$71=""),"",'01_INPUT_COMPANIES'!$A$71)</x:f>
      </x:c>
      <x:c r="B71" s="34" t="str">
        <x:f>IF(OR('01_INPUT_COMPANIES'!$A$71="",'01_INPUT_COMPANIES'!$B$71=""),"",'01_INPUT_COMPANIES'!$B$71)</x:f>
      </x:c>
      <x:c r="C71" s="34" t="str">
        <x:f>IF(OR('01_INPUT_COMPANIES'!$A$71="",'01_INPUT_COMPANIES'!$C$71=""),"",'01_INPUT_COMPANIES'!$C$71)</x:f>
      </x:c>
      <x:c r="D71" s="34" t="str">
        <x:f>IF(OR('01_INPUT_COMPANIES'!$A$71="",'01_INPUT_COMPANIES'!$D$71=""),"",'01_INPUT_COMPANIES'!$D$71)</x:f>
      </x:c>
      <x:c r="E71" s="34" t="str">
        <x:f>IF(OR('01_INPUT_COMPANIES'!$A$71="",'01_INPUT_COMPANIES'!$E$71=""),"",'01_INPUT_COMPANIES'!$E$71)</x:f>
      </x:c>
      <x:c r="F71" s="34" t="str">
        <x:f>IF(OR('01_INPUT_COMPANIES'!$A$71="",'01_INPUT_COMPANIES'!$F$71=""),"",'01_INPUT_COMPANIES'!$F$71)</x:f>
      </x:c>
      <x:c r="G71" s="34" t="str">
        <x:f>IF(OR('01_INPUT_COMPANIES'!$A$71="",'01_INPUT_COMPANIES'!$G$71=""),"",'01_INPUT_COMPANIES'!$G$71)</x:f>
      </x:c>
      <x:c r="H71" s="34" t="str">
        <x:f>IF(OR('01_INPUT_COMPANIES'!$A$71="",'01_INPUT_COMPANIES'!$H$71=""),"",'01_INPUT_COMPANIES'!$H$71)</x:f>
      </x:c>
      <x:c r="I71" s="34" t="str">
        <x:f>IF(OR('01_INPUT_COMPANIES'!$A$71="",'01_INPUT_COMPANIES'!$K$71=""),"",'01_INPUT_COMPANIES'!$K$71)</x:f>
      </x:c>
      <x:c r="J71" s="34" t="str">
        <x:f>IF(OR('01_INPUT_COMPANIES'!$A$71="",'01_INPUT_COMPANIES'!$M$71=""),"",'01_INPUT_COMPANIES'!$M$71)</x:f>
      </x:c>
      <x:c r="K71" s="34" t="str">
        <x:f>IF(OR(A71="",COUNTBLANK(D71:H71)&gt;0),"",LEN(D71)&amp;":"&amp;D71&amp;LEN(E71)&amp;":"&amp;E71&amp;LEN(F71)&amp;":"&amp;F71&amp;LEN(G71)&amp;":"&amp;G71&amp;LEN(H71)&amp;":"&amp;H71)</x:f>
      </x:c>
      <x:c r="L71" s="47" t="str">
        <x:f>IF(A71="","",'90_CALC_FEATURES'!$I$647)</x:f>
      </x:c>
      <x:c r="M71" s="47" t="str">
        <x:f>IF(A71="","",'90_CALC_FEATURES'!$I$648)</x:f>
      </x:c>
      <x:c r="N71" s="47" t="str">
        <x:f>IF(A71="","",'90_CALC_FEATURES'!$I$649)</x:f>
      </x:c>
      <x:c r="O71" s="47" t="str">
        <x:f>IF(A71="","",'90_CALC_FEATURES'!$I$650)</x:f>
      </x:c>
      <x:c r="P71" s="47" t="str">
        <x:f>IF(A71="","",'90_CALC_FEATURES'!$I$651)</x:f>
      </x:c>
      <x:c r="Q71" s="47" t="str">
        <x:f>IF(A71="","",'90_CALC_FEATURES'!$I$652)</x:f>
      </x:c>
      <x:c r="R71" s="47" t="str">
        <x:f>IF(A71="","",'90_CALC_FEATURES'!$I$653)</x:f>
      </x:c>
      <x:c r="S71" s="47" t="str">
        <x:f>IF(A71="","",'90_CALC_FEATURES'!$I$654)</x:f>
      </x:c>
      <x:c r="T71" s="47" t="str">
        <x:f>IF(A71="","",'90_CALC_FEATURES'!$I$655)</x:f>
      </x:c>
      <x:c r="U71" s="47" t="str">
        <x:f>IF(A71="","",'90_CALC_FEATURES'!$I$656)</x:f>
      </x:c>
      <x:c r="V71" s="47" t="str">
        <x:f>IF(COUNT(L71:N71)=3,100*AVERAGE(L71:N71),"")</x:f>
      </x:c>
      <x:c r="W71" s="47" t="str">
        <x:f>IF(COUNT(O71:R71)=4,100*AVERAGE(O71:R71),"")</x:f>
      </x:c>
      <x:c r="X71" s="47" t="str">
        <x:f>IF(COUNT(S71:U71)=3,100*AVERAGE(S71:U71),"")</x:f>
      </x:c>
      <x:c r="Y71" s="47" t="str">
        <x:f>IF(COUNT(V71:X71)=3,AVERAGE(V71:X71),"")</x:f>
      </x:c>
      <x:c r="Z71" s="47" t="str">
        <x:f>IF(OR(AND(EXACT(A71,"SYN-A"),COUNT('01_INPUT_COMPANIES'!$T$71:$AC$71)=10,'01_INPUT_COMPANIES'!$T$71=-0.02,'01_INPUT_COMPANIES'!$U$71=0.1332,'01_INPUT_COMPANIES'!$V$71=0.18,'01_INPUT_COMPANIES'!$W$71=0.42,'01_INPUT_COMPANIES'!$X$71=0.012,'01_INPUT_COMPANIES'!$Y$71=3.2,'01_INPUT_COMPANIES'!$Z$71=0.08,'01_INPUT_COMPANIES'!$AA$71=0.28,'01_INPUT_COMPANIES'!$AB$71=0.74,'01_INPUT_COMPANIES'!$AC$71=8.5),AND(EXACT(A71,"SYN-B"),COUNT('01_INPUT_COMPANIES'!$T$71:$AC$71)=10,'01_INPUT_COMPANIES'!$T$71=-0.055,'01_INPUT_COMPANIES'!$U$71=0.06405,'01_INPUT_COMPANIES'!$V$71=0.105,'01_INPUT_COMPANIES'!$W$71=0.73,'01_INPUT_COMPANIES'!$X$71=0.004,'01_INPUT_COMPANIES'!$Y$71=4.1,'01_INPUT_COMPANIES'!$Z$71=0.025,'01_INPUT_COMPANIES'!$AA$71=0.16,'01_INPUT_COMPANIES'!$AB$71=0.61,'01_INPUT_COMPANIES'!$AC$71=4),AND(EXACT(A71,"SYN-C"),COUNT('01_INPUT_COMPANIES'!$T$71:$AC$71)=10,'01_INPUT_COMPANIES'!$T$71=0.01,'01_INPUT_COMPANIES'!$U$71=0.0986,'01_INPUT_COMPANIES'!$V$71=0.145,'01_INPUT_COMPANIES'!$W$71=0.18,'01_INPUT_COMPANIES'!$X$71=0.018,'01_INPUT_COMPANIES'!$Y$71=2.65,'01_INPUT_COMPANIES'!$Z$71=0.11,'01_INPUT_COMPANIES'!$AA$71=0.34,'01_INPUT_COMPANIES'!$AB$71=0.68,'01_INPUT_COMPANIES'!$AC$71=6.8),AND(EXACT(A71,"SYN-D"),COUNT('01_INPUT_COMPANIES'!$T$71:$AC$71)=10,'01_INPUT_COMPANIES'!$T$71=-0.005,'01_INPUT_COMPANIES'!$U$71=0.1136,'01_INPUT_COMPANIES'!$V$71=0.16,'01_INPUT_COMPANIES'!$W$71=0.51,'01_INPUT_COMPANIES'!$X$71=0.009,'01_INPUT_COMPANIES'!$Y$71=3.55,'01_INPUT_COMPANIES'!$Z$71=0.065,'01_INPUT_COMPANIES'!$AA$71=0.24,'01_INPUT_COMPANIES'!$AB$71=0.71,'01_INPUT_COMPANIES'!$AC$71=7.4)),IFERROR(INDEX('94_EXPECTED_OUTPUTS'!$B$7:$B$10,MATCH(A71,'94_EXPECTED_OUTPUTS'!$A$7:$A$10,0)),""),"")</x:f>
      </x:c>
      <x:c r="AA71" s="47" t="str">
        <x:f>IF(OR(COUNT(Y71)=0,COUNT(Z71)=0),"",ABS(Y71-Z71))</x:f>
      </x:c>
      <x:c r="AB71" s="34" t="str">
        <x:f>IF(A71="","",IF(AD71&lt;&gt;"",AD71,IF('01_INPUT_COMPANIES'!$A$71="","",IF(OR(LEN(TRIM('01_INPUT_COMPANIES'!$A$71&amp;""))=0,LEN(TRIM('01_INPUT_COMPANIES'!$B$71&amp;""))=0,LEN(TRIM('01_INPUT_COMPANIES'!$C$71&amp;""))=0,LEN(TRIM('01_INPUT_COMPANIES'!$D$71&amp;""))=0,LEN(TRIM('01_INPUT_COMPANIES'!$E$71&amp;""))=0,LEN(TRIM('01_INPUT_COMPANIES'!$F$71&amp;""))=0,LEN(TRIM('01_INPUT_COMPANIES'!$G$71&amp;""))=0,LEN(TRIM('01_INPUT_COMPANIES'!$H$71&amp;""))=0,LEN(TRIM('01_INPUT_COMPANIES'!$I$71&amp;""))=0,LEN(TRIM('01_INPUT_COMPANIES'!$K$71&amp;""))=0,LEN(TRIM('01_INPUT_COMPANIES'!$L$71&amp;""))=0,LEN(TRIM('01_INPUT_COMPANIES'!$M$71&amp;""))=0,LEN(TRIM('01_INPUT_COMPANIES'!$N$71&amp;""))=0,LEN(TRIM('01_INPUT_COMPANIES'!$O$71&amp;""))=0,LEN(TRIM('01_INPUT_COMPANIES'!$Q$71&amp;""))=0,COUNTBLANK('01_INPUT_COMPANIES'!$A$71:$R$71)&gt;0),"INPUT REQUIRED",IF(OR('01_INPUT_COMPANIES'!$A$71&lt;&gt;TRIM('01_INPUT_COMPANIES'!$A$71),NOT(EXACT('01_INPUT_COMPANIES'!$A$71,UPPER('01_INPUT_COMPANIES'!$A$71))),LEN('01_INPUT_COMPANIES'!$A$71)&gt;64,ISNUMBER(FIND("*",'01_INPUT_COMPANIES'!$A$71)),ISNUMBER(FIND("?",'01_INPUT_COMPANIES'!$A$71)),ISNUMBER(FIND("~",'01_INPUT_COMPANIES'!$A$71))),"ERROR: ID FORMAT",IF(COUNTIF('01_INPUT_COMPANIES'!$A$7:$A$106,'01_INPUT_COMPANIES'!$A$71)&lt;&gt;1,"ERROR: DUPLICATE ID",IF(COUNT('01_INPUT_COMPANIES'!$T$71:$AC$71)&lt;&gt;10,"INPUT REQUIRED",IF(NOT(OR('01_INPUT_COMPANIES'!$C$71="domestic",'01_INPUT_COMPANIES'!$C$71="foreign",'01_INPUT_COMPANIES'!$C$71="other")),"ERROR: COMPANY GROUP",IF(OR(LEN('01_INPUT_COMPANIES'!$G$71)&lt;&gt;6,MID('01_INPUT_COMPANIES'!$G$71,5,1)&lt;&gt;"Q",IFERROR(VALUE(LEFT('01_INPUT_COMPANIES'!$G$71,4)),0)&lt;2000,IFERROR(VALUE(LEFT('01_INPUT_COMPANIES'!$G$71,4)),0)&gt;2100,IFERROR(VALUE(RIGHT('01_INPUT_COMPANIES'!$G$71,1)),0)&lt;1,IFERROR(VALUE(RIGHT('01_INPUT_COMPANIES'!$G$71,1)),0)&gt;4),"ERROR: REPORTING PERIOD",IF(OR(COUNTIFS('92_REF_VARIABLES'!$A$21:$A$21,'01_INPUT_COMPANIES'!$H$71,'92_REF_VARIABLES'!$B$21:$B$21,'01_INPUT_COMPANIES'!$D$71,'92_REF_VARIABLES'!$C$21:$C$21,'01_INPUT_COMPANIES'!$G$71)&lt;&gt;1,AND(IFERROR(INDEX('92_REF_VARIABLES'!$I$21:$I$21,MATCH('01_INPUT_COMPANIES'!$H$71,'92_REF_VARIABLES'!$A$21:$A$21,0)),"")="synthetic_only",'01_INPUT_COMPANIES'!$L$71&lt;&gt;"yes")),"ERROR: BENCHMARK",IF(COUNTIF('92_REF_VARIABLES'!$L$21:$L$50,'01_INPUT_COMPANIES'!$I$71)&lt;&gt;1,"ERROR: CURRENCY",IF(OR(NOT(ISNUMBER('01_INPUT_COMPANIES'!$J$71)),'01_INPUT_COMPANIES'!$J$71&lt;&gt;INT('01_INPUT_COMPANIES'!$J$71),'01_INPUT_COMPANIES'!$J$71&lt;2000,'01_INPUT_COMPANIES'!$J$71&gt;2100),"ERROR: PRICE YEAR",IF(NOT(OR('01_INPUT_COMPANIES'!$K$71="A",'01_INPUT_COMPANIES'!$K$71="B",'01_INPUT_COMPANIES'!$K$71="C",'01_INPUT_COMPANIES'!$K$71="SYNTHETIC")),"ERROR: QUALITY",IF(NOT(OR(AND('01_INPUT_COMPANIES'!$L$71="yes",'01_INPUT_COMPANIES'!$K$71="SYNTHETIC"),AND('01_INPUT_COMPANIES'!$L$71="no",'01_INPUT_COMPANIES'!$K$71&lt;&gt;"SYNTHETIC"))),"ERROR: SYNTHETIC FLAG",IF(NOT(OR('01_INPUT_COMPANIES'!$M$71="direct",'01_INPUT_COMPANIES'!$M$71="derived",'01_INPUT_COMPANIES'!$M$71="proxy",'01_INPUT_COMPANIES'!$M$71="mixed")),"ERROR: CONSTRUCTION MODE",IF(OR(NOT(ISNUMBER('01_INPUT_COMPANIES'!$P$71)),'01_INPUT_COMPANIES'!$P$71&lt;0,'01_INPUT_COMPANIES'!$P$71&lt;&gt;INT('01_INPUT_COMPANIES'!$P$71)),"ERROR: CARRY LAG",IF('01_INPUT_COMPANIES'!$Q$71&lt;&gt;"yes","ERROR: EXPOSURE ADJUSTMENT",IF(OR(NOT(ISNUMBER('01_INPUT_COMPANIES'!$R$71)),'01_INPUT_COMPANIES'!$R$71&lt;0,'01_INPUT_COMPANIES'!$R$71&gt;1),"ERROR: EXPOSURE FACTOR",IF(COUNT(Y71)=0,"ERROR: SCORE",IF(COUNT(Z71)=0,"READY",IF(AA71&lt;=0.0000000001,"PASS","CHECK"))&amp;IF('01_INPUT_COMPANIES'!$K$71="C"," | C QUALITY","")&amp;IF(OR('01_INPUT_COMPANIES'!$M$71="proxy",'01_INPUT_COMPANIES'!$M$71="mixed")," | PROXY/MIXED","")&amp;IF('01_INPUT_COMPANIES'!$P$71&gt;1," | CARRY&gt;1","")&amp;IF(OR(OR('01_INPUT_COMPANIES'!$T$71&lt;-1,'01_INPUT_COMPANIES'!$T$71&gt;1),OR('01_INPUT_COMPANIES'!$U$71&lt;0,'01_INPUT_COMPANIES'!$U$71&gt;1),OR('01_INPUT_COMPANIES'!$V$71&lt;0,'01_INPUT_COMPANIES'!$V$71&gt;1),OR('01_INPUT_COMPANIES'!$W$71&lt;-10,'01_INPUT_COMPANIES'!$W$71&gt;10),OR('01_INPUT_COMPANIES'!$X$71&lt;-1,'01_INPUT_COMPANIES'!$X$71&gt;1),OR('01_INPUT_COMPANIES'!$Y$71&lt;0,'01_INPUT_COMPANIES'!$Y$71&gt;20),OR('01_INPUT_COMPANIES'!$Z$71&lt;-2,'01_INPUT_COMPANIES'!$Z$71&gt;2),OR('01_INPUT_COMPANIES'!$AA$71&lt;0,'01_INPUT_COMPANIES'!$AA$71&gt;1),OR('01_INPUT_COMPANIES'!$AB$71&lt;0,'01_INPUT_COMPANIES'!$AB$71&gt;1),OR('01_INPUT_COMPANIES'!$AC$71&lt;0,'01_INPUT_COMPANIES'!$AC$71&gt;50))," | REVIEW RANGE","")&amp;IF(COUNTIF('90_CALC_FEATURES'!$J$647:$J$656,"WINSORIZED*")&gt;0," | WINSORIZED","")&amp;IF(ABS('01_INPUT_COMPANIES'!$U$71-'01_INPUT_COMPANIES'!$V$71*'01_INPUT_COMPANIES'!$AB$71)&gt;MAX(0.005,0.05*MAX(ABS('01_INPUT_COMPANIES'!$V$71*'01_INPUT_COMPANIES'!$AB$71),ABS('01_INPUT_COMPANIES'!$U$71),0.000000000001))," | DEPENDENCY",""))))))))))))))))))))</x:f>
      </x:c>
      <x:c r="AC71" s="34" t="str">
        <x:f>IF(A71="","",IF(OR(LEFT(AB71,4)="PASS",LEFT(AB71,5)="READY"),"RESEARCH BETA | 저지원 22.22% | 기업 백분위 N/A", "결과 사용 금지 | "&amp;AB71))</x:f>
      </x:c>
      <x:c r="AD71" s="34" t="str">
        <x:f>IF(A71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$71,TRIM('01_INPUT_COMPANIES'!$D$71)),EXACT('01_INPUT_COMPANIES'!$E$71,TRIM('01_INPUT_COMPANIES'!$E$71)),EXACT('01_INPUT_COMPANIES'!$F$71,TRIM('01_INPUT_COMPANIES'!$F$71)),EXACT('01_INPUT_COMPANIES'!$G$71,TRIM('01_INPUT_COMPANIES'!$G$71)),EXACT('01_INPUT_COMPANIES'!$H$71,TRIM('01_INPUT_COMPANIES'!$H$71)))),"ERROR: COHORT WHITESPACE",IF(NOT(IFERROR(AND(ISTEXT('01_INPUT_COMPANIES'!$O$71),LEN('01_INPUT_COMPANIES'!$O$71)=10,VALUE(LEFT('01_INPUT_COMPANIES'!$O$71,4))&gt;=2000,VALUE(LEFT('01_INPUT_COMPANIES'!$O$71,4))&lt;=2100,EXACT(TEXT(DATE(VALUE(LEFT('01_INPUT_COMPANIES'!$O$71,4)),VALUE(MID('01_INPUT_COMPANIES'!$O$71,6,2)),VALUE(RIGHT('01_INPUT_COMPANIES'!$O$71,2))),"yyyy-mm-dd"),'01_INPUT_COMPANIES'!$O$71)),FALSE)),"ERROR: SOURCE DATE",IF(NOT(AND(OR(EXACT('01_INPUT_COMPANIES'!$C$71,"domestic"),EXACT('01_INPUT_COMPANIES'!$C$71,"foreign"),EXACT('01_INPUT_COMPANIES'!$C$71,"other")),OR(EXACT('01_INPUT_COMPANIES'!$K$71,"A"),EXACT('01_INPUT_COMPANIES'!$K$71,"B"),EXACT('01_INPUT_COMPANIES'!$K$71,"C"),EXACT('01_INPUT_COMPANIES'!$K$71,"SYNTHETIC")),OR(EXACT('01_INPUT_COMPANIES'!$L$71,"yes"),EXACT('01_INPUT_COMPANIES'!$L$71,"no")),OR(EXACT('01_INPUT_COMPANIES'!$M$71,"direct"),EXACT('01_INPUT_COMPANIES'!$M$71,"derived"),EXACT('01_INPUT_COMPANIES'!$M$71,"proxy"),EXACT('01_INPUT_COMPANIES'!$M$71,"mixed")),OR(EXACT('01_INPUT_COMPANIES'!$Q$71,"yes")),EXACT('01_INPUT_COMPANIES'!$I$71,UPPER('01_INPUT_COMPANIES'!$I$71)))),"ERROR: EXACT ENUM",IF(NOT(IFERROR(OR(AND(EXACT('92_REF_VARIABLES'!$A$21,'01_INPUT_COMPANIES'!$H$71),EXACT('92_REF_VARIABLES'!$B$21,'01_INPUT_COMPANIES'!$D$71),EXACT('92_REF_VARIABLES'!$C$21,'01_INPUT_COMPANIES'!$G$71))),FALSE)),"ERROR: BENCHMARK",""))))))</x:f>
      </x:c>
    </x:row>
    <x:row r="72">
      <x:c r="A72" s="34" t="str">
        <x:f>IF(OR('01_INPUT_COMPANIES'!$A$72="",'01_INPUT_COMPANIES'!$A$72=""),"",'01_INPUT_COMPANIES'!$A$72)</x:f>
      </x:c>
      <x:c r="B72" s="34" t="str">
        <x:f>IF(OR('01_INPUT_COMPANIES'!$A$72="",'01_INPUT_COMPANIES'!$B$72=""),"",'01_INPUT_COMPANIES'!$B$72)</x:f>
      </x:c>
      <x:c r="C72" s="34" t="str">
        <x:f>IF(OR('01_INPUT_COMPANIES'!$A$72="",'01_INPUT_COMPANIES'!$C$72=""),"",'01_INPUT_COMPANIES'!$C$72)</x:f>
      </x:c>
      <x:c r="D72" s="34" t="str">
        <x:f>IF(OR('01_INPUT_COMPANIES'!$A$72="",'01_INPUT_COMPANIES'!$D$72=""),"",'01_INPUT_COMPANIES'!$D$72)</x:f>
      </x:c>
      <x:c r="E72" s="34" t="str">
        <x:f>IF(OR('01_INPUT_COMPANIES'!$A$72="",'01_INPUT_COMPANIES'!$E$72=""),"",'01_INPUT_COMPANIES'!$E$72)</x:f>
      </x:c>
      <x:c r="F72" s="34" t="str">
        <x:f>IF(OR('01_INPUT_COMPANIES'!$A$72="",'01_INPUT_COMPANIES'!$F$72=""),"",'01_INPUT_COMPANIES'!$F$72)</x:f>
      </x:c>
      <x:c r="G72" s="34" t="str">
        <x:f>IF(OR('01_INPUT_COMPANIES'!$A$72="",'01_INPUT_COMPANIES'!$G$72=""),"",'01_INPUT_COMPANIES'!$G$72)</x:f>
      </x:c>
      <x:c r="H72" s="34" t="str">
        <x:f>IF(OR('01_INPUT_COMPANIES'!$A$72="",'01_INPUT_COMPANIES'!$H$72=""),"",'01_INPUT_COMPANIES'!$H$72)</x:f>
      </x:c>
      <x:c r="I72" s="34" t="str">
        <x:f>IF(OR('01_INPUT_COMPANIES'!$A$72="",'01_INPUT_COMPANIES'!$K$72=""),"",'01_INPUT_COMPANIES'!$K$72)</x:f>
      </x:c>
      <x:c r="J72" s="34" t="str">
        <x:f>IF(OR('01_INPUT_COMPANIES'!$A$72="",'01_INPUT_COMPANIES'!$M$72=""),"",'01_INPUT_COMPANIES'!$M$72)</x:f>
      </x:c>
      <x:c r="K72" s="34" t="str">
        <x:f>IF(OR(A72="",COUNTBLANK(D72:H72)&gt;0),"",LEN(D72)&amp;":"&amp;D72&amp;LEN(E72)&amp;":"&amp;E72&amp;LEN(F72)&amp;":"&amp;F72&amp;LEN(G72)&amp;":"&amp;G72&amp;LEN(H72)&amp;":"&amp;H72)</x:f>
      </x:c>
      <x:c r="L72" s="47" t="str">
        <x:f>IF(A72="","",'90_CALC_FEATURES'!$I$657)</x:f>
      </x:c>
      <x:c r="M72" s="47" t="str">
        <x:f>IF(A72="","",'90_CALC_FEATURES'!$I$658)</x:f>
      </x:c>
      <x:c r="N72" s="47" t="str">
        <x:f>IF(A72="","",'90_CALC_FEATURES'!$I$659)</x:f>
      </x:c>
      <x:c r="O72" s="47" t="str">
        <x:f>IF(A72="","",'90_CALC_FEATURES'!$I$660)</x:f>
      </x:c>
      <x:c r="P72" s="47" t="str">
        <x:f>IF(A72="","",'90_CALC_FEATURES'!$I$661)</x:f>
      </x:c>
      <x:c r="Q72" s="47" t="str">
        <x:f>IF(A72="","",'90_CALC_FEATURES'!$I$662)</x:f>
      </x:c>
      <x:c r="R72" s="47" t="str">
        <x:f>IF(A72="","",'90_CALC_FEATURES'!$I$663)</x:f>
      </x:c>
      <x:c r="S72" s="47" t="str">
        <x:f>IF(A72="","",'90_CALC_FEATURES'!$I$664)</x:f>
      </x:c>
      <x:c r="T72" s="47" t="str">
        <x:f>IF(A72="","",'90_CALC_FEATURES'!$I$665)</x:f>
      </x:c>
      <x:c r="U72" s="47" t="str">
        <x:f>IF(A72="","",'90_CALC_FEATURES'!$I$666)</x:f>
      </x:c>
      <x:c r="V72" s="47" t="str">
        <x:f>IF(COUNT(L72:N72)=3,100*AVERAGE(L72:N72),"")</x:f>
      </x:c>
      <x:c r="W72" s="47" t="str">
        <x:f>IF(COUNT(O72:R72)=4,100*AVERAGE(O72:R72),"")</x:f>
      </x:c>
      <x:c r="X72" s="47" t="str">
        <x:f>IF(COUNT(S72:U72)=3,100*AVERAGE(S72:U72),"")</x:f>
      </x:c>
      <x:c r="Y72" s="47" t="str">
        <x:f>IF(COUNT(V72:X72)=3,AVERAGE(V72:X72),"")</x:f>
      </x:c>
      <x:c r="Z72" s="47" t="str">
        <x:f>IF(OR(AND(EXACT(A72,"SYN-A"),COUNT('01_INPUT_COMPANIES'!$T$72:$AC$72)=10,'01_INPUT_COMPANIES'!$T$72=-0.02,'01_INPUT_COMPANIES'!$U$72=0.1332,'01_INPUT_COMPANIES'!$V$72=0.18,'01_INPUT_COMPANIES'!$W$72=0.42,'01_INPUT_COMPANIES'!$X$72=0.012,'01_INPUT_COMPANIES'!$Y$72=3.2,'01_INPUT_COMPANIES'!$Z$72=0.08,'01_INPUT_COMPANIES'!$AA$72=0.28,'01_INPUT_COMPANIES'!$AB$72=0.74,'01_INPUT_COMPANIES'!$AC$72=8.5),AND(EXACT(A72,"SYN-B"),COUNT('01_INPUT_COMPANIES'!$T$72:$AC$72)=10,'01_INPUT_COMPANIES'!$T$72=-0.055,'01_INPUT_COMPANIES'!$U$72=0.06405,'01_INPUT_COMPANIES'!$V$72=0.105,'01_INPUT_COMPANIES'!$W$72=0.73,'01_INPUT_COMPANIES'!$X$72=0.004,'01_INPUT_COMPANIES'!$Y$72=4.1,'01_INPUT_COMPANIES'!$Z$72=0.025,'01_INPUT_COMPANIES'!$AA$72=0.16,'01_INPUT_COMPANIES'!$AB$72=0.61,'01_INPUT_COMPANIES'!$AC$72=4),AND(EXACT(A72,"SYN-C"),COUNT('01_INPUT_COMPANIES'!$T$72:$AC$72)=10,'01_INPUT_COMPANIES'!$T$72=0.01,'01_INPUT_COMPANIES'!$U$72=0.0986,'01_INPUT_COMPANIES'!$V$72=0.145,'01_INPUT_COMPANIES'!$W$72=0.18,'01_INPUT_COMPANIES'!$X$72=0.018,'01_INPUT_COMPANIES'!$Y$72=2.65,'01_INPUT_COMPANIES'!$Z$72=0.11,'01_INPUT_COMPANIES'!$AA$72=0.34,'01_INPUT_COMPANIES'!$AB$72=0.68,'01_INPUT_COMPANIES'!$AC$72=6.8),AND(EXACT(A72,"SYN-D"),COUNT('01_INPUT_COMPANIES'!$T$72:$AC$72)=10,'01_INPUT_COMPANIES'!$T$72=-0.005,'01_INPUT_COMPANIES'!$U$72=0.1136,'01_INPUT_COMPANIES'!$V$72=0.16,'01_INPUT_COMPANIES'!$W$72=0.51,'01_INPUT_COMPANIES'!$X$72=0.009,'01_INPUT_COMPANIES'!$Y$72=3.55,'01_INPUT_COMPANIES'!$Z$72=0.065,'01_INPUT_COMPANIES'!$AA$72=0.24,'01_INPUT_COMPANIES'!$AB$72=0.71,'01_INPUT_COMPANIES'!$AC$72=7.4)),IFERROR(INDEX('94_EXPECTED_OUTPUTS'!$B$7:$B$10,MATCH(A72,'94_EXPECTED_OUTPUTS'!$A$7:$A$10,0)),""),"")</x:f>
      </x:c>
      <x:c r="AA72" s="47" t="str">
        <x:f>IF(OR(COUNT(Y72)=0,COUNT(Z72)=0),"",ABS(Y72-Z72))</x:f>
      </x:c>
      <x:c r="AB72" s="34" t="str">
        <x:f>IF(A72="","",IF(AD72&lt;&gt;"",AD72,IF('01_INPUT_COMPANIES'!$A$72="","",IF(OR(LEN(TRIM('01_INPUT_COMPANIES'!$A$72&amp;""))=0,LEN(TRIM('01_INPUT_COMPANIES'!$B$72&amp;""))=0,LEN(TRIM('01_INPUT_COMPANIES'!$C$72&amp;""))=0,LEN(TRIM('01_INPUT_COMPANIES'!$D$72&amp;""))=0,LEN(TRIM('01_INPUT_COMPANIES'!$E$72&amp;""))=0,LEN(TRIM('01_INPUT_COMPANIES'!$F$72&amp;""))=0,LEN(TRIM('01_INPUT_COMPANIES'!$G$72&amp;""))=0,LEN(TRIM('01_INPUT_COMPANIES'!$H$72&amp;""))=0,LEN(TRIM('01_INPUT_COMPANIES'!$I$72&amp;""))=0,LEN(TRIM('01_INPUT_COMPANIES'!$K$72&amp;""))=0,LEN(TRIM('01_INPUT_COMPANIES'!$L$72&amp;""))=0,LEN(TRIM('01_INPUT_COMPANIES'!$M$72&amp;""))=0,LEN(TRIM('01_INPUT_COMPANIES'!$N$72&amp;""))=0,LEN(TRIM('01_INPUT_COMPANIES'!$O$72&amp;""))=0,LEN(TRIM('01_INPUT_COMPANIES'!$Q$72&amp;""))=0,COUNTBLANK('01_INPUT_COMPANIES'!$A$72:$R$72)&gt;0),"INPUT REQUIRED",IF(OR('01_INPUT_COMPANIES'!$A$72&lt;&gt;TRIM('01_INPUT_COMPANIES'!$A$72),NOT(EXACT('01_INPUT_COMPANIES'!$A$72,UPPER('01_INPUT_COMPANIES'!$A$72))),LEN('01_INPUT_COMPANIES'!$A$72)&gt;64,ISNUMBER(FIND("*",'01_INPUT_COMPANIES'!$A$72)),ISNUMBER(FIND("?",'01_INPUT_COMPANIES'!$A$72)),ISNUMBER(FIND("~",'01_INPUT_COMPANIES'!$A$72))),"ERROR: ID FORMAT",IF(COUNTIF('01_INPUT_COMPANIES'!$A$7:$A$106,'01_INPUT_COMPANIES'!$A$72)&lt;&gt;1,"ERROR: DUPLICATE ID",IF(COUNT('01_INPUT_COMPANIES'!$T$72:$AC$72)&lt;&gt;10,"INPUT REQUIRED",IF(NOT(OR('01_INPUT_COMPANIES'!$C$72="domestic",'01_INPUT_COMPANIES'!$C$72="foreign",'01_INPUT_COMPANIES'!$C$72="other")),"ERROR: COMPANY GROUP",IF(OR(LEN('01_INPUT_COMPANIES'!$G$72)&lt;&gt;6,MID('01_INPUT_COMPANIES'!$G$72,5,1)&lt;&gt;"Q",IFERROR(VALUE(LEFT('01_INPUT_COMPANIES'!$G$72,4)),0)&lt;2000,IFERROR(VALUE(LEFT('01_INPUT_COMPANIES'!$G$72,4)),0)&gt;2100,IFERROR(VALUE(RIGHT('01_INPUT_COMPANIES'!$G$72,1)),0)&lt;1,IFERROR(VALUE(RIGHT('01_INPUT_COMPANIES'!$G$72,1)),0)&gt;4),"ERROR: REPORTING PERIOD",IF(OR(COUNTIFS('92_REF_VARIABLES'!$A$21:$A$21,'01_INPUT_COMPANIES'!$H$72,'92_REF_VARIABLES'!$B$21:$B$21,'01_INPUT_COMPANIES'!$D$72,'92_REF_VARIABLES'!$C$21:$C$21,'01_INPUT_COMPANIES'!$G$72)&lt;&gt;1,AND(IFERROR(INDEX('92_REF_VARIABLES'!$I$21:$I$21,MATCH('01_INPUT_COMPANIES'!$H$72,'92_REF_VARIABLES'!$A$21:$A$21,0)),"")="synthetic_only",'01_INPUT_COMPANIES'!$L$72&lt;&gt;"yes")),"ERROR: BENCHMARK",IF(COUNTIF('92_REF_VARIABLES'!$L$21:$L$50,'01_INPUT_COMPANIES'!$I$72)&lt;&gt;1,"ERROR: CURRENCY",IF(OR(NOT(ISNUMBER('01_INPUT_COMPANIES'!$J$72)),'01_INPUT_COMPANIES'!$J$72&lt;&gt;INT('01_INPUT_COMPANIES'!$J$72),'01_INPUT_COMPANIES'!$J$72&lt;2000,'01_INPUT_COMPANIES'!$J$72&gt;2100),"ERROR: PRICE YEAR",IF(NOT(OR('01_INPUT_COMPANIES'!$K$72="A",'01_INPUT_COMPANIES'!$K$72="B",'01_INPUT_COMPANIES'!$K$72="C",'01_INPUT_COMPANIES'!$K$72="SYNTHETIC")),"ERROR: QUALITY",IF(NOT(OR(AND('01_INPUT_COMPANIES'!$L$72="yes",'01_INPUT_COMPANIES'!$K$72="SYNTHETIC"),AND('01_INPUT_COMPANIES'!$L$72="no",'01_INPUT_COMPANIES'!$K$72&lt;&gt;"SYNTHETIC"))),"ERROR: SYNTHETIC FLAG",IF(NOT(OR('01_INPUT_COMPANIES'!$M$72="direct",'01_INPUT_COMPANIES'!$M$72="derived",'01_INPUT_COMPANIES'!$M$72="proxy",'01_INPUT_COMPANIES'!$M$72="mixed")),"ERROR: CONSTRUCTION MODE",IF(OR(NOT(ISNUMBER('01_INPUT_COMPANIES'!$P$72)),'01_INPUT_COMPANIES'!$P$72&lt;0,'01_INPUT_COMPANIES'!$P$72&lt;&gt;INT('01_INPUT_COMPANIES'!$P$72)),"ERROR: CARRY LAG",IF('01_INPUT_COMPANIES'!$Q$72&lt;&gt;"yes","ERROR: EXPOSURE ADJUSTMENT",IF(OR(NOT(ISNUMBER('01_INPUT_COMPANIES'!$R$72)),'01_INPUT_COMPANIES'!$R$72&lt;0,'01_INPUT_COMPANIES'!$R$72&gt;1),"ERROR: EXPOSURE FACTOR",IF(COUNT(Y72)=0,"ERROR: SCORE",IF(COUNT(Z72)=0,"READY",IF(AA72&lt;=0.0000000001,"PASS","CHECK"))&amp;IF('01_INPUT_COMPANIES'!$K$72="C"," | C QUALITY","")&amp;IF(OR('01_INPUT_COMPANIES'!$M$72="proxy",'01_INPUT_COMPANIES'!$M$72="mixed")," | PROXY/MIXED","")&amp;IF('01_INPUT_COMPANIES'!$P$72&gt;1," | CARRY&gt;1","")&amp;IF(OR(OR('01_INPUT_COMPANIES'!$T$72&lt;-1,'01_INPUT_COMPANIES'!$T$72&gt;1),OR('01_INPUT_COMPANIES'!$U$72&lt;0,'01_INPUT_COMPANIES'!$U$72&gt;1),OR('01_INPUT_COMPANIES'!$V$72&lt;0,'01_INPUT_COMPANIES'!$V$72&gt;1),OR('01_INPUT_COMPANIES'!$W$72&lt;-10,'01_INPUT_COMPANIES'!$W$72&gt;10),OR('01_INPUT_COMPANIES'!$X$72&lt;-1,'01_INPUT_COMPANIES'!$X$72&gt;1),OR('01_INPUT_COMPANIES'!$Y$72&lt;0,'01_INPUT_COMPANIES'!$Y$72&gt;20),OR('01_INPUT_COMPANIES'!$Z$72&lt;-2,'01_INPUT_COMPANIES'!$Z$72&gt;2),OR('01_INPUT_COMPANIES'!$AA$72&lt;0,'01_INPUT_COMPANIES'!$AA$72&gt;1),OR('01_INPUT_COMPANIES'!$AB$72&lt;0,'01_INPUT_COMPANIES'!$AB$72&gt;1),OR('01_INPUT_COMPANIES'!$AC$72&lt;0,'01_INPUT_COMPANIES'!$AC$72&gt;50))," | REVIEW RANGE","")&amp;IF(COUNTIF('90_CALC_FEATURES'!$J$657:$J$666,"WINSORIZED*")&gt;0," | WINSORIZED","")&amp;IF(ABS('01_INPUT_COMPANIES'!$U$72-'01_INPUT_COMPANIES'!$V$72*'01_INPUT_COMPANIES'!$AB$72)&gt;MAX(0.005,0.05*MAX(ABS('01_INPUT_COMPANIES'!$V$72*'01_INPUT_COMPANIES'!$AB$72),ABS('01_INPUT_COMPANIES'!$U$72),0.000000000001))," | DEPENDENCY",""))))))))))))))))))))</x:f>
      </x:c>
      <x:c r="AC72" s="34" t="str">
        <x:f>IF(A72="","",IF(OR(LEFT(AB72,4)="PASS",LEFT(AB72,5)="READY"),"RESEARCH BETA | 저지원 22.22% | 기업 백분위 N/A", "결과 사용 금지 | "&amp;AB72))</x:f>
      </x:c>
      <x:c r="AD72" s="34" t="str">
        <x:f>IF(A72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$72,TRIM('01_INPUT_COMPANIES'!$D$72)),EXACT('01_INPUT_COMPANIES'!$E$72,TRIM('01_INPUT_COMPANIES'!$E$72)),EXACT('01_INPUT_COMPANIES'!$F$72,TRIM('01_INPUT_COMPANIES'!$F$72)),EXACT('01_INPUT_COMPANIES'!$G$72,TRIM('01_INPUT_COMPANIES'!$G$72)),EXACT('01_INPUT_COMPANIES'!$H$72,TRIM('01_INPUT_COMPANIES'!$H$72)))),"ERROR: COHORT WHITESPACE",IF(NOT(IFERROR(AND(ISTEXT('01_INPUT_COMPANIES'!$O$72),LEN('01_INPUT_COMPANIES'!$O$72)=10,VALUE(LEFT('01_INPUT_COMPANIES'!$O$72,4))&gt;=2000,VALUE(LEFT('01_INPUT_COMPANIES'!$O$72,4))&lt;=2100,EXACT(TEXT(DATE(VALUE(LEFT('01_INPUT_COMPANIES'!$O$72,4)),VALUE(MID('01_INPUT_COMPANIES'!$O$72,6,2)),VALUE(RIGHT('01_INPUT_COMPANIES'!$O$72,2))),"yyyy-mm-dd"),'01_INPUT_COMPANIES'!$O$72)),FALSE)),"ERROR: SOURCE DATE",IF(NOT(AND(OR(EXACT('01_INPUT_COMPANIES'!$C$72,"domestic"),EXACT('01_INPUT_COMPANIES'!$C$72,"foreign"),EXACT('01_INPUT_COMPANIES'!$C$72,"other")),OR(EXACT('01_INPUT_COMPANIES'!$K$72,"A"),EXACT('01_INPUT_COMPANIES'!$K$72,"B"),EXACT('01_INPUT_COMPANIES'!$K$72,"C"),EXACT('01_INPUT_COMPANIES'!$K$72,"SYNTHETIC")),OR(EXACT('01_INPUT_COMPANIES'!$L$72,"yes"),EXACT('01_INPUT_COMPANIES'!$L$72,"no")),OR(EXACT('01_INPUT_COMPANIES'!$M$72,"direct"),EXACT('01_INPUT_COMPANIES'!$M$72,"derived"),EXACT('01_INPUT_COMPANIES'!$M$72,"proxy"),EXACT('01_INPUT_COMPANIES'!$M$72,"mixed")),OR(EXACT('01_INPUT_COMPANIES'!$Q$72,"yes")),EXACT('01_INPUT_COMPANIES'!$I$72,UPPER('01_INPUT_COMPANIES'!$I$72)))),"ERROR: EXACT ENUM",IF(NOT(IFERROR(OR(AND(EXACT('92_REF_VARIABLES'!$A$21,'01_INPUT_COMPANIES'!$H$72),EXACT('92_REF_VARIABLES'!$B$21,'01_INPUT_COMPANIES'!$D$72),EXACT('92_REF_VARIABLES'!$C$21,'01_INPUT_COMPANIES'!$G$72))),FALSE)),"ERROR: BENCHMARK",""))))))</x:f>
      </x:c>
    </x:row>
    <x:row r="73">
      <x:c r="A73" s="34" t="str">
        <x:f>IF(OR('01_INPUT_COMPANIES'!$A$73="",'01_INPUT_COMPANIES'!$A$73=""),"",'01_INPUT_COMPANIES'!$A$73)</x:f>
      </x:c>
      <x:c r="B73" s="34" t="str">
        <x:f>IF(OR('01_INPUT_COMPANIES'!$A$73="",'01_INPUT_COMPANIES'!$B$73=""),"",'01_INPUT_COMPANIES'!$B$73)</x:f>
      </x:c>
      <x:c r="C73" s="34" t="str">
        <x:f>IF(OR('01_INPUT_COMPANIES'!$A$73="",'01_INPUT_COMPANIES'!$C$73=""),"",'01_INPUT_COMPANIES'!$C$73)</x:f>
      </x:c>
      <x:c r="D73" s="34" t="str">
        <x:f>IF(OR('01_INPUT_COMPANIES'!$A$73="",'01_INPUT_COMPANIES'!$D$73=""),"",'01_INPUT_COMPANIES'!$D$73)</x:f>
      </x:c>
      <x:c r="E73" s="34" t="str">
        <x:f>IF(OR('01_INPUT_COMPANIES'!$A$73="",'01_INPUT_COMPANIES'!$E$73=""),"",'01_INPUT_COMPANIES'!$E$73)</x:f>
      </x:c>
      <x:c r="F73" s="34" t="str">
        <x:f>IF(OR('01_INPUT_COMPANIES'!$A$73="",'01_INPUT_COMPANIES'!$F$73=""),"",'01_INPUT_COMPANIES'!$F$73)</x:f>
      </x:c>
      <x:c r="G73" s="34" t="str">
        <x:f>IF(OR('01_INPUT_COMPANIES'!$A$73="",'01_INPUT_COMPANIES'!$G$73=""),"",'01_INPUT_COMPANIES'!$G$73)</x:f>
      </x:c>
      <x:c r="H73" s="34" t="str">
        <x:f>IF(OR('01_INPUT_COMPANIES'!$A$73="",'01_INPUT_COMPANIES'!$H$73=""),"",'01_INPUT_COMPANIES'!$H$73)</x:f>
      </x:c>
      <x:c r="I73" s="34" t="str">
        <x:f>IF(OR('01_INPUT_COMPANIES'!$A$73="",'01_INPUT_COMPANIES'!$K$73=""),"",'01_INPUT_COMPANIES'!$K$73)</x:f>
      </x:c>
      <x:c r="J73" s="34" t="str">
        <x:f>IF(OR('01_INPUT_COMPANIES'!$A$73="",'01_INPUT_COMPANIES'!$M$73=""),"",'01_INPUT_COMPANIES'!$M$73)</x:f>
      </x:c>
      <x:c r="K73" s="34" t="str">
        <x:f>IF(OR(A73="",COUNTBLANK(D73:H73)&gt;0),"",LEN(D73)&amp;":"&amp;D73&amp;LEN(E73)&amp;":"&amp;E73&amp;LEN(F73)&amp;":"&amp;F73&amp;LEN(G73)&amp;":"&amp;G73&amp;LEN(H73)&amp;":"&amp;H73)</x:f>
      </x:c>
      <x:c r="L73" s="47" t="str">
        <x:f>IF(A73="","",'90_CALC_FEATURES'!$I$667)</x:f>
      </x:c>
      <x:c r="M73" s="47" t="str">
        <x:f>IF(A73="","",'90_CALC_FEATURES'!$I$668)</x:f>
      </x:c>
      <x:c r="N73" s="47" t="str">
        <x:f>IF(A73="","",'90_CALC_FEATURES'!$I$669)</x:f>
      </x:c>
      <x:c r="O73" s="47" t="str">
        <x:f>IF(A73="","",'90_CALC_FEATURES'!$I$670)</x:f>
      </x:c>
      <x:c r="P73" s="47" t="str">
        <x:f>IF(A73="","",'90_CALC_FEATURES'!$I$671)</x:f>
      </x:c>
      <x:c r="Q73" s="47" t="str">
        <x:f>IF(A73="","",'90_CALC_FEATURES'!$I$672)</x:f>
      </x:c>
      <x:c r="R73" s="47" t="str">
        <x:f>IF(A73="","",'90_CALC_FEATURES'!$I$673)</x:f>
      </x:c>
      <x:c r="S73" s="47" t="str">
        <x:f>IF(A73="","",'90_CALC_FEATURES'!$I$674)</x:f>
      </x:c>
      <x:c r="T73" s="47" t="str">
        <x:f>IF(A73="","",'90_CALC_FEATURES'!$I$675)</x:f>
      </x:c>
      <x:c r="U73" s="47" t="str">
        <x:f>IF(A73="","",'90_CALC_FEATURES'!$I$676)</x:f>
      </x:c>
      <x:c r="V73" s="47" t="str">
        <x:f>IF(COUNT(L73:N73)=3,100*AVERAGE(L73:N73),"")</x:f>
      </x:c>
      <x:c r="W73" s="47" t="str">
        <x:f>IF(COUNT(O73:R73)=4,100*AVERAGE(O73:R73),"")</x:f>
      </x:c>
      <x:c r="X73" s="47" t="str">
        <x:f>IF(COUNT(S73:U73)=3,100*AVERAGE(S73:U73),"")</x:f>
      </x:c>
      <x:c r="Y73" s="47" t="str">
        <x:f>IF(COUNT(V73:X73)=3,AVERAGE(V73:X73),"")</x:f>
      </x:c>
      <x:c r="Z73" s="47" t="str">
        <x:f>IF(OR(AND(EXACT(A73,"SYN-A"),COUNT('01_INPUT_COMPANIES'!$T$73:$AC$73)=10,'01_INPUT_COMPANIES'!$T$73=-0.02,'01_INPUT_COMPANIES'!$U$73=0.1332,'01_INPUT_COMPANIES'!$V$73=0.18,'01_INPUT_COMPANIES'!$W$73=0.42,'01_INPUT_COMPANIES'!$X$73=0.012,'01_INPUT_COMPANIES'!$Y$73=3.2,'01_INPUT_COMPANIES'!$Z$73=0.08,'01_INPUT_COMPANIES'!$AA$73=0.28,'01_INPUT_COMPANIES'!$AB$73=0.74,'01_INPUT_COMPANIES'!$AC$73=8.5),AND(EXACT(A73,"SYN-B"),COUNT('01_INPUT_COMPANIES'!$T$73:$AC$73)=10,'01_INPUT_COMPANIES'!$T$73=-0.055,'01_INPUT_COMPANIES'!$U$73=0.06405,'01_INPUT_COMPANIES'!$V$73=0.105,'01_INPUT_COMPANIES'!$W$73=0.73,'01_INPUT_COMPANIES'!$X$73=0.004,'01_INPUT_COMPANIES'!$Y$73=4.1,'01_INPUT_COMPANIES'!$Z$73=0.025,'01_INPUT_COMPANIES'!$AA$73=0.16,'01_INPUT_COMPANIES'!$AB$73=0.61,'01_INPUT_COMPANIES'!$AC$73=4),AND(EXACT(A73,"SYN-C"),COUNT('01_INPUT_COMPANIES'!$T$73:$AC$73)=10,'01_INPUT_COMPANIES'!$T$73=0.01,'01_INPUT_COMPANIES'!$U$73=0.0986,'01_INPUT_COMPANIES'!$V$73=0.145,'01_INPUT_COMPANIES'!$W$73=0.18,'01_INPUT_COMPANIES'!$X$73=0.018,'01_INPUT_COMPANIES'!$Y$73=2.65,'01_INPUT_COMPANIES'!$Z$73=0.11,'01_INPUT_COMPANIES'!$AA$73=0.34,'01_INPUT_COMPANIES'!$AB$73=0.68,'01_INPUT_COMPANIES'!$AC$73=6.8),AND(EXACT(A73,"SYN-D"),COUNT('01_INPUT_COMPANIES'!$T$73:$AC$73)=10,'01_INPUT_COMPANIES'!$T$73=-0.005,'01_INPUT_COMPANIES'!$U$73=0.1136,'01_INPUT_COMPANIES'!$V$73=0.16,'01_INPUT_COMPANIES'!$W$73=0.51,'01_INPUT_COMPANIES'!$X$73=0.009,'01_INPUT_COMPANIES'!$Y$73=3.55,'01_INPUT_COMPANIES'!$Z$73=0.065,'01_INPUT_COMPANIES'!$AA$73=0.24,'01_INPUT_COMPANIES'!$AB$73=0.71,'01_INPUT_COMPANIES'!$AC$73=7.4)),IFERROR(INDEX('94_EXPECTED_OUTPUTS'!$B$7:$B$10,MATCH(A73,'94_EXPECTED_OUTPUTS'!$A$7:$A$10,0)),""),"")</x:f>
      </x:c>
      <x:c r="AA73" s="47" t="str">
        <x:f>IF(OR(COUNT(Y73)=0,COUNT(Z73)=0),"",ABS(Y73-Z73))</x:f>
      </x:c>
      <x:c r="AB73" s="34" t="str">
        <x:f>IF(A73="","",IF(AD73&lt;&gt;"",AD73,IF('01_INPUT_COMPANIES'!$A$73="","",IF(OR(LEN(TRIM('01_INPUT_COMPANIES'!$A$73&amp;""))=0,LEN(TRIM('01_INPUT_COMPANIES'!$B$73&amp;""))=0,LEN(TRIM('01_INPUT_COMPANIES'!$C$73&amp;""))=0,LEN(TRIM('01_INPUT_COMPANIES'!$D$73&amp;""))=0,LEN(TRIM('01_INPUT_COMPANIES'!$E$73&amp;""))=0,LEN(TRIM('01_INPUT_COMPANIES'!$F$73&amp;""))=0,LEN(TRIM('01_INPUT_COMPANIES'!$G$73&amp;""))=0,LEN(TRIM('01_INPUT_COMPANIES'!$H$73&amp;""))=0,LEN(TRIM('01_INPUT_COMPANIES'!$I$73&amp;""))=0,LEN(TRIM('01_INPUT_COMPANIES'!$K$73&amp;""))=0,LEN(TRIM('01_INPUT_COMPANIES'!$L$73&amp;""))=0,LEN(TRIM('01_INPUT_COMPANIES'!$M$73&amp;""))=0,LEN(TRIM('01_INPUT_COMPANIES'!$N$73&amp;""))=0,LEN(TRIM('01_INPUT_COMPANIES'!$O$73&amp;""))=0,LEN(TRIM('01_INPUT_COMPANIES'!$Q$73&amp;""))=0,COUNTBLANK('01_INPUT_COMPANIES'!$A$73:$R$73)&gt;0),"INPUT REQUIRED",IF(OR('01_INPUT_COMPANIES'!$A$73&lt;&gt;TRIM('01_INPUT_COMPANIES'!$A$73),NOT(EXACT('01_INPUT_COMPANIES'!$A$73,UPPER('01_INPUT_COMPANIES'!$A$73))),LEN('01_INPUT_COMPANIES'!$A$73)&gt;64,ISNUMBER(FIND("*",'01_INPUT_COMPANIES'!$A$73)),ISNUMBER(FIND("?",'01_INPUT_COMPANIES'!$A$73)),ISNUMBER(FIND("~",'01_INPUT_COMPANIES'!$A$73))),"ERROR: ID FORMAT",IF(COUNTIF('01_INPUT_COMPANIES'!$A$7:$A$106,'01_INPUT_COMPANIES'!$A$73)&lt;&gt;1,"ERROR: DUPLICATE ID",IF(COUNT('01_INPUT_COMPANIES'!$T$73:$AC$73)&lt;&gt;10,"INPUT REQUIRED",IF(NOT(OR('01_INPUT_COMPANIES'!$C$73="domestic",'01_INPUT_COMPANIES'!$C$73="foreign",'01_INPUT_COMPANIES'!$C$73="other")),"ERROR: COMPANY GROUP",IF(OR(LEN('01_INPUT_COMPANIES'!$G$73)&lt;&gt;6,MID('01_INPUT_COMPANIES'!$G$73,5,1)&lt;&gt;"Q",IFERROR(VALUE(LEFT('01_INPUT_COMPANIES'!$G$73,4)),0)&lt;2000,IFERROR(VALUE(LEFT('01_INPUT_COMPANIES'!$G$73,4)),0)&gt;2100,IFERROR(VALUE(RIGHT('01_INPUT_COMPANIES'!$G$73,1)),0)&lt;1,IFERROR(VALUE(RIGHT('01_INPUT_COMPANIES'!$G$73,1)),0)&gt;4),"ERROR: REPORTING PERIOD",IF(OR(COUNTIFS('92_REF_VARIABLES'!$A$21:$A$21,'01_INPUT_COMPANIES'!$H$73,'92_REF_VARIABLES'!$B$21:$B$21,'01_INPUT_COMPANIES'!$D$73,'92_REF_VARIABLES'!$C$21:$C$21,'01_INPUT_COMPANIES'!$G$73)&lt;&gt;1,AND(IFERROR(INDEX('92_REF_VARIABLES'!$I$21:$I$21,MATCH('01_INPUT_COMPANIES'!$H$73,'92_REF_VARIABLES'!$A$21:$A$21,0)),"")="synthetic_only",'01_INPUT_COMPANIES'!$L$73&lt;&gt;"yes")),"ERROR: BENCHMARK",IF(COUNTIF('92_REF_VARIABLES'!$L$21:$L$50,'01_INPUT_COMPANIES'!$I$73)&lt;&gt;1,"ERROR: CURRENCY",IF(OR(NOT(ISNUMBER('01_INPUT_COMPANIES'!$J$73)),'01_INPUT_COMPANIES'!$J$73&lt;&gt;INT('01_INPUT_COMPANIES'!$J$73),'01_INPUT_COMPANIES'!$J$73&lt;2000,'01_INPUT_COMPANIES'!$J$73&gt;2100),"ERROR: PRICE YEAR",IF(NOT(OR('01_INPUT_COMPANIES'!$K$73="A",'01_INPUT_COMPANIES'!$K$73="B",'01_INPUT_COMPANIES'!$K$73="C",'01_INPUT_COMPANIES'!$K$73="SYNTHETIC")),"ERROR: QUALITY",IF(NOT(OR(AND('01_INPUT_COMPANIES'!$L$73="yes",'01_INPUT_COMPANIES'!$K$73="SYNTHETIC"),AND('01_INPUT_COMPANIES'!$L$73="no",'01_INPUT_COMPANIES'!$K$73&lt;&gt;"SYNTHETIC"))),"ERROR: SYNTHETIC FLAG",IF(NOT(OR('01_INPUT_COMPANIES'!$M$73="direct",'01_INPUT_COMPANIES'!$M$73="derived",'01_INPUT_COMPANIES'!$M$73="proxy",'01_INPUT_COMPANIES'!$M$73="mixed")),"ERROR: CONSTRUCTION MODE",IF(OR(NOT(ISNUMBER('01_INPUT_COMPANIES'!$P$73)),'01_INPUT_COMPANIES'!$P$73&lt;0,'01_INPUT_COMPANIES'!$P$73&lt;&gt;INT('01_INPUT_COMPANIES'!$P$73)),"ERROR: CARRY LAG",IF('01_INPUT_COMPANIES'!$Q$73&lt;&gt;"yes","ERROR: EXPOSURE ADJUSTMENT",IF(OR(NOT(ISNUMBER('01_INPUT_COMPANIES'!$R$73)),'01_INPUT_COMPANIES'!$R$73&lt;0,'01_INPUT_COMPANIES'!$R$73&gt;1),"ERROR: EXPOSURE FACTOR",IF(COUNT(Y73)=0,"ERROR: SCORE",IF(COUNT(Z73)=0,"READY",IF(AA73&lt;=0.0000000001,"PASS","CHECK"))&amp;IF('01_INPUT_COMPANIES'!$K$73="C"," | C QUALITY","")&amp;IF(OR('01_INPUT_COMPANIES'!$M$73="proxy",'01_INPUT_COMPANIES'!$M$73="mixed")," | PROXY/MIXED","")&amp;IF('01_INPUT_COMPANIES'!$P$73&gt;1," | CARRY&gt;1","")&amp;IF(OR(OR('01_INPUT_COMPANIES'!$T$73&lt;-1,'01_INPUT_COMPANIES'!$T$73&gt;1),OR('01_INPUT_COMPANIES'!$U$73&lt;0,'01_INPUT_COMPANIES'!$U$73&gt;1),OR('01_INPUT_COMPANIES'!$V$73&lt;0,'01_INPUT_COMPANIES'!$V$73&gt;1),OR('01_INPUT_COMPANIES'!$W$73&lt;-10,'01_INPUT_COMPANIES'!$W$73&gt;10),OR('01_INPUT_COMPANIES'!$X$73&lt;-1,'01_INPUT_COMPANIES'!$X$73&gt;1),OR('01_INPUT_COMPANIES'!$Y$73&lt;0,'01_INPUT_COMPANIES'!$Y$73&gt;20),OR('01_INPUT_COMPANIES'!$Z$73&lt;-2,'01_INPUT_COMPANIES'!$Z$73&gt;2),OR('01_INPUT_COMPANIES'!$AA$73&lt;0,'01_INPUT_COMPANIES'!$AA$73&gt;1),OR('01_INPUT_COMPANIES'!$AB$73&lt;0,'01_INPUT_COMPANIES'!$AB$73&gt;1),OR('01_INPUT_COMPANIES'!$AC$73&lt;0,'01_INPUT_COMPANIES'!$AC$73&gt;50))," | REVIEW RANGE","")&amp;IF(COUNTIF('90_CALC_FEATURES'!$J$667:$J$676,"WINSORIZED*")&gt;0," | WINSORIZED","")&amp;IF(ABS('01_INPUT_COMPANIES'!$U$73-'01_INPUT_COMPANIES'!$V$73*'01_INPUT_COMPANIES'!$AB$73)&gt;MAX(0.005,0.05*MAX(ABS('01_INPUT_COMPANIES'!$V$73*'01_INPUT_COMPANIES'!$AB$73),ABS('01_INPUT_COMPANIES'!$U$73),0.000000000001))," | DEPENDENCY",""))))))))))))))))))))</x:f>
      </x:c>
      <x:c r="AC73" s="34" t="str">
        <x:f>IF(A73="","",IF(OR(LEFT(AB73,4)="PASS",LEFT(AB73,5)="READY"),"RESEARCH BETA | 저지원 22.22% | 기업 백분위 N/A", "결과 사용 금지 | "&amp;AB73))</x:f>
      </x:c>
      <x:c r="AD73" s="34" t="str">
        <x:f>IF(A73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$73,TRIM('01_INPUT_COMPANIES'!$D$73)),EXACT('01_INPUT_COMPANIES'!$E$73,TRIM('01_INPUT_COMPANIES'!$E$73)),EXACT('01_INPUT_COMPANIES'!$F$73,TRIM('01_INPUT_COMPANIES'!$F$73)),EXACT('01_INPUT_COMPANIES'!$G$73,TRIM('01_INPUT_COMPANIES'!$G$73)),EXACT('01_INPUT_COMPANIES'!$H$73,TRIM('01_INPUT_COMPANIES'!$H$73)))),"ERROR: COHORT WHITESPACE",IF(NOT(IFERROR(AND(ISTEXT('01_INPUT_COMPANIES'!$O$73),LEN('01_INPUT_COMPANIES'!$O$73)=10,VALUE(LEFT('01_INPUT_COMPANIES'!$O$73,4))&gt;=2000,VALUE(LEFT('01_INPUT_COMPANIES'!$O$73,4))&lt;=2100,EXACT(TEXT(DATE(VALUE(LEFT('01_INPUT_COMPANIES'!$O$73,4)),VALUE(MID('01_INPUT_COMPANIES'!$O$73,6,2)),VALUE(RIGHT('01_INPUT_COMPANIES'!$O$73,2))),"yyyy-mm-dd"),'01_INPUT_COMPANIES'!$O$73)),FALSE)),"ERROR: SOURCE DATE",IF(NOT(AND(OR(EXACT('01_INPUT_COMPANIES'!$C$73,"domestic"),EXACT('01_INPUT_COMPANIES'!$C$73,"foreign"),EXACT('01_INPUT_COMPANIES'!$C$73,"other")),OR(EXACT('01_INPUT_COMPANIES'!$K$73,"A"),EXACT('01_INPUT_COMPANIES'!$K$73,"B"),EXACT('01_INPUT_COMPANIES'!$K$73,"C"),EXACT('01_INPUT_COMPANIES'!$K$73,"SYNTHETIC")),OR(EXACT('01_INPUT_COMPANIES'!$L$73,"yes"),EXACT('01_INPUT_COMPANIES'!$L$73,"no")),OR(EXACT('01_INPUT_COMPANIES'!$M$73,"direct"),EXACT('01_INPUT_COMPANIES'!$M$73,"derived"),EXACT('01_INPUT_COMPANIES'!$M$73,"proxy"),EXACT('01_INPUT_COMPANIES'!$M$73,"mixed")),OR(EXACT('01_INPUT_COMPANIES'!$Q$73,"yes")),EXACT('01_INPUT_COMPANIES'!$I$73,UPPER('01_INPUT_COMPANIES'!$I$73)))),"ERROR: EXACT ENUM",IF(NOT(IFERROR(OR(AND(EXACT('92_REF_VARIABLES'!$A$21,'01_INPUT_COMPANIES'!$H$73),EXACT('92_REF_VARIABLES'!$B$21,'01_INPUT_COMPANIES'!$D$73),EXACT('92_REF_VARIABLES'!$C$21,'01_INPUT_COMPANIES'!$G$73))),FALSE)),"ERROR: BENCHMARK",""))))))</x:f>
      </x:c>
    </x:row>
    <x:row r="74">
      <x:c r="A74" s="34" t="str">
        <x:f>IF(OR('01_INPUT_COMPANIES'!$A$74="",'01_INPUT_COMPANIES'!$A$74=""),"",'01_INPUT_COMPANIES'!$A$74)</x:f>
      </x:c>
      <x:c r="B74" s="34" t="str">
        <x:f>IF(OR('01_INPUT_COMPANIES'!$A$74="",'01_INPUT_COMPANIES'!$B$74=""),"",'01_INPUT_COMPANIES'!$B$74)</x:f>
      </x:c>
      <x:c r="C74" s="34" t="str">
        <x:f>IF(OR('01_INPUT_COMPANIES'!$A$74="",'01_INPUT_COMPANIES'!$C$74=""),"",'01_INPUT_COMPANIES'!$C$74)</x:f>
      </x:c>
      <x:c r="D74" s="34" t="str">
        <x:f>IF(OR('01_INPUT_COMPANIES'!$A$74="",'01_INPUT_COMPANIES'!$D$74=""),"",'01_INPUT_COMPANIES'!$D$74)</x:f>
      </x:c>
      <x:c r="E74" s="34" t="str">
        <x:f>IF(OR('01_INPUT_COMPANIES'!$A$74="",'01_INPUT_COMPANIES'!$E$74=""),"",'01_INPUT_COMPANIES'!$E$74)</x:f>
      </x:c>
      <x:c r="F74" s="34" t="str">
        <x:f>IF(OR('01_INPUT_COMPANIES'!$A$74="",'01_INPUT_COMPANIES'!$F$74=""),"",'01_INPUT_COMPANIES'!$F$74)</x:f>
      </x:c>
      <x:c r="G74" s="34" t="str">
        <x:f>IF(OR('01_INPUT_COMPANIES'!$A$74="",'01_INPUT_COMPANIES'!$G$74=""),"",'01_INPUT_COMPANIES'!$G$74)</x:f>
      </x:c>
      <x:c r="H74" s="34" t="str">
        <x:f>IF(OR('01_INPUT_COMPANIES'!$A$74="",'01_INPUT_COMPANIES'!$H$74=""),"",'01_INPUT_COMPANIES'!$H$74)</x:f>
      </x:c>
      <x:c r="I74" s="34" t="str">
        <x:f>IF(OR('01_INPUT_COMPANIES'!$A$74="",'01_INPUT_COMPANIES'!$K$74=""),"",'01_INPUT_COMPANIES'!$K$74)</x:f>
      </x:c>
      <x:c r="J74" s="34" t="str">
        <x:f>IF(OR('01_INPUT_COMPANIES'!$A$74="",'01_INPUT_COMPANIES'!$M$74=""),"",'01_INPUT_COMPANIES'!$M$74)</x:f>
      </x:c>
      <x:c r="K74" s="34" t="str">
        <x:f>IF(OR(A74="",COUNTBLANK(D74:H74)&gt;0),"",LEN(D74)&amp;":"&amp;D74&amp;LEN(E74)&amp;":"&amp;E74&amp;LEN(F74)&amp;":"&amp;F74&amp;LEN(G74)&amp;":"&amp;G74&amp;LEN(H74)&amp;":"&amp;H74)</x:f>
      </x:c>
      <x:c r="L74" s="47" t="str">
        <x:f>IF(A74="","",'90_CALC_FEATURES'!$I$677)</x:f>
      </x:c>
      <x:c r="M74" s="47" t="str">
        <x:f>IF(A74="","",'90_CALC_FEATURES'!$I$678)</x:f>
      </x:c>
      <x:c r="N74" s="47" t="str">
        <x:f>IF(A74="","",'90_CALC_FEATURES'!$I$679)</x:f>
      </x:c>
      <x:c r="O74" s="47" t="str">
        <x:f>IF(A74="","",'90_CALC_FEATURES'!$I$680)</x:f>
      </x:c>
      <x:c r="P74" s="47" t="str">
        <x:f>IF(A74="","",'90_CALC_FEATURES'!$I$681)</x:f>
      </x:c>
      <x:c r="Q74" s="47" t="str">
        <x:f>IF(A74="","",'90_CALC_FEATURES'!$I$682)</x:f>
      </x:c>
      <x:c r="R74" s="47" t="str">
        <x:f>IF(A74="","",'90_CALC_FEATURES'!$I$683)</x:f>
      </x:c>
      <x:c r="S74" s="47" t="str">
        <x:f>IF(A74="","",'90_CALC_FEATURES'!$I$684)</x:f>
      </x:c>
      <x:c r="T74" s="47" t="str">
        <x:f>IF(A74="","",'90_CALC_FEATURES'!$I$685)</x:f>
      </x:c>
      <x:c r="U74" s="47" t="str">
        <x:f>IF(A74="","",'90_CALC_FEATURES'!$I$686)</x:f>
      </x:c>
      <x:c r="V74" s="47" t="str">
        <x:f>IF(COUNT(L74:N74)=3,100*AVERAGE(L74:N74),"")</x:f>
      </x:c>
      <x:c r="W74" s="47" t="str">
        <x:f>IF(COUNT(O74:R74)=4,100*AVERAGE(O74:R74),"")</x:f>
      </x:c>
      <x:c r="X74" s="47" t="str">
        <x:f>IF(COUNT(S74:U74)=3,100*AVERAGE(S74:U74),"")</x:f>
      </x:c>
      <x:c r="Y74" s="47" t="str">
        <x:f>IF(COUNT(V74:X74)=3,AVERAGE(V74:X74),"")</x:f>
      </x:c>
      <x:c r="Z74" s="47" t="str">
        <x:f>IF(OR(AND(EXACT(A74,"SYN-A"),COUNT('01_INPUT_COMPANIES'!$T$74:$AC$74)=10,'01_INPUT_COMPANIES'!$T$74=-0.02,'01_INPUT_COMPANIES'!$U$74=0.1332,'01_INPUT_COMPANIES'!$V$74=0.18,'01_INPUT_COMPANIES'!$W$74=0.42,'01_INPUT_COMPANIES'!$X$74=0.012,'01_INPUT_COMPANIES'!$Y$74=3.2,'01_INPUT_COMPANIES'!$Z$74=0.08,'01_INPUT_COMPANIES'!$AA$74=0.28,'01_INPUT_COMPANIES'!$AB$74=0.74,'01_INPUT_COMPANIES'!$AC$74=8.5),AND(EXACT(A74,"SYN-B"),COUNT('01_INPUT_COMPANIES'!$T$74:$AC$74)=10,'01_INPUT_COMPANIES'!$T$74=-0.055,'01_INPUT_COMPANIES'!$U$74=0.06405,'01_INPUT_COMPANIES'!$V$74=0.105,'01_INPUT_COMPANIES'!$W$74=0.73,'01_INPUT_COMPANIES'!$X$74=0.004,'01_INPUT_COMPANIES'!$Y$74=4.1,'01_INPUT_COMPANIES'!$Z$74=0.025,'01_INPUT_COMPANIES'!$AA$74=0.16,'01_INPUT_COMPANIES'!$AB$74=0.61,'01_INPUT_COMPANIES'!$AC$74=4),AND(EXACT(A74,"SYN-C"),COUNT('01_INPUT_COMPANIES'!$T$74:$AC$74)=10,'01_INPUT_COMPANIES'!$T$74=0.01,'01_INPUT_COMPANIES'!$U$74=0.0986,'01_INPUT_COMPANIES'!$V$74=0.145,'01_INPUT_COMPANIES'!$W$74=0.18,'01_INPUT_COMPANIES'!$X$74=0.018,'01_INPUT_COMPANIES'!$Y$74=2.65,'01_INPUT_COMPANIES'!$Z$74=0.11,'01_INPUT_COMPANIES'!$AA$74=0.34,'01_INPUT_COMPANIES'!$AB$74=0.68,'01_INPUT_COMPANIES'!$AC$74=6.8),AND(EXACT(A74,"SYN-D"),COUNT('01_INPUT_COMPANIES'!$T$74:$AC$74)=10,'01_INPUT_COMPANIES'!$T$74=-0.005,'01_INPUT_COMPANIES'!$U$74=0.1136,'01_INPUT_COMPANIES'!$V$74=0.16,'01_INPUT_COMPANIES'!$W$74=0.51,'01_INPUT_COMPANIES'!$X$74=0.009,'01_INPUT_COMPANIES'!$Y$74=3.55,'01_INPUT_COMPANIES'!$Z$74=0.065,'01_INPUT_COMPANIES'!$AA$74=0.24,'01_INPUT_COMPANIES'!$AB$74=0.71,'01_INPUT_COMPANIES'!$AC$74=7.4)),IFERROR(INDEX('94_EXPECTED_OUTPUTS'!$B$7:$B$10,MATCH(A74,'94_EXPECTED_OUTPUTS'!$A$7:$A$10,0)),""),"")</x:f>
      </x:c>
      <x:c r="AA74" s="47" t="str">
        <x:f>IF(OR(COUNT(Y74)=0,COUNT(Z74)=0),"",ABS(Y74-Z74))</x:f>
      </x:c>
      <x:c r="AB74" s="34" t="str">
        <x:f>IF(A74="","",IF(AD74&lt;&gt;"",AD74,IF('01_INPUT_COMPANIES'!$A$74="","",IF(OR(LEN(TRIM('01_INPUT_COMPANIES'!$A$74&amp;""))=0,LEN(TRIM('01_INPUT_COMPANIES'!$B$74&amp;""))=0,LEN(TRIM('01_INPUT_COMPANIES'!$C$74&amp;""))=0,LEN(TRIM('01_INPUT_COMPANIES'!$D$74&amp;""))=0,LEN(TRIM('01_INPUT_COMPANIES'!$E$74&amp;""))=0,LEN(TRIM('01_INPUT_COMPANIES'!$F$74&amp;""))=0,LEN(TRIM('01_INPUT_COMPANIES'!$G$74&amp;""))=0,LEN(TRIM('01_INPUT_COMPANIES'!$H$74&amp;""))=0,LEN(TRIM('01_INPUT_COMPANIES'!$I$74&amp;""))=0,LEN(TRIM('01_INPUT_COMPANIES'!$K$74&amp;""))=0,LEN(TRIM('01_INPUT_COMPANIES'!$L$74&amp;""))=0,LEN(TRIM('01_INPUT_COMPANIES'!$M$74&amp;""))=0,LEN(TRIM('01_INPUT_COMPANIES'!$N$74&amp;""))=0,LEN(TRIM('01_INPUT_COMPANIES'!$O$74&amp;""))=0,LEN(TRIM('01_INPUT_COMPANIES'!$Q$74&amp;""))=0,COUNTBLANK('01_INPUT_COMPANIES'!$A$74:$R$74)&gt;0),"INPUT REQUIRED",IF(OR('01_INPUT_COMPANIES'!$A$74&lt;&gt;TRIM('01_INPUT_COMPANIES'!$A$74),NOT(EXACT('01_INPUT_COMPANIES'!$A$74,UPPER('01_INPUT_COMPANIES'!$A$74))),LEN('01_INPUT_COMPANIES'!$A$74)&gt;64,ISNUMBER(FIND("*",'01_INPUT_COMPANIES'!$A$74)),ISNUMBER(FIND("?",'01_INPUT_COMPANIES'!$A$74)),ISNUMBER(FIND("~",'01_INPUT_COMPANIES'!$A$74))),"ERROR: ID FORMAT",IF(COUNTIF('01_INPUT_COMPANIES'!$A$7:$A$106,'01_INPUT_COMPANIES'!$A$74)&lt;&gt;1,"ERROR: DUPLICATE ID",IF(COUNT('01_INPUT_COMPANIES'!$T$74:$AC$74)&lt;&gt;10,"INPUT REQUIRED",IF(NOT(OR('01_INPUT_COMPANIES'!$C$74="domestic",'01_INPUT_COMPANIES'!$C$74="foreign",'01_INPUT_COMPANIES'!$C$74="other")),"ERROR: COMPANY GROUP",IF(OR(LEN('01_INPUT_COMPANIES'!$G$74)&lt;&gt;6,MID('01_INPUT_COMPANIES'!$G$74,5,1)&lt;&gt;"Q",IFERROR(VALUE(LEFT('01_INPUT_COMPANIES'!$G$74,4)),0)&lt;2000,IFERROR(VALUE(LEFT('01_INPUT_COMPANIES'!$G$74,4)),0)&gt;2100,IFERROR(VALUE(RIGHT('01_INPUT_COMPANIES'!$G$74,1)),0)&lt;1,IFERROR(VALUE(RIGHT('01_INPUT_COMPANIES'!$G$74,1)),0)&gt;4),"ERROR: REPORTING PERIOD",IF(OR(COUNTIFS('92_REF_VARIABLES'!$A$21:$A$21,'01_INPUT_COMPANIES'!$H$74,'92_REF_VARIABLES'!$B$21:$B$21,'01_INPUT_COMPANIES'!$D$74,'92_REF_VARIABLES'!$C$21:$C$21,'01_INPUT_COMPANIES'!$G$74)&lt;&gt;1,AND(IFERROR(INDEX('92_REF_VARIABLES'!$I$21:$I$21,MATCH('01_INPUT_COMPANIES'!$H$74,'92_REF_VARIABLES'!$A$21:$A$21,0)),"")="synthetic_only",'01_INPUT_COMPANIES'!$L$74&lt;&gt;"yes")),"ERROR: BENCHMARK",IF(COUNTIF('92_REF_VARIABLES'!$L$21:$L$50,'01_INPUT_COMPANIES'!$I$74)&lt;&gt;1,"ERROR: CURRENCY",IF(OR(NOT(ISNUMBER('01_INPUT_COMPANIES'!$J$74)),'01_INPUT_COMPANIES'!$J$74&lt;&gt;INT('01_INPUT_COMPANIES'!$J$74),'01_INPUT_COMPANIES'!$J$74&lt;2000,'01_INPUT_COMPANIES'!$J$74&gt;2100),"ERROR: PRICE YEAR",IF(NOT(OR('01_INPUT_COMPANIES'!$K$74="A",'01_INPUT_COMPANIES'!$K$74="B",'01_INPUT_COMPANIES'!$K$74="C",'01_INPUT_COMPANIES'!$K$74="SYNTHETIC")),"ERROR: QUALITY",IF(NOT(OR(AND('01_INPUT_COMPANIES'!$L$74="yes",'01_INPUT_COMPANIES'!$K$74="SYNTHETIC"),AND('01_INPUT_COMPANIES'!$L$74="no",'01_INPUT_COMPANIES'!$K$74&lt;&gt;"SYNTHETIC"))),"ERROR: SYNTHETIC FLAG",IF(NOT(OR('01_INPUT_COMPANIES'!$M$74="direct",'01_INPUT_COMPANIES'!$M$74="derived",'01_INPUT_COMPANIES'!$M$74="proxy",'01_INPUT_COMPANIES'!$M$74="mixed")),"ERROR: CONSTRUCTION MODE",IF(OR(NOT(ISNUMBER('01_INPUT_COMPANIES'!$P$74)),'01_INPUT_COMPANIES'!$P$74&lt;0,'01_INPUT_COMPANIES'!$P$74&lt;&gt;INT('01_INPUT_COMPANIES'!$P$74)),"ERROR: CARRY LAG",IF('01_INPUT_COMPANIES'!$Q$74&lt;&gt;"yes","ERROR: EXPOSURE ADJUSTMENT",IF(OR(NOT(ISNUMBER('01_INPUT_COMPANIES'!$R$74)),'01_INPUT_COMPANIES'!$R$74&lt;0,'01_INPUT_COMPANIES'!$R$74&gt;1),"ERROR: EXPOSURE FACTOR",IF(COUNT(Y74)=0,"ERROR: SCORE",IF(COUNT(Z74)=0,"READY",IF(AA74&lt;=0.0000000001,"PASS","CHECK"))&amp;IF('01_INPUT_COMPANIES'!$K$74="C"," | C QUALITY","")&amp;IF(OR('01_INPUT_COMPANIES'!$M$74="proxy",'01_INPUT_COMPANIES'!$M$74="mixed")," | PROXY/MIXED","")&amp;IF('01_INPUT_COMPANIES'!$P$74&gt;1," | CARRY&gt;1","")&amp;IF(OR(OR('01_INPUT_COMPANIES'!$T$74&lt;-1,'01_INPUT_COMPANIES'!$T$74&gt;1),OR('01_INPUT_COMPANIES'!$U$74&lt;0,'01_INPUT_COMPANIES'!$U$74&gt;1),OR('01_INPUT_COMPANIES'!$V$74&lt;0,'01_INPUT_COMPANIES'!$V$74&gt;1),OR('01_INPUT_COMPANIES'!$W$74&lt;-10,'01_INPUT_COMPANIES'!$W$74&gt;10),OR('01_INPUT_COMPANIES'!$X$74&lt;-1,'01_INPUT_COMPANIES'!$X$74&gt;1),OR('01_INPUT_COMPANIES'!$Y$74&lt;0,'01_INPUT_COMPANIES'!$Y$74&gt;20),OR('01_INPUT_COMPANIES'!$Z$74&lt;-2,'01_INPUT_COMPANIES'!$Z$74&gt;2),OR('01_INPUT_COMPANIES'!$AA$74&lt;0,'01_INPUT_COMPANIES'!$AA$74&gt;1),OR('01_INPUT_COMPANIES'!$AB$74&lt;0,'01_INPUT_COMPANIES'!$AB$74&gt;1),OR('01_INPUT_COMPANIES'!$AC$74&lt;0,'01_INPUT_COMPANIES'!$AC$74&gt;50))," | REVIEW RANGE","")&amp;IF(COUNTIF('90_CALC_FEATURES'!$J$677:$J$686,"WINSORIZED*")&gt;0," | WINSORIZED","")&amp;IF(ABS('01_INPUT_COMPANIES'!$U$74-'01_INPUT_COMPANIES'!$V$74*'01_INPUT_COMPANIES'!$AB$74)&gt;MAX(0.005,0.05*MAX(ABS('01_INPUT_COMPANIES'!$V$74*'01_INPUT_COMPANIES'!$AB$74),ABS('01_INPUT_COMPANIES'!$U$74),0.000000000001))," | DEPENDENCY",""))))))))))))))))))))</x:f>
      </x:c>
      <x:c r="AC74" s="34" t="str">
        <x:f>IF(A74="","",IF(OR(LEFT(AB74,4)="PASS",LEFT(AB74,5)="READY"),"RESEARCH BETA | 저지원 22.22% | 기업 백분위 N/A", "결과 사용 금지 | "&amp;AB74))</x:f>
      </x:c>
      <x:c r="AD74" s="34" t="str">
        <x:f>IF(A74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$74,TRIM('01_INPUT_COMPANIES'!$D$74)),EXACT('01_INPUT_COMPANIES'!$E$74,TRIM('01_INPUT_COMPANIES'!$E$74)),EXACT('01_INPUT_COMPANIES'!$F$74,TRIM('01_INPUT_COMPANIES'!$F$74)),EXACT('01_INPUT_COMPANIES'!$G$74,TRIM('01_INPUT_COMPANIES'!$G$74)),EXACT('01_INPUT_COMPANIES'!$H$74,TRIM('01_INPUT_COMPANIES'!$H$74)))),"ERROR: COHORT WHITESPACE",IF(NOT(IFERROR(AND(ISTEXT('01_INPUT_COMPANIES'!$O$74),LEN('01_INPUT_COMPANIES'!$O$74)=10,VALUE(LEFT('01_INPUT_COMPANIES'!$O$74,4))&gt;=2000,VALUE(LEFT('01_INPUT_COMPANIES'!$O$74,4))&lt;=2100,EXACT(TEXT(DATE(VALUE(LEFT('01_INPUT_COMPANIES'!$O$74,4)),VALUE(MID('01_INPUT_COMPANIES'!$O$74,6,2)),VALUE(RIGHT('01_INPUT_COMPANIES'!$O$74,2))),"yyyy-mm-dd"),'01_INPUT_COMPANIES'!$O$74)),FALSE)),"ERROR: SOURCE DATE",IF(NOT(AND(OR(EXACT('01_INPUT_COMPANIES'!$C$74,"domestic"),EXACT('01_INPUT_COMPANIES'!$C$74,"foreign"),EXACT('01_INPUT_COMPANIES'!$C$74,"other")),OR(EXACT('01_INPUT_COMPANIES'!$K$74,"A"),EXACT('01_INPUT_COMPANIES'!$K$74,"B"),EXACT('01_INPUT_COMPANIES'!$K$74,"C"),EXACT('01_INPUT_COMPANIES'!$K$74,"SYNTHETIC")),OR(EXACT('01_INPUT_COMPANIES'!$L$74,"yes"),EXACT('01_INPUT_COMPANIES'!$L$74,"no")),OR(EXACT('01_INPUT_COMPANIES'!$M$74,"direct"),EXACT('01_INPUT_COMPANIES'!$M$74,"derived"),EXACT('01_INPUT_COMPANIES'!$M$74,"proxy"),EXACT('01_INPUT_COMPANIES'!$M$74,"mixed")),OR(EXACT('01_INPUT_COMPANIES'!$Q$74,"yes")),EXACT('01_INPUT_COMPANIES'!$I$74,UPPER('01_INPUT_COMPANIES'!$I$74)))),"ERROR: EXACT ENUM",IF(NOT(IFERROR(OR(AND(EXACT('92_REF_VARIABLES'!$A$21,'01_INPUT_COMPANIES'!$H$74),EXACT('92_REF_VARIABLES'!$B$21,'01_INPUT_COMPANIES'!$D$74),EXACT('92_REF_VARIABLES'!$C$21,'01_INPUT_COMPANIES'!$G$74))),FALSE)),"ERROR: BENCHMARK",""))))))</x:f>
      </x:c>
    </x:row>
    <x:row r="75">
      <x:c r="A75" s="34" t="str">
        <x:f>IF(OR('01_INPUT_COMPANIES'!$A$75="",'01_INPUT_COMPANIES'!$A$75=""),"",'01_INPUT_COMPANIES'!$A$75)</x:f>
      </x:c>
      <x:c r="B75" s="34" t="str">
        <x:f>IF(OR('01_INPUT_COMPANIES'!$A$75="",'01_INPUT_COMPANIES'!$B$75=""),"",'01_INPUT_COMPANIES'!$B$75)</x:f>
      </x:c>
      <x:c r="C75" s="34" t="str">
        <x:f>IF(OR('01_INPUT_COMPANIES'!$A$75="",'01_INPUT_COMPANIES'!$C$75=""),"",'01_INPUT_COMPANIES'!$C$75)</x:f>
      </x:c>
      <x:c r="D75" s="34" t="str">
        <x:f>IF(OR('01_INPUT_COMPANIES'!$A$75="",'01_INPUT_COMPANIES'!$D$75=""),"",'01_INPUT_COMPANIES'!$D$75)</x:f>
      </x:c>
      <x:c r="E75" s="34" t="str">
        <x:f>IF(OR('01_INPUT_COMPANIES'!$A$75="",'01_INPUT_COMPANIES'!$E$75=""),"",'01_INPUT_COMPANIES'!$E$75)</x:f>
      </x:c>
      <x:c r="F75" s="34" t="str">
        <x:f>IF(OR('01_INPUT_COMPANIES'!$A$75="",'01_INPUT_COMPANIES'!$F$75=""),"",'01_INPUT_COMPANIES'!$F$75)</x:f>
      </x:c>
      <x:c r="G75" s="34" t="str">
        <x:f>IF(OR('01_INPUT_COMPANIES'!$A$75="",'01_INPUT_COMPANIES'!$G$75=""),"",'01_INPUT_COMPANIES'!$G$75)</x:f>
      </x:c>
      <x:c r="H75" s="34" t="str">
        <x:f>IF(OR('01_INPUT_COMPANIES'!$A$75="",'01_INPUT_COMPANIES'!$H$75=""),"",'01_INPUT_COMPANIES'!$H$75)</x:f>
      </x:c>
      <x:c r="I75" s="34" t="str">
        <x:f>IF(OR('01_INPUT_COMPANIES'!$A$75="",'01_INPUT_COMPANIES'!$K$75=""),"",'01_INPUT_COMPANIES'!$K$75)</x:f>
      </x:c>
      <x:c r="J75" s="34" t="str">
        <x:f>IF(OR('01_INPUT_COMPANIES'!$A$75="",'01_INPUT_COMPANIES'!$M$75=""),"",'01_INPUT_COMPANIES'!$M$75)</x:f>
      </x:c>
      <x:c r="K75" s="34" t="str">
        <x:f>IF(OR(A75="",COUNTBLANK(D75:H75)&gt;0),"",LEN(D75)&amp;":"&amp;D75&amp;LEN(E75)&amp;":"&amp;E75&amp;LEN(F75)&amp;":"&amp;F75&amp;LEN(G75)&amp;":"&amp;G75&amp;LEN(H75)&amp;":"&amp;H75)</x:f>
      </x:c>
      <x:c r="L75" s="47" t="str">
        <x:f>IF(A75="","",'90_CALC_FEATURES'!$I$687)</x:f>
      </x:c>
      <x:c r="M75" s="47" t="str">
        <x:f>IF(A75="","",'90_CALC_FEATURES'!$I$688)</x:f>
      </x:c>
      <x:c r="N75" s="47" t="str">
        <x:f>IF(A75="","",'90_CALC_FEATURES'!$I$689)</x:f>
      </x:c>
      <x:c r="O75" s="47" t="str">
        <x:f>IF(A75="","",'90_CALC_FEATURES'!$I$690)</x:f>
      </x:c>
      <x:c r="P75" s="47" t="str">
        <x:f>IF(A75="","",'90_CALC_FEATURES'!$I$691)</x:f>
      </x:c>
      <x:c r="Q75" s="47" t="str">
        <x:f>IF(A75="","",'90_CALC_FEATURES'!$I$692)</x:f>
      </x:c>
      <x:c r="R75" s="47" t="str">
        <x:f>IF(A75="","",'90_CALC_FEATURES'!$I$693)</x:f>
      </x:c>
      <x:c r="S75" s="47" t="str">
        <x:f>IF(A75="","",'90_CALC_FEATURES'!$I$694)</x:f>
      </x:c>
      <x:c r="T75" s="47" t="str">
        <x:f>IF(A75="","",'90_CALC_FEATURES'!$I$695)</x:f>
      </x:c>
      <x:c r="U75" s="47" t="str">
        <x:f>IF(A75="","",'90_CALC_FEATURES'!$I$696)</x:f>
      </x:c>
      <x:c r="V75" s="47" t="str">
        <x:f>IF(COUNT(L75:N75)=3,100*AVERAGE(L75:N75),"")</x:f>
      </x:c>
      <x:c r="W75" s="47" t="str">
        <x:f>IF(COUNT(O75:R75)=4,100*AVERAGE(O75:R75),"")</x:f>
      </x:c>
      <x:c r="X75" s="47" t="str">
        <x:f>IF(COUNT(S75:U75)=3,100*AVERAGE(S75:U75),"")</x:f>
      </x:c>
      <x:c r="Y75" s="47" t="str">
        <x:f>IF(COUNT(V75:X75)=3,AVERAGE(V75:X75),"")</x:f>
      </x:c>
      <x:c r="Z75" s="47" t="str">
        <x:f>IF(OR(AND(EXACT(A75,"SYN-A"),COUNT('01_INPUT_COMPANIES'!$T$75:$AC$75)=10,'01_INPUT_COMPANIES'!$T$75=-0.02,'01_INPUT_COMPANIES'!$U$75=0.1332,'01_INPUT_COMPANIES'!$V$75=0.18,'01_INPUT_COMPANIES'!$W$75=0.42,'01_INPUT_COMPANIES'!$X$75=0.012,'01_INPUT_COMPANIES'!$Y$75=3.2,'01_INPUT_COMPANIES'!$Z$75=0.08,'01_INPUT_COMPANIES'!$AA$75=0.28,'01_INPUT_COMPANIES'!$AB$75=0.74,'01_INPUT_COMPANIES'!$AC$75=8.5),AND(EXACT(A75,"SYN-B"),COUNT('01_INPUT_COMPANIES'!$T$75:$AC$75)=10,'01_INPUT_COMPANIES'!$T$75=-0.055,'01_INPUT_COMPANIES'!$U$75=0.06405,'01_INPUT_COMPANIES'!$V$75=0.105,'01_INPUT_COMPANIES'!$W$75=0.73,'01_INPUT_COMPANIES'!$X$75=0.004,'01_INPUT_COMPANIES'!$Y$75=4.1,'01_INPUT_COMPANIES'!$Z$75=0.025,'01_INPUT_COMPANIES'!$AA$75=0.16,'01_INPUT_COMPANIES'!$AB$75=0.61,'01_INPUT_COMPANIES'!$AC$75=4),AND(EXACT(A75,"SYN-C"),COUNT('01_INPUT_COMPANIES'!$T$75:$AC$75)=10,'01_INPUT_COMPANIES'!$T$75=0.01,'01_INPUT_COMPANIES'!$U$75=0.0986,'01_INPUT_COMPANIES'!$V$75=0.145,'01_INPUT_COMPANIES'!$W$75=0.18,'01_INPUT_COMPANIES'!$X$75=0.018,'01_INPUT_COMPANIES'!$Y$75=2.65,'01_INPUT_COMPANIES'!$Z$75=0.11,'01_INPUT_COMPANIES'!$AA$75=0.34,'01_INPUT_COMPANIES'!$AB$75=0.68,'01_INPUT_COMPANIES'!$AC$75=6.8),AND(EXACT(A75,"SYN-D"),COUNT('01_INPUT_COMPANIES'!$T$75:$AC$75)=10,'01_INPUT_COMPANIES'!$T$75=-0.005,'01_INPUT_COMPANIES'!$U$75=0.1136,'01_INPUT_COMPANIES'!$V$75=0.16,'01_INPUT_COMPANIES'!$W$75=0.51,'01_INPUT_COMPANIES'!$X$75=0.009,'01_INPUT_COMPANIES'!$Y$75=3.55,'01_INPUT_COMPANIES'!$Z$75=0.065,'01_INPUT_COMPANIES'!$AA$75=0.24,'01_INPUT_COMPANIES'!$AB$75=0.71,'01_INPUT_COMPANIES'!$AC$75=7.4)),IFERROR(INDEX('94_EXPECTED_OUTPUTS'!$B$7:$B$10,MATCH(A75,'94_EXPECTED_OUTPUTS'!$A$7:$A$10,0)),""),"")</x:f>
      </x:c>
      <x:c r="AA75" s="47" t="str">
        <x:f>IF(OR(COUNT(Y75)=0,COUNT(Z75)=0),"",ABS(Y75-Z75))</x:f>
      </x:c>
      <x:c r="AB75" s="34" t="str">
        <x:f>IF(A75="","",IF(AD75&lt;&gt;"",AD75,IF('01_INPUT_COMPANIES'!$A$75="","",IF(OR(LEN(TRIM('01_INPUT_COMPANIES'!$A$75&amp;""))=0,LEN(TRIM('01_INPUT_COMPANIES'!$B$75&amp;""))=0,LEN(TRIM('01_INPUT_COMPANIES'!$C$75&amp;""))=0,LEN(TRIM('01_INPUT_COMPANIES'!$D$75&amp;""))=0,LEN(TRIM('01_INPUT_COMPANIES'!$E$75&amp;""))=0,LEN(TRIM('01_INPUT_COMPANIES'!$F$75&amp;""))=0,LEN(TRIM('01_INPUT_COMPANIES'!$G$75&amp;""))=0,LEN(TRIM('01_INPUT_COMPANIES'!$H$75&amp;""))=0,LEN(TRIM('01_INPUT_COMPANIES'!$I$75&amp;""))=0,LEN(TRIM('01_INPUT_COMPANIES'!$K$75&amp;""))=0,LEN(TRIM('01_INPUT_COMPANIES'!$L$75&amp;""))=0,LEN(TRIM('01_INPUT_COMPANIES'!$M$75&amp;""))=0,LEN(TRIM('01_INPUT_COMPANIES'!$N$75&amp;""))=0,LEN(TRIM('01_INPUT_COMPANIES'!$O$75&amp;""))=0,LEN(TRIM('01_INPUT_COMPANIES'!$Q$75&amp;""))=0,COUNTBLANK('01_INPUT_COMPANIES'!$A$75:$R$75)&gt;0),"INPUT REQUIRED",IF(OR('01_INPUT_COMPANIES'!$A$75&lt;&gt;TRIM('01_INPUT_COMPANIES'!$A$75),NOT(EXACT('01_INPUT_COMPANIES'!$A$75,UPPER('01_INPUT_COMPANIES'!$A$75))),LEN('01_INPUT_COMPANIES'!$A$75)&gt;64,ISNUMBER(FIND("*",'01_INPUT_COMPANIES'!$A$75)),ISNUMBER(FIND("?",'01_INPUT_COMPANIES'!$A$75)),ISNUMBER(FIND("~",'01_INPUT_COMPANIES'!$A$75))),"ERROR: ID FORMAT",IF(COUNTIF('01_INPUT_COMPANIES'!$A$7:$A$106,'01_INPUT_COMPANIES'!$A$75)&lt;&gt;1,"ERROR: DUPLICATE ID",IF(COUNT('01_INPUT_COMPANIES'!$T$75:$AC$75)&lt;&gt;10,"INPUT REQUIRED",IF(NOT(OR('01_INPUT_COMPANIES'!$C$75="domestic",'01_INPUT_COMPANIES'!$C$75="foreign",'01_INPUT_COMPANIES'!$C$75="other")),"ERROR: COMPANY GROUP",IF(OR(LEN('01_INPUT_COMPANIES'!$G$75)&lt;&gt;6,MID('01_INPUT_COMPANIES'!$G$75,5,1)&lt;&gt;"Q",IFERROR(VALUE(LEFT('01_INPUT_COMPANIES'!$G$75,4)),0)&lt;2000,IFERROR(VALUE(LEFT('01_INPUT_COMPANIES'!$G$75,4)),0)&gt;2100,IFERROR(VALUE(RIGHT('01_INPUT_COMPANIES'!$G$75,1)),0)&lt;1,IFERROR(VALUE(RIGHT('01_INPUT_COMPANIES'!$G$75,1)),0)&gt;4),"ERROR: REPORTING PERIOD",IF(OR(COUNTIFS('92_REF_VARIABLES'!$A$21:$A$21,'01_INPUT_COMPANIES'!$H$75,'92_REF_VARIABLES'!$B$21:$B$21,'01_INPUT_COMPANIES'!$D$75,'92_REF_VARIABLES'!$C$21:$C$21,'01_INPUT_COMPANIES'!$G$75)&lt;&gt;1,AND(IFERROR(INDEX('92_REF_VARIABLES'!$I$21:$I$21,MATCH('01_INPUT_COMPANIES'!$H$75,'92_REF_VARIABLES'!$A$21:$A$21,0)),"")="synthetic_only",'01_INPUT_COMPANIES'!$L$75&lt;&gt;"yes")),"ERROR: BENCHMARK",IF(COUNTIF('92_REF_VARIABLES'!$L$21:$L$50,'01_INPUT_COMPANIES'!$I$75)&lt;&gt;1,"ERROR: CURRENCY",IF(OR(NOT(ISNUMBER('01_INPUT_COMPANIES'!$J$75)),'01_INPUT_COMPANIES'!$J$75&lt;&gt;INT('01_INPUT_COMPANIES'!$J$75),'01_INPUT_COMPANIES'!$J$75&lt;2000,'01_INPUT_COMPANIES'!$J$75&gt;2100),"ERROR: PRICE YEAR",IF(NOT(OR('01_INPUT_COMPANIES'!$K$75="A",'01_INPUT_COMPANIES'!$K$75="B",'01_INPUT_COMPANIES'!$K$75="C",'01_INPUT_COMPANIES'!$K$75="SYNTHETIC")),"ERROR: QUALITY",IF(NOT(OR(AND('01_INPUT_COMPANIES'!$L$75="yes",'01_INPUT_COMPANIES'!$K$75="SYNTHETIC"),AND('01_INPUT_COMPANIES'!$L$75="no",'01_INPUT_COMPANIES'!$K$75&lt;&gt;"SYNTHETIC"))),"ERROR: SYNTHETIC FLAG",IF(NOT(OR('01_INPUT_COMPANIES'!$M$75="direct",'01_INPUT_COMPANIES'!$M$75="derived",'01_INPUT_COMPANIES'!$M$75="proxy",'01_INPUT_COMPANIES'!$M$75="mixed")),"ERROR: CONSTRUCTION MODE",IF(OR(NOT(ISNUMBER('01_INPUT_COMPANIES'!$P$75)),'01_INPUT_COMPANIES'!$P$75&lt;0,'01_INPUT_COMPANIES'!$P$75&lt;&gt;INT('01_INPUT_COMPANIES'!$P$75)),"ERROR: CARRY LAG",IF('01_INPUT_COMPANIES'!$Q$75&lt;&gt;"yes","ERROR: EXPOSURE ADJUSTMENT",IF(OR(NOT(ISNUMBER('01_INPUT_COMPANIES'!$R$75)),'01_INPUT_COMPANIES'!$R$75&lt;0,'01_INPUT_COMPANIES'!$R$75&gt;1),"ERROR: EXPOSURE FACTOR",IF(COUNT(Y75)=0,"ERROR: SCORE",IF(COUNT(Z75)=0,"READY",IF(AA75&lt;=0.0000000001,"PASS","CHECK"))&amp;IF('01_INPUT_COMPANIES'!$K$75="C"," | C QUALITY","")&amp;IF(OR('01_INPUT_COMPANIES'!$M$75="proxy",'01_INPUT_COMPANIES'!$M$75="mixed")," | PROXY/MIXED","")&amp;IF('01_INPUT_COMPANIES'!$P$75&gt;1," | CARRY&gt;1","")&amp;IF(OR(OR('01_INPUT_COMPANIES'!$T$75&lt;-1,'01_INPUT_COMPANIES'!$T$75&gt;1),OR('01_INPUT_COMPANIES'!$U$75&lt;0,'01_INPUT_COMPANIES'!$U$75&gt;1),OR('01_INPUT_COMPANIES'!$V$75&lt;0,'01_INPUT_COMPANIES'!$V$75&gt;1),OR('01_INPUT_COMPANIES'!$W$75&lt;-10,'01_INPUT_COMPANIES'!$W$75&gt;10),OR('01_INPUT_COMPANIES'!$X$75&lt;-1,'01_INPUT_COMPANIES'!$X$75&gt;1),OR('01_INPUT_COMPANIES'!$Y$75&lt;0,'01_INPUT_COMPANIES'!$Y$75&gt;20),OR('01_INPUT_COMPANIES'!$Z$75&lt;-2,'01_INPUT_COMPANIES'!$Z$75&gt;2),OR('01_INPUT_COMPANIES'!$AA$75&lt;0,'01_INPUT_COMPANIES'!$AA$75&gt;1),OR('01_INPUT_COMPANIES'!$AB$75&lt;0,'01_INPUT_COMPANIES'!$AB$75&gt;1),OR('01_INPUT_COMPANIES'!$AC$75&lt;0,'01_INPUT_COMPANIES'!$AC$75&gt;50))," | REVIEW RANGE","")&amp;IF(COUNTIF('90_CALC_FEATURES'!$J$687:$J$696,"WINSORIZED*")&gt;0," | WINSORIZED","")&amp;IF(ABS('01_INPUT_COMPANIES'!$U$75-'01_INPUT_COMPANIES'!$V$75*'01_INPUT_COMPANIES'!$AB$75)&gt;MAX(0.005,0.05*MAX(ABS('01_INPUT_COMPANIES'!$V$75*'01_INPUT_COMPANIES'!$AB$75),ABS('01_INPUT_COMPANIES'!$U$75),0.000000000001))," | DEPENDENCY",""))))))))))))))))))))</x:f>
      </x:c>
      <x:c r="AC75" s="34" t="str">
        <x:f>IF(A75="","",IF(OR(LEFT(AB75,4)="PASS",LEFT(AB75,5)="READY"),"RESEARCH BETA | 저지원 22.22% | 기업 백분위 N/A", "결과 사용 금지 | "&amp;AB75))</x:f>
      </x:c>
      <x:c r="AD75" s="34" t="str">
        <x:f>IF(A75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$75,TRIM('01_INPUT_COMPANIES'!$D$75)),EXACT('01_INPUT_COMPANIES'!$E$75,TRIM('01_INPUT_COMPANIES'!$E$75)),EXACT('01_INPUT_COMPANIES'!$F$75,TRIM('01_INPUT_COMPANIES'!$F$75)),EXACT('01_INPUT_COMPANIES'!$G$75,TRIM('01_INPUT_COMPANIES'!$G$75)),EXACT('01_INPUT_COMPANIES'!$H$75,TRIM('01_INPUT_COMPANIES'!$H$75)))),"ERROR: COHORT WHITESPACE",IF(NOT(IFERROR(AND(ISTEXT('01_INPUT_COMPANIES'!$O$75),LEN('01_INPUT_COMPANIES'!$O$75)=10,VALUE(LEFT('01_INPUT_COMPANIES'!$O$75,4))&gt;=2000,VALUE(LEFT('01_INPUT_COMPANIES'!$O$75,4))&lt;=2100,EXACT(TEXT(DATE(VALUE(LEFT('01_INPUT_COMPANIES'!$O$75,4)),VALUE(MID('01_INPUT_COMPANIES'!$O$75,6,2)),VALUE(RIGHT('01_INPUT_COMPANIES'!$O$75,2))),"yyyy-mm-dd"),'01_INPUT_COMPANIES'!$O$75)),FALSE)),"ERROR: SOURCE DATE",IF(NOT(AND(OR(EXACT('01_INPUT_COMPANIES'!$C$75,"domestic"),EXACT('01_INPUT_COMPANIES'!$C$75,"foreign"),EXACT('01_INPUT_COMPANIES'!$C$75,"other")),OR(EXACT('01_INPUT_COMPANIES'!$K$75,"A"),EXACT('01_INPUT_COMPANIES'!$K$75,"B"),EXACT('01_INPUT_COMPANIES'!$K$75,"C"),EXACT('01_INPUT_COMPANIES'!$K$75,"SYNTHETIC")),OR(EXACT('01_INPUT_COMPANIES'!$L$75,"yes"),EXACT('01_INPUT_COMPANIES'!$L$75,"no")),OR(EXACT('01_INPUT_COMPANIES'!$M$75,"direct"),EXACT('01_INPUT_COMPANIES'!$M$75,"derived"),EXACT('01_INPUT_COMPANIES'!$M$75,"proxy"),EXACT('01_INPUT_COMPANIES'!$M$75,"mixed")),OR(EXACT('01_INPUT_COMPANIES'!$Q$75,"yes")),EXACT('01_INPUT_COMPANIES'!$I$75,UPPER('01_INPUT_COMPANIES'!$I$75)))),"ERROR: EXACT ENUM",IF(NOT(IFERROR(OR(AND(EXACT('92_REF_VARIABLES'!$A$21,'01_INPUT_COMPANIES'!$H$75),EXACT('92_REF_VARIABLES'!$B$21,'01_INPUT_COMPANIES'!$D$75),EXACT('92_REF_VARIABLES'!$C$21,'01_INPUT_COMPANIES'!$G$75))),FALSE)),"ERROR: BENCHMARK",""))))))</x:f>
      </x:c>
    </x:row>
    <x:row r="76">
      <x:c r="A76" s="34" t="str">
        <x:f>IF(OR('01_INPUT_COMPANIES'!$A$76="",'01_INPUT_COMPANIES'!$A$76=""),"",'01_INPUT_COMPANIES'!$A$76)</x:f>
      </x:c>
      <x:c r="B76" s="34" t="str">
        <x:f>IF(OR('01_INPUT_COMPANIES'!$A$76="",'01_INPUT_COMPANIES'!$B$76=""),"",'01_INPUT_COMPANIES'!$B$76)</x:f>
      </x:c>
      <x:c r="C76" s="34" t="str">
        <x:f>IF(OR('01_INPUT_COMPANIES'!$A$76="",'01_INPUT_COMPANIES'!$C$76=""),"",'01_INPUT_COMPANIES'!$C$76)</x:f>
      </x:c>
      <x:c r="D76" s="34" t="str">
        <x:f>IF(OR('01_INPUT_COMPANIES'!$A$76="",'01_INPUT_COMPANIES'!$D$76=""),"",'01_INPUT_COMPANIES'!$D$76)</x:f>
      </x:c>
      <x:c r="E76" s="34" t="str">
        <x:f>IF(OR('01_INPUT_COMPANIES'!$A$76="",'01_INPUT_COMPANIES'!$E$76=""),"",'01_INPUT_COMPANIES'!$E$76)</x:f>
      </x:c>
      <x:c r="F76" s="34" t="str">
        <x:f>IF(OR('01_INPUT_COMPANIES'!$A$76="",'01_INPUT_COMPANIES'!$F$76=""),"",'01_INPUT_COMPANIES'!$F$76)</x:f>
      </x:c>
      <x:c r="G76" s="34" t="str">
        <x:f>IF(OR('01_INPUT_COMPANIES'!$A$76="",'01_INPUT_COMPANIES'!$G$76=""),"",'01_INPUT_COMPANIES'!$G$76)</x:f>
      </x:c>
      <x:c r="H76" s="34" t="str">
        <x:f>IF(OR('01_INPUT_COMPANIES'!$A$76="",'01_INPUT_COMPANIES'!$H$76=""),"",'01_INPUT_COMPANIES'!$H$76)</x:f>
      </x:c>
      <x:c r="I76" s="34" t="str">
        <x:f>IF(OR('01_INPUT_COMPANIES'!$A$76="",'01_INPUT_COMPANIES'!$K$76=""),"",'01_INPUT_COMPANIES'!$K$76)</x:f>
      </x:c>
      <x:c r="J76" s="34" t="str">
        <x:f>IF(OR('01_INPUT_COMPANIES'!$A$76="",'01_INPUT_COMPANIES'!$M$76=""),"",'01_INPUT_COMPANIES'!$M$76)</x:f>
      </x:c>
      <x:c r="K76" s="34" t="str">
        <x:f>IF(OR(A76="",COUNTBLANK(D76:H76)&gt;0),"",LEN(D76)&amp;":"&amp;D76&amp;LEN(E76)&amp;":"&amp;E76&amp;LEN(F76)&amp;":"&amp;F76&amp;LEN(G76)&amp;":"&amp;G76&amp;LEN(H76)&amp;":"&amp;H76)</x:f>
      </x:c>
      <x:c r="L76" s="47" t="str">
        <x:f>IF(A76="","",'90_CALC_FEATURES'!$I$697)</x:f>
      </x:c>
      <x:c r="M76" s="47" t="str">
        <x:f>IF(A76="","",'90_CALC_FEATURES'!$I$698)</x:f>
      </x:c>
      <x:c r="N76" s="47" t="str">
        <x:f>IF(A76="","",'90_CALC_FEATURES'!$I$699)</x:f>
      </x:c>
      <x:c r="O76" s="47" t="str">
        <x:f>IF(A76="","",'90_CALC_FEATURES'!$I$700)</x:f>
      </x:c>
      <x:c r="P76" s="47" t="str">
        <x:f>IF(A76="","",'90_CALC_FEATURES'!$I$701)</x:f>
      </x:c>
      <x:c r="Q76" s="47" t="str">
        <x:f>IF(A76="","",'90_CALC_FEATURES'!$I$702)</x:f>
      </x:c>
      <x:c r="R76" s="47" t="str">
        <x:f>IF(A76="","",'90_CALC_FEATURES'!$I$703)</x:f>
      </x:c>
      <x:c r="S76" s="47" t="str">
        <x:f>IF(A76="","",'90_CALC_FEATURES'!$I$704)</x:f>
      </x:c>
      <x:c r="T76" s="47" t="str">
        <x:f>IF(A76="","",'90_CALC_FEATURES'!$I$705)</x:f>
      </x:c>
      <x:c r="U76" s="47" t="str">
        <x:f>IF(A76="","",'90_CALC_FEATURES'!$I$706)</x:f>
      </x:c>
      <x:c r="V76" s="47" t="str">
        <x:f>IF(COUNT(L76:N76)=3,100*AVERAGE(L76:N76),"")</x:f>
      </x:c>
      <x:c r="W76" s="47" t="str">
        <x:f>IF(COUNT(O76:R76)=4,100*AVERAGE(O76:R76),"")</x:f>
      </x:c>
      <x:c r="X76" s="47" t="str">
        <x:f>IF(COUNT(S76:U76)=3,100*AVERAGE(S76:U76),"")</x:f>
      </x:c>
      <x:c r="Y76" s="47" t="str">
        <x:f>IF(COUNT(V76:X76)=3,AVERAGE(V76:X76),"")</x:f>
      </x:c>
      <x:c r="Z76" s="47" t="str">
        <x:f>IF(OR(AND(EXACT(A76,"SYN-A"),COUNT('01_INPUT_COMPANIES'!$T$76:$AC$76)=10,'01_INPUT_COMPANIES'!$T$76=-0.02,'01_INPUT_COMPANIES'!$U$76=0.1332,'01_INPUT_COMPANIES'!$V$76=0.18,'01_INPUT_COMPANIES'!$W$76=0.42,'01_INPUT_COMPANIES'!$X$76=0.012,'01_INPUT_COMPANIES'!$Y$76=3.2,'01_INPUT_COMPANIES'!$Z$76=0.08,'01_INPUT_COMPANIES'!$AA$76=0.28,'01_INPUT_COMPANIES'!$AB$76=0.74,'01_INPUT_COMPANIES'!$AC$76=8.5),AND(EXACT(A76,"SYN-B"),COUNT('01_INPUT_COMPANIES'!$T$76:$AC$76)=10,'01_INPUT_COMPANIES'!$T$76=-0.055,'01_INPUT_COMPANIES'!$U$76=0.06405,'01_INPUT_COMPANIES'!$V$76=0.105,'01_INPUT_COMPANIES'!$W$76=0.73,'01_INPUT_COMPANIES'!$X$76=0.004,'01_INPUT_COMPANIES'!$Y$76=4.1,'01_INPUT_COMPANIES'!$Z$76=0.025,'01_INPUT_COMPANIES'!$AA$76=0.16,'01_INPUT_COMPANIES'!$AB$76=0.61,'01_INPUT_COMPANIES'!$AC$76=4),AND(EXACT(A76,"SYN-C"),COUNT('01_INPUT_COMPANIES'!$T$76:$AC$76)=10,'01_INPUT_COMPANIES'!$T$76=0.01,'01_INPUT_COMPANIES'!$U$76=0.0986,'01_INPUT_COMPANIES'!$V$76=0.145,'01_INPUT_COMPANIES'!$W$76=0.18,'01_INPUT_COMPANIES'!$X$76=0.018,'01_INPUT_COMPANIES'!$Y$76=2.65,'01_INPUT_COMPANIES'!$Z$76=0.11,'01_INPUT_COMPANIES'!$AA$76=0.34,'01_INPUT_COMPANIES'!$AB$76=0.68,'01_INPUT_COMPANIES'!$AC$76=6.8),AND(EXACT(A76,"SYN-D"),COUNT('01_INPUT_COMPANIES'!$T$76:$AC$76)=10,'01_INPUT_COMPANIES'!$T$76=-0.005,'01_INPUT_COMPANIES'!$U$76=0.1136,'01_INPUT_COMPANIES'!$V$76=0.16,'01_INPUT_COMPANIES'!$W$76=0.51,'01_INPUT_COMPANIES'!$X$76=0.009,'01_INPUT_COMPANIES'!$Y$76=3.55,'01_INPUT_COMPANIES'!$Z$76=0.065,'01_INPUT_COMPANIES'!$AA$76=0.24,'01_INPUT_COMPANIES'!$AB$76=0.71,'01_INPUT_COMPANIES'!$AC$76=7.4)),IFERROR(INDEX('94_EXPECTED_OUTPUTS'!$B$7:$B$10,MATCH(A76,'94_EXPECTED_OUTPUTS'!$A$7:$A$10,0)),""),"")</x:f>
      </x:c>
      <x:c r="AA76" s="47" t="str">
        <x:f>IF(OR(COUNT(Y76)=0,COUNT(Z76)=0),"",ABS(Y76-Z76))</x:f>
      </x:c>
      <x:c r="AB76" s="34" t="str">
        <x:f>IF(A76="","",IF(AD76&lt;&gt;"",AD76,IF('01_INPUT_COMPANIES'!$A$76="","",IF(OR(LEN(TRIM('01_INPUT_COMPANIES'!$A$76&amp;""))=0,LEN(TRIM('01_INPUT_COMPANIES'!$B$76&amp;""))=0,LEN(TRIM('01_INPUT_COMPANIES'!$C$76&amp;""))=0,LEN(TRIM('01_INPUT_COMPANIES'!$D$76&amp;""))=0,LEN(TRIM('01_INPUT_COMPANIES'!$E$76&amp;""))=0,LEN(TRIM('01_INPUT_COMPANIES'!$F$76&amp;""))=0,LEN(TRIM('01_INPUT_COMPANIES'!$G$76&amp;""))=0,LEN(TRIM('01_INPUT_COMPANIES'!$H$76&amp;""))=0,LEN(TRIM('01_INPUT_COMPANIES'!$I$76&amp;""))=0,LEN(TRIM('01_INPUT_COMPANIES'!$K$76&amp;""))=0,LEN(TRIM('01_INPUT_COMPANIES'!$L$76&amp;""))=0,LEN(TRIM('01_INPUT_COMPANIES'!$M$76&amp;""))=0,LEN(TRIM('01_INPUT_COMPANIES'!$N$76&amp;""))=0,LEN(TRIM('01_INPUT_COMPANIES'!$O$76&amp;""))=0,LEN(TRIM('01_INPUT_COMPANIES'!$Q$76&amp;""))=0,COUNTBLANK('01_INPUT_COMPANIES'!$A$76:$R$76)&gt;0),"INPUT REQUIRED",IF(OR('01_INPUT_COMPANIES'!$A$76&lt;&gt;TRIM('01_INPUT_COMPANIES'!$A$76),NOT(EXACT('01_INPUT_COMPANIES'!$A$76,UPPER('01_INPUT_COMPANIES'!$A$76))),LEN('01_INPUT_COMPANIES'!$A$76)&gt;64,ISNUMBER(FIND("*",'01_INPUT_COMPANIES'!$A$76)),ISNUMBER(FIND("?",'01_INPUT_COMPANIES'!$A$76)),ISNUMBER(FIND("~",'01_INPUT_COMPANIES'!$A$76))),"ERROR: ID FORMAT",IF(COUNTIF('01_INPUT_COMPANIES'!$A$7:$A$106,'01_INPUT_COMPANIES'!$A$76)&lt;&gt;1,"ERROR: DUPLICATE ID",IF(COUNT('01_INPUT_COMPANIES'!$T$76:$AC$76)&lt;&gt;10,"INPUT REQUIRED",IF(NOT(OR('01_INPUT_COMPANIES'!$C$76="domestic",'01_INPUT_COMPANIES'!$C$76="foreign",'01_INPUT_COMPANIES'!$C$76="other")),"ERROR: COMPANY GROUP",IF(OR(LEN('01_INPUT_COMPANIES'!$G$76)&lt;&gt;6,MID('01_INPUT_COMPANIES'!$G$76,5,1)&lt;&gt;"Q",IFERROR(VALUE(LEFT('01_INPUT_COMPANIES'!$G$76,4)),0)&lt;2000,IFERROR(VALUE(LEFT('01_INPUT_COMPANIES'!$G$76,4)),0)&gt;2100,IFERROR(VALUE(RIGHT('01_INPUT_COMPANIES'!$G$76,1)),0)&lt;1,IFERROR(VALUE(RIGHT('01_INPUT_COMPANIES'!$G$76,1)),0)&gt;4),"ERROR: REPORTING PERIOD",IF(OR(COUNTIFS('92_REF_VARIABLES'!$A$21:$A$21,'01_INPUT_COMPANIES'!$H$76,'92_REF_VARIABLES'!$B$21:$B$21,'01_INPUT_COMPANIES'!$D$76,'92_REF_VARIABLES'!$C$21:$C$21,'01_INPUT_COMPANIES'!$G$76)&lt;&gt;1,AND(IFERROR(INDEX('92_REF_VARIABLES'!$I$21:$I$21,MATCH('01_INPUT_COMPANIES'!$H$76,'92_REF_VARIABLES'!$A$21:$A$21,0)),"")="synthetic_only",'01_INPUT_COMPANIES'!$L$76&lt;&gt;"yes")),"ERROR: BENCHMARK",IF(COUNTIF('92_REF_VARIABLES'!$L$21:$L$50,'01_INPUT_COMPANIES'!$I$76)&lt;&gt;1,"ERROR: CURRENCY",IF(OR(NOT(ISNUMBER('01_INPUT_COMPANIES'!$J$76)),'01_INPUT_COMPANIES'!$J$76&lt;&gt;INT('01_INPUT_COMPANIES'!$J$76),'01_INPUT_COMPANIES'!$J$76&lt;2000,'01_INPUT_COMPANIES'!$J$76&gt;2100),"ERROR: PRICE YEAR",IF(NOT(OR('01_INPUT_COMPANIES'!$K$76="A",'01_INPUT_COMPANIES'!$K$76="B",'01_INPUT_COMPANIES'!$K$76="C",'01_INPUT_COMPANIES'!$K$76="SYNTHETIC")),"ERROR: QUALITY",IF(NOT(OR(AND('01_INPUT_COMPANIES'!$L$76="yes",'01_INPUT_COMPANIES'!$K$76="SYNTHETIC"),AND('01_INPUT_COMPANIES'!$L$76="no",'01_INPUT_COMPANIES'!$K$76&lt;&gt;"SYNTHETIC"))),"ERROR: SYNTHETIC FLAG",IF(NOT(OR('01_INPUT_COMPANIES'!$M$76="direct",'01_INPUT_COMPANIES'!$M$76="derived",'01_INPUT_COMPANIES'!$M$76="proxy",'01_INPUT_COMPANIES'!$M$76="mixed")),"ERROR: CONSTRUCTION MODE",IF(OR(NOT(ISNUMBER('01_INPUT_COMPANIES'!$P$76)),'01_INPUT_COMPANIES'!$P$76&lt;0,'01_INPUT_COMPANIES'!$P$76&lt;&gt;INT('01_INPUT_COMPANIES'!$P$76)),"ERROR: CARRY LAG",IF('01_INPUT_COMPANIES'!$Q$76&lt;&gt;"yes","ERROR: EXPOSURE ADJUSTMENT",IF(OR(NOT(ISNUMBER('01_INPUT_COMPANIES'!$R$76)),'01_INPUT_COMPANIES'!$R$76&lt;0,'01_INPUT_COMPANIES'!$R$76&gt;1),"ERROR: EXPOSURE FACTOR",IF(COUNT(Y76)=0,"ERROR: SCORE",IF(COUNT(Z76)=0,"READY",IF(AA76&lt;=0.0000000001,"PASS","CHECK"))&amp;IF('01_INPUT_COMPANIES'!$K$76="C"," | C QUALITY","")&amp;IF(OR('01_INPUT_COMPANIES'!$M$76="proxy",'01_INPUT_COMPANIES'!$M$76="mixed")," | PROXY/MIXED","")&amp;IF('01_INPUT_COMPANIES'!$P$76&gt;1," | CARRY&gt;1","")&amp;IF(OR(OR('01_INPUT_COMPANIES'!$T$76&lt;-1,'01_INPUT_COMPANIES'!$T$76&gt;1),OR('01_INPUT_COMPANIES'!$U$76&lt;0,'01_INPUT_COMPANIES'!$U$76&gt;1),OR('01_INPUT_COMPANIES'!$V$76&lt;0,'01_INPUT_COMPANIES'!$V$76&gt;1),OR('01_INPUT_COMPANIES'!$W$76&lt;-10,'01_INPUT_COMPANIES'!$W$76&gt;10),OR('01_INPUT_COMPANIES'!$X$76&lt;-1,'01_INPUT_COMPANIES'!$X$76&gt;1),OR('01_INPUT_COMPANIES'!$Y$76&lt;0,'01_INPUT_COMPANIES'!$Y$76&gt;20),OR('01_INPUT_COMPANIES'!$Z$76&lt;-2,'01_INPUT_COMPANIES'!$Z$76&gt;2),OR('01_INPUT_COMPANIES'!$AA$76&lt;0,'01_INPUT_COMPANIES'!$AA$76&gt;1),OR('01_INPUT_COMPANIES'!$AB$76&lt;0,'01_INPUT_COMPANIES'!$AB$76&gt;1),OR('01_INPUT_COMPANIES'!$AC$76&lt;0,'01_INPUT_COMPANIES'!$AC$76&gt;50))," | REVIEW RANGE","")&amp;IF(COUNTIF('90_CALC_FEATURES'!$J$697:$J$706,"WINSORIZED*")&gt;0," | WINSORIZED","")&amp;IF(ABS('01_INPUT_COMPANIES'!$U$76-'01_INPUT_COMPANIES'!$V$76*'01_INPUT_COMPANIES'!$AB$76)&gt;MAX(0.005,0.05*MAX(ABS('01_INPUT_COMPANIES'!$V$76*'01_INPUT_COMPANIES'!$AB$76),ABS('01_INPUT_COMPANIES'!$U$76),0.000000000001))," | DEPENDENCY",""))))))))))))))))))))</x:f>
      </x:c>
      <x:c r="AC76" s="34" t="str">
        <x:f>IF(A76="","",IF(OR(LEFT(AB76,4)="PASS",LEFT(AB76,5)="READY"),"RESEARCH BETA | 저지원 22.22% | 기업 백분위 N/A", "결과 사용 금지 | "&amp;AB76))</x:f>
      </x:c>
      <x:c r="AD76" s="34" t="str">
        <x:f>IF(A76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$76,TRIM('01_INPUT_COMPANIES'!$D$76)),EXACT('01_INPUT_COMPANIES'!$E$76,TRIM('01_INPUT_COMPANIES'!$E$76)),EXACT('01_INPUT_COMPANIES'!$F$76,TRIM('01_INPUT_COMPANIES'!$F$76)),EXACT('01_INPUT_COMPANIES'!$G$76,TRIM('01_INPUT_COMPANIES'!$G$76)),EXACT('01_INPUT_COMPANIES'!$H$76,TRIM('01_INPUT_COMPANIES'!$H$76)))),"ERROR: COHORT WHITESPACE",IF(NOT(IFERROR(AND(ISTEXT('01_INPUT_COMPANIES'!$O$76),LEN('01_INPUT_COMPANIES'!$O$76)=10,VALUE(LEFT('01_INPUT_COMPANIES'!$O$76,4))&gt;=2000,VALUE(LEFT('01_INPUT_COMPANIES'!$O$76,4))&lt;=2100,EXACT(TEXT(DATE(VALUE(LEFT('01_INPUT_COMPANIES'!$O$76,4)),VALUE(MID('01_INPUT_COMPANIES'!$O$76,6,2)),VALUE(RIGHT('01_INPUT_COMPANIES'!$O$76,2))),"yyyy-mm-dd"),'01_INPUT_COMPANIES'!$O$76)),FALSE)),"ERROR: SOURCE DATE",IF(NOT(AND(OR(EXACT('01_INPUT_COMPANIES'!$C$76,"domestic"),EXACT('01_INPUT_COMPANIES'!$C$76,"foreign"),EXACT('01_INPUT_COMPANIES'!$C$76,"other")),OR(EXACT('01_INPUT_COMPANIES'!$K$76,"A"),EXACT('01_INPUT_COMPANIES'!$K$76,"B"),EXACT('01_INPUT_COMPANIES'!$K$76,"C"),EXACT('01_INPUT_COMPANIES'!$K$76,"SYNTHETIC")),OR(EXACT('01_INPUT_COMPANIES'!$L$76,"yes"),EXACT('01_INPUT_COMPANIES'!$L$76,"no")),OR(EXACT('01_INPUT_COMPANIES'!$M$76,"direct"),EXACT('01_INPUT_COMPANIES'!$M$76,"derived"),EXACT('01_INPUT_COMPANIES'!$M$76,"proxy"),EXACT('01_INPUT_COMPANIES'!$M$76,"mixed")),OR(EXACT('01_INPUT_COMPANIES'!$Q$76,"yes")),EXACT('01_INPUT_COMPANIES'!$I$76,UPPER('01_INPUT_COMPANIES'!$I$76)))),"ERROR: EXACT ENUM",IF(NOT(IFERROR(OR(AND(EXACT('92_REF_VARIABLES'!$A$21,'01_INPUT_COMPANIES'!$H$76),EXACT('92_REF_VARIABLES'!$B$21,'01_INPUT_COMPANIES'!$D$76),EXACT('92_REF_VARIABLES'!$C$21,'01_INPUT_COMPANIES'!$G$76))),FALSE)),"ERROR: BENCHMARK",""))))))</x:f>
      </x:c>
    </x:row>
    <x:row r="77">
      <x:c r="A77" s="34" t="str">
        <x:f>IF(OR('01_INPUT_COMPANIES'!$A$77="",'01_INPUT_COMPANIES'!$A$77=""),"",'01_INPUT_COMPANIES'!$A$77)</x:f>
      </x:c>
      <x:c r="B77" s="34" t="str">
        <x:f>IF(OR('01_INPUT_COMPANIES'!$A$77="",'01_INPUT_COMPANIES'!$B$77=""),"",'01_INPUT_COMPANIES'!$B$77)</x:f>
      </x:c>
      <x:c r="C77" s="34" t="str">
        <x:f>IF(OR('01_INPUT_COMPANIES'!$A$77="",'01_INPUT_COMPANIES'!$C$77=""),"",'01_INPUT_COMPANIES'!$C$77)</x:f>
      </x:c>
      <x:c r="D77" s="34" t="str">
        <x:f>IF(OR('01_INPUT_COMPANIES'!$A$77="",'01_INPUT_COMPANIES'!$D$77=""),"",'01_INPUT_COMPANIES'!$D$77)</x:f>
      </x:c>
      <x:c r="E77" s="34" t="str">
        <x:f>IF(OR('01_INPUT_COMPANIES'!$A$77="",'01_INPUT_COMPANIES'!$E$77=""),"",'01_INPUT_COMPANIES'!$E$77)</x:f>
      </x:c>
      <x:c r="F77" s="34" t="str">
        <x:f>IF(OR('01_INPUT_COMPANIES'!$A$77="",'01_INPUT_COMPANIES'!$F$77=""),"",'01_INPUT_COMPANIES'!$F$77)</x:f>
      </x:c>
      <x:c r="G77" s="34" t="str">
        <x:f>IF(OR('01_INPUT_COMPANIES'!$A$77="",'01_INPUT_COMPANIES'!$G$77=""),"",'01_INPUT_COMPANIES'!$G$77)</x:f>
      </x:c>
      <x:c r="H77" s="34" t="str">
        <x:f>IF(OR('01_INPUT_COMPANIES'!$A$77="",'01_INPUT_COMPANIES'!$H$77=""),"",'01_INPUT_COMPANIES'!$H$77)</x:f>
      </x:c>
      <x:c r="I77" s="34" t="str">
        <x:f>IF(OR('01_INPUT_COMPANIES'!$A$77="",'01_INPUT_COMPANIES'!$K$77=""),"",'01_INPUT_COMPANIES'!$K$77)</x:f>
      </x:c>
      <x:c r="J77" s="34" t="str">
        <x:f>IF(OR('01_INPUT_COMPANIES'!$A$77="",'01_INPUT_COMPANIES'!$M$77=""),"",'01_INPUT_COMPANIES'!$M$77)</x:f>
      </x:c>
      <x:c r="K77" s="34" t="str">
        <x:f>IF(OR(A77="",COUNTBLANK(D77:H77)&gt;0),"",LEN(D77)&amp;":"&amp;D77&amp;LEN(E77)&amp;":"&amp;E77&amp;LEN(F77)&amp;":"&amp;F77&amp;LEN(G77)&amp;":"&amp;G77&amp;LEN(H77)&amp;":"&amp;H77)</x:f>
      </x:c>
      <x:c r="L77" s="47" t="str">
        <x:f>IF(A77="","",'90_CALC_FEATURES'!$I$707)</x:f>
      </x:c>
      <x:c r="M77" s="47" t="str">
        <x:f>IF(A77="","",'90_CALC_FEATURES'!$I$708)</x:f>
      </x:c>
      <x:c r="N77" s="47" t="str">
        <x:f>IF(A77="","",'90_CALC_FEATURES'!$I$709)</x:f>
      </x:c>
      <x:c r="O77" s="47" t="str">
        <x:f>IF(A77="","",'90_CALC_FEATURES'!$I$710)</x:f>
      </x:c>
      <x:c r="P77" s="47" t="str">
        <x:f>IF(A77="","",'90_CALC_FEATURES'!$I$711)</x:f>
      </x:c>
      <x:c r="Q77" s="47" t="str">
        <x:f>IF(A77="","",'90_CALC_FEATURES'!$I$712)</x:f>
      </x:c>
      <x:c r="R77" s="47" t="str">
        <x:f>IF(A77="","",'90_CALC_FEATURES'!$I$713)</x:f>
      </x:c>
      <x:c r="S77" s="47" t="str">
        <x:f>IF(A77="","",'90_CALC_FEATURES'!$I$714)</x:f>
      </x:c>
      <x:c r="T77" s="47" t="str">
        <x:f>IF(A77="","",'90_CALC_FEATURES'!$I$715)</x:f>
      </x:c>
      <x:c r="U77" s="47" t="str">
        <x:f>IF(A77="","",'90_CALC_FEATURES'!$I$716)</x:f>
      </x:c>
      <x:c r="V77" s="47" t="str">
        <x:f>IF(COUNT(L77:N77)=3,100*AVERAGE(L77:N77),"")</x:f>
      </x:c>
      <x:c r="W77" s="47" t="str">
        <x:f>IF(COUNT(O77:R77)=4,100*AVERAGE(O77:R77),"")</x:f>
      </x:c>
      <x:c r="X77" s="47" t="str">
        <x:f>IF(COUNT(S77:U77)=3,100*AVERAGE(S77:U77),"")</x:f>
      </x:c>
      <x:c r="Y77" s="47" t="str">
        <x:f>IF(COUNT(V77:X77)=3,AVERAGE(V77:X77),"")</x:f>
      </x:c>
      <x:c r="Z77" s="47" t="str">
        <x:f>IF(OR(AND(EXACT(A77,"SYN-A"),COUNT('01_INPUT_COMPANIES'!$T$77:$AC$77)=10,'01_INPUT_COMPANIES'!$T$77=-0.02,'01_INPUT_COMPANIES'!$U$77=0.1332,'01_INPUT_COMPANIES'!$V$77=0.18,'01_INPUT_COMPANIES'!$W$77=0.42,'01_INPUT_COMPANIES'!$X$77=0.012,'01_INPUT_COMPANIES'!$Y$77=3.2,'01_INPUT_COMPANIES'!$Z$77=0.08,'01_INPUT_COMPANIES'!$AA$77=0.28,'01_INPUT_COMPANIES'!$AB$77=0.74,'01_INPUT_COMPANIES'!$AC$77=8.5),AND(EXACT(A77,"SYN-B"),COUNT('01_INPUT_COMPANIES'!$T$77:$AC$77)=10,'01_INPUT_COMPANIES'!$T$77=-0.055,'01_INPUT_COMPANIES'!$U$77=0.06405,'01_INPUT_COMPANIES'!$V$77=0.105,'01_INPUT_COMPANIES'!$W$77=0.73,'01_INPUT_COMPANIES'!$X$77=0.004,'01_INPUT_COMPANIES'!$Y$77=4.1,'01_INPUT_COMPANIES'!$Z$77=0.025,'01_INPUT_COMPANIES'!$AA$77=0.16,'01_INPUT_COMPANIES'!$AB$77=0.61,'01_INPUT_COMPANIES'!$AC$77=4),AND(EXACT(A77,"SYN-C"),COUNT('01_INPUT_COMPANIES'!$T$77:$AC$77)=10,'01_INPUT_COMPANIES'!$T$77=0.01,'01_INPUT_COMPANIES'!$U$77=0.0986,'01_INPUT_COMPANIES'!$V$77=0.145,'01_INPUT_COMPANIES'!$W$77=0.18,'01_INPUT_COMPANIES'!$X$77=0.018,'01_INPUT_COMPANIES'!$Y$77=2.65,'01_INPUT_COMPANIES'!$Z$77=0.11,'01_INPUT_COMPANIES'!$AA$77=0.34,'01_INPUT_COMPANIES'!$AB$77=0.68,'01_INPUT_COMPANIES'!$AC$77=6.8),AND(EXACT(A77,"SYN-D"),COUNT('01_INPUT_COMPANIES'!$T$77:$AC$77)=10,'01_INPUT_COMPANIES'!$T$77=-0.005,'01_INPUT_COMPANIES'!$U$77=0.1136,'01_INPUT_COMPANIES'!$V$77=0.16,'01_INPUT_COMPANIES'!$W$77=0.51,'01_INPUT_COMPANIES'!$X$77=0.009,'01_INPUT_COMPANIES'!$Y$77=3.55,'01_INPUT_COMPANIES'!$Z$77=0.065,'01_INPUT_COMPANIES'!$AA$77=0.24,'01_INPUT_COMPANIES'!$AB$77=0.71,'01_INPUT_COMPANIES'!$AC$77=7.4)),IFERROR(INDEX('94_EXPECTED_OUTPUTS'!$B$7:$B$10,MATCH(A77,'94_EXPECTED_OUTPUTS'!$A$7:$A$10,0)),""),"")</x:f>
      </x:c>
      <x:c r="AA77" s="47" t="str">
        <x:f>IF(OR(COUNT(Y77)=0,COUNT(Z77)=0),"",ABS(Y77-Z77))</x:f>
      </x:c>
      <x:c r="AB77" s="34" t="str">
        <x:f>IF(A77="","",IF(AD77&lt;&gt;"",AD77,IF('01_INPUT_COMPANIES'!$A$77="","",IF(OR(LEN(TRIM('01_INPUT_COMPANIES'!$A$77&amp;""))=0,LEN(TRIM('01_INPUT_COMPANIES'!$B$77&amp;""))=0,LEN(TRIM('01_INPUT_COMPANIES'!$C$77&amp;""))=0,LEN(TRIM('01_INPUT_COMPANIES'!$D$77&amp;""))=0,LEN(TRIM('01_INPUT_COMPANIES'!$E$77&amp;""))=0,LEN(TRIM('01_INPUT_COMPANIES'!$F$77&amp;""))=0,LEN(TRIM('01_INPUT_COMPANIES'!$G$77&amp;""))=0,LEN(TRIM('01_INPUT_COMPANIES'!$H$77&amp;""))=0,LEN(TRIM('01_INPUT_COMPANIES'!$I$77&amp;""))=0,LEN(TRIM('01_INPUT_COMPANIES'!$K$77&amp;""))=0,LEN(TRIM('01_INPUT_COMPANIES'!$L$77&amp;""))=0,LEN(TRIM('01_INPUT_COMPANIES'!$M$77&amp;""))=0,LEN(TRIM('01_INPUT_COMPANIES'!$N$77&amp;""))=0,LEN(TRIM('01_INPUT_COMPANIES'!$O$77&amp;""))=0,LEN(TRIM('01_INPUT_COMPANIES'!$Q$77&amp;""))=0,COUNTBLANK('01_INPUT_COMPANIES'!$A$77:$R$77)&gt;0),"INPUT REQUIRED",IF(OR('01_INPUT_COMPANIES'!$A$77&lt;&gt;TRIM('01_INPUT_COMPANIES'!$A$77),NOT(EXACT('01_INPUT_COMPANIES'!$A$77,UPPER('01_INPUT_COMPANIES'!$A$77))),LEN('01_INPUT_COMPANIES'!$A$77)&gt;64,ISNUMBER(FIND("*",'01_INPUT_COMPANIES'!$A$77)),ISNUMBER(FIND("?",'01_INPUT_COMPANIES'!$A$77)),ISNUMBER(FIND("~",'01_INPUT_COMPANIES'!$A$77))),"ERROR: ID FORMAT",IF(COUNTIF('01_INPUT_COMPANIES'!$A$7:$A$106,'01_INPUT_COMPANIES'!$A$77)&lt;&gt;1,"ERROR: DUPLICATE ID",IF(COUNT('01_INPUT_COMPANIES'!$T$77:$AC$77)&lt;&gt;10,"INPUT REQUIRED",IF(NOT(OR('01_INPUT_COMPANIES'!$C$77="domestic",'01_INPUT_COMPANIES'!$C$77="foreign",'01_INPUT_COMPANIES'!$C$77="other")),"ERROR: COMPANY GROUP",IF(OR(LEN('01_INPUT_COMPANIES'!$G$77)&lt;&gt;6,MID('01_INPUT_COMPANIES'!$G$77,5,1)&lt;&gt;"Q",IFERROR(VALUE(LEFT('01_INPUT_COMPANIES'!$G$77,4)),0)&lt;2000,IFERROR(VALUE(LEFT('01_INPUT_COMPANIES'!$G$77,4)),0)&gt;2100,IFERROR(VALUE(RIGHT('01_INPUT_COMPANIES'!$G$77,1)),0)&lt;1,IFERROR(VALUE(RIGHT('01_INPUT_COMPANIES'!$G$77,1)),0)&gt;4),"ERROR: REPORTING PERIOD",IF(OR(COUNTIFS('92_REF_VARIABLES'!$A$21:$A$21,'01_INPUT_COMPANIES'!$H$77,'92_REF_VARIABLES'!$B$21:$B$21,'01_INPUT_COMPANIES'!$D$77,'92_REF_VARIABLES'!$C$21:$C$21,'01_INPUT_COMPANIES'!$G$77)&lt;&gt;1,AND(IFERROR(INDEX('92_REF_VARIABLES'!$I$21:$I$21,MATCH('01_INPUT_COMPANIES'!$H$77,'92_REF_VARIABLES'!$A$21:$A$21,0)),"")="synthetic_only",'01_INPUT_COMPANIES'!$L$77&lt;&gt;"yes")),"ERROR: BENCHMARK",IF(COUNTIF('92_REF_VARIABLES'!$L$21:$L$50,'01_INPUT_COMPANIES'!$I$77)&lt;&gt;1,"ERROR: CURRENCY",IF(OR(NOT(ISNUMBER('01_INPUT_COMPANIES'!$J$77)),'01_INPUT_COMPANIES'!$J$77&lt;&gt;INT('01_INPUT_COMPANIES'!$J$77),'01_INPUT_COMPANIES'!$J$77&lt;2000,'01_INPUT_COMPANIES'!$J$77&gt;2100),"ERROR: PRICE YEAR",IF(NOT(OR('01_INPUT_COMPANIES'!$K$77="A",'01_INPUT_COMPANIES'!$K$77="B",'01_INPUT_COMPANIES'!$K$77="C",'01_INPUT_COMPANIES'!$K$77="SYNTHETIC")),"ERROR: QUALITY",IF(NOT(OR(AND('01_INPUT_COMPANIES'!$L$77="yes",'01_INPUT_COMPANIES'!$K$77="SYNTHETIC"),AND('01_INPUT_COMPANIES'!$L$77="no",'01_INPUT_COMPANIES'!$K$77&lt;&gt;"SYNTHETIC"))),"ERROR: SYNTHETIC FLAG",IF(NOT(OR('01_INPUT_COMPANIES'!$M$77="direct",'01_INPUT_COMPANIES'!$M$77="derived",'01_INPUT_COMPANIES'!$M$77="proxy",'01_INPUT_COMPANIES'!$M$77="mixed")),"ERROR: CONSTRUCTION MODE",IF(OR(NOT(ISNUMBER('01_INPUT_COMPANIES'!$P$77)),'01_INPUT_COMPANIES'!$P$77&lt;0,'01_INPUT_COMPANIES'!$P$77&lt;&gt;INT('01_INPUT_COMPANIES'!$P$77)),"ERROR: CARRY LAG",IF('01_INPUT_COMPANIES'!$Q$77&lt;&gt;"yes","ERROR: EXPOSURE ADJUSTMENT",IF(OR(NOT(ISNUMBER('01_INPUT_COMPANIES'!$R$77)),'01_INPUT_COMPANIES'!$R$77&lt;0,'01_INPUT_COMPANIES'!$R$77&gt;1),"ERROR: EXPOSURE FACTOR",IF(COUNT(Y77)=0,"ERROR: SCORE",IF(COUNT(Z77)=0,"READY",IF(AA77&lt;=0.0000000001,"PASS","CHECK"))&amp;IF('01_INPUT_COMPANIES'!$K$77="C"," | C QUALITY","")&amp;IF(OR('01_INPUT_COMPANIES'!$M$77="proxy",'01_INPUT_COMPANIES'!$M$77="mixed")," | PROXY/MIXED","")&amp;IF('01_INPUT_COMPANIES'!$P$77&gt;1," | CARRY&gt;1","")&amp;IF(OR(OR('01_INPUT_COMPANIES'!$T$77&lt;-1,'01_INPUT_COMPANIES'!$T$77&gt;1),OR('01_INPUT_COMPANIES'!$U$77&lt;0,'01_INPUT_COMPANIES'!$U$77&gt;1),OR('01_INPUT_COMPANIES'!$V$77&lt;0,'01_INPUT_COMPANIES'!$V$77&gt;1),OR('01_INPUT_COMPANIES'!$W$77&lt;-10,'01_INPUT_COMPANIES'!$W$77&gt;10),OR('01_INPUT_COMPANIES'!$X$77&lt;-1,'01_INPUT_COMPANIES'!$X$77&gt;1),OR('01_INPUT_COMPANIES'!$Y$77&lt;0,'01_INPUT_COMPANIES'!$Y$77&gt;20),OR('01_INPUT_COMPANIES'!$Z$77&lt;-2,'01_INPUT_COMPANIES'!$Z$77&gt;2),OR('01_INPUT_COMPANIES'!$AA$77&lt;0,'01_INPUT_COMPANIES'!$AA$77&gt;1),OR('01_INPUT_COMPANIES'!$AB$77&lt;0,'01_INPUT_COMPANIES'!$AB$77&gt;1),OR('01_INPUT_COMPANIES'!$AC$77&lt;0,'01_INPUT_COMPANIES'!$AC$77&gt;50))," | REVIEW RANGE","")&amp;IF(COUNTIF('90_CALC_FEATURES'!$J$707:$J$716,"WINSORIZED*")&gt;0," | WINSORIZED","")&amp;IF(ABS('01_INPUT_COMPANIES'!$U$77-'01_INPUT_COMPANIES'!$V$77*'01_INPUT_COMPANIES'!$AB$77)&gt;MAX(0.005,0.05*MAX(ABS('01_INPUT_COMPANIES'!$V$77*'01_INPUT_COMPANIES'!$AB$77),ABS('01_INPUT_COMPANIES'!$U$77),0.000000000001))," | DEPENDENCY",""))))))))))))))))))))</x:f>
      </x:c>
      <x:c r="AC77" s="34" t="str">
        <x:f>IF(A77="","",IF(OR(LEFT(AB77,4)="PASS",LEFT(AB77,5)="READY"),"RESEARCH BETA | 저지원 22.22% | 기업 백분위 N/A", "결과 사용 금지 | "&amp;AB77))</x:f>
      </x:c>
      <x:c r="AD77" s="34" t="str">
        <x:f>IF(A77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$77,TRIM('01_INPUT_COMPANIES'!$D$77)),EXACT('01_INPUT_COMPANIES'!$E$77,TRIM('01_INPUT_COMPANIES'!$E$77)),EXACT('01_INPUT_COMPANIES'!$F$77,TRIM('01_INPUT_COMPANIES'!$F$77)),EXACT('01_INPUT_COMPANIES'!$G$77,TRIM('01_INPUT_COMPANIES'!$G$77)),EXACT('01_INPUT_COMPANIES'!$H$77,TRIM('01_INPUT_COMPANIES'!$H$77)))),"ERROR: COHORT WHITESPACE",IF(NOT(IFERROR(AND(ISTEXT('01_INPUT_COMPANIES'!$O$77),LEN('01_INPUT_COMPANIES'!$O$77)=10,VALUE(LEFT('01_INPUT_COMPANIES'!$O$77,4))&gt;=2000,VALUE(LEFT('01_INPUT_COMPANIES'!$O$77,4))&lt;=2100,EXACT(TEXT(DATE(VALUE(LEFT('01_INPUT_COMPANIES'!$O$77,4)),VALUE(MID('01_INPUT_COMPANIES'!$O$77,6,2)),VALUE(RIGHT('01_INPUT_COMPANIES'!$O$77,2))),"yyyy-mm-dd"),'01_INPUT_COMPANIES'!$O$77)),FALSE)),"ERROR: SOURCE DATE",IF(NOT(AND(OR(EXACT('01_INPUT_COMPANIES'!$C$77,"domestic"),EXACT('01_INPUT_COMPANIES'!$C$77,"foreign"),EXACT('01_INPUT_COMPANIES'!$C$77,"other")),OR(EXACT('01_INPUT_COMPANIES'!$K$77,"A"),EXACT('01_INPUT_COMPANIES'!$K$77,"B"),EXACT('01_INPUT_COMPANIES'!$K$77,"C"),EXACT('01_INPUT_COMPANIES'!$K$77,"SYNTHETIC")),OR(EXACT('01_INPUT_COMPANIES'!$L$77,"yes"),EXACT('01_INPUT_COMPANIES'!$L$77,"no")),OR(EXACT('01_INPUT_COMPANIES'!$M$77,"direct"),EXACT('01_INPUT_COMPANIES'!$M$77,"derived"),EXACT('01_INPUT_COMPANIES'!$M$77,"proxy"),EXACT('01_INPUT_COMPANIES'!$M$77,"mixed")),OR(EXACT('01_INPUT_COMPANIES'!$Q$77,"yes")),EXACT('01_INPUT_COMPANIES'!$I$77,UPPER('01_INPUT_COMPANIES'!$I$77)))),"ERROR: EXACT ENUM",IF(NOT(IFERROR(OR(AND(EXACT('92_REF_VARIABLES'!$A$21,'01_INPUT_COMPANIES'!$H$77),EXACT('92_REF_VARIABLES'!$B$21,'01_INPUT_COMPANIES'!$D$77),EXACT('92_REF_VARIABLES'!$C$21,'01_INPUT_COMPANIES'!$G$77))),FALSE)),"ERROR: BENCHMARK",""))))))</x:f>
      </x:c>
    </x:row>
    <x:row r="78">
      <x:c r="A78" s="34" t="str">
        <x:f>IF(OR('01_INPUT_COMPANIES'!$A$78="",'01_INPUT_COMPANIES'!$A$78=""),"",'01_INPUT_COMPANIES'!$A$78)</x:f>
      </x:c>
      <x:c r="B78" s="34" t="str">
        <x:f>IF(OR('01_INPUT_COMPANIES'!$A$78="",'01_INPUT_COMPANIES'!$B$78=""),"",'01_INPUT_COMPANIES'!$B$78)</x:f>
      </x:c>
      <x:c r="C78" s="34" t="str">
        <x:f>IF(OR('01_INPUT_COMPANIES'!$A$78="",'01_INPUT_COMPANIES'!$C$78=""),"",'01_INPUT_COMPANIES'!$C$78)</x:f>
      </x:c>
      <x:c r="D78" s="34" t="str">
        <x:f>IF(OR('01_INPUT_COMPANIES'!$A$78="",'01_INPUT_COMPANIES'!$D$78=""),"",'01_INPUT_COMPANIES'!$D$78)</x:f>
      </x:c>
      <x:c r="E78" s="34" t="str">
        <x:f>IF(OR('01_INPUT_COMPANIES'!$A$78="",'01_INPUT_COMPANIES'!$E$78=""),"",'01_INPUT_COMPANIES'!$E$78)</x:f>
      </x:c>
      <x:c r="F78" s="34" t="str">
        <x:f>IF(OR('01_INPUT_COMPANIES'!$A$78="",'01_INPUT_COMPANIES'!$F$78=""),"",'01_INPUT_COMPANIES'!$F$78)</x:f>
      </x:c>
      <x:c r="G78" s="34" t="str">
        <x:f>IF(OR('01_INPUT_COMPANIES'!$A$78="",'01_INPUT_COMPANIES'!$G$78=""),"",'01_INPUT_COMPANIES'!$G$78)</x:f>
      </x:c>
      <x:c r="H78" s="34" t="str">
        <x:f>IF(OR('01_INPUT_COMPANIES'!$A$78="",'01_INPUT_COMPANIES'!$H$78=""),"",'01_INPUT_COMPANIES'!$H$78)</x:f>
      </x:c>
      <x:c r="I78" s="34" t="str">
        <x:f>IF(OR('01_INPUT_COMPANIES'!$A$78="",'01_INPUT_COMPANIES'!$K$78=""),"",'01_INPUT_COMPANIES'!$K$78)</x:f>
      </x:c>
      <x:c r="J78" s="34" t="str">
        <x:f>IF(OR('01_INPUT_COMPANIES'!$A$78="",'01_INPUT_COMPANIES'!$M$78=""),"",'01_INPUT_COMPANIES'!$M$78)</x:f>
      </x:c>
      <x:c r="K78" s="34" t="str">
        <x:f>IF(OR(A78="",COUNTBLANK(D78:H78)&gt;0),"",LEN(D78)&amp;":"&amp;D78&amp;LEN(E78)&amp;":"&amp;E78&amp;LEN(F78)&amp;":"&amp;F78&amp;LEN(G78)&amp;":"&amp;G78&amp;LEN(H78)&amp;":"&amp;H78)</x:f>
      </x:c>
      <x:c r="L78" s="47" t="str">
        <x:f>IF(A78="","",'90_CALC_FEATURES'!$I$717)</x:f>
      </x:c>
      <x:c r="M78" s="47" t="str">
        <x:f>IF(A78="","",'90_CALC_FEATURES'!$I$718)</x:f>
      </x:c>
      <x:c r="N78" s="47" t="str">
        <x:f>IF(A78="","",'90_CALC_FEATURES'!$I$719)</x:f>
      </x:c>
      <x:c r="O78" s="47" t="str">
        <x:f>IF(A78="","",'90_CALC_FEATURES'!$I$720)</x:f>
      </x:c>
      <x:c r="P78" s="47" t="str">
        <x:f>IF(A78="","",'90_CALC_FEATURES'!$I$721)</x:f>
      </x:c>
      <x:c r="Q78" s="47" t="str">
        <x:f>IF(A78="","",'90_CALC_FEATURES'!$I$722)</x:f>
      </x:c>
      <x:c r="R78" s="47" t="str">
        <x:f>IF(A78="","",'90_CALC_FEATURES'!$I$723)</x:f>
      </x:c>
      <x:c r="S78" s="47" t="str">
        <x:f>IF(A78="","",'90_CALC_FEATURES'!$I$724)</x:f>
      </x:c>
      <x:c r="T78" s="47" t="str">
        <x:f>IF(A78="","",'90_CALC_FEATURES'!$I$725)</x:f>
      </x:c>
      <x:c r="U78" s="47" t="str">
        <x:f>IF(A78="","",'90_CALC_FEATURES'!$I$726)</x:f>
      </x:c>
      <x:c r="V78" s="47" t="str">
        <x:f>IF(COUNT(L78:N78)=3,100*AVERAGE(L78:N78),"")</x:f>
      </x:c>
      <x:c r="W78" s="47" t="str">
        <x:f>IF(COUNT(O78:R78)=4,100*AVERAGE(O78:R78),"")</x:f>
      </x:c>
      <x:c r="X78" s="47" t="str">
        <x:f>IF(COUNT(S78:U78)=3,100*AVERAGE(S78:U78),"")</x:f>
      </x:c>
      <x:c r="Y78" s="47" t="str">
        <x:f>IF(COUNT(V78:X78)=3,AVERAGE(V78:X78),"")</x:f>
      </x:c>
      <x:c r="Z78" s="47" t="str">
        <x:f>IF(OR(AND(EXACT(A78,"SYN-A"),COUNT('01_INPUT_COMPANIES'!$T$78:$AC$78)=10,'01_INPUT_COMPANIES'!$T$78=-0.02,'01_INPUT_COMPANIES'!$U$78=0.1332,'01_INPUT_COMPANIES'!$V$78=0.18,'01_INPUT_COMPANIES'!$W$78=0.42,'01_INPUT_COMPANIES'!$X$78=0.012,'01_INPUT_COMPANIES'!$Y$78=3.2,'01_INPUT_COMPANIES'!$Z$78=0.08,'01_INPUT_COMPANIES'!$AA$78=0.28,'01_INPUT_COMPANIES'!$AB$78=0.74,'01_INPUT_COMPANIES'!$AC$78=8.5),AND(EXACT(A78,"SYN-B"),COUNT('01_INPUT_COMPANIES'!$T$78:$AC$78)=10,'01_INPUT_COMPANIES'!$T$78=-0.055,'01_INPUT_COMPANIES'!$U$78=0.06405,'01_INPUT_COMPANIES'!$V$78=0.105,'01_INPUT_COMPANIES'!$W$78=0.73,'01_INPUT_COMPANIES'!$X$78=0.004,'01_INPUT_COMPANIES'!$Y$78=4.1,'01_INPUT_COMPANIES'!$Z$78=0.025,'01_INPUT_COMPANIES'!$AA$78=0.16,'01_INPUT_COMPANIES'!$AB$78=0.61,'01_INPUT_COMPANIES'!$AC$78=4),AND(EXACT(A78,"SYN-C"),COUNT('01_INPUT_COMPANIES'!$T$78:$AC$78)=10,'01_INPUT_COMPANIES'!$T$78=0.01,'01_INPUT_COMPANIES'!$U$78=0.0986,'01_INPUT_COMPANIES'!$V$78=0.145,'01_INPUT_COMPANIES'!$W$78=0.18,'01_INPUT_COMPANIES'!$X$78=0.018,'01_INPUT_COMPANIES'!$Y$78=2.65,'01_INPUT_COMPANIES'!$Z$78=0.11,'01_INPUT_COMPANIES'!$AA$78=0.34,'01_INPUT_COMPANIES'!$AB$78=0.68,'01_INPUT_COMPANIES'!$AC$78=6.8),AND(EXACT(A78,"SYN-D"),COUNT('01_INPUT_COMPANIES'!$T$78:$AC$78)=10,'01_INPUT_COMPANIES'!$T$78=-0.005,'01_INPUT_COMPANIES'!$U$78=0.1136,'01_INPUT_COMPANIES'!$V$78=0.16,'01_INPUT_COMPANIES'!$W$78=0.51,'01_INPUT_COMPANIES'!$X$78=0.009,'01_INPUT_COMPANIES'!$Y$78=3.55,'01_INPUT_COMPANIES'!$Z$78=0.065,'01_INPUT_COMPANIES'!$AA$78=0.24,'01_INPUT_COMPANIES'!$AB$78=0.71,'01_INPUT_COMPANIES'!$AC$78=7.4)),IFERROR(INDEX('94_EXPECTED_OUTPUTS'!$B$7:$B$10,MATCH(A78,'94_EXPECTED_OUTPUTS'!$A$7:$A$10,0)),""),"")</x:f>
      </x:c>
      <x:c r="AA78" s="47" t="str">
        <x:f>IF(OR(COUNT(Y78)=0,COUNT(Z78)=0),"",ABS(Y78-Z78))</x:f>
      </x:c>
      <x:c r="AB78" s="34" t="str">
        <x:f>IF(A78="","",IF(AD78&lt;&gt;"",AD78,IF('01_INPUT_COMPANIES'!$A$78="","",IF(OR(LEN(TRIM('01_INPUT_COMPANIES'!$A$78&amp;""))=0,LEN(TRIM('01_INPUT_COMPANIES'!$B$78&amp;""))=0,LEN(TRIM('01_INPUT_COMPANIES'!$C$78&amp;""))=0,LEN(TRIM('01_INPUT_COMPANIES'!$D$78&amp;""))=0,LEN(TRIM('01_INPUT_COMPANIES'!$E$78&amp;""))=0,LEN(TRIM('01_INPUT_COMPANIES'!$F$78&amp;""))=0,LEN(TRIM('01_INPUT_COMPANIES'!$G$78&amp;""))=0,LEN(TRIM('01_INPUT_COMPANIES'!$H$78&amp;""))=0,LEN(TRIM('01_INPUT_COMPANIES'!$I$78&amp;""))=0,LEN(TRIM('01_INPUT_COMPANIES'!$K$78&amp;""))=0,LEN(TRIM('01_INPUT_COMPANIES'!$L$78&amp;""))=0,LEN(TRIM('01_INPUT_COMPANIES'!$M$78&amp;""))=0,LEN(TRIM('01_INPUT_COMPANIES'!$N$78&amp;""))=0,LEN(TRIM('01_INPUT_COMPANIES'!$O$78&amp;""))=0,LEN(TRIM('01_INPUT_COMPANIES'!$Q$78&amp;""))=0,COUNTBLANK('01_INPUT_COMPANIES'!$A$78:$R$78)&gt;0),"INPUT REQUIRED",IF(OR('01_INPUT_COMPANIES'!$A$78&lt;&gt;TRIM('01_INPUT_COMPANIES'!$A$78),NOT(EXACT('01_INPUT_COMPANIES'!$A$78,UPPER('01_INPUT_COMPANIES'!$A$78))),LEN('01_INPUT_COMPANIES'!$A$78)&gt;64,ISNUMBER(FIND("*",'01_INPUT_COMPANIES'!$A$78)),ISNUMBER(FIND("?",'01_INPUT_COMPANIES'!$A$78)),ISNUMBER(FIND("~",'01_INPUT_COMPANIES'!$A$78))),"ERROR: ID FORMAT",IF(COUNTIF('01_INPUT_COMPANIES'!$A$7:$A$106,'01_INPUT_COMPANIES'!$A$78)&lt;&gt;1,"ERROR: DUPLICATE ID",IF(COUNT('01_INPUT_COMPANIES'!$T$78:$AC$78)&lt;&gt;10,"INPUT REQUIRED",IF(NOT(OR('01_INPUT_COMPANIES'!$C$78="domestic",'01_INPUT_COMPANIES'!$C$78="foreign",'01_INPUT_COMPANIES'!$C$78="other")),"ERROR: COMPANY GROUP",IF(OR(LEN('01_INPUT_COMPANIES'!$G$78)&lt;&gt;6,MID('01_INPUT_COMPANIES'!$G$78,5,1)&lt;&gt;"Q",IFERROR(VALUE(LEFT('01_INPUT_COMPANIES'!$G$78,4)),0)&lt;2000,IFERROR(VALUE(LEFT('01_INPUT_COMPANIES'!$G$78,4)),0)&gt;2100,IFERROR(VALUE(RIGHT('01_INPUT_COMPANIES'!$G$78,1)),0)&lt;1,IFERROR(VALUE(RIGHT('01_INPUT_COMPANIES'!$G$78,1)),0)&gt;4),"ERROR: REPORTING PERIOD",IF(OR(COUNTIFS('92_REF_VARIABLES'!$A$21:$A$21,'01_INPUT_COMPANIES'!$H$78,'92_REF_VARIABLES'!$B$21:$B$21,'01_INPUT_COMPANIES'!$D$78,'92_REF_VARIABLES'!$C$21:$C$21,'01_INPUT_COMPANIES'!$G$78)&lt;&gt;1,AND(IFERROR(INDEX('92_REF_VARIABLES'!$I$21:$I$21,MATCH('01_INPUT_COMPANIES'!$H$78,'92_REF_VARIABLES'!$A$21:$A$21,0)),"")="synthetic_only",'01_INPUT_COMPANIES'!$L$78&lt;&gt;"yes")),"ERROR: BENCHMARK",IF(COUNTIF('92_REF_VARIABLES'!$L$21:$L$50,'01_INPUT_COMPANIES'!$I$78)&lt;&gt;1,"ERROR: CURRENCY",IF(OR(NOT(ISNUMBER('01_INPUT_COMPANIES'!$J$78)),'01_INPUT_COMPANIES'!$J$78&lt;&gt;INT('01_INPUT_COMPANIES'!$J$78),'01_INPUT_COMPANIES'!$J$78&lt;2000,'01_INPUT_COMPANIES'!$J$78&gt;2100),"ERROR: PRICE YEAR",IF(NOT(OR('01_INPUT_COMPANIES'!$K$78="A",'01_INPUT_COMPANIES'!$K$78="B",'01_INPUT_COMPANIES'!$K$78="C",'01_INPUT_COMPANIES'!$K$78="SYNTHETIC")),"ERROR: QUALITY",IF(NOT(OR(AND('01_INPUT_COMPANIES'!$L$78="yes",'01_INPUT_COMPANIES'!$K$78="SYNTHETIC"),AND('01_INPUT_COMPANIES'!$L$78="no",'01_INPUT_COMPANIES'!$K$78&lt;&gt;"SYNTHETIC"))),"ERROR: SYNTHETIC FLAG",IF(NOT(OR('01_INPUT_COMPANIES'!$M$78="direct",'01_INPUT_COMPANIES'!$M$78="derived",'01_INPUT_COMPANIES'!$M$78="proxy",'01_INPUT_COMPANIES'!$M$78="mixed")),"ERROR: CONSTRUCTION MODE",IF(OR(NOT(ISNUMBER('01_INPUT_COMPANIES'!$P$78)),'01_INPUT_COMPANIES'!$P$78&lt;0,'01_INPUT_COMPANIES'!$P$78&lt;&gt;INT('01_INPUT_COMPANIES'!$P$78)),"ERROR: CARRY LAG",IF('01_INPUT_COMPANIES'!$Q$78&lt;&gt;"yes","ERROR: EXPOSURE ADJUSTMENT",IF(OR(NOT(ISNUMBER('01_INPUT_COMPANIES'!$R$78)),'01_INPUT_COMPANIES'!$R$78&lt;0,'01_INPUT_COMPANIES'!$R$78&gt;1),"ERROR: EXPOSURE FACTOR",IF(COUNT(Y78)=0,"ERROR: SCORE",IF(COUNT(Z78)=0,"READY",IF(AA78&lt;=0.0000000001,"PASS","CHECK"))&amp;IF('01_INPUT_COMPANIES'!$K$78="C"," | C QUALITY","")&amp;IF(OR('01_INPUT_COMPANIES'!$M$78="proxy",'01_INPUT_COMPANIES'!$M$78="mixed")," | PROXY/MIXED","")&amp;IF('01_INPUT_COMPANIES'!$P$78&gt;1," | CARRY&gt;1","")&amp;IF(OR(OR('01_INPUT_COMPANIES'!$T$78&lt;-1,'01_INPUT_COMPANIES'!$T$78&gt;1),OR('01_INPUT_COMPANIES'!$U$78&lt;0,'01_INPUT_COMPANIES'!$U$78&gt;1),OR('01_INPUT_COMPANIES'!$V$78&lt;0,'01_INPUT_COMPANIES'!$V$78&gt;1),OR('01_INPUT_COMPANIES'!$W$78&lt;-10,'01_INPUT_COMPANIES'!$W$78&gt;10),OR('01_INPUT_COMPANIES'!$X$78&lt;-1,'01_INPUT_COMPANIES'!$X$78&gt;1),OR('01_INPUT_COMPANIES'!$Y$78&lt;0,'01_INPUT_COMPANIES'!$Y$78&gt;20),OR('01_INPUT_COMPANIES'!$Z$78&lt;-2,'01_INPUT_COMPANIES'!$Z$78&gt;2),OR('01_INPUT_COMPANIES'!$AA$78&lt;0,'01_INPUT_COMPANIES'!$AA$78&gt;1),OR('01_INPUT_COMPANIES'!$AB$78&lt;0,'01_INPUT_COMPANIES'!$AB$78&gt;1),OR('01_INPUT_COMPANIES'!$AC$78&lt;0,'01_INPUT_COMPANIES'!$AC$78&gt;50))," | REVIEW RANGE","")&amp;IF(COUNTIF('90_CALC_FEATURES'!$J$717:$J$726,"WINSORIZED*")&gt;0," | WINSORIZED","")&amp;IF(ABS('01_INPUT_COMPANIES'!$U$78-'01_INPUT_COMPANIES'!$V$78*'01_INPUT_COMPANIES'!$AB$78)&gt;MAX(0.005,0.05*MAX(ABS('01_INPUT_COMPANIES'!$V$78*'01_INPUT_COMPANIES'!$AB$78),ABS('01_INPUT_COMPANIES'!$U$78),0.000000000001))," | DEPENDENCY",""))))))))))))))))))))</x:f>
      </x:c>
      <x:c r="AC78" s="34" t="str">
        <x:f>IF(A78="","",IF(OR(LEFT(AB78,4)="PASS",LEFT(AB78,5)="READY"),"RESEARCH BETA | 저지원 22.22% | 기업 백분위 N/A", "결과 사용 금지 | "&amp;AB78))</x:f>
      </x:c>
      <x:c r="AD78" s="34" t="str">
        <x:f>IF(A78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$78,TRIM('01_INPUT_COMPANIES'!$D$78)),EXACT('01_INPUT_COMPANIES'!$E$78,TRIM('01_INPUT_COMPANIES'!$E$78)),EXACT('01_INPUT_COMPANIES'!$F$78,TRIM('01_INPUT_COMPANIES'!$F$78)),EXACT('01_INPUT_COMPANIES'!$G$78,TRIM('01_INPUT_COMPANIES'!$G$78)),EXACT('01_INPUT_COMPANIES'!$H$78,TRIM('01_INPUT_COMPANIES'!$H$78)))),"ERROR: COHORT WHITESPACE",IF(NOT(IFERROR(AND(ISTEXT('01_INPUT_COMPANIES'!$O$78),LEN('01_INPUT_COMPANIES'!$O$78)=10,VALUE(LEFT('01_INPUT_COMPANIES'!$O$78,4))&gt;=2000,VALUE(LEFT('01_INPUT_COMPANIES'!$O$78,4))&lt;=2100,EXACT(TEXT(DATE(VALUE(LEFT('01_INPUT_COMPANIES'!$O$78,4)),VALUE(MID('01_INPUT_COMPANIES'!$O$78,6,2)),VALUE(RIGHT('01_INPUT_COMPANIES'!$O$78,2))),"yyyy-mm-dd"),'01_INPUT_COMPANIES'!$O$78)),FALSE)),"ERROR: SOURCE DATE",IF(NOT(AND(OR(EXACT('01_INPUT_COMPANIES'!$C$78,"domestic"),EXACT('01_INPUT_COMPANIES'!$C$78,"foreign"),EXACT('01_INPUT_COMPANIES'!$C$78,"other")),OR(EXACT('01_INPUT_COMPANIES'!$K$78,"A"),EXACT('01_INPUT_COMPANIES'!$K$78,"B"),EXACT('01_INPUT_COMPANIES'!$K$78,"C"),EXACT('01_INPUT_COMPANIES'!$K$78,"SYNTHETIC")),OR(EXACT('01_INPUT_COMPANIES'!$L$78,"yes"),EXACT('01_INPUT_COMPANIES'!$L$78,"no")),OR(EXACT('01_INPUT_COMPANIES'!$M$78,"direct"),EXACT('01_INPUT_COMPANIES'!$M$78,"derived"),EXACT('01_INPUT_COMPANIES'!$M$78,"proxy"),EXACT('01_INPUT_COMPANIES'!$M$78,"mixed")),OR(EXACT('01_INPUT_COMPANIES'!$Q$78,"yes")),EXACT('01_INPUT_COMPANIES'!$I$78,UPPER('01_INPUT_COMPANIES'!$I$78)))),"ERROR: EXACT ENUM",IF(NOT(IFERROR(OR(AND(EXACT('92_REF_VARIABLES'!$A$21,'01_INPUT_COMPANIES'!$H$78),EXACT('92_REF_VARIABLES'!$B$21,'01_INPUT_COMPANIES'!$D$78),EXACT('92_REF_VARIABLES'!$C$21,'01_INPUT_COMPANIES'!$G$78))),FALSE)),"ERROR: BENCHMARK",""))))))</x:f>
      </x:c>
    </x:row>
    <x:row r="79">
      <x:c r="A79" s="34" t="str">
        <x:f>IF(OR('01_INPUT_COMPANIES'!$A$79="",'01_INPUT_COMPANIES'!$A$79=""),"",'01_INPUT_COMPANIES'!$A$79)</x:f>
      </x:c>
      <x:c r="B79" s="34" t="str">
        <x:f>IF(OR('01_INPUT_COMPANIES'!$A$79="",'01_INPUT_COMPANIES'!$B$79=""),"",'01_INPUT_COMPANIES'!$B$79)</x:f>
      </x:c>
      <x:c r="C79" s="34" t="str">
        <x:f>IF(OR('01_INPUT_COMPANIES'!$A$79="",'01_INPUT_COMPANIES'!$C$79=""),"",'01_INPUT_COMPANIES'!$C$79)</x:f>
      </x:c>
      <x:c r="D79" s="34" t="str">
        <x:f>IF(OR('01_INPUT_COMPANIES'!$A$79="",'01_INPUT_COMPANIES'!$D$79=""),"",'01_INPUT_COMPANIES'!$D$79)</x:f>
      </x:c>
      <x:c r="E79" s="34" t="str">
        <x:f>IF(OR('01_INPUT_COMPANIES'!$A$79="",'01_INPUT_COMPANIES'!$E$79=""),"",'01_INPUT_COMPANIES'!$E$79)</x:f>
      </x:c>
      <x:c r="F79" s="34" t="str">
        <x:f>IF(OR('01_INPUT_COMPANIES'!$A$79="",'01_INPUT_COMPANIES'!$F$79=""),"",'01_INPUT_COMPANIES'!$F$79)</x:f>
      </x:c>
      <x:c r="G79" s="34" t="str">
        <x:f>IF(OR('01_INPUT_COMPANIES'!$A$79="",'01_INPUT_COMPANIES'!$G$79=""),"",'01_INPUT_COMPANIES'!$G$79)</x:f>
      </x:c>
      <x:c r="H79" s="34" t="str">
        <x:f>IF(OR('01_INPUT_COMPANIES'!$A$79="",'01_INPUT_COMPANIES'!$H$79=""),"",'01_INPUT_COMPANIES'!$H$79)</x:f>
      </x:c>
      <x:c r="I79" s="34" t="str">
        <x:f>IF(OR('01_INPUT_COMPANIES'!$A$79="",'01_INPUT_COMPANIES'!$K$79=""),"",'01_INPUT_COMPANIES'!$K$79)</x:f>
      </x:c>
      <x:c r="J79" s="34" t="str">
        <x:f>IF(OR('01_INPUT_COMPANIES'!$A$79="",'01_INPUT_COMPANIES'!$M$79=""),"",'01_INPUT_COMPANIES'!$M$79)</x:f>
      </x:c>
      <x:c r="K79" s="34" t="str">
        <x:f>IF(OR(A79="",COUNTBLANK(D79:H79)&gt;0),"",LEN(D79)&amp;":"&amp;D79&amp;LEN(E79)&amp;":"&amp;E79&amp;LEN(F79)&amp;":"&amp;F79&amp;LEN(G79)&amp;":"&amp;G79&amp;LEN(H79)&amp;":"&amp;H79)</x:f>
      </x:c>
      <x:c r="L79" s="47" t="str">
        <x:f>IF(A79="","",'90_CALC_FEATURES'!$I$727)</x:f>
      </x:c>
      <x:c r="M79" s="47" t="str">
        <x:f>IF(A79="","",'90_CALC_FEATURES'!$I$728)</x:f>
      </x:c>
      <x:c r="N79" s="47" t="str">
        <x:f>IF(A79="","",'90_CALC_FEATURES'!$I$729)</x:f>
      </x:c>
      <x:c r="O79" s="47" t="str">
        <x:f>IF(A79="","",'90_CALC_FEATURES'!$I$730)</x:f>
      </x:c>
      <x:c r="P79" s="47" t="str">
        <x:f>IF(A79="","",'90_CALC_FEATURES'!$I$731)</x:f>
      </x:c>
      <x:c r="Q79" s="47" t="str">
        <x:f>IF(A79="","",'90_CALC_FEATURES'!$I$732)</x:f>
      </x:c>
      <x:c r="R79" s="47" t="str">
        <x:f>IF(A79="","",'90_CALC_FEATURES'!$I$733)</x:f>
      </x:c>
      <x:c r="S79" s="47" t="str">
        <x:f>IF(A79="","",'90_CALC_FEATURES'!$I$734)</x:f>
      </x:c>
      <x:c r="T79" s="47" t="str">
        <x:f>IF(A79="","",'90_CALC_FEATURES'!$I$735)</x:f>
      </x:c>
      <x:c r="U79" s="47" t="str">
        <x:f>IF(A79="","",'90_CALC_FEATURES'!$I$736)</x:f>
      </x:c>
      <x:c r="V79" s="47" t="str">
        <x:f>IF(COUNT(L79:N79)=3,100*AVERAGE(L79:N79),"")</x:f>
      </x:c>
      <x:c r="W79" s="47" t="str">
        <x:f>IF(COUNT(O79:R79)=4,100*AVERAGE(O79:R79),"")</x:f>
      </x:c>
      <x:c r="X79" s="47" t="str">
        <x:f>IF(COUNT(S79:U79)=3,100*AVERAGE(S79:U79),"")</x:f>
      </x:c>
      <x:c r="Y79" s="47" t="str">
        <x:f>IF(COUNT(V79:X79)=3,AVERAGE(V79:X79),"")</x:f>
      </x:c>
      <x:c r="Z79" s="47" t="str">
        <x:f>IF(OR(AND(EXACT(A79,"SYN-A"),COUNT('01_INPUT_COMPANIES'!$T$79:$AC$79)=10,'01_INPUT_COMPANIES'!$T$79=-0.02,'01_INPUT_COMPANIES'!$U$79=0.1332,'01_INPUT_COMPANIES'!$V$79=0.18,'01_INPUT_COMPANIES'!$W$79=0.42,'01_INPUT_COMPANIES'!$X$79=0.012,'01_INPUT_COMPANIES'!$Y$79=3.2,'01_INPUT_COMPANIES'!$Z$79=0.08,'01_INPUT_COMPANIES'!$AA$79=0.28,'01_INPUT_COMPANIES'!$AB$79=0.74,'01_INPUT_COMPANIES'!$AC$79=8.5),AND(EXACT(A79,"SYN-B"),COUNT('01_INPUT_COMPANIES'!$T$79:$AC$79)=10,'01_INPUT_COMPANIES'!$T$79=-0.055,'01_INPUT_COMPANIES'!$U$79=0.06405,'01_INPUT_COMPANIES'!$V$79=0.105,'01_INPUT_COMPANIES'!$W$79=0.73,'01_INPUT_COMPANIES'!$X$79=0.004,'01_INPUT_COMPANIES'!$Y$79=4.1,'01_INPUT_COMPANIES'!$Z$79=0.025,'01_INPUT_COMPANIES'!$AA$79=0.16,'01_INPUT_COMPANIES'!$AB$79=0.61,'01_INPUT_COMPANIES'!$AC$79=4),AND(EXACT(A79,"SYN-C"),COUNT('01_INPUT_COMPANIES'!$T$79:$AC$79)=10,'01_INPUT_COMPANIES'!$T$79=0.01,'01_INPUT_COMPANIES'!$U$79=0.0986,'01_INPUT_COMPANIES'!$V$79=0.145,'01_INPUT_COMPANIES'!$W$79=0.18,'01_INPUT_COMPANIES'!$X$79=0.018,'01_INPUT_COMPANIES'!$Y$79=2.65,'01_INPUT_COMPANIES'!$Z$79=0.11,'01_INPUT_COMPANIES'!$AA$79=0.34,'01_INPUT_COMPANIES'!$AB$79=0.68,'01_INPUT_COMPANIES'!$AC$79=6.8),AND(EXACT(A79,"SYN-D"),COUNT('01_INPUT_COMPANIES'!$T$79:$AC$79)=10,'01_INPUT_COMPANIES'!$T$79=-0.005,'01_INPUT_COMPANIES'!$U$79=0.1136,'01_INPUT_COMPANIES'!$V$79=0.16,'01_INPUT_COMPANIES'!$W$79=0.51,'01_INPUT_COMPANIES'!$X$79=0.009,'01_INPUT_COMPANIES'!$Y$79=3.55,'01_INPUT_COMPANIES'!$Z$79=0.065,'01_INPUT_COMPANIES'!$AA$79=0.24,'01_INPUT_COMPANIES'!$AB$79=0.71,'01_INPUT_COMPANIES'!$AC$79=7.4)),IFERROR(INDEX('94_EXPECTED_OUTPUTS'!$B$7:$B$10,MATCH(A79,'94_EXPECTED_OUTPUTS'!$A$7:$A$10,0)),""),"")</x:f>
      </x:c>
      <x:c r="AA79" s="47" t="str">
        <x:f>IF(OR(COUNT(Y79)=0,COUNT(Z79)=0),"",ABS(Y79-Z79))</x:f>
      </x:c>
      <x:c r="AB79" s="34" t="str">
        <x:f>IF(A79="","",IF(AD79&lt;&gt;"",AD79,IF('01_INPUT_COMPANIES'!$A$79="","",IF(OR(LEN(TRIM('01_INPUT_COMPANIES'!$A$79&amp;""))=0,LEN(TRIM('01_INPUT_COMPANIES'!$B$79&amp;""))=0,LEN(TRIM('01_INPUT_COMPANIES'!$C$79&amp;""))=0,LEN(TRIM('01_INPUT_COMPANIES'!$D$79&amp;""))=0,LEN(TRIM('01_INPUT_COMPANIES'!$E$79&amp;""))=0,LEN(TRIM('01_INPUT_COMPANIES'!$F$79&amp;""))=0,LEN(TRIM('01_INPUT_COMPANIES'!$G$79&amp;""))=0,LEN(TRIM('01_INPUT_COMPANIES'!$H$79&amp;""))=0,LEN(TRIM('01_INPUT_COMPANIES'!$I$79&amp;""))=0,LEN(TRIM('01_INPUT_COMPANIES'!$K$79&amp;""))=0,LEN(TRIM('01_INPUT_COMPANIES'!$L$79&amp;""))=0,LEN(TRIM('01_INPUT_COMPANIES'!$M$79&amp;""))=0,LEN(TRIM('01_INPUT_COMPANIES'!$N$79&amp;""))=0,LEN(TRIM('01_INPUT_COMPANIES'!$O$79&amp;""))=0,LEN(TRIM('01_INPUT_COMPANIES'!$Q$79&amp;""))=0,COUNTBLANK('01_INPUT_COMPANIES'!$A$79:$R$79)&gt;0),"INPUT REQUIRED",IF(OR('01_INPUT_COMPANIES'!$A$79&lt;&gt;TRIM('01_INPUT_COMPANIES'!$A$79),NOT(EXACT('01_INPUT_COMPANIES'!$A$79,UPPER('01_INPUT_COMPANIES'!$A$79))),LEN('01_INPUT_COMPANIES'!$A$79)&gt;64,ISNUMBER(FIND("*",'01_INPUT_COMPANIES'!$A$79)),ISNUMBER(FIND("?",'01_INPUT_COMPANIES'!$A$79)),ISNUMBER(FIND("~",'01_INPUT_COMPANIES'!$A$79))),"ERROR: ID FORMAT",IF(COUNTIF('01_INPUT_COMPANIES'!$A$7:$A$106,'01_INPUT_COMPANIES'!$A$79)&lt;&gt;1,"ERROR: DUPLICATE ID",IF(COUNT('01_INPUT_COMPANIES'!$T$79:$AC$79)&lt;&gt;10,"INPUT REQUIRED",IF(NOT(OR('01_INPUT_COMPANIES'!$C$79="domestic",'01_INPUT_COMPANIES'!$C$79="foreign",'01_INPUT_COMPANIES'!$C$79="other")),"ERROR: COMPANY GROUP",IF(OR(LEN('01_INPUT_COMPANIES'!$G$79)&lt;&gt;6,MID('01_INPUT_COMPANIES'!$G$79,5,1)&lt;&gt;"Q",IFERROR(VALUE(LEFT('01_INPUT_COMPANIES'!$G$79,4)),0)&lt;2000,IFERROR(VALUE(LEFT('01_INPUT_COMPANIES'!$G$79,4)),0)&gt;2100,IFERROR(VALUE(RIGHT('01_INPUT_COMPANIES'!$G$79,1)),0)&lt;1,IFERROR(VALUE(RIGHT('01_INPUT_COMPANIES'!$G$79,1)),0)&gt;4),"ERROR: REPORTING PERIOD",IF(OR(COUNTIFS('92_REF_VARIABLES'!$A$21:$A$21,'01_INPUT_COMPANIES'!$H$79,'92_REF_VARIABLES'!$B$21:$B$21,'01_INPUT_COMPANIES'!$D$79,'92_REF_VARIABLES'!$C$21:$C$21,'01_INPUT_COMPANIES'!$G$79)&lt;&gt;1,AND(IFERROR(INDEX('92_REF_VARIABLES'!$I$21:$I$21,MATCH('01_INPUT_COMPANIES'!$H$79,'92_REF_VARIABLES'!$A$21:$A$21,0)),"")="synthetic_only",'01_INPUT_COMPANIES'!$L$79&lt;&gt;"yes")),"ERROR: BENCHMARK",IF(COUNTIF('92_REF_VARIABLES'!$L$21:$L$50,'01_INPUT_COMPANIES'!$I$79)&lt;&gt;1,"ERROR: CURRENCY",IF(OR(NOT(ISNUMBER('01_INPUT_COMPANIES'!$J$79)),'01_INPUT_COMPANIES'!$J$79&lt;&gt;INT('01_INPUT_COMPANIES'!$J$79),'01_INPUT_COMPANIES'!$J$79&lt;2000,'01_INPUT_COMPANIES'!$J$79&gt;2100),"ERROR: PRICE YEAR",IF(NOT(OR('01_INPUT_COMPANIES'!$K$79="A",'01_INPUT_COMPANIES'!$K$79="B",'01_INPUT_COMPANIES'!$K$79="C",'01_INPUT_COMPANIES'!$K$79="SYNTHETIC")),"ERROR: QUALITY",IF(NOT(OR(AND('01_INPUT_COMPANIES'!$L$79="yes",'01_INPUT_COMPANIES'!$K$79="SYNTHETIC"),AND('01_INPUT_COMPANIES'!$L$79="no",'01_INPUT_COMPANIES'!$K$79&lt;&gt;"SYNTHETIC"))),"ERROR: SYNTHETIC FLAG",IF(NOT(OR('01_INPUT_COMPANIES'!$M$79="direct",'01_INPUT_COMPANIES'!$M$79="derived",'01_INPUT_COMPANIES'!$M$79="proxy",'01_INPUT_COMPANIES'!$M$79="mixed")),"ERROR: CONSTRUCTION MODE",IF(OR(NOT(ISNUMBER('01_INPUT_COMPANIES'!$P$79)),'01_INPUT_COMPANIES'!$P$79&lt;0,'01_INPUT_COMPANIES'!$P$79&lt;&gt;INT('01_INPUT_COMPANIES'!$P$79)),"ERROR: CARRY LAG",IF('01_INPUT_COMPANIES'!$Q$79&lt;&gt;"yes","ERROR: EXPOSURE ADJUSTMENT",IF(OR(NOT(ISNUMBER('01_INPUT_COMPANIES'!$R$79)),'01_INPUT_COMPANIES'!$R$79&lt;0,'01_INPUT_COMPANIES'!$R$79&gt;1),"ERROR: EXPOSURE FACTOR",IF(COUNT(Y79)=0,"ERROR: SCORE",IF(COUNT(Z79)=0,"READY",IF(AA79&lt;=0.0000000001,"PASS","CHECK"))&amp;IF('01_INPUT_COMPANIES'!$K$79="C"," | C QUALITY","")&amp;IF(OR('01_INPUT_COMPANIES'!$M$79="proxy",'01_INPUT_COMPANIES'!$M$79="mixed")," | PROXY/MIXED","")&amp;IF('01_INPUT_COMPANIES'!$P$79&gt;1," | CARRY&gt;1","")&amp;IF(OR(OR('01_INPUT_COMPANIES'!$T$79&lt;-1,'01_INPUT_COMPANIES'!$T$79&gt;1),OR('01_INPUT_COMPANIES'!$U$79&lt;0,'01_INPUT_COMPANIES'!$U$79&gt;1),OR('01_INPUT_COMPANIES'!$V$79&lt;0,'01_INPUT_COMPANIES'!$V$79&gt;1),OR('01_INPUT_COMPANIES'!$W$79&lt;-10,'01_INPUT_COMPANIES'!$W$79&gt;10),OR('01_INPUT_COMPANIES'!$X$79&lt;-1,'01_INPUT_COMPANIES'!$X$79&gt;1),OR('01_INPUT_COMPANIES'!$Y$79&lt;0,'01_INPUT_COMPANIES'!$Y$79&gt;20),OR('01_INPUT_COMPANIES'!$Z$79&lt;-2,'01_INPUT_COMPANIES'!$Z$79&gt;2),OR('01_INPUT_COMPANIES'!$AA$79&lt;0,'01_INPUT_COMPANIES'!$AA$79&gt;1),OR('01_INPUT_COMPANIES'!$AB$79&lt;0,'01_INPUT_COMPANIES'!$AB$79&gt;1),OR('01_INPUT_COMPANIES'!$AC$79&lt;0,'01_INPUT_COMPANIES'!$AC$79&gt;50))," | REVIEW RANGE","")&amp;IF(COUNTIF('90_CALC_FEATURES'!$J$727:$J$736,"WINSORIZED*")&gt;0," | WINSORIZED","")&amp;IF(ABS('01_INPUT_COMPANIES'!$U$79-'01_INPUT_COMPANIES'!$V$79*'01_INPUT_COMPANIES'!$AB$79)&gt;MAX(0.005,0.05*MAX(ABS('01_INPUT_COMPANIES'!$V$79*'01_INPUT_COMPANIES'!$AB$79),ABS('01_INPUT_COMPANIES'!$U$79),0.000000000001))," | DEPENDENCY",""))))))))))))))))))))</x:f>
      </x:c>
      <x:c r="AC79" s="34" t="str">
        <x:f>IF(A79="","",IF(OR(LEFT(AB79,4)="PASS",LEFT(AB79,5)="READY"),"RESEARCH BETA | 저지원 22.22% | 기업 백분위 N/A", "결과 사용 금지 | "&amp;AB79))</x:f>
      </x:c>
      <x:c r="AD79" s="34" t="str">
        <x:f>IF(A79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$79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$79,TRIM('01_INPUT_COMPANIES'!$D$79)),EXACT('01_INPUT_COMPANIES'!$E$79,TRIM('01_INPUT_COMPANIES'!$E$79)),EXACT('01_INPUT_COMPANIES'!$F$79,TRIM('01_INPUT_COMPANIES'!$F$79)),EXACT('01_INPUT_COMPANIES'!$G$79,TRIM('01_INPUT_COMPANIES'!$G$79)),EXACT('01_INPUT_COMPANIES'!$H$79,TRIM('01_INPUT_COMPANIES'!$H$79)))),"ERROR: COHORT WHITESPACE",IF(NOT(IFERROR(AND(ISTEXT('01_INPUT_COMPANIES'!$O$79),LEN('01_INPUT_COMPANIES'!$O$79)=10,VALUE(LEFT('01_INPUT_COMPANIES'!$O$79,4))&gt;=2000,VALUE(LEFT('01_INPUT_COMPANIES'!$O$79,4))&lt;=2100,EXACT(TEXT(DATE(VALUE(LEFT('01_INPUT_COMPANIES'!$O$79,4)),VALUE(MID('01_INPUT_COMPANIES'!$O$79,6,2)),VALUE(RIGHT('01_INPUT_COMPANIES'!$O$79,2))),"yyyy-mm-dd"),'01_INPUT_COMPANIES'!$O$79)),FALSE)),"ERROR: SOURCE DATE",IF(NOT(AND(OR(EXACT('01_INPUT_COMPANIES'!$C$79,"domestic"),EXACT('01_INPUT_COMPANIES'!$C$79,"foreign"),EXACT('01_INPUT_COMPANIES'!$C$79,"other")),OR(EXACT('01_INPUT_COMPANIES'!$K$79,"A"),EXACT('01_INPUT_COMPANIES'!$K$79,"B"),EXACT('01_INPUT_COMPANIES'!$K$79,"C"),EXACT('01_INPUT_COMPANIES'!$K$79,"SYNTHETIC")),OR(EXACT('01_INPUT_COMPANIES'!$L$79,"yes"),EXACT('01_INPUT_COMPANIES'!$L$79,"no")),OR(EXACT('01_INPUT_COMPANIES'!$M$79,"direct"),EXACT('01_INPUT_COMPANIES'!$M$79,"derived"),EXACT('01_INPUT_COMPANIES'!$M$79,"proxy"),EXACT('01_INPUT_COMPANIES'!$M$79,"mixed")),OR(EXACT('01_INPUT_COMPANIES'!$Q$79,"yes")),EXACT('01_INPUT_COMPANIES'!$I$79,UPPER('01_INPUT_COMPANIES'!$I$79)))),"ERROR: EXACT ENUM",IF(NOT(IFERROR(OR(AND(EXACT('92_REF_VARIABLES'!$A$21,'01_INPUT_COMPANIES'!$H$79),EXACT('92_REF_VARIABLES'!$B$21,'01_INPUT_COMPANIES'!$D$79),EXACT('92_REF_VARIABLES'!$C$21,'01_INPUT_COMPANIES'!$G$79))),FALSE)),"ERROR: BENCHMARK",""))))))</x:f>
      </x:c>
    </x:row>
    <x:row r="80">
      <x:c r="A80" s="34" t="str">
        <x:f>IF(OR('01_INPUT_COMPANIES'!$A$80="",'01_INPUT_COMPANIES'!$A$80=""),"",'01_INPUT_COMPANIES'!$A$80)</x:f>
      </x:c>
      <x:c r="B80" s="34" t="str">
        <x:f>IF(OR('01_INPUT_COMPANIES'!$A$80="",'01_INPUT_COMPANIES'!$B$80=""),"",'01_INPUT_COMPANIES'!$B$80)</x:f>
      </x:c>
      <x:c r="C80" s="34" t="str">
        <x:f>IF(OR('01_INPUT_COMPANIES'!$A$80="",'01_INPUT_COMPANIES'!$C$80=""),"",'01_INPUT_COMPANIES'!$C$80)</x:f>
      </x:c>
      <x:c r="D80" s="34" t="str">
        <x:f>IF(OR('01_INPUT_COMPANIES'!$A$80="",'01_INPUT_COMPANIES'!$D$80=""),"",'01_INPUT_COMPANIES'!$D$80)</x:f>
      </x:c>
      <x:c r="E80" s="34" t="str">
        <x:f>IF(OR('01_INPUT_COMPANIES'!$A$80="",'01_INPUT_COMPANIES'!$E$80=""),"",'01_INPUT_COMPANIES'!$E$80)</x:f>
      </x:c>
      <x:c r="F80" s="34" t="str">
        <x:f>IF(OR('01_INPUT_COMPANIES'!$A$80="",'01_INPUT_COMPANIES'!$F$80=""),"",'01_INPUT_COMPANIES'!$F$80)</x:f>
      </x:c>
      <x:c r="G80" s="34" t="str">
        <x:f>IF(OR('01_INPUT_COMPANIES'!$A$80="",'01_INPUT_COMPANIES'!$G$80=""),"",'01_INPUT_COMPANIES'!$G$80)</x:f>
      </x:c>
      <x:c r="H80" s="34" t="str">
        <x:f>IF(OR('01_INPUT_COMPANIES'!$A$80="",'01_INPUT_COMPANIES'!$H$80=""),"",'01_INPUT_COMPANIES'!$H$80)</x:f>
      </x:c>
      <x:c r="I80" s="34" t="str">
        <x:f>IF(OR('01_INPUT_COMPANIES'!$A$80="",'01_INPUT_COMPANIES'!$K$80=""),"",'01_INPUT_COMPANIES'!$K$80)</x:f>
      </x:c>
      <x:c r="J80" s="34" t="str">
        <x:f>IF(OR('01_INPUT_COMPANIES'!$A$80="",'01_INPUT_COMPANIES'!$M$80=""),"",'01_INPUT_COMPANIES'!$M$80)</x:f>
      </x:c>
      <x:c r="K80" s="34" t="str">
        <x:f>IF(OR(A80="",COUNTBLANK(D80:H80)&gt;0),"",LEN(D80)&amp;":"&amp;D80&amp;LEN(E80)&amp;":"&amp;E80&amp;LEN(F80)&amp;":"&amp;F80&amp;LEN(G80)&amp;":"&amp;G80&amp;LEN(H80)&amp;":"&amp;H80)</x:f>
      </x:c>
      <x:c r="L80" s="47" t="str">
        <x:f>IF(A80="","",'90_CALC_FEATURES'!$I$737)</x:f>
      </x:c>
      <x:c r="M80" s="47" t="str">
        <x:f>IF(A80="","",'90_CALC_FEATURES'!$I$738)</x:f>
      </x:c>
      <x:c r="N80" s="47" t="str">
        <x:f>IF(A80="","",'90_CALC_FEATURES'!$I$739)</x:f>
      </x:c>
      <x:c r="O80" s="47" t="str">
        <x:f>IF(A80="","",'90_CALC_FEATURES'!$I$740)</x:f>
      </x:c>
      <x:c r="P80" s="47" t="str">
        <x:f>IF(A80="","",'90_CALC_FEATURES'!$I$741)</x:f>
      </x:c>
      <x:c r="Q80" s="47" t="str">
        <x:f>IF(A80="","",'90_CALC_FEATURES'!$I$742)</x:f>
      </x:c>
      <x:c r="R80" s="47" t="str">
        <x:f>IF(A80="","",'90_CALC_FEATURES'!$I$743)</x:f>
      </x:c>
      <x:c r="S80" s="47" t="str">
        <x:f>IF(A80="","",'90_CALC_FEATURES'!$I$744)</x:f>
      </x:c>
      <x:c r="T80" s="47" t="str">
        <x:f>IF(A80="","",'90_CALC_FEATURES'!$I$745)</x:f>
      </x:c>
      <x:c r="U80" s="47" t="str">
        <x:f>IF(A80="","",'90_CALC_FEATURES'!$I$746)</x:f>
      </x:c>
      <x:c r="V80" s="47" t="str">
        <x:f>IF(COUNT(L80:N80)=3,100*AVERAGE(L80:N80),"")</x:f>
      </x:c>
      <x:c r="W80" s="47" t="str">
        <x:f>IF(COUNT(O80:R80)=4,100*AVERAGE(O80:R80),"")</x:f>
      </x:c>
      <x:c r="X80" s="47" t="str">
        <x:f>IF(COUNT(S80:U80)=3,100*AVERAGE(S80:U80),"")</x:f>
      </x:c>
      <x:c r="Y80" s="47" t="str">
        <x:f>IF(COUNT(V80:X80)=3,AVERAGE(V80:X80),"")</x:f>
      </x:c>
      <x:c r="Z80" s="47" t="str">
        <x:f>IF(OR(AND(EXACT(A80,"SYN-A"),COUNT('01_INPUT_COMPANIES'!$T$80:$AC$80)=10,'01_INPUT_COMPANIES'!$T$80=-0.02,'01_INPUT_COMPANIES'!$U$80=0.1332,'01_INPUT_COMPANIES'!$V$80=0.18,'01_INPUT_COMPANIES'!$W$80=0.42,'01_INPUT_COMPANIES'!$X$80=0.012,'01_INPUT_COMPANIES'!$Y$80=3.2,'01_INPUT_COMPANIES'!$Z$80=0.08,'01_INPUT_COMPANIES'!$AA$80=0.28,'01_INPUT_COMPANIES'!$AB$80=0.74,'01_INPUT_COMPANIES'!$AC$80=8.5),AND(EXACT(A80,"SYN-B"),COUNT('01_INPUT_COMPANIES'!$T$80:$AC$80)=10,'01_INPUT_COMPANIES'!$T$80=-0.055,'01_INPUT_COMPANIES'!$U$80=0.06405,'01_INPUT_COMPANIES'!$V$80=0.105,'01_INPUT_COMPANIES'!$W$80=0.73,'01_INPUT_COMPANIES'!$X$80=0.004,'01_INPUT_COMPANIES'!$Y$80=4.1,'01_INPUT_COMPANIES'!$Z$80=0.025,'01_INPUT_COMPANIES'!$AA$80=0.16,'01_INPUT_COMPANIES'!$AB$80=0.61,'01_INPUT_COMPANIES'!$AC$80=4),AND(EXACT(A80,"SYN-C"),COUNT('01_INPUT_COMPANIES'!$T$80:$AC$80)=10,'01_INPUT_COMPANIES'!$T$80=0.01,'01_INPUT_COMPANIES'!$U$80=0.0986,'01_INPUT_COMPANIES'!$V$80=0.145,'01_INPUT_COMPANIES'!$W$80=0.18,'01_INPUT_COMPANIES'!$X$80=0.018,'01_INPUT_COMPANIES'!$Y$80=2.65,'01_INPUT_COMPANIES'!$Z$80=0.11,'01_INPUT_COMPANIES'!$AA$80=0.34,'01_INPUT_COMPANIES'!$AB$80=0.68,'01_INPUT_COMPANIES'!$AC$80=6.8),AND(EXACT(A80,"SYN-D"),COUNT('01_INPUT_COMPANIES'!$T$80:$AC$80)=10,'01_INPUT_COMPANIES'!$T$80=-0.005,'01_INPUT_COMPANIES'!$U$80=0.1136,'01_INPUT_COMPANIES'!$V$80=0.16,'01_INPUT_COMPANIES'!$W$80=0.51,'01_INPUT_COMPANIES'!$X$80=0.009,'01_INPUT_COMPANIES'!$Y$80=3.55,'01_INPUT_COMPANIES'!$Z$80=0.065,'01_INPUT_COMPANIES'!$AA$80=0.24,'01_INPUT_COMPANIES'!$AB$80=0.71,'01_INPUT_COMPANIES'!$AC$80=7.4)),IFERROR(INDEX('94_EXPECTED_OUTPUTS'!$B$7:$B$10,MATCH(A80,'94_EXPECTED_OUTPUTS'!$A$7:$A$10,0)),""),"")</x:f>
      </x:c>
      <x:c r="AA80" s="47" t="str">
        <x:f>IF(OR(COUNT(Y80)=0,COUNT(Z80)=0),"",ABS(Y80-Z80))</x:f>
      </x:c>
      <x:c r="AB80" s="34" t="str">
        <x:f>IF(A80="","",IF(AD80&lt;&gt;"",AD80,IF('01_INPUT_COMPANIES'!$A$80="","",IF(OR(LEN(TRIM('01_INPUT_COMPANIES'!$A$80&amp;""))=0,LEN(TRIM('01_INPUT_COMPANIES'!$B$80&amp;""))=0,LEN(TRIM('01_INPUT_COMPANIES'!$C$80&amp;""))=0,LEN(TRIM('01_INPUT_COMPANIES'!$D$80&amp;""))=0,LEN(TRIM('01_INPUT_COMPANIES'!$E$80&amp;""))=0,LEN(TRIM('01_INPUT_COMPANIES'!$F$80&amp;""))=0,LEN(TRIM('01_INPUT_COMPANIES'!$G$80&amp;""))=0,LEN(TRIM('01_INPUT_COMPANIES'!$H$80&amp;""))=0,LEN(TRIM('01_INPUT_COMPANIES'!$I$80&amp;""))=0,LEN(TRIM('01_INPUT_COMPANIES'!$K$80&amp;""))=0,LEN(TRIM('01_INPUT_COMPANIES'!$L$80&amp;""))=0,LEN(TRIM('01_INPUT_COMPANIES'!$M$80&amp;""))=0,LEN(TRIM('01_INPUT_COMPANIES'!$N$80&amp;""))=0,LEN(TRIM('01_INPUT_COMPANIES'!$O$80&amp;""))=0,LEN(TRIM('01_INPUT_COMPANIES'!$Q$80&amp;""))=0,COUNTBLANK('01_INPUT_COMPANIES'!$A$80:$R$80)&gt;0),"INPUT REQUIRED",IF(OR('01_INPUT_COMPANIES'!$A$80&lt;&gt;TRIM('01_INPUT_COMPANIES'!$A$80),NOT(EXACT('01_INPUT_COMPANIES'!$A$80,UPPER('01_INPUT_COMPANIES'!$A$80))),LEN('01_INPUT_COMPANIES'!$A$80)&gt;64,ISNUMBER(FIND("*",'01_INPUT_COMPANIES'!$A$80)),ISNUMBER(FIND("?",'01_INPUT_COMPANIES'!$A$80)),ISNUMBER(FIND("~",'01_INPUT_COMPANIES'!$A$80))),"ERROR: ID FORMAT",IF(COUNTIF('01_INPUT_COMPANIES'!$A$7:$A$106,'01_INPUT_COMPANIES'!$A$80)&lt;&gt;1,"ERROR: DUPLICATE ID",IF(COUNT('01_INPUT_COMPANIES'!$T$80:$AC$80)&lt;&gt;10,"INPUT REQUIRED",IF(NOT(OR('01_INPUT_COMPANIES'!$C$80="domestic",'01_INPUT_COMPANIES'!$C$80="foreign",'01_INPUT_COMPANIES'!$C$80="other")),"ERROR: COMPANY GROUP",IF(OR(LEN('01_INPUT_COMPANIES'!$G$80)&lt;&gt;6,MID('01_INPUT_COMPANIES'!$G$80,5,1)&lt;&gt;"Q",IFERROR(VALUE(LEFT('01_INPUT_COMPANIES'!$G$80,4)),0)&lt;2000,IFERROR(VALUE(LEFT('01_INPUT_COMPANIES'!$G$80,4)),0)&gt;2100,IFERROR(VALUE(RIGHT('01_INPUT_COMPANIES'!$G$80,1)),0)&lt;1,IFERROR(VALUE(RIGHT('01_INPUT_COMPANIES'!$G$80,1)),0)&gt;4),"ERROR: REPORTING PERIOD",IF(OR(COUNTIFS('92_REF_VARIABLES'!$A$21:$A$21,'01_INPUT_COMPANIES'!$H$80,'92_REF_VARIABLES'!$B$21:$B$21,'01_INPUT_COMPANIES'!$D$80,'92_REF_VARIABLES'!$C$21:$C$21,'01_INPUT_COMPANIES'!$G$80)&lt;&gt;1,AND(IFERROR(INDEX('92_REF_VARIABLES'!$I$21:$I$21,MATCH('01_INPUT_COMPANIES'!$H$80,'92_REF_VARIABLES'!$A$21:$A$21,0)),"")="synthetic_only",'01_INPUT_COMPANIES'!$L$80&lt;&gt;"yes")),"ERROR: BENCHMARK",IF(COUNTIF('92_REF_VARIABLES'!$L$21:$L$50,'01_INPUT_COMPANIES'!$I$80)&lt;&gt;1,"ERROR: CURRENCY",IF(OR(NOT(ISNUMBER('01_INPUT_COMPANIES'!$J$80)),'01_INPUT_COMPANIES'!$J$80&lt;&gt;INT('01_INPUT_COMPANIES'!$J$80),'01_INPUT_COMPANIES'!$J$80&lt;2000,'01_INPUT_COMPANIES'!$J$80&gt;2100),"ERROR: PRICE YEAR",IF(NOT(OR('01_INPUT_COMPANIES'!$K$80="A",'01_INPUT_COMPANIES'!$K$80="B",'01_INPUT_COMPANIES'!$K$80="C",'01_INPUT_COMPANIES'!$K$80="SYNTHETIC")),"ERROR: QUALITY",IF(NOT(OR(AND('01_INPUT_COMPANIES'!$L$80="yes",'01_INPUT_COMPANIES'!$K$80="SYNTHETIC"),AND('01_INPUT_COMPANIES'!$L$80="no",'01_INPUT_COMPANIES'!$K$80&lt;&gt;"SYNTHETIC"))),"ERROR: SYNTHETIC FLAG",IF(NOT(OR('01_INPUT_COMPANIES'!$M$80="direct",'01_INPUT_COMPANIES'!$M$80="derived",'01_INPUT_COMPANIES'!$M$80="proxy",'01_INPUT_COMPANIES'!$M$80="mixed")),"ERROR: CONSTRUCTION MODE",IF(OR(NOT(ISNUMBER('01_INPUT_COMPANIES'!$P$80)),'01_INPUT_COMPANIES'!$P$80&lt;0,'01_INPUT_COMPANIES'!$P$80&lt;&gt;INT('01_INPUT_COMPANIES'!$P$80)),"ERROR: CARRY LAG",IF('01_INPUT_COMPANIES'!$Q$80&lt;&gt;"yes","ERROR: EXPOSURE ADJUSTMENT",IF(OR(NOT(ISNUMBER('01_INPUT_COMPANIES'!$R$80)),'01_INPUT_COMPANIES'!$R$80&lt;0,'01_INPUT_COMPANIES'!$R$80&gt;1),"ERROR: EXPOSURE FACTOR",IF(COUNT(Y80)=0,"ERROR: SCORE",IF(COUNT(Z80)=0,"READY",IF(AA80&lt;=0.0000000001,"PASS","CHECK"))&amp;IF('01_INPUT_COMPANIES'!$K$80="C"," | C QUALITY","")&amp;IF(OR('01_INPUT_COMPANIES'!$M$80="proxy",'01_INPUT_COMPANIES'!$M$80="mixed")," | PROXY/MIXED","")&amp;IF('01_INPUT_COMPANIES'!$P$80&gt;1," | CARRY&gt;1","")&amp;IF(OR(OR('01_INPUT_COMPANIES'!$T$80&lt;-1,'01_INPUT_COMPANIES'!$T$80&gt;1),OR('01_INPUT_COMPANIES'!$U$80&lt;0,'01_INPUT_COMPANIES'!$U$80&gt;1),OR('01_INPUT_COMPANIES'!$V$80&lt;0,'01_INPUT_COMPANIES'!$V$80&gt;1),OR('01_INPUT_COMPANIES'!$W$80&lt;-10,'01_INPUT_COMPANIES'!$W$80&gt;10),OR('01_INPUT_COMPANIES'!$X$80&lt;-1,'01_INPUT_COMPANIES'!$X$80&gt;1),OR('01_INPUT_COMPANIES'!$Y$80&lt;0,'01_INPUT_COMPANIES'!$Y$80&gt;20),OR('01_INPUT_COMPANIES'!$Z$80&lt;-2,'01_INPUT_COMPANIES'!$Z$80&gt;2),OR('01_INPUT_COMPANIES'!$AA$80&lt;0,'01_INPUT_COMPANIES'!$AA$80&gt;1),OR('01_INPUT_COMPANIES'!$AB$80&lt;0,'01_INPUT_COMPANIES'!$AB$80&gt;1),OR('01_INPUT_COMPANIES'!$AC$80&lt;0,'01_INPUT_COMPANIES'!$AC$80&gt;50))," | REVIEW RANGE","")&amp;IF(COUNTIF('90_CALC_FEATURES'!$J$737:$J$746,"WINSORIZED*")&gt;0," | WINSORIZED","")&amp;IF(ABS('01_INPUT_COMPANIES'!$U$80-'01_INPUT_COMPANIES'!$V$80*'01_INPUT_COMPANIES'!$AB$80)&gt;MAX(0.005,0.05*MAX(ABS('01_INPUT_COMPANIES'!$V$80*'01_INPUT_COMPANIES'!$AB$80),ABS('01_INPUT_COMPANIES'!$U$80),0.000000000001))," | DEPENDENCY",""))))))))))))))))))))</x:f>
      </x:c>
      <x:c r="AC80" s="34" t="str">
        <x:f>IF(A80="","",IF(OR(LEFT(AB80,4)="PASS",LEFT(AB80,5)="READY"),"RESEARCH BETA | 저지원 22.22% | 기업 백분위 N/A", "결과 사용 금지 | "&amp;AB80))</x:f>
      </x:c>
      <x:c r="AD80" s="34" t="str">
        <x:f>IF(A80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$80,TRIM('01_INPUT_COMPANIES'!$D$80)),EXACT('01_INPUT_COMPANIES'!$E$80,TRIM('01_INPUT_COMPANIES'!$E$80)),EXACT('01_INPUT_COMPANIES'!$F$80,TRIM('01_INPUT_COMPANIES'!$F$80)),EXACT('01_INPUT_COMPANIES'!$G$80,TRIM('01_INPUT_COMPANIES'!$G$80)),EXACT('01_INPUT_COMPANIES'!$H$80,TRIM('01_INPUT_COMPANIES'!$H$80)))),"ERROR: COHORT WHITESPACE",IF(NOT(IFERROR(AND(ISTEXT('01_INPUT_COMPANIES'!$O$80),LEN('01_INPUT_COMPANIES'!$O$80)=10,VALUE(LEFT('01_INPUT_COMPANIES'!$O$80,4))&gt;=2000,VALUE(LEFT('01_INPUT_COMPANIES'!$O$80,4))&lt;=2100,EXACT(TEXT(DATE(VALUE(LEFT('01_INPUT_COMPANIES'!$O$80,4)),VALUE(MID('01_INPUT_COMPANIES'!$O$80,6,2)),VALUE(RIGHT('01_INPUT_COMPANIES'!$O$80,2))),"yyyy-mm-dd"),'01_INPUT_COMPANIES'!$O$80)),FALSE)),"ERROR: SOURCE DATE",IF(NOT(AND(OR(EXACT('01_INPUT_COMPANIES'!$C$80,"domestic"),EXACT('01_INPUT_COMPANIES'!$C$80,"foreign"),EXACT('01_INPUT_COMPANIES'!$C$80,"other")),OR(EXACT('01_INPUT_COMPANIES'!$K$80,"A"),EXACT('01_INPUT_COMPANIES'!$K$80,"B"),EXACT('01_INPUT_COMPANIES'!$K$80,"C"),EXACT('01_INPUT_COMPANIES'!$K$80,"SYNTHETIC")),OR(EXACT('01_INPUT_COMPANIES'!$L$80,"yes"),EXACT('01_INPUT_COMPANIES'!$L$80,"no")),OR(EXACT('01_INPUT_COMPANIES'!$M$80,"direct"),EXACT('01_INPUT_COMPANIES'!$M$80,"derived"),EXACT('01_INPUT_COMPANIES'!$M$80,"proxy"),EXACT('01_INPUT_COMPANIES'!$M$80,"mixed")),OR(EXACT('01_INPUT_COMPANIES'!$Q$80,"yes")),EXACT('01_INPUT_COMPANIES'!$I$80,UPPER('01_INPUT_COMPANIES'!$I$80)))),"ERROR: EXACT ENUM",IF(NOT(IFERROR(OR(AND(EXACT('92_REF_VARIABLES'!$A$21,'01_INPUT_COMPANIES'!$H$80),EXACT('92_REF_VARIABLES'!$B$21,'01_INPUT_COMPANIES'!$D$80),EXACT('92_REF_VARIABLES'!$C$21,'01_INPUT_COMPANIES'!$G$80))),FALSE)),"ERROR: BENCHMARK",""))))))</x:f>
      </x:c>
    </x:row>
    <x:row r="81">
      <x:c r="A81" s="34" t="str">
        <x:f>IF(OR('01_INPUT_COMPANIES'!$A$81="",'01_INPUT_COMPANIES'!$A$81=""),"",'01_INPUT_COMPANIES'!$A$81)</x:f>
      </x:c>
      <x:c r="B81" s="34" t="str">
        <x:f>IF(OR('01_INPUT_COMPANIES'!$A$81="",'01_INPUT_COMPANIES'!$B$81=""),"",'01_INPUT_COMPANIES'!$B$81)</x:f>
      </x:c>
      <x:c r="C81" s="34" t="str">
        <x:f>IF(OR('01_INPUT_COMPANIES'!$A$81="",'01_INPUT_COMPANIES'!$C$81=""),"",'01_INPUT_COMPANIES'!$C$81)</x:f>
      </x:c>
      <x:c r="D81" s="34" t="str">
        <x:f>IF(OR('01_INPUT_COMPANIES'!$A$81="",'01_INPUT_COMPANIES'!$D$81=""),"",'01_INPUT_COMPANIES'!$D$81)</x:f>
      </x:c>
      <x:c r="E81" s="34" t="str">
        <x:f>IF(OR('01_INPUT_COMPANIES'!$A$81="",'01_INPUT_COMPANIES'!$E$81=""),"",'01_INPUT_COMPANIES'!$E$81)</x:f>
      </x:c>
      <x:c r="F81" s="34" t="str">
        <x:f>IF(OR('01_INPUT_COMPANIES'!$A$81="",'01_INPUT_COMPANIES'!$F$81=""),"",'01_INPUT_COMPANIES'!$F$81)</x:f>
      </x:c>
      <x:c r="G81" s="34" t="str">
        <x:f>IF(OR('01_INPUT_COMPANIES'!$A$81="",'01_INPUT_COMPANIES'!$G$81=""),"",'01_INPUT_COMPANIES'!$G$81)</x:f>
      </x:c>
      <x:c r="H81" s="34" t="str">
        <x:f>IF(OR('01_INPUT_COMPANIES'!$A$81="",'01_INPUT_COMPANIES'!$H$81=""),"",'01_INPUT_COMPANIES'!$H$81)</x:f>
      </x:c>
      <x:c r="I81" s="34" t="str">
        <x:f>IF(OR('01_INPUT_COMPANIES'!$A$81="",'01_INPUT_COMPANIES'!$K$81=""),"",'01_INPUT_COMPANIES'!$K$81)</x:f>
      </x:c>
      <x:c r="J81" s="34" t="str">
        <x:f>IF(OR('01_INPUT_COMPANIES'!$A$81="",'01_INPUT_COMPANIES'!$M$81=""),"",'01_INPUT_COMPANIES'!$M$81)</x:f>
      </x:c>
      <x:c r="K81" s="34" t="str">
        <x:f>IF(OR(A81="",COUNTBLANK(D81:H81)&gt;0),"",LEN(D81)&amp;":"&amp;D81&amp;LEN(E81)&amp;":"&amp;E81&amp;LEN(F81)&amp;":"&amp;F81&amp;LEN(G81)&amp;":"&amp;G81&amp;LEN(H81)&amp;":"&amp;H81)</x:f>
      </x:c>
      <x:c r="L81" s="47" t="str">
        <x:f>IF(A81="","",'90_CALC_FEATURES'!$I$747)</x:f>
      </x:c>
      <x:c r="M81" s="47" t="str">
        <x:f>IF(A81="","",'90_CALC_FEATURES'!$I$748)</x:f>
      </x:c>
      <x:c r="N81" s="47" t="str">
        <x:f>IF(A81="","",'90_CALC_FEATURES'!$I$749)</x:f>
      </x:c>
      <x:c r="O81" s="47" t="str">
        <x:f>IF(A81="","",'90_CALC_FEATURES'!$I$750)</x:f>
      </x:c>
      <x:c r="P81" s="47" t="str">
        <x:f>IF(A81="","",'90_CALC_FEATURES'!$I$751)</x:f>
      </x:c>
      <x:c r="Q81" s="47" t="str">
        <x:f>IF(A81="","",'90_CALC_FEATURES'!$I$752)</x:f>
      </x:c>
      <x:c r="R81" s="47" t="str">
        <x:f>IF(A81="","",'90_CALC_FEATURES'!$I$753)</x:f>
      </x:c>
      <x:c r="S81" s="47" t="str">
        <x:f>IF(A81="","",'90_CALC_FEATURES'!$I$754)</x:f>
      </x:c>
      <x:c r="T81" s="47" t="str">
        <x:f>IF(A81="","",'90_CALC_FEATURES'!$I$755)</x:f>
      </x:c>
      <x:c r="U81" s="47" t="str">
        <x:f>IF(A81="","",'90_CALC_FEATURES'!$I$756)</x:f>
      </x:c>
      <x:c r="V81" s="47" t="str">
        <x:f>IF(COUNT(L81:N81)=3,100*AVERAGE(L81:N81),"")</x:f>
      </x:c>
      <x:c r="W81" s="47" t="str">
        <x:f>IF(COUNT(O81:R81)=4,100*AVERAGE(O81:R81),"")</x:f>
      </x:c>
      <x:c r="X81" s="47" t="str">
        <x:f>IF(COUNT(S81:U81)=3,100*AVERAGE(S81:U81),"")</x:f>
      </x:c>
      <x:c r="Y81" s="47" t="str">
        <x:f>IF(COUNT(V81:X81)=3,AVERAGE(V81:X81),"")</x:f>
      </x:c>
      <x:c r="Z81" s="47" t="str">
        <x:f>IF(OR(AND(EXACT(A81,"SYN-A"),COUNT('01_INPUT_COMPANIES'!$T$81:$AC$81)=10,'01_INPUT_COMPANIES'!$T$81=-0.02,'01_INPUT_COMPANIES'!$U$81=0.1332,'01_INPUT_COMPANIES'!$V$81=0.18,'01_INPUT_COMPANIES'!$W$81=0.42,'01_INPUT_COMPANIES'!$X$81=0.012,'01_INPUT_COMPANIES'!$Y$81=3.2,'01_INPUT_COMPANIES'!$Z$81=0.08,'01_INPUT_COMPANIES'!$AA$81=0.28,'01_INPUT_COMPANIES'!$AB$81=0.74,'01_INPUT_COMPANIES'!$AC$81=8.5),AND(EXACT(A81,"SYN-B"),COUNT('01_INPUT_COMPANIES'!$T$81:$AC$81)=10,'01_INPUT_COMPANIES'!$T$81=-0.055,'01_INPUT_COMPANIES'!$U$81=0.06405,'01_INPUT_COMPANIES'!$V$81=0.105,'01_INPUT_COMPANIES'!$W$81=0.73,'01_INPUT_COMPANIES'!$X$81=0.004,'01_INPUT_COMPANIES'!$Y$81=4.1,'01_INPUT_COMPANIES'!$Z$81=0.025,'01_INPUT_COMPANIES'!$AA$81=0.16,'01_INPUT_COMPANIES'!$AB$81=0.61,'01_INPUT_COMPANIES'!$AC$81=4),AND(EXACT(A81,"SYN-C"),COUNT('01_INPUT_COMPANIES'!$T$81:$AC$81)=10,'01_INPUT_COMPANIES'!$T$81=0.01,'01_INPUT_COMPANIES'!$U$81=0.0986,'01_INPUT_COMPANIES'!$V$81=0.145,'01_INPUT_COMPANIES'!$W$81=0.18,'01_INPUT_COMPANIES'!$X$81=0.018,'01_INPUT_COMPANIES'!$Y$81=2.65,'01_INPUT_COMPANIES'!$Z$81=0.11,'01_INPUT_COMPANIES'!$AA$81=0.34,'01_INPUT_COMPANIES'!$AB$81=0.68,'01_INPUT_COMPANIES'!$AC$81=6.8),AND(EXACT(A81,"SYN-D"),COUNT('01_INPUT_COMPANIES'!$T$81:$AC$81)=10,'01_INPUT_COMPANIES'!$T$81=-0.005,'01_INPUT_COMPANIES'!$U$81=0.1136,'01_INPUT_COMPANIES'!$V$81=0.16,'01_INPUT_COMPANIES'!$W$81=0.51,'01_INPUT_COMPANIES'!$X$81=0.009,'01_INPUT_COMPANIES'!$Y$81=3.55,'01_INPUT_COMPANIES'!$Z$81=0.065,'01_INPUT_COMPANIES'!$AA$81=0.24,'01_INPUT_COMPANIES'!$AB$81=0.71,'01_INPUT_COMPANIES'!$AC$81=7.4)),IFERROR(INDEX('94_EXPECTED_OUTPUTS'!$B$7:$B$10,MATCH(A81,'94_EXPECTED_OUTPUTS'!$A$7:$A$10,0)),""),"")</x:f>
      </x:c>
      <x:c r="AA81" s="47" t="str">
        <x:f>IF(OR(COUNT(Y81)=0,COUNT(Z81)=0),"",ABS(Y81-Z81))</x:f>
      </x:c>
      <x:c r="AB81" s="34" t="str">
        <x:f>IF(A81="","",IF(AD81&lt;&gt;"",AD81,IF('01_INPUT_COMPANIES'!$A$81="","",IF(OR(LEN(TRIM('01_INPUT_COMPANIES'!$A$81&amp;""))=0,LEN(TRIM('01_INPUT_COMPANIES'!$B$81&amp;""))=0,LEN(TRIM('01_INPUT_COMPANIES'!$C$81&amp;""))=0,LEN(TRIM('01_INPUT_COMPANIES'!$D$81&amp;""))=0,LEN(TRIM('01_INPUT_COMPANIES'!$E$81&amp;""))=0,LEN(TRIM('01_INPUT_COMPANIES'!$F$81&amp;""))=0,LEN(TRIM('01_INPUT_COMPANIES'!$G$81&amp;""))=0,LEN(TRIM('01_INPUT_COMPANIES'!$H$81&amp;""))=0,LEN(TRIM('01_INPUT_COMPANIES'!$I$81&amp;""))=0,LEN(TRIM('01_INPUT_COMPANIES'!$K$81&amp;""))=0,LEN(TRIM('01_INPUT_COMPANIES'!$L$81&amp;""))=0,LEN(TRIM('01_INPUT_COMPANIES'!$M$81&amp;""))=0,LEN(TRIM('01_INPUT_COMPANIES'!$N$81&amp;""))=0,LEN(TRIM('01_INPUT_COMPANIES'!$O$81&amp;""))=0,LEN(TRIM('01_INPUT_COMPANIES'!$Q$81&amp;""))=0,COUNTBLANK('01_INPUT_COMPANIES'!$A$81:$R$81)&gt;0),"INPUT REQUIRED",IF(OR('01_INPUT_COMPANIES'!$A$81&lt;&gt;TRIM('01_INPUT_COMPANIES'!$A$81),NOT(EXACT('01_INPUT_COMPANIES'!$A$81,UPPER('01_INPUT_COMPANIES'!$A$81))),LEN('01_INPUT_COMPANIES'!$A$81)&gt;64,ISNUMBER(FIND("*",'01_INPUT_COMPANIES'!$A$81)),ISNUMBER(FIND("?",'01_INPUT_COMPANIES'!$A$81)),ISNUMBER(FIND("~",'01_INPUT_COMPANIES'!$A$81))),"ERROR: ID FORMAT",IF(COUNTIF('01_INPUT_COMPANIES'!$A$7:$A$106,'01_INPUT_COMPANIES'!$A$81)&lt;&gt;1,"ERROR: DUPLICATE ID",IF(COUNT('01_INPUT_COMPANIES'!$T$81:$AC$81)&lt;&gt;10,"INPUT REQUIRED",IF(NOT(OR('01_INPUT_COMPANIES'!$C$81="domestic",'01_INPUT_COMPANIES'!$C$81="foreign",'01_INPUT_COMPANIES'!$C$81="other")),"ERROR: COMPANY GROUP",IF(OR(LEN('01_INPUT_COMPANIES'!$G$81)&lt;&gt;6,MID('01_INPUT_COMPANIES'!$G$81,5,1)&lt;&gt;"Q",IFERROR(VALUE(LEFT('01_INPUT_COMPANIES'!$G$81,4)),0)&lt;2000,IFERROR(VALUE(LEFT('01_INPUT_COMPANIES'!$G$81,4)),0)&gt;2100,IFERROR(VALUE(RIGHT('01_INPUT_COMPANIES'!$G$81,1)),0)&lt;1,IFERROR(VALUE(RIGHT('01_INPUT_COMPANIES'!$G$81,1)),0)&gt;4),"ERROR: REPORTING PERIOD",IF(OR(COUNTIFS('92_REF_VARIABLES'!$A$21:$A$21,'01_INPUT_COMPANIES'!$H$81,'92_REF_VARIABLES'!$B$21:$B$21,'01_INPUT_COMPANIES'!$D$81,'92_REF_VARIABLES'!$C$21:$C$21,'01_INPUT_COMPANIES'!$G$81)&lt;&gt;1,AND(IFERROR(INDEX('92_REF_VARIABLES'!$I$21:$I$21,MATCH('01_INPUT_COMPANIES'!$H$81,'92_REF_VARIABLES'!$A$21:$A$21,0)),"")="synthetic_only",'01_INPUT_COMPANIES'!$L$81&lt;&gt;"yes")),"ERROR: BENCHMARK",IF(COUNTIF('92_REF_VARIABLES'!$L$21:$L$50,'01_INPUT_COMPANIES'!$I$81)&lt;&gt;1,"ERROR: CURRENCY",IF(OR(NOT(ISNUMBER('01_INPUT_COMPANIES'!$J$81)),'01_INPUT_COMPANIES'!$J$81&lt;&gt;INT('01_INPUT_COMPANIES'!$J$81),'01_INPUT_COMPANIES'!$J$81&lt;2000,'01_INPUT_COMPANIES'!$J$81&gt;2100),"ERROR: PRICE YEAR",IF(NOT(OR('01_INPUT_COMPANIES'!$K$81="A",'01_INPUT_COMPANIES'!$K$81="B",'01_INPUT_COMPANIES'!$K$81="C",'01_INPUT_COMPANIES'!$K$81="SYNTHETIC")),"ERROR: QUALITY",IF(NOT(OR(AND('01_INPUT_COMPANIES'!$L$81="yes",'01_INPUT_COMPANIES'!$K$81="SYNTHETIC"),AND('01_INPUT_COMPANIES'!$L$81="no",'01_INPUT_COMPANIES'!$K$81&lt;&gt;"SYNTHETIC"))),"ERROR: SYNTHETIC FLAG",IF(NOT(OR('01_INPUT_COMPANIES'!$M$81="direct",'01_INPUT_COMPANIES'!$M$81="derived",'01_INPUT_COMPANIES'!$M$81="proxy",'01_INPUT_COMPANIES'!$M$81="mixed")),"ERROR: CONSTRUCTION MODE",IF(OR(NOT(ISNUMBER('01_INPUT_COMPANIES'!$P$81)),'01_INPUT_COMPANIES'!$P$81&lt;0,'01_INPUT_COMPANIES'!$P$81&lt;&gt;INT('01_INPUT_COMPANIES'!$P$81)),"ERROR: CARRY LAG",IF('01_INPUT_COMPANIES'!$Q$81&lt;&gt;"yes","ERROR: EXPOSURE ADJUSTMENT",IF(OR(NOT(ISNUMBER('01_INPUT_COMPANIES'!$R$81)),'01_INPUT_COMPANIES'!$R$81&lt;0,'01_INPUT_COMPANIES'!$R$81&gt;1),"ERROR: EXPOSURE FACTOR",IF(COUNT(Y81)=0,"ERROR: SCORE",IF(COUNT(Z81)=0,"READY",IF(AA81&lt;=0.0000000001,"PASS","CHECK"))&amp;IF('01_INPUT_COMPANIES'!$K$81="C"," | C QUALITY","")&amp;IF(OR('01_INPUT_COMPANIES'!$M$81="proxy",'01_INPUT_COMPANIES'!$M$81="mixed")," | PROXY/MIXED","")&amp;IF('01_INPUT_COMPANIES'!$P$81&gt;1," | CARRY&gt;1","")&amp;IF(OR(OR('01_INPUT_COMPANIES'!$T$81&lt;-1,'01_INPUT_COMPANIES'!$T$81&gt;1),OR('01_INPUT_COMPANIES'!$U$81&lt;0,'01_INPUT_COMPANIES'!$U$81&gt;1),OR('01_INPUT_COMPANIES'!$V$81&lt;0,'01_INPUT_COMPANIES'!$V$81&gt;1),OR('01_INPUT_COMPANIES'!$W$81&lt;-10,'01_INPUT_COMPANIES'!$W$81&gt;10),OR('01_INPUT_COMPANIES'!$X$81&lt;-1,'01_INPUT_COMPANIES'!$X$81&gt;1),OR('01_INPUT_COMPANIES'!$Y$81&lt;0,'01_INPUT_COMPANIES'!$Y$81&gt;20),OR('01_INPUT_COMPANIES'!$Z$81&lt;-2,'01_INPUT_COMPANIES'!$Z$81&gt;2),OR('01_INPUT_COMPANIES'!$AA$81&lt;0,'01_INPUT_COMPANIES'!$AA$81&gt;1),OR('01_INPUT_COMPANIES'!$AB$81&lt;0,'01_INPUT_COMPANIES'!$AB$81&gt;1),OR('01_INPUT_COMPANIES'!$AC$81&lt;0,'01_INPUT_COMPANIES'!$AC$81&gt;50))," | REVIEW RANGE","")&amp;IF(COUNTIF('90_CALC_FEATURES'!$J$747:$J$756,"WINSORIZED*")&gt;0," | WINSORIZED","")&amp;IF(ABS('01_INPUT_COMPANIES'!$U$81-'01_INPUT_COMPANIES'!$V$81*'01_INPUT_COMPANIES'!$AB$81)&gt;MAX(0.005,0.05*MAX(ABS('01_INPUT_COMPANIES'!$V$81*'01_INPUT_COMPANIES'!$AB$81),ABS('01_INPUT_COMPANIES'!$U$81),0.000000000001))," | DEPENDENCY",""))))))))))))))))))))</x:f>
      </x:c>
      <x:c r="AC81" s="34" t="str">
        <x:f>IF(A81="","",IF(OR(LEFT(AB81,4)="PASS",LEFT(AB81,5)="READY"),"RESEARCH BETA | 저지원 22.22% | 기업 백분위 N/A", "결과 사용 금지 | "&amp;AB81))</x:f>
      </x:c>
      <x:c r="AD81" s="34" t="str">
        <x:f>IF(A81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$81,TRIM('01_INPUT_COMPANIES'!$D$81)),EXACT('01_INPUT_COMPANIES'!$E$81,TRIM('01_INPUT_COMPANIES'!$E$81)),EXACT('01_INPUT_COMPANIES'!$F$81,TRIM('01_INPUT_COMPANIES'!$F$81)),EXACT('01_INPUT_COMPANIES'!$G$81,TRIM('01_INPUT_COMPANIES'!$G$81)),EXACT('01_INPUT_COMPANIES'!$H$81,TRIM('01_INPUT_COMPANIES'!$H$81)))),"ERROR: COHORT WHITESPACE",IF(NOT(IFERROR(AND(ISTEXT('01_INPUT_COMPANIES'!$O$81),LEN('01_INPUT_COMPANIES'!$O$81)=10,VALUE(LEFT('01_INPUT_COMPANIES'!$O$81,4))&gt;=2000,VALUE(LEFT('01_INPUT_COMPANIES'!$O$81,4))&lt;=2100,EXACT(TEXT(DATE(VALUE(LEFT('01_INPUT_COMPANIES'!$O$81,4)),VALUE(MID('01_INPUT_COMPANIES'!$O$81,6,2)),VALUE(RIGHT('01_INPUT_COMPANIES'!$O$81,2))),"yyyy-mm-dd"),'01_INPUT_COMPANIES'!$O$81)),FALSE)),"ERROR: SOURCE DATE",IF(NOT(AND(OR(EXACT('01_INPUT_COMPANIES'!$C$81,"domestic"),EXACT('01_INPUT_COMPANIES'!$C$81,"foreign"),EXACT('01_INPUT_COMPANIES'!$C$81,"other")),OR(EXACT('01_INPUT_COMPANIES'!$K$81,"A"),EXACT('01_INPUT_COMPANIES'!$K$81,"B"),EXACT('01_INPUT_COMPANIES'!$K$81,"C"),EXACT('01_INPUT_COMPANIES'!$K$81,"SYNTHETIC")),OR(EXACT('01_INPUT_COMPANIES'!$L$81,"yes"),EXACT('01_INPUT_COMPANIES'!$L$81,"no")),OR(EXACT('01_INPUT_COMPANIES'!$M$81,"direct"),EXACT('01_INPUT_COMPANIES'!$M$81,"derived"),EXACT('01_INPUT_COMPANIES'!$M$81,"proxy"),EXACT('01_INPUT_COMPANIES'!$M$81,"mixed")),OR(EXACT('01_INPUT_COMPANIES'!$Q$81,"yes")),EXACT('01_INPUT_COMPANIES'!$I$81,UPPER('01_INPUT_COMPANIES'!$I$81)))),"ERROR: EXACT ENUM",IF(NOT(IFERROR(OR(AND(EXACT('92_REF_VARIABLES'!$A$21,'01_INPUT_COMPANIES'!$H$81),EXACT('92_REF_VARIABLES'!$B$21,'01_INPUT_COMPANIES'!$D$81),EXACT('92_REF_VARIABLES'!$C$21,'01_INPUT_COMPANIES'!$G$81))),FALSE)),"ERROR: BENCHMARK",""))))))</x:f>
      </x:c>
    </x:row>
    <x:row r="82">
      <x:c r="A82" s="34" t="str">
        <x:f>IF(OR('01_INPUT_COMPANIES'!$A$82="",'01_INPUT_COMPANIES'!$A$82=""),"",'01_INPUT_COMPANIES'!$A$82)</x:f>
      </x:c>
      <x:c r="B82" s="34" t="str">
        <x:f>IF(OR('01_INPUT_COMPANIES'!$A$82="",'01_INPUT_COMPANIES'!$B$82=""),"",'01_INPUT_COMPANIES'!$B$82)</x:f>
      </x:c>
      <x:c r="C82" s="34" t="str">
        <x:f>IF(OR('01_INPUT_COMPANIES'!$A$82="",'01_INPUT_COMPANIES'!$C$82=""),"",'01_INPUT_COMPANIES'!$C$82)</x:f>
      </x:c>
      <x:c r="D82" s="34" t="str">
        <x:f>IF(OR('01_INPUT_COMPANIES'!$A$82="",'01_INPUT_COMPANIES'!$D$82=""),"",'01_INPUT_COMPANIES'!$D$82)</x:f>
      </x:c>
      <x:c r="E82" s="34" t="str">
        <x:f>IF(OR('01_INPUT_COMPANIES'!$A$82="",'01_INPUT_COMPANIES'!$E$82=""),"",'01_INPUT_COMPANIES'!$E$82)</x:f>
      </x:c>
      <x:c r="F82" s="34" t="str">
        <x:f>IF(OR('01_INPUT_COMPANIES'!$A$82="",'01_INPUT_COMPANIES'!$F$82=""),"",'01_INPUT_COMPANIES'!$F$82)</x:f>
      </x:c>
      <x:c r="G82" s="34" t="str">
        <x:f>IF(OR('01_INPUT_COMPANIES'!$A$82="",'01_INPUT_COMPANIES'!$G$82=""),"",'01_INPUT_COMPANIES'!$G$82)</x:f>
      </x:c>
      <x:c r="H82" s="34" t="str">
        <x:f>IF(OR('01_INPUT_COMPANIES'!$A$82="",'01_INPUT_COMPANIES'!$H$82=""),"",'01_INPUT_COMPANIES'!$H$82)</x:f>
      </x:c>
      <x:c r="I82" s="34" t="str">
        <x:f>IF(OR('01_INPUT_COMPANIES'!$A$82="",'01_INPUT_COMPANIES'!$K$82=""),"",'01_INPUT_COMPANIES'!$K$82)</x:f>
      </x:c>
      <x:c r="J82" s="34" t="str">
        <x:f>IF(OR('01_INPUT_COMPANIES'!$A$82="",'01_INPUT_COMPANIES'!$M$82=""),"",'01_INPUT_COMPANIES'!$M$82)</x:f>
      </x:c>
      <x:c r="K82" s="34" t="str">
        <x:f>IF(OR(A82="",COUNTBLANK(D82:H82)&gt;0),"",LEN(D82)&amp;":"&amp;D82&amp;LEN(E82)&amp;":"&amp;E82&amp;LEN(F82)&amp;":"&amp;F82&amp;LEN(G82)&amp;":"&amp;G82&amp;LEN(H82)&amp;":"&amp;H82)</x:f>
      </x:c>
      <x:c r="L82" s="47" t="str">
        <x:f>IF(A82="","",'90_CALC_FEATURES'!$I$757)</x:f>
      </x:c>
      <x:c r="M82" s="47" t="str">
        <x:f>IF(A82="","",'90_CALC_FEATURES'!$I$758)</x:f>
      </x:c>
      <x:c r="N82" s="47" t="str">
        <x:f>IF(A82="","",'90_CALC_FEATURES'!$I$759)</x:f>
      </x:c>
      <x:c r="O82" s="47" t="str">
        <x:f>IF(A82="","",'90_CALC_FEATURES'!$I$760)</x:f>
      </x:c>
      <x:c r="P82" s="47" t="str">
        <x:f>IF(A82="","",'90_CALC_FEATURES'!$I$761)</x:f>
      </x:c>
      <x:c r="Q82" s="47" t="str">
        <x:f>IF(A82="","",'90_CALC_FEATURES'!$I$762)</x:f>
      </x:c>
      <x:c r="R82" s="47" t="str">
        <x:f>IF(A82="","",'90_CALC_FEATURES'!$I$763)</x:f>
      </x:c>
      <x:c r="S82" s="47" t="str">
        <x:f>IF(A82="","",'90_CALC_FEATURES'!$I$764)</x:f>
      </x:c>
      <x:c r="T82" s="47" t="str">
        <x:f>IF(A82="","",'90_CALC_FEATURES'!$I$765)</x:f>
      </x:c>
      <x:c r="U82" s="47" t="str">
        <x:f>IF(A82="","",'90_CALC_FEATURES'!$I$766)</x:f>
      </x:c>
      <x:c r="V82" s="47" t="str">
        <x:f>IF(COUNT(L82:N82)=3,100*AVERAGE(L82:N82),"")</x:f>
      </x:c>
      <x:c r="W82" s="47" t="str">
        <x:f>IF(COUNT(O82:R82)=4,100*AVERAGE(O82:R82),"")</x:f>
      </x:c>
      <x:c r="X82" s="47" t="str">
        <x:f>IF(COUNT(S82:U82)=3,100*AVERAGE(S82:U82),"")</x:f>
      </x:c>
      <x:c r="Y82" s="47" t="str">
        <x:f>IF(COUNT(V82:X82)=3,AVERAGE(V82:X82),"")</x:f>
      </x:c>
      <x:c r="Z82" s="47" t="str">
        <x:f>IF(OR(AND(EXACT(A82,"SYN-A"),COUNT('01_INPUT_COMPANIES'!$T$82:$AC$82)=10,'01_INPUT_COMPANIES'!$T$82=-0.02,'01_INPUT_COMPANIES'!$U$82=0.1332,'01_INPUT_COMPANIES'!$V$82=0.18,'01_INPUT_COMPANIES'!$W$82=0.42,'01_INPUT_COMPANIES'!$X$82=0.012,'01_INPUT_COMPANIES'!$Y$82=3.2,'01_INPUT_COMPANIES'!$Z$82=0.08,'01_INPUT_COMPANIES'!$AA$82=0.28,'01_INPUT_COMPANIES'!$AB$82=0.74,'01_INPUT_COMPANIES'!$AC$82=8.5),AND(EXACT(A82,"SYN-B"),COUNT('01_INPUT_COMPANIES'!$T$82:$AC$82)=10,'01_INPUT_COMPANIES'!$T$82=-0.055,'01_INPUT_COMPANIES'!$U$82=0.06405,'01_INPUT_COMPANIES'!$V$82=0.105,'01_INPUT_COMPANIES'!$W$82=0.73,'01_INPUT_COMPANIES'!$X$82=0.004,'01_INPUT_COMPANIES'!$Y$82=4.1,'01_INPUT_COMPANIES'!$Z$82=0.025,'01_INPUT_COMPANIES'!$AA$82=0.16,'01_INPUT_COMPANIES'!$AB$82=0.61,'01_INPUT_COMPANIES'!$AC$82=4),AND(EXACT(A82,"SYN-C"),COUNT('01_INPUT_COMPANIES'!$T$82:$AC$82)=10,'01_INPUT_COMPANIES'!$T$82=0.01,'01_INPUT_COMPANIES'!$U$82=0.0986,'01_INPUT_COMPANIES'!$V$82=0.145,'01_INPUT_COMPANIES'!$W$82=0.18,'01_INPUT_COMPANIES'!$X$82=0.018,'01_INPUT_COMPANIES'!$Y$82=2.65,'01_INPUT_COMPANIES'!$Z$82=0.11,'01_INPUT_COMPANIES'!$AA$82=0.34,'01_INPUT_COMPANIES'!$AB$82=0.68,'01_INPUT_COMPANIES'!$AC$82=6.8),AND(EXACT(A82,"SYN-D"),COUNT('01_INPUT_COMPANIES'!$T$82:$AC$82)=10,'01_INPUT_COMPANIES'!$T$82=-0.005,'01_INPUT_COMPANIES'!$U$82=0.1136,'01_INPUT_COMPANIES'!$V$82=0.16,'01_INPUT_COMPANIES'!$W$82=0.51,'01_INPUT_COMPANIES'!$X$82=0.009,'01_INPUT_COMPANIES'!$Y$82=3.55,'01_INPUT_COMPANIES'!$Z$82=0.065,'01_INPUT_COMPANIES'!$AA$82=0.24,'01_INPUT_COMPANIES'!$AB$82=0.71,'01_INPUT_COMPANIES'!$AC$82=7.4)),IFERROR(INDEX('94_EXPECTED_OUTPUTS'!$B$7:$B$10,MATCH(A82,'94_EXPECTED_OUTPUTS'!$A$7:$A$10,0)),""),"")</x:f>
      </x:c>
      <x:c r="AA82" s="47" t="str">
        <x:f>IF(OR(COUNT(Y82)=0,COUNT(Z82)=0),"",ABS(Y82-Z82))</x:f>
      </x:c>
      <x:c r="AB82" s="34" t="str">
        <x:f>IF(A82="","",IF(AD82&lt;&gt;"",AD82,IF('01_INPUT_COMPANIES'!$A$82="","",IF(OR(LEN(TRIM('01_INPUT_COMPANIES'!$A$82&amp;""))=0,LEN(TRIM('01_INPUT_COMPANIES'!$B$82&amp;""))=0,LEN(TRIM('01_INPUT_COMPANIES'!$C$82&amp;""))=0,LEN(TRIM('01_INPUT_COMPANIES'!$D$82&amp;""))=0,LEN(TRIM('01_INPUT_COMPANIES'!$E$82&amp;""))=0,LEN(TRIM('01_INPUT_COMPANIES'!$F$82&amp;""))=0,LEN(TRIM('01_INPUT_COMPANIES'!$G$82&amp;""))=0,LEN(TRIM('01_INPUT_COMPANIES'!$H$82&amp;""))=0,LEN(TRIM('01_INPUT_COMPANIES'!$I$82&amp;""))=0,LEN(TRIM('01_INPUT_COMPANIES'!$K$82&amp;""))=0,LEN(TRIM('01_INPUT_COMPANIES'!$L$82&amp;""))=0,LEN(TRIM('01_INPUT_COMPANIES'!$M$82&amp;""))=0,LEN(TRIM('01_INPUT_COMPANIES'!$N$82&amp;""))=0,LEN(TRIM('01_INPUT_COMPANIES'!$O$82&amp;""))=0,LEN(TRIM('01_INPUT_COMPANIES'!$Q$82&amp;""))=0,COUNTBLANK('01_INPUT_COMPANIES'!$A$82:$R$82)&gt;0),"INPUT REQUIRED",IF(OR('01_INPUT_COMPANIES'!$A$82&lt;&gt;TRIM('01_INPUT_COMPANIES'!$A$82),NOT(EXACT('01_INPUT_COMPANIES'!$A$82,UPPER('01_INPUT_COMPANIES'!$A$82))),LEN('01_INPUT_COMPANIES'!$A$82)&gt;64,ISNUMBER(FIND("*",'01_INPUT_COMPANIES'!$A$82)),ISNUMBER(FIND("?",'01_INPUT_COMPANIES'!$A$82)),ISNUMBER(FIND("~",'01_INPUT_COMPANIES'!$A$82))),"ERROR: ID FORMAT",IF(COUNTIF('01_INPUT_COMPANIES'!$A$7:$A$106,'01_INPUT_COMPANIES'!$A$82)&lt;&gt;1,"ERROR: DUPLICATE ID",IF(COUNT('01_INPUT_COMPANIES'!$T$82:$AC$82)&lt;&gt;10,"INPUT REQUIRED",IF(NOT(OR('01_INPUT_COMPANIES'!$C$82="domestic",'01_INPUT_COMPANIES'!$C$82="foreign",'01_INPUT_COMPANIES'!$C$82="other")),"ERROR: COMPANY GROUP",IF(OR(LEN('01_INPUT_COMPANIES'!$G$82)&lt;&gt;6,MID('01_INPUT_COMPANIES'!$G$82,5,1)&lt;&gt;"Q",IFERROR(VALUE(LEFT('01_INPUT_COMPANIES'!$G$82,4)),0)&lt;2000,IFERROR(VALUE(LEFT('01_INPUT_COMPANIES'!$G$82,4)),0)&gt;2100,IFERROR(VALUE(RIGHT('01_INPUT_COMPANIES'!$G$82,1)),0)&lt;1,IFERROR(VALUE(RIGHT('01_INPUT_COMPANIES'!$G$82,1)),0)&gt;4),"ERROR: REPORTING PERIOD",IF(OR(COUNTIFS('92_REF_VARIABLES'!$A$21:$A$21,'01_INPUT_COMPANIES'!$H$82,'92_REF_VARIABLES'!$B$21:$B$21,'01_INPUT_COMPANIES'!$D$82,'92_REF_VARIABLES'!$C$21:$C$21,'01_INPUT_COMPANIES'!$G$82)&lt;&gt;1,AND(IFERROR(INDEX('92_REF_VARIABLES'!$I$21:$I$21,MATCH('01_INPUT_COMPANIES'!$H$82,'92_REF_VARIABLES'!$A$21:$A$21,0)),"")="synthetic_only",'01_INPUT_COMPANIES'!$L$82&lt;&gt;"yes")),"ERROR: BENCHMARK",IF(COUNTIF('92_REF_VARIABLES'!$L$21:$L$50,'01_INPUT_COMPANIES'!$I$82)&lt;&gt;1,"ERROR: CURRENCY",IF(OR(NOT(ISNUMBER('01_INPUT_COMPANIES'!$J$82)),'01_INPUT_COMPANIES'!$J$82&lt;&gt;INT('01_INPUT_COMPANIES'!$J$82),'01_INPUT_COMPANIES'!$J$82&lt;2000,'01_INPUT_COMPANIES'!$J$82&gt;2100),"ERROR: PRICE YEAR",IF(NOT(OR('01_INPUT_COMPANIES'!$K$82="A",'01_INPUT_COMPANIES'!$K$82="B",'01_INPUT_COMPANIES'!$K$82="C",'01_INPUT_COMPANIES'!$K$82="SYNTHETIC")),"ERROR: QUALITY",IF(NOT(OR(AND('01_INPUT_COMPANIES'!$L$82="yes",'01_INPUT_COMPANIES'!$K$82="SYNTHETIC"),AND('01_INPUT_COMPANIES'!$L$82="no",'01_INPUT_COMPANIES'!$K$82&lt;&gt;"SYNTHETIC"))),"ERROR: SYNTHETIC FLAG",IF(NOT(OR('01_INPUT_COMPANIES'!$M$82="direct",'01_INPUT_COMPANIES'!$M$82="derived",'01_INPUT_COMPANIES'!$M$82="proxy",'01_INPUT_COMPANIES'!$M$82="mixed")),"ERROR: CONSTRUCTION MODE",IF(OR(NOT(ISNUMBER('01_INPUT_COMPANIES'!$P$82)),'01_INPUT_COMPANIES'!$P$82&lt;0,'01_INPUT_COMPANIES'!$P$82&lt;&gt;INT('01_INPUT_COMPANIES'!$P$82)),"ERROR: CARRY LAG",IF('01_INPUT_COMPANIES'!$Q$82&lt;&gt;"yes","ERROR: EXPOSURE ADJUSTMENT",IF(OR(NOT(ISNUMBER('01_INPUT_COMPANIES'!$R$82)),'01_INPUT_COMPANIES'!$R$82&lt;0,'01_INPUT_COMPANIES'!$R$82&gt;1),"ERROR: EXPOSURE FACTOR",IF(COUNT(Y82)=0,"ERROR: SCORE",IF(COUNT(Z82)=0,"READY",IF(AA82&lt;=0.0000000001,"PASS","CHECK"))&amp;IF('01_INPUT_COMPANIES'!$K$82="C"," | C QUALITY","")&amp;IF(OR('01_INPUT_COMPANIES'!$M$82="proxy",'01_INPUT_COMPANIES'!$M$82="mixed")," | PROXY/MIXED","")&amp;IF('01_INPUT_COMPANIES'!$P$82&gt;1," | CARRY&gt;1","")&amp;IF(OR(OR('01_INPUT_COMPANIES'!$T$82&lt;-1,'01_INPUT_COMPANIES'!$T$82&gt;1),OR('01_INPUT_COMPANIES'!$U$82&lt;0,'01_INPUT_COMPANIES'!$U$82&gt;1),OR('01_INPUT_COMPANIES'!$V$82&lt;0,'01_INPUT_COMPANIES'!$V$82&gt;1),OR('01_INPUT_COMPANIES'!$W$82&lt;-10,'01_INPUT_COMPANIES'!$W$82&gt;10),OR('01_INPUT_COMPANIES'!$X$82&lt;-1,'01_INPUT_COMPANIES'!$X$82&gt;1),OR('01_INPUT_COMPANIES'!$Y$82&lt;0,'01_INPUT_COMPANIES'!$Y$82&gt;20),OR('01_INPUT_COMPANIES'!$Z$82&lt;-2,'01_INPUT_COMPANIES'!$Z$82&gt;2),OR('01_INPUT_COMPANIES'!$AA$82&lt;0,'01_INPUT_COMPANIES'!$AA$82&gt;1),OR('01_INPUT_COMPANIES'!$AB$82&lt;0,'01_INPUT_COMPANIES'!$AB$82&gt;1),OR('01_INPUT_COMPANIES'!$AC$82&lt;0,'01_INPUT_COMPANIES'!$AC$82&gt;50))," | REVIEW RANGE","")&amp;IF(COUNTIF('90_CALC_FEATURES'!$J$757:$J$766,"WINSORIZED*")&gt;0," | WINSORIZED","")&amp;IF(ABS('01_INPUT_COMPANIES'!$U$82-'01_INPUT_COMPANIES'!$V$82*'01_INPUT_COMPANIES'!$AB$82)&gt;MAX(0.005,0.05*MAX(ABS('01_INPUT_COMPANIES'!$V$82*'01_INPUT_COMPANIES'!$AB$82),ABS('01_INPUT_COMPANIES'!$U$82),0.000000000001))," | DEPENDENCY",""))))))))))))))))))))</x:f>
      </x:c>
      <x:c r="AC82" s="34" t="str">
        <x:f>IF(A82="","",IF(OR(LEFT(AB82,4)="PASS",LEFT(AB82,5)="READY"),"RESEARCH BETA | 저지원 22.22% | 기업 백분위 N/A", "결과 사용 금지 | "&amp;AB82))</x:f>
      </x:c>
      <x:c r="AD82" s="34" t="str">
        <x:f>IF(A82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$82,TRIM('01_INPUT_COMPANIES'!$D$82)),EXACT('01_INPUT_COMPANIES'!$E$82,TRIM('01_INPUT_COMPANIES'!$E$82)),EXACT('01_INPUT_COMPANIES'!$F$82,TRIM('01_INPUT_COMPANIES'!$F$82)),EXACT('01_INPUT_COMPANIES'!$G$82,TRIM('01_INPUT_COMPANIES'!$G$82)),EXACT('01_INPUT_COMPANIES'!$H$82,TRIM('01_INPUT_COMPANIES'!$H$82)))),"ERROR: COHORT WHITESPACE",IF(NOT(IFERROR(AND(ISTEXT('01_INPUT_COMPANIES'!$O$82),LEN('01_INPUT_COMPANIES'!$O$82)=10,VALUE(LEFT('01_INPUT_COMPANIES'!$O$82,4))&gt;=2000,VALUE(LEFT('01_INPUT_COMPANIES'!$O$82,4))&lt;=2100,EXACT(TEXT(DATE(VALUE(LEFT('01_INPUT_COMPANIES'!$O$82,4)),VALUE(MID('01_INPUT_COMPANIES'!$O$82,6,2)),VALUE(RIGHT('01_INPUT_COMPANIES'!$O$82,2))),"yyyy-mm-dd"),'01_INPUT_COMPANIES'!$O$82)),FALSE)),"ERROR: SOURCE DATE",IF(NOT(AND(OR(EXACT('01_INPUT_COMPANIES'!$C$82,"domestic"),EXACT('01_INPUT_COMPANIES'!$C$82,"foreign"),EXACT('01_INPUT_COMPANIES'!$C$82,"other")),OR(EXACT('01_INPUT_COMPANIES'!$K$82,"A"),EXACT('01_INPUT_COMPANIES'!$K$82,"B"),EXACT('01_INPUT_COMPANIES'!$K$82,"C"),EXACT('01_INPUT_COMPANIES'!$K$82,"SYNTHETIC")),OR(EXACT('01_INPUT_COMPANIES'!$L$82,"yes"),EXACT('01_INPUT_COMPANIES'!$L$82,"no")),OR(EXACT('01_INPUT_COMPANIES'!$M$82,"direct"),EXACT('01_INPUT_COMPANIES'!$M$82,"derived"),EXACT('01_INPUT_COMPANIES'!$M$82,"proxy"),EXACT('01_INPUT_COMPANIES'!$M$82,"mixed")),OR(EXACT('01_INPUT_COMPANIES'!$Q$82,"yes")),EXACT('01_INPUT_COMPANIES'!$I$82,UPPER('01_INPUT_COMPANIES'!$I$82)))),"ERROR: EXACT ENUM",IF(NOT(IFERROR(OR(AND(EXACT('92_REF_VARIABLES'!$A$21,'01_INPUT_COMPANIES'!$H$82),EXACT('92_REF_VARIABLES'!$B$21,'01_INPUT_COMPANIES'!$D$82),EXACT('92_REF_VARIABLES'!$C$21,'01_INPUT_COMPANIES'!$G$82))),FALSE)),"ERROR: BENCHMARK",""))))))</x:f>
      </x:c>
    </x:row>
    <x:row r="83">
      <x:c r="A83" s="34" t="str">
        <x:f>IF(OR('01_INPUT_COMPANIES'!$A$83="",'01_INPUT_COMPANIES'!$A$83=""),"",'01_INPUT_COMPANIES'!$A$83)</x:f>
      </x:c>
      <x:c r="B83" s="34" t="str">
        <x:f>IF(OR('01_INPUT_COMPANIES'!$A$83="",'01_INPUT_COMPANIES'!$B$83=""),"",'01_INPUT_COMPANIES'!$B$83)</x:f>
      </x:c>
      <x:c r="C83" s="34" t="str">
        <x:f>IF(OR('01_INPUT_COMPANIES'!$A$83="",'01_INPUT_COMPANIES'!$C$83=""),"",'01_INPUT_COMPANIES'!$C$83)</x:f>
      </x:c>
      <x:c r="D83" s="34" t="str">
        <x:f>IF(OR('01_INPUT_COMPANIES'!$A$83="",'01_INPUT_COMPANIES'!$D$83=""),"",'01_INPUT_COMPANIES'!$D$83)</x:f>
      </x:c>
      <x:c r="E83" s="34" t="str">
        <x:f>IF(OR('01_INPUT_COMPANIES'!$A$83="",'01_INPUT_COMPANIES'!$E$83=""),"",'01_INPUT_COMPANIES'!$E$83)</x:f>
      </x:c>
      <x:c r="F83" s="34" t="str">
        <x:f>IF(OR('01_INPUT_COMPANIES'!$A$83="",'01_INPUT_COMPANIES'!$F$83=""),"",'01_INPUT_COMPANIES'!$F$83)</x:f>
      </x:c>
      <x:c r="G83" s="34" t="str">
        <x:f>IF(OR('01_INPUT_COMPANIES'!$A$83="",'01_INPUT_COMPANIES'!$G$83=""),"",'01_INPUT_COMPANIES'!$G$83)</x:f>
      </x:c>
      <x:c r="H83" s="34" t="str">
        <x:f>IF(OR('01_INPUT_COMPANIES'!$A$83="",'01_INPUT_COMPANIES'!$H$83=""),"",'01_INPUT_COMPANIES'!$H$83)</x:f>
      </x:c>
      <x:c r="I83" s="34" t="str">
        <x:f>IF(OR('01_INPUT_COMPANIES'!$A$83="",'01_INPUT_COMPANIES'!$K$83=""),"",'01_INPUT_COMPANIES'!$K$83)</x:f>
      </x:c>
      <x:c r="J83" s="34" t="str">
        <x:f>IF(OR('01_INPUT_COMPANIES'!$A$83="",'01_INPUT_COMPANIES'!$M$83=""),"",'01_INPUT_COMPANIES'!$M$83)</x:f>
      </x:c>
      <x:c r="K83" s="34" t="str">
        <x:f>IF(OR(A83="",COUNTBLANK(D83:H83)&gt;0),"",LEN(D83)&amp;":"&amp;D83&amp;LEN(E83)&amp;":"&amp;E83&amp;LEN(F83)&amp;":"&amp;F83&amp;LEN(G83)&amp;":"&amp;G83&amp;LEN(H83)&amp;":"&amp;H83)</x:f>
      </x:c>
      <x:c r="L83" s="47" t="str">
        <x:f>IF(A83="","",'90_CALC_FEATURES'!$I$767)</x:f>
      </x:c>
      <x:c r="M83" s="47" t="str">
        <x:f>IF(A83="","",'90_CALC_FEATURES'!$I$768)</x:f>
      </x:c>
      <x:c r="N83" s="47" t="str">
        <x:f>IF(A83="","",'90_CALC_FEATURES'!$I$769)</x:f>
      </x:c>
      <x:c r="O83" s="47" t="str">
        <x:f>IF(A83="","",'90_CALC_FEATURES'!$I$770)</x:f>
      </x:c>
      <x:c r="P83" s="47" t="str">
        <x:f>IF(A83="","",'90_CALC_FEATURES'!$I$771)</x:f>
      </x:c>
      <x:c r="Q83" s="47" t="str">
        <x:f>IF(A83="","",'90_CALC_FEATURES'!$I$772)</x:f>
      </x:c>
      <x:c r="R83" s="47" t="str">
        <x:f>IF(A83="","",'90_CALC_FEATURES'!$I$773)</x:f>
      </x:c>
      <x:c r="S83" s="47" t="str">
        <x:f>IF(A83="","",'90_CALC_FEATURES'!$I$774)</x:f>
      </x:c>
      <x:c r="T83" s="47" t="str">
        <x:f>IF(A83="","",'90_CALC_FEATURES'!$I$775)</x:f>
      </x:c>
      <x:c r="U83" s="47" t="str">
        <x:f>IF(A83="","",'90_CALC_FEATURES'!$I$776)</x:f>
      </x:c>
      <x:c r="V83" s="47" t="str">
        <x:f>IF(COUNT(L83:N83)=3,100*AVERAGE(L83:N83),"")</x:f>
      </x:c>
      <x:c r="W83" s="47" t="str">
        <x:f>IF(COUNT(O83:R83)=4,100*AVERAGE(O83:R83),"")</x:f>
      </x:c>
      <x:c r="X83" s="47" t="str">
        <x:f>IF(COUNT(S83:U83)=3,100*AVERAGE(S83:U83),"")</x:f>
      </x:c>
      <x:c r="Y83" s="47" t="str">
        <x:f>IF(COUNT(V83:X83)=3,AVERAGE(V83:X83),"")</x:f>
      </x:c>
      <x:c r="Z83" s="47" t="str">
        <x:f>IF(OR(AND(EXACT(A83,"SYN-A"),COUNT('01_INPUT_COMPANIES'!$T$83:$AC$83)=10,'01_INPUT_COMPANIES'!$T$83=-0.02,'01_INPUT_COMPANIES'!$U$83=0.1332,'01_INPUT_COMPANIES'!$V$83=0.18,'01_INPUT_COMPANIES'!$W$83=0.42,'01_INPUT_COMPANIES'!$X$83=0.012,'01_INPUT_COMPANIES'!$Y$83=3.2,'01_INPUT_COMPANIES'!$Z$83=0.08,'01_INPUT_COMPANIES'!$AA$83=0.28,'01_INPUT_COMPANIES'!$AB$83=0.74,'01_INPUT_COMPANIES'!$AC$83=8.5),AND(EXACT(A83,"SYN-B"),COUNT('01_INPUT_COMPANIES'!$T$83:$AC$83)=10,'01_INPUT_COMPANIES'!$T$83=-0.055,'01_INPUT_COMPANIES'!$U$83=0.06405,'01_INPUT_COMPANIES'!$V$83=0.105,'01_INPUT_COMPANIES'!$W$83=0.73,'01_INPUT_COMPANIES'!$X$83=0.004,'01_INPUT_COMPANIES'!$Y$83=4.1,'01_INPUT_COMPANIES'!$Z$83=0.025,'01_INPUT_COMPANIES'!$AA$83=0.16,'01_INPUT_COMPANIES'!$AB$83=0.61,'01_INPUT_COMPANIES'!$AC$83=4),AND(EXACT(A83,"SYN-C"),COUNT('01_INPUT_COMPANIES'!$T$83:$AC$83)=10,'01_INPUT_COMPANIES'!$T$83=0.01,'01_INPUT_COMPANIES'!$U$83=0.0986,'01_INPUT_COMPANIES'!$V$83=0.145,'01_INPUT_COMPANIES'!$W$83=0.18,'01_INPUT_COMPANIES'!$X$83=0.018,'01_INPUT_COMPANIES'!$Y$83=2.65,'01_INPUT_COMPANIES'!$Z$83=0.11,'01_INPUT_COMPANIES'!$AA$83=0.34,'01_INPUT_COMPANIES'!$AB$83=0.68,'01_INPUT_COMPANIES'!$AC$83=6.8),AND(EXACT(A83,"SYN-D"),COUNT('01_INPUT_COMPANIES'!$T$83:$AC$83)=10,'01_INPUT_COMPANIES'!$T$83=-0.005,'01_INPUT_COMPANIES'!$U$83=0.1136,'01_INPUT_COMPANIES'!$V$83=0.16,'01_INPUT_COMPANIES'!$W$83=0.51,'01_INPUT_COMPANIES'!$X$83=0.009,'01_INPUT_COMPANIES'!$Y$83=3.55,'01_INPUT_COMPANIES'!$Z$83=0.065,'01_INPUT_COMPANIES'!$AA$83=0.24,'01_INPUT_COMPANIES'!$AB$83=0.71,'01_INPUT_COMPANIES'!$AC$83=7.4)),IFERROR(INDEX('94_EXPECTED_OUTPUTS'!$B$7:$B$10,MATCH(A83,'94_EXPECTED_OUTPUTS'!$A$7:$A$10,0)),""),"")</x:f>
      </x:c>
      <x:c r="AA83" s="47" t="str">
        <x:f>IF(OR(COUNT(Y83)=0,COUNT(Z83)=0),"",ABS(Y83-Z83))</x:f>
      </x:c>
      <x:c r="AB83" s="34" t="str">
        <x:f>IF(A83="","",IF(AD83&lt;&gt;"",AD83,IF('01_INPUT_COMPANIES'!$A$83="","",IF(OR(LEN(TRIM('01_INPUT_COMPANIES'!$A$83&amp;""))=0,LEN(TRIM('01_INPUT_COMPANIES'!$B$83&amp;""))=0,LEN(TRIM('01_INPUT_COMPANIES'!$C$83&amp;""))=0,LEN(TRIM('01_INPUT_COMPANIES'!$D$83&amp;""))=0,LEN(TRIM('01_INPUT_COMPANIES'!$E$83&amp;""))=0,LEN(TRIM('01_INPUT_COMPANIES'!$F$83&amp;""))=0,LEN(TRIM('01_INPUT_COMPANIES'!$G$83&amp;""))=0,LEN(TRIM('01_INPUT_COMPANIES'!$H$83&amp;""))=0,LEN(TRIM('01_INPUT_COMPANIES'!$I$83&amp;""))=0,LEN(TRIM('01_INPUT_COMPANIES'!$K$83&amp;""))=0,LEN(TRIM('01_INPUT_COMPANIES'!$L$83&amp;""))=0,LEN(TRIM('01_INPUT_COMPANIES'!$M$83&amp;""))=0,LEN(TRIM('01_INPUT_COMPANIES'!$N$83&amp;""))=0,LEN(TRIM('01_INPUT_COMPANIES'!$O$83&amp;""))=0,LEN(TRIM('01_INPUT_COMPANIES'!$Q$83&amp;""))=0,COUNTBLANK('01_INPUT_COMPANIES'!$A$83:$R$83)&gt;0),"INPUT REQUIRED",IF(OR('01_INPUT_COMPANIES'!$A$83&lt;&gt;TRIM('01_INPUT_COMPANIES'!$A$83),NOT(EXACT('01_INPUT_COMPANIES'!$A$83,UPPER('01_INPUT_COMPANIES'!$A$83))),LEN('01_INPUT_COMPANIES'!$A$83)&gt;64,ISNUMBER(FIND("*",'01_INPUT_COMPANIES'!$A$83)),ISNUMBER(FIND("?",'01_INPUT_COMPANIES'!$A$83)),ISNUMBER(FIND("~",'01_INPUT_COMPANIES'!$A$83))),"ERROR: ID FORMAT",IF(COUNTIF('01_INPUT_COMPANIES'!$A$7:$A$106,'01_INPUT_COMPANIES'!$A$83)&lt;&gt;1,"ERROR: DUPLICATE ID",IF(COUNT('01_INPUT_COMPANIES'!$T$83:$AC$83)&lt;&gt;10,"INPUT REQUIRED",IF(NOT(OR('01_INPUT_COMPANIES'!$C$83="domestic",'01_INPUT_COMPANIES'!$C$83="foreign",'01_INPUT_COMPANIES'!$C$83="other")),"ERROR: COMPANY GROUP",IF(OR(LEN('01_INPUT_COMPANIES'!$G$83)&lt;&gt;6,MID('01_INPUT_COMPANIES'!$G$83,5,1)&lt;&gt;"Q",IFERROR(VALUE(LEFT('01_INPUT_COMPANIES'!$G$83,4)),0)&lt;2000,IFERROR(VALUE(LEFT('01_INPUT_COMPANIES'!$G$83,4)),0)&gt;2100,IFERROR(VALUE(RIGHT('01_INPUT_COMPANIES'!$G$83,1)),0)&lt;1,IFERROR(VALUE(RIGHT('01_INPUT_COMPANIES'!$G$83,1)),0)&gt;4),"ERROR: REPORTING PERIOD",IF(OR(COUNTIFS('92_REF_VARIABLES'!$A$21:$A$21,'01_INPUT_COMPANIES'!$H$83,'92_REF_VARIABLES'!$B$21:$B$21,'01_INPUT_COMPANIES'!$D$83,'92_REF_VARIABLES'!$C$21:$C$21,'01_INPUT_COMPANIES'!$G$83)&lt;&gt;1,AND(IFERROR(INDEX('92_REF_VARIABLES'!$I$21:$I$21,MATCH('01_INPUT_COMPANIES'!$H$83,'92_REF_VARIABLES'!$A$21:$A$21,0)),"")="synthetic_only",'01_INPUT_COMPANIES'!$L$83&lt;&gt;"yes")),"ERROR: BENCHMARK",IF(COUNTIF('92_REF_VARIABLES'!$L$21:$L$50,'01_INPUT_COMPANIES'!$I$83)&lt;&gt;1,"ERROR: CURRENCY",IF(OR(NOT(ISNUMBER('01_INPUT_COMPANIES'!$J$83)),'01_INPUT_COMPANIES'!$J$83&lt;&gt;INT('01_INPUT_COMPANIES'!$J$83),'01_INPUT_COMPANIES'!$J$83&lt;2000,'01_INPUT_COMPANIES'!$J$83&gt;2100),"ERROR: PRICE YEAR",IF(NOT(OR('01_INPUT_COMPANIES'!$K$83="A",'01_INPUT_COMPANIES'!$K$83="B",'01_INPUT_COMPANIES'!$K$83="C",'01_INPUT_COMPANIES'!$K$83="SYNTHETIC")),"ERROR: QUALITY",IF(NOT(OR(AND('01_INPUT_COMPANIES'!$L$83="yes",'01_INPUT_COMPANIES'!$K$83="SYNTHETIC"),AND('01_INPUT_COMPANIES'!$L$83="no",'01_INPUT_COMPANIES'!$K$83&lt;&gt;"SYNTHETIC"))),"ERROR: SYNTHETIC FLAG",IF(NOT(OR('01_INPUT_COMPANIES'!$M$83="direct",'01_INPUT_COMPANIES'!$M$83="derived",'01_INPUT_COMPANIES'!$M$83="proxy",'01_INPUT_COMPANIES'!$M$83="mixed")),"ERROR: CONSTRUCTION MODE",IF(OR(NOT(ISNUMBER('01_INPUT_COMPANIES'!$P$83)),'01_INPUT_COMPANIES'!$P$83&lt;0,'01_INPUT_COMPANIES'!$P$83&lt;&gt;INT('01_INPUT_COMPANIES'!$P$83)),"ERROR: CARRY LAG",IF('01_INPUT_COMPANIES'!$Q$83&lt;&gt;"yes","ERROR: EXPOSURE ADJUSTMENT",IF(OR(NOT(ISNUMBER('01_INPUT_COMPANIES'!$R$83)),'01_INPUT_COMPANIES'!$R$83&lt;0,'01_INPUT_COMPANIES'!$R$83&gt;1),"ERROR: EXPOSURE FACTOR",IF(COUNT(Y83)=0,"ERROR: SCORE",IF(COUNT(Z83)=0,"READY",IF(AA83&lt;=0.0000000001,"PASS","CHECK"))&amp;IF('01_INPUT_COMPANIES'!$K$83="C"," | C QUALITY","")&amp;IF(OR('01_INPUT_COMPANIES'!$M$83="proxy",'01_INPUT_COMPANIES'!$M$83="mixed")," | PROXY/MIXED","")&amp;IF('01_INPUT_COMPANIES'!$P$83&gt;1," | CARRY&gt;1","")&amp;IF(OR(OR('01_INPUT_COMPANIES'!$T$83&lt;-1,'01_INPUT_COMPANIES'!$T$83&gt;1),OR('01_INPUT_COMPANIES'!$U$83&lt;0,'01_INPUT_COMPANIES'!$U$83&gt;1),OR('01_INPUT_COMPANIES'!$V$83&lt;0,'01_INPUT_COMPANIES'!$V$83&gt;1),OR('01_INPUT_COMPANIES'!$W$83&lt;-10,'01_INPUT_COMPANIES'!$W$83&gt;10),OR('01_INPUT_COMPANIES'!$X$83&lt;-1,'01_INPUT_COMPANIES'!$X$83&gt;1),OR('01_INPUT_COMPANIES'!$Y$83&lt;0,'01_INPUT_COMPANIES'!$Y$83&gt;20),OR('01_INPUT_COMPANIES'!$Z$83&lt;-2,'01_INPUT_COMPANIES'!$Z$83&gt;2),OR('01_INPUT_COMPANIES'!$AA$83&lt;0,'01_INPUT_COMPANIES'!$AA$83&gt;1),OR('01_INPUT_COMPANIES'!$AB$83&lt;0,'01_INPUT_COMPANIES'!$AB$83&gt;1),OR('01_INPUT_COMPANIES'!$AC$83&lt;0,'01_INPUT_COMPANIES'!$AC$83&gt;50))," | REVIEW RANGE","")&amp;IF(COUNTIF('90_CALC_FEATURES'!$J$767:$J$776,"WINSORIZED*")&gt;0," | WINSORIZED","")&amp;IF(ABS('01_INPUT_COMPANIES'!$U$83-'01_INPUT_COMPANIES'!$V$83*'01_INPUT_COMPANIES'!$AB$83)&gt;MAX(0.005,0.05*MAX(ABS('01_INPUT_COMPANIES'!$V$83*'01_INPUT_COMPANIES'!$AB$83),ABS('01_INPUT_COMPANIES'!$U$83),0.000000000001))," | DEPENDENCY",""))))))))))))))))))))</x:f>
      </x:c>
      <x:c r="AC83" s="34" t="str">
        <x:f>IF(A83="","",IF(OR(LEFT(AB83,4)="PASS",LEFT(AB83,5)="READY"),"RESEARCH BETA | 저지원 22.22% | 기업 백분위 N/A", "결과 사용 금지 | "&amp;AB83))</x:f>
      </x:c>
      <x:c r="AD83" s="34" t="str">
        <x:f>IF(A83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$83,TRIM('01_INPUT_COMPANIES'!$D$83)),EXACT('01_INPUT_COMPANIES'!$E$83,TRIM('01_INPUT_COMPANIES'!$E$83)),EXACT('01_INPUT_COMPANIES'!$F$83,TRIM('01_INPUT_COMPANIES'!$F$83)),EXACT('01_INPUT_COMPANIES'!$G$83,TRIM('01_INPUT_COMPANIES'!$G$83)),EXACT('01_INPUT_COMPANIES'!$H$83,TRIM('01_INPUT_COMPANIES'!$H$83)))),"ERROR: COHORT WHITESPACE",IF(NOT(IFERROR(AND(ISTEXT('01_INPUT_COMPANIES'!$O$83),LEN('01_INPUT_COMPANIES'!$O$83)=10,VALUE(LEFT('01_INPUT_COMPANIES'!$O$83,4))&gt;=2000,VALUE(LEFT('01_INPUT_COMPANIES'!$O$83,4))&lt;=2100,EXACT(TEXT(DATE(VALUE(LEFT('01_INPUT_COMPANIES'!$O$83,4)),VALUE(MID('01_INPUT_COMPANIES'!$O$83,6,2)),VALUE(RIGHT('01_INPUT_COMPANIES'!$O$83,2))),"yyyy-mm-dd"),'01_INPUT_COMPANIES'!$O$83)),FALSE)),"ERROR: SOURCE DATE",IF(NOT(AND(OR(EXACT('01_INPUT_COMPANIES'!$C$83,"domestic"),EXACT('01_INPUT_COMPANIES'!$C$83,"foreign"),EXACT('01_INPUT_COMPANIES'!$C$83,"other")),OR(EXACT('01_INPUT_COMPANIES'!$K$83,"A"),EXACT('01_INPUT_COMPANIES'!$K$83,"B"),EXACT('01_INPUT_COMPANIES'!$K$83,"C"),EXACT('01_INPUT_COMPANIES'!$K$83,"SYNTHETIC")),OR(EXACT('01_INPUT_COMPANIES'!$L$83,"yes"),EXACT('01_INPUT_COMPANIES'!$L$83,"no")),OR(EXACT('01_INPUT_COMPANIES'!$M$83,"direct"),EXACT('01_INPUT_COMPANIES'!$M$83,"derived"),EXACT('01_INPUT_COMPANIES'!$M$83,"proxy"),EXACT('01_INPUT_COMPANIES'!$M$83,"mixed")),OR(EXACT('01_INPUT_COMPANIES'!$Q$83,"yes")),EXACT('01_INPUT_COMPANIES'!$I$83,UPPER('01_INPUT_COMPANIES'!$I$83)))),"ERROR: EXACT ENUM",IF(NOT(IFERROR(OR(AND(EXACT('92_REF_VARIABLES'!$A$21,'01_INPUT_COMPANIES'!$H$83),EXACT('92_REF_VARIABLES'!$B$21,'01_INPUT_COMPANIES'!$D$83),EXACT('92_REF_VARIABLES'!$C$21,'01_INPUT_COMPANIES'!$G$83))),FALSE)),"ERROR: BENCHMARK",""))))))</x:f>
      </x:c>
    </x:row>
    <x:row r="84">
      <x:c r="A84" s="34" t="str">
        <x:f>IF(OR('01_INPUT_COMPANIES'!$A$84="",'01_INPUT_COMPANIES'!$A$84=""),"",'01_INPUT_COMPANIES'!$A$84)</x:f>
      </x:c>
      <x:c r="B84" s="34" t="str">
        <x:f>IF(OR('01_INPUT_COMPANIES'!$A$84="",'01_INPUT_COMPANIES'!$B$84=""),"",'01_INPUT_COMPANIES'!$B$84)</x:f>
      </x:c>
      <x:c r="C84" s="34" t="str">
        <x:f>IF(OR('01_INPUT_COMPANIES'!$A$84="",'01_INPUT_COMPANIES'!$C$84=""),"",'01_INPUT_COMPANIES'!$C$84)</x:f>
      </x:c>
      <x:c r="D84" s="34" t="str">
        <x:f>IF(OR('01_INPUT_COMPANIES'!$A$84="",'01_INPUT_COMPANIES'!$D$84=""),"",'01_INPUT_COMPANIES'!$D$84)</x:f>
      </x:c>
      <x:c r="E84" s="34" t="str">
        <x:f>IF(OR('01_INPUT_COMPANIES'!$A$84="",'01_INPUT_COMPANIES'!$E$84=""),"",'01_INPUT_COMPANIES'!$E$84)</x:f>
      </x:c>
      <x:c r="F84" s="34" t="str">
        <x:f>IF(OR('01_INPUT_COMPANIES'!$A$84="",'01_INPUT_COMPANIES'!$F$84=""),"",'01_INPUT_COMPANIES'!$F$84)</x:f>
      </x:c>
      <x:c r="G84" s="34" t="str">
        <x:f>IF(OR('01_INPUT_COMPANIES'!$A$84="",'01_INPUT_COMPANIES'!$G$84=""),"",'01_INPUT_COMPANIES'!$G$84)</x:f>
      </x:c>
      <x:c r="H84" s="34" t="str">
        <x:f>IF(OR('01_INPUT_COMPANIES'!$A$84="",'01_INPUT_COMPANIES'!$H$84=""),"",'01_INPUT_COMPANIES'!$H$84)</x:f>
      </x:c>
      <x:c r="I84" s="34" t="str">
        <x:f>IF(OR('01_INPUT_COMPANIES'!$A$84="",'01_INPUT_COMPANIES'!$K$84=""),"",'01_INPUT_COMPANIES'!$K$84)</x:f>
      </x:c>
      <x:c r="J84" s="34" t="str">
        <x:f>IF(OR('01_INPUT_COMPANIES'!$A$84="",'01_INPUT_COMPANIES'!$M$84=""),"",'01_INPUT_COMPANIES'!$M$84)</x:f>
      </x:c>
      <x:c r="K84" s="34" t="str">
        <x:f>IF(OR(A84="",COUNTBLANK(D84:H84)&gt;0),"",LEN(D84)&amp;":"&amp;D84&amp;LEN(E84)&amp;":"&amp;E84&amp;LEN(F84)&amp;":"&amp;F84&amp;LEN(G84)&amp;":"&amp;G84&amp;LEN(H84)&amp;":"&amp;H84)</x:f>
      </x:c>
      <x:c r="L84" s="47" t="str">
        <x:f>IF(A84="","",'90_CALC_FEATURES'!$I$777)</x:f>
      </x:c>
      <x:c r="M84" s="47" t="str">
        <x:f>IF(A84="","",'90_CALC_FEATURES'!$I$778)</x:f>
      </x:c>
      <x:c r="N84" s="47" t="str">
        <x:f>IF(A84="","",'90_CALC_FEATURES'!$I$779)</x:f>
      </x:c>
      <x:c r="O84" s="47" t="str">
        <x:f>IF(A84="","",'90_CALC_FEATURES'!$I$780)</x:f>
      </x:c>
      <x:c r="P84" s="47" t="str">
        <x:f>IF(A84="","",'90_CALC_FEATURES'!$I$781)</x:f>
      </x:c>
      <x:c r="Q84" s="47" t="str">
        <x:f>IF(A84="","",'90_CALC_FEATURES'!$I$782)</x:f>
      </x:c>
      <x:c r="R84" s="47" t="str">
        <x:f>IF(A84="","",'90_CALC_FEATURES'!$I$783)</x:f>
      </x:c>
      <x:c r="S84" s="47" t="str">
        <x:f>IF(A84="","",'90_CALC_FEATURES'!$I$784)</x:f>
      </x:c>
      <x:c r="T84" s="47" t="str">
        <x:f>IF(A84="","",'90_CALC_FEATURES'!$I$785)</x:f>
      </x:c>
      <x:c r="U84" s="47" t="str">
        <x:f>IF(A84="","",'90_CALC_FEATURES'!$I$786)</x:f>
      </x:c>
      <x:c r="V84" s="47" t="str">
        <x:f>IF(COUNT(L84:N84)=3,100*AVERAGE(L84:N84),"")</x:f>
      </x:c>
      <x:c r="W84" s="47" t="str">
        <x:f>IF(COUNT(O84:R84)=4,100*AVERAGE(O84:R84),"")</x:f>
      </x:c>
      <x:c r="X84" s="47" t="str">
        <x:f>IF(COUNT(S84:U84)=3,100*AVERAGE(S84:U84),"")</x:f>
      </x:c>
      <x:c r="Y84" s="47" t="str">
        <x:f>IF(COUNT(V84:X84)=3,AVERAGE(V84:X84),"")</x:f>
      </x:c>
      <x:c r="Z84" s="47" t="str">
        <x:f>IF(OR(AND(EXACT(A84,"SYN-A"),COUNT('01_INPUT_COMPANIES'!$T$84:$AC$84)=10,'01_INPUT_COMPANIES'!$T$84=-0.02,'01_INPUT_COMPANIES'!$U$84=0.1332,'01_INPUT_COMPANIES'!$V$84=0.18,'01_INPUT_COMPANIES'!$W$84=0.42,'01_INPUT_COMPANIES'!$X$84=0.012,'01_INPUT_COMPANIES'!$Y$84=3.2,'01_INPUT_COMPANIES'!$Z$84=0.08,'01_INPUT_COMPANIES'!$AA$84=0.28,'01_INPUT_COMPANIES'!$AB$84=0.74,'01_INPUT_COMPANIES'!$AC$84=8.5),AND(EXACT(A84,"SYN-B"),COUNT('01_INPUT_COMPANIES'!$T$84:$AC$84)=10,'01_INPUT_COMPANIES'!$T$84=-0.055,'01_INPUT_COMPANIES'!$U$84=0.06405,'01_INPUT_COMPANIES'!$V$84=0.105,'01_INPUT_COMPANIES'!$W$84=0.73,'01_INPUT_COMPANIES'!$X$84=0.004,'01_INPUT_COMPANIES'!$Y$84=4.1,'01_INPUT_COMPANIES'!$Z$84=0.025,'01_INPUT_COMPANIES'!$AA$84=0.16,'01_INPUT_COMPANIES'!$AB$84=0.61,'01_INPUT_COMPANIES'!$AC$84=4),AND(EXACT(A84,"SYN-C"),COUNT('01_INPUT_COMPANIES'!$T$84:$AC$84)=10,'01_INPUT_COMPANIES'!$T$84=0.01,'01_INPUT_COMPANIES'!$U$84=0.0986,'01_INPUT_COMPANIES'!$V$84=0.145,'01_INPUT_COMPANIES'!$W$84=0.18,'01_INPUT_COMPANIES'!$X$84=0.018,'01_INPUT_COMPANIES'!$Y$84=2.65,'01_INPUT_COMPANIES'!$Z$84=0.11,'01_INPUT_COMPANIES'!$AA$84=0.34,'01_INPUT_COMPANIES'!$AB$84=0.68,'01_INPUT_COMPANIES'!$AC$84=6.8),AND(EXACT(A84,"SYN-D"),COUNT('01_INPUT_COMPANIES'!$T$84:$AC$84)=10,'01_INPUT_COMPANIES'!$T$84=-0.005,'01_INPUT_COMPANIES'!$U$84=0.1136,'01_INPUT_COMPANIES'!$V$84=0.16,'01_INPUT_COMPANIES'!$W$84=0.51,'01_INPUT_COMPANIES'!$X$84=0.009,'01_INPUT_COMPANIES'!$Y$84=3.55,'01_INPUT_COMPANIES'!$Z$84=0.065,'01_INPUT_COMPANIES'!$AA$84=0.24,'01_INPUT_COMPANIES'!$AB$84=0.71,'01_INPUT_COMPANIES'!$AC$84=7.4)),IFERROR(INDEX('94_EXPECTED_OUTPUTS'!$B$7:$B$10,MATCH(A84,'94_EXPECTED_OUTPUTS'!$A$7:$A$10,0)),""),"")</x:f>
      </x:c>
      <x:c r="AA84" s="47" t="str">
        <x:f>IF(OR(COUNT(Y84)=0,COUNT(Z84)=0),"",ABS(Y84-Z84))</x:f>
      </x:c>
      <x:c r="AB84" s="34" t="str">
        <x:f>IF(A84="","",IF(AD84&lt;&gt;"",AD84,IF('01_INPUT_COMPANIES'!$A$84="","",IF(OR(LEN(TRIM('01_INPUT_COMPANIES'!$A$84&amp;""))=0,LEN(TRIM('01_INPUT_COMPANIES'!$B$84&amp;""))=0,LEN(TRIM('01_INPUT_COMPANIES'!$C$84&amp;""))=0,LEN(TRIM('01_INPUT_COMPANIES'!$D$84&amp;""))=0,LEN(TRIM('01_INPUT_COMPANIES'!$E$84&amp;""))=0,LEN(TRIM('01_INPUT_COMPANIES'!$F$84&amp;""))=0,LEN(TRIM('01_INPUT_COMPANIES'!$G$84&amp;""))=0,LEN(TRIM('01_INPUT_COMPANIES'!$H$84&amp;""))=0,LEN(TRIM('01_INPUT_COMPANIES'!$I$84&amp;""))=0,LEN(TRIM('01_INPUT_COMPANIES'!$K$84&amp;""))=0,LEN(TRIM('01_INPUT_COMPANIES'!$L$84&amp;""))=0,LEN(TRIM('01_INPUT_COMPANIES'!$M$84&amp;""))=0,LEN(TRIM('01_INPUT_COMPANIES'!$N$84&amp;""))=0,LEN(TRIM('01_INPUT_COMPANIES'!$O$84&amp;""))=0,LEN(TRIM('01_INPUT_COMPANIES'!$Q$84&amp;""))=0,COUNTBLANK('01_INPUT_COMPANIES'!$A$84:$R$84)&gt;0),"INPUT REQUIRED",IF(OR('01_INPUT_COMPANIES'!$A$84&lt;&gt;TRIM('01_INPUT_COMPANIES'!$A$84),NOT(EXACT('01_INPUT_COMPANIES'!$A$84,UPPER('01_INPUT_COMPANIES'!$A$84))),LEN('01_INPUT_COMPANIES'!$A$84)&gt;64,ISNUMBER(FIND("*",'01_INPUT_COMPANIES'!$A$84)),ISNUMBER(FIND("?",'01_INPUT_COMPANIES'!$A$84)),ISNUMBER(FIND("~",'01_INPUT_COMPANIES'!$A$84))),"ERROR: ID FORMAT",IF(COUNTIF('01_INPUT_COMPANIES'!$A$7:$A$106,'01_INPUT_COMPANIES'!$A$84)&lt;&gt;1,"ERROR: DUPLICATE ID",IF(COUNT('01_INPUT_COMPANIES'!$T$84:$AC$84)&lt;&gt;10,"INPUT REQUIRED",IF(NOT(OR('01_INPUT_COMPANIES'!$C$84="domestic",'01_INPUT_COMPANIES'!$C$84="foreign",'01_INPUT_COMPANIES'!$C$84="other")),"ERROR: COMPANY GROUP",IF(OR(LEN('01_INPUT_COMPANIES'!$G$84)&lt;&gt;6,MID('01_INPUT_COMPANIES'!$G$84,5,1)&lt;&gt;"Q",IFERROR(VALUE(LEFT('01_INPUT_COMPANIES'!$G$84,4)),0)&lt;2000,IFERROR(VALUE(LEFT('01_INPUT_COMPANIES'!$G$84,4)),0)&gt;2100,IFERROR(VALUE(RIGHT('01_INPUT_COMPANIES'!$G$84,1)),0)&lt;1,IFERROR(VALUE(RIGHT('01_INPUT_COMPANIES'!$G$84,1)),0)&gt;4),"ERROR: REPORTING PERIOD",IF(OR(COUNTIFS('92_REF_VARIABLES'!$A$21:$A$21,'01_INPUT_COMPANIES'!$H$84,'92_REF_VARIABLES'!$B$21:$B$21,'01_INPUT_COMPANIES'!$D$84,'92_REF_VARIABLES'!$C$21:$C$21,'01_INPUT_COMPANIES'!$G$84)&lt;&gt;1,AND(IFERROR(INDEX('92_REF_VARIABLES'!$I$21:$I$21,MATCH('01_INPUT_COMPANIES'!$H$84,'92_REF_VARIABLES'!$A$21:$A$21,0)),"")="synthetic_only",'01_INPUT_COMPANIES'!$L$84&lt;&gt;"yes")),"ERROR: BENCHMARK",IF(COUNTIF('92_REF_VARIABLES'!$L$21:$L$50,'01_INPUT_COMPANIES'!$I$84)&lt;&gt;1,"ERROR: CURRENCY",IF(OR(NOT(ISNUMBER('01_INPUT_COMPANIES'!$J$84)),'01_INPUT_COMPANIES'!$J$84&lt;&gt;INT('01_INPUT_COMPANIES'!$J$84),'01_INPUT_COMPANIES'!$J$84&lt;2000,'01_INPUT_COMPANIES'!$J$84&gt;2100),"ERROR: PRICE YEAR",IF(NOT(OR('01_INPUT_COMPANIES'!$K$84="A",'01_INPUT_COMPANIES'!$K$84="B",'01_INPUT_COMPANIES'!$K$84="C",'01_INPUT_COMPANIES'!$K$84="SYNTHETIC")),"ERROR: QUALITY",IF(NOT(OR(AND('01_INPUT_COMPANIES'!$L$84="yes",'01_INPUT_COMPANIES'!$K$84="SYNTHETIC"),AND('01_INPUT_COMPANIES'!$L$84="no",'01_INPUT_COMPANIES'!$K$84&lt;&gt;"SYNTHETIC"))),"ERROR: SYNTHETIC FLAG",IF(NOT(OR('01_INPUT_COMPANIES'!$M$84="direct",'01_INPUT_COMPANIES'!$M$84="derived",'01_INPUT_COMPANIES'!$M$84="proxy",'01_INPUT_COMPANIES'!$M$84="mixed")),"ERROR: CONSTRUCTION MODE",IF(OR(NOT(ISNUMBER('01_INPUT_COMPANIES'!$P$84)),'01_INPUT_COMPANIES'!$P$84&lt;0,'01_INPUT_COMPANIES'!$P$84&lt;&gt;INT('01_INPUT_COMPANIES'!$P$84)),"ERROR: CARRY LAG",IF('01_INPUT_COMPANIES'!$Q$84&lt;&gt;"yes","ERROR: EXPOSURE ADJUSTMENT",IF(OR(NOT(ISNUMBER('01_INPUT_COMPANIES'!$R$84)),'01_INPUT_COMPANIES'!$R$84&lt;0,'01_INPUT_COMPANIES'!$R$84&gt;1),"ERROR: EXPOSURE FACTOR",IF(COUNT(Y84)=0,"ERROR: SCORE",IF(COUNT(Z84)=0,"READY",IF(AA84&lt;=0.0000000001,"PASS","CHECK"))&amp;IF('01_INPUT_COMPANIES'!$K$84="C"," | C QUALITY","")&amp;IF(OR('01_INPUT_COMPANIES'!$M$84="proxy",'01_INPUT_COMPANIES'!$M$84="mixed")," | PROXY/MIXED","")&amp;IF('01_INPUT_COMPANIES'!$P$84&gt;1," | CARRY&gt;1","")&amp;IF(OR(OR('01_INPUT_COMPANIES'!$T$84&lt;-1,'01_INPUT_COMPANIES'!$T$84&gt;1),OR('01_INPUT_COMPANIES'!$U$84&lt;0,'01_INPUT_COMPANIES'!$U$84&gt;1),OR('01_INPUT_COMPANIES'!$V$84&lt;0,'01_INPUT_COMPANIES'!$V$84&gt;1),OR('01_INPUT_COMPANIES'!$W$84&lt;-10,'01_INPUT_COMPANIES'!$W$84&gt;10),OR('01_INPUT_COMPANIES'!$X$84&lt;-1,'01_INPUT_COMPANIES'!$X$84&gt;1),OR('01_INPUT_COMPANIES'!$Y$84&lt;0,'01_INPUT_COMPANIES'!$Y$84&gt;20),OR('01_INPUT_COMPANIES'!$Z$84&lt;-2,'01_INPUT_COMPANIES'!$Z$84&gt;2),OR('01_INPUT_COMPANIES'!$AA$84&lt;0,'01_INPUT_COMPANIES'!$AA$84&gt;1),OR('01_INPUT_COMPANIES'!$AB$84&lt;0,'01_INPUT_COMPANIES'!$AB$84&gt;1),OR('01_INPUT_COMPANIES'!$AC$84&lt;0,'01_INPUT_COMPANIES'!$AC$84&gt;50))," | REVIEW RANGE","")&amp;IF(COUNTIF('90_CALC_FEATURES'!$J$777:$J$786,"WINSORIZED*")&gt;0," | WINSORIZED","")&amp;IF(ABS('01_INPUT_COMPANIES'!$U$84-'01_INPUT_COMPANIES'!$V$84*'01_INPUT_COMPANIES'!$AB$84)&gt;MAX(0.005,0.05*MAX(ABS('01_INPUT_COMPANIES'!$V$84*'01_INPUT_COMPANIES'!$AB$84),ABS('01_INPUT_COMPANIES'!$U$84),0.000000000001))," | DEPENDENCY",""))))))))))))))))))))</x:f>
      </x:c>
      <x:c r="AC84" s="34" t="str">
        <x:f>IF(A84="","",IF(OR(LEFT(AB84,4)="PASS",LEFT(AB84,5)="READY"),"RESEARCH BETA | 저지원 22.22% | 기업 백분위 N/A", "결과 사용 금지 | "&amp;AB84))</x:f>
      </x:c>
      <x:c r="AD84" s="34" t="str">
        <x:f>IF(A84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$84,TRIM('01_INPUT_COMPANIES'!$D$84)),EXACT('01_INPUT_COMPANIES'!$E$84,TRIM('01_INPUT_COMPANIES'!$E$84)),EXACT('01_INPUT_COMPANIES'!$F$84,TRIM('01_INPUT_COMPANIES'!$F$84)),EXACT('01_INPUT_COMPANIES'!$G$84,TRIM('01_INPUT_COMPANIES'!$G$84)),EXACT('01_INPUT_COMPANIES'!$H$84,TRIM('01_INPUT_COMPANIES'!$H$84)))),"ERROR: COHORT WHITESPACE",IF(NOT(IFERROR(AND(ISTEXT('01_INPUT_COMPANIES'!$O$84),LEN('01_INPUT_COMPANIES'!$O$84)=10,VALUE(LEFT('01_INPUT_COMPANIES'!$O$84,4))&gt;=2000,VALUE(LEFT('01_INPUT_COMPANIES'!$O$84,4))&lt;=2100,EXACT(TEXT(DATE(VALUE(LEFT('01_INPUT_COMPANIES'!$O$84,4)),VALUE(MID('01_INPUT_COMPANIES'!$O$84,6,2)),VALUE(RIGHT('01_INPUT_COMPANIES'!$O$84,2))),"yyyy-mm-dd"),'01_INPUT_COMPANIES'!$O$84)),FALSE)),"ERROR: SOURCE DATE",IF(NOT(AND(OR(EXACT('01_INPUT_COMPANIES'!$C$84,"domestic"),EXACT('01_INPUT_COMPANIES'!$C$84,"foreign"),EXACT('01_INPUT_COMPANIES'!$C$84,"other")),OR(EXACT('01_INPUT_COMPANIES'!$K$84,"A"),EXACT('01_INPUT_COMPANIES'!$K$84,"B"),EXACT('01_INPUT_COMPANIES'!$K$84,"C"),EXACT('01_INPUT_COMPANIES'!$K$84,"SYNTHETIC")),OR(EXACT('01_INPUT_COMPANIES'!$L$84,"yes"),EXACT('01_INPUT_COMPANIES'!$L$84,"no")),OR(EXACT('01_INPUT_COMPANIES'!$M$84,"direct"),EXACT('01_INPUT_COMPANIES'!$M$84,"derived"),EXACT('01_INPUT_COMPANIES'!$M$84,"proxy"),EXACT('01_INPUT_COMPANIES'!$M$84,"mixed")),OR(EXACT('01_INPUT_COMPANIES'!$Q$84,"yes")),EXACT('01_INPUT_COMPANIES'!$I$84,UPPER('01_INPUT_COMPANIES'!$I$84)))),"ERROR: EXACT ENUM",IF(NOT(IFERROR(OR(AND(EXACT('92_REF_VARIABLES'!$A$21,'01_INPUT_COMPANIES'!$H$84),EXACT('92_REF_VARIABLES'!$B$21,'01_INPUT_COMPANIES'!$D$84),EXACT('92_REF_VARIABLES'!$C$21,'01_INPUT_COMPANIES'!$G$84))),FALSE)),"ERROR: BENCHMARK",""))))))</x:f>
      </x:c>
    </x:row>
    <x:row r="85">
      <x:c r="A85" s="34" t="str">
        <x:f>IF(OR('01_INPUT_COMPANIES'!$A$85="",'01_INPUT_COMPANIES'!$A$85=""),"",'01_INPUT_COMPANIES'!$A$85)</x:f>
      </x:c>
      <x:c r="B85" s="34" t="str">
        <x:f>IF(OR('01_INPUT_COMPANIES'!$A$85="",'01_INPUT_COMPANIES'!$B$85=""),"",'01_INPUT_COMPANIES'!$B$85)</x:f>
      </x:c>
      <x:c r="C85" s="34" t="str">
        <x:f>IF(OR('01_INPUT_COMPANIES'!$A$85="",'01_INPUT_COMPANIES'!$C$85=""),"",'01_INPUT_COMPANIES'!$C$85)</x:f>
      </x:c>
      <x:c r="D85" s="34" t="str">
        <x:f>IF(OR('01_INPUT_COMPANIES'!$A$85="",'01_INPUT_COMPANIES'!$D$85=""),"",'01_INPUT_COMPANIES'!$D$85)</x:f>
      </x:c>
      <x:c r="E85" s="34" t="str">
        <x:f>IF(OR('01_INPUT_COMPANIES'!$A$85="",'01_INPUT_COMPANIES'!$E$85=""),"",'01_INPUT_COMPANIES'!$E$85)</x:f>
      </x:c>
      <x:c r="F85" s="34" t="str">
        <x:f>IF(OR('01_INPUT_COMPANIES'!$A$85="",'01_INPUT_COMPANIES'!$F$85=""),"",'01_INPUT_COMPANIES'!$F$85)</x:f>
      </x:c>
      <x:c r="G85" s="34" t="str">
        <x:f>IF(OR('01_INPUT_COMPANIES'!$A$85="",'01_INPUT_COMPANIES'!$G$85=""),"",'01_INPUT_COMPANIES'!$G$85)</x:f>
      </x:c>
      <x:c r="H85" s="34" t="str">
        <x:f>IF(OR('01_INPUT_COMPANIES'!$A$85="",'01_INPUT_COMPANIES'!$H$85=""),"",'01_INPUT_COMPANIES'!$H$85)</x:f>
      </x:c>
      <x:c r="I85" s="34" t="str">
        <x:f>IF(OR('01_INPUT_COMPANIES'!$A$85="",'01_INPUT_COMPANIES'!$K$85=""),"",'01_INPUT_COMPANIES'!$K$85)</x:f>
      </x:c>
      <x:c r="J85" s="34" t="str">
        <x:f>IF(OR('01_INPUT_COMPANIES'!$A$85="",'01_INPUT_COMPANIES'!$M$85=""),"",'01_INPUT_COMPANIES'!$M$85)</x:f>
      </x:c>
      <x:c r="K85" s="34" t="str">
        <x:f>IF(OR(A85="",COUNTBLANK(D85:H85)&gt;0),"",LEN(D85)&amp;":"&amp;D85&amp;LEN(E85)&amp;":"&amp;E85&amp;LEN(F85)&amp;":"&amp;F85&amp;LEN(G85)&amp;":"&amp;G85&amp;LEN(H85)&amp;":"&amp;H85)</x:f>
      </x:c>
      <x:c r="L85" s="47" t="str">
        <x:f>IF(A85="","",'90_CALC_FEATURES'!$I$787)</x:f>
      </x:c>
      <x:c r="M85" s="47" t="str">
        <x:f>IF(A85="","",'90_CALC_FEATURES'!$I$788)</x:f>
      </x:c>
      <x:c r="N85" s="47" t="str">
        <x:f>IF(A85="","",'90_CALC_FEATURES'!$I$789)</x:f>
      </x:c>
      <x:c r="O85" s="47" t="str">
        <x:f>IF(A85="","",'90_CALC_FEATURES'!$I$790)</x:f>
      </x:c>
      <x:c r="P85" s="47" t="str">
        <x:f>IF(A85="","",'90_CALC_FEATURES'!$I$791)</x:f>
      </x:c>
      <x:c r="Q85" s="47" t="str">
        <x:f>IF(A85="","",'90_CALC_FEATURES'!$I$792)</x:f>
      </x:c>
      <x:c r="R85" s="47" t="str">
        <x:f>IF(A85="","",'90_CALC_FEATURES'!$I$793)</x:f>
      </x:c>
      <x:c r="S85" s="47" t="str">
        <x:f>IF(A85="","",'90_CALC_FEATURES'!$I$794)</x:f>
      </x:c>
      <x:c r="T85" s="47" t="str">
        <x:f>IF(A85="","",'90_CALC_FEATURES'!$I$795)</x:f>
      </x:c>
      <x:c r="U85" s="47" t="str">
        <x:f>IF(A85="","",'90_CALC_FEATURES'!$I$796)</x:f>
      </x:c>
      <x:c r="V85" s="47" t="str">
        <x:f>IF(COUNT(L85:N85)=3,100*AVERAGE(L85:N85),"")</x:f>
      </x:c>
      <x:c r="W85" s="47" t="str">
        <x:f>IF(COUNT(O85:R85)=4,100*AVERAGE(O85:R85),"")</x:f>
      </x:c>
      <x:c r="X85" s="47" t="str">
        <x:f>IF(COUNT(S85:U85)=3,100*AVERAGE(S85:U85),"")</x:f>
      </x:c>
      <x:c r="Y85" s="47" t="str">
        <x:f>IF(COUNT(V85:X85)=3,AVERAGE(V85:X85),"")</x:f>
      </x:c>
      <x:c r="Z85" s="47" t="str">
        <x:f>IF(OR(AND(EXACT(A85,"SYN-A"),COUNT('01_INPUT_COMPANIES'!$T$85:$AC$85)=10,'01_INPUT_COMPANIES'!$T$85=-0.02,'01_INPUT_COMPANIES'!$U$85=0.1332,'01_INPUT_COMPANIES'!$V$85=0.18,'01_INPUT_COMPANIES'!$W$85=0.42,'01_INPUT_COMPANIES'!$X$85=0.012,'01_INPUT_COMPANIES'!$Y$85=3.2,'01_INPUT_COMPANIES'!$Z$85=0.08,'01_INPUT_COMPANIES'!$AA$85=0.28,'01_INPUT_COMPANIES'!$AB$85=0.74,'01_INPUT_COMPANIES'!$AC$85=8.5),AND(EXACT(A85,"SYN-B"),COUNT('01_INPUT_COMPANIES'!$T$85:$AC$85)=10,'01_INPUT_COMPANIES'!$T$85=-0.055,'01_INPUT_COMPANIES'!$U$85=0.06405,'01_INPUT_COMPANIES'!$V$85=0.105,'01_INPUT_COMPANIES'!$W$85=0.73,'01_INPUT_COMPANIES'!$X$85=0.004,'01_INPUT_COMPANIES'!$Y$85=4.1,'01_INPUT_COMPANIES'!$Z$85=0.025,'01_INPUT_COMPANIES'!$AA$85=0.16,'01_INPUT_COMPANIES'!$AB$85=0.61,'01_INPUT_COMPANIES'!$AC$85=4),AND(EXACT(A85,"SYN-C"),COUNT('01_INPUT_COMPANIES'!$T$85:$AC$85)=10,'01_INPUT_COMPANIES'!$T$85=0.01,'01_INPUT_COMPANIES'!$U$85=0.0986,'01_INPUT_COMPANIES'!$V$85=0.145,'01_INPUT_COMPANIES'!$W$85=0.18,'01_INPUT_COMPANIES'!$X$85=0.018,'01_INPUT_COMPANIES'!$Y$85=2.65,'01_INPUT_COMPANIES'!$Z$85=0.11,'01_INPUT_COMPANIES'!$AA$85=0.34,'01_INPUT_COMPANIES'!$AB$85=0.68,'01_INPUT_COMPANIES'!$AC$85=6.8),AND(EXACT(A85,"SYN-D"),COUNT('01_INPUT_COMPANIES'!$T$85:$AC$85)=10,'01_INPUT_COMPANIES'!$T$85=-0.005,'01_INPUT_COMPANIES'!$U$85=0.1136,'01_INPUT_COMPANIES'!$V$85=0.16,'01_INPUT_COMPANIES'!$W$85=0.51,'01_INPUT_COMPANIES'!$X$85=0.009,'01_INPUT_COMPANIES'!$Y$85=3.55,'01_INPUT_COMPANIES'!$Z$85=0.065,'01_INPUT_COMPANIES'!$AA$85=0.24,'01_INPUT_COMPANIES'!$AB$85=0.71,'01_INPUT_COMPANIES'!$AC$85=7.4)),IFERROR(INDEX('94_EXPECTED_OUTPUTS'!$B$7:$B$10,MATCH(A85,'94_EXPECTED_OUTPUTS'!$A$7:$A$10,0)),""),"")</x:f>
      </x:c>
      <x:c r="AA85" s="47" t="str">
        <x:f>IF(OR(COUNT(Y85)=0,COUNT(Z85)=0),"",ABS(Y85-Z85))</x:f>
      </x:c>
      <x:c r="AB85" s="34" t="str">
        <x:f>IF(A85="","",IF(AD85&lt;&gt;"",AD85,IF('01_INPUT_COMPANIES'!$A$85="","",IF(OR(LEN(TRIM('01_INPUT_COMPANIES'!$A$85&amp;""))=0,LEN(TRIM('01_INPUT_COMPANIES'!$B$85&amp;""))=0,LEN(TRIM('01_INPUT_COMPANIES'!$C$85&amp;""))=0,LEN(TRIM('01_INPUT_COMPANIES'!$D$85&amp;""))=0,LEN(TRIM('01_INPUT_COMPANIES'!$E$85&amp;""))=0,LEN(TRIM('01_INPUT_COMPANIES'!$F$85&amp;""))=0,LEN(TRIM('01_INPUT_COMPANIES'!$G$85&amp;""))=0,LEN(TRIM('01_INPUT_COMPANIES'!$H$85&amp;""))=0,LEN(TRIM('01_INPUT_COMPANIES'!$I$85&amp;""))=0,LEN(TRIM('01_INPUT_COMPANIES'!$K$85&amp;""))=0,LEN(TRIM('01_INPUT_COMPANIES'!$L$85&amp;""))=0,LEN(TRIM('01_INPUT_COMPANIES'!$M$85&amp;""))=0,LEN(TRIM('01_INPUT_COMPANIES'!$N$85&amp;""))=0,LEN(TRIM('01_INPUT_COMPANIES'!$O$85&amp;""))=0,LEN(TRIM('01_INPUT_COMPANIES'!$Q$85&amp;""))=0,COUNTBLANK('01_INPUT_COMPANIES'!$A$85:$R$85)&gt;0),"INPUT REQUIRED",IF(OR('01_INPUT_COMPANIES'!$A$85&lt;&gt;TRIM('01_INPUT_COMPANIES'!$A$85),NOT(EXACT('01_INPUT_COMPANIES'!$A$85,UPPER('01_INPUT_COMPANIES'!$A$85))),LEN('01_INPUT_COMPANIES'!$A$85)&gt;64,ISNUMBER(FIND("*",'01_INPUT_COMPANIES'!$A$85)),ISNUMBER(FIND("?",'01_INPUT_COMPANIES'!$A$85)),ISNUMBER(FIND("~",'01_INPUT_COMPANIES'!$A$85))),"ERROR: ID FORMAT",IF(COUNTIF('01_INPUT_COMPANIES'!$A$7:$A$106,'01_INPUT_COMPANIES'!$A$85)&lt;&gt;1,"ERROR: DUPLICATE ID",IF(COUNT('01_INPUT_COMPANIES'!$T$85:$AC$85)&lt;&gt;10,"INPUT REQUIRED",IF(NOT(OR('01_INPUT_COMPANIES'!$C$85="domestic",'01_INPUT_COMPANIES'!$C$85="foreign",'01_INPUT_COMPANIES'!$C$85="other")),"ERROR: COMPANY GROUP",IF(OR(LEN('01_INPUT_COMPANIES'!$G$85)&lt;&gt;6,MID('01_INPUT_COMPANIES'!$G$85,5,1)&lt;&gt;"Q",IFERROR(VALUE(LEFT('01_INPUT_COMPANIES'!$G$85,4)),0)&lt;2000,IFERROR(VALUE(LEFT('01_INPUT_COMPANIES'!$G$85,4)),0)&gt;2100,IFERROR(VALUE(RIGHT('01_INPUT_COMPANIES'!$G$85,1)),0)&lt;1,IFERROR(VALUE(RIGHT('01_INPUT_COMPANIES'!$G$85,1)),0)&gt;4),"ERROR: REPORTING PERIOD",IF(OR(COUNTIFS('92_REF_VARIABLES'!$A$21:$A$21,'01_INPUT_COMPANIES'!$H$85,'92_REF_VARIABLES'!$B$21:$B$21,'01_INPUT_COMPANIES'!$D$85,'92_REF_VARIABLES'!$C$21:$C$21,'01_INPUT_COMPANIES'!$G$85)&lt;&gt;1,AND(IFERROR(INDEX('92_REF_VARIABLES'!$I$21:$I$21,MATCH('01_INPUT_COMPANIES'!$H$85,'92_REF_VARIABLES'!$A$21:$A$21,0)),"")="synthetic_only",'01_INPUT_COMPANIES'!$L$85&lt;&gt;"yes")),"ERROR: BENCHMARK",IF(COUNTIF('92_REF_VARIABLES'!$L$21:$L$50,'01_INPUT_COMPANIES'!$I$85)&lt;&gt;1,"ERROR: CURRENCY",IF(OR(NOT(ISNUMBER('01_INPUT_COMPANIES'!$J$85)),'01_INPUT_COMPANIES'!$J$85&lt;&gt;INT('01_INPUT_COMPANIES'!$J$85),'01_INPUT_COMPANIES'!$J$85&lt;2000,'01_INPUT_COMPANIES'!$J$85&gt;2100),"ERROR: PRICE YEAR",IF(NOT(OR('01_INPUT_COMPANIES'!$K$85="A",'01_INPUT_COMPANIES'!$K$85="B",'01_INPUT_COMPANIES'!$K$85="C",'01_INPUT_COMPANIES'!$K$85="SYNTHETIC")),"ERROR: QUALITY",IF(NOT(OR(AND('01_INPUT_COMPANIES'!$L$85="yes",'01_INPUT_COMPANIES'!$K$85="SYNTHETIC"),AND('01_INPUT_COMPANIES'!$L$85="no",'01_INPUT_COMPANIES'!$K$85&lt;&gt;"SYNTHETIC"))),"ERROR: SYNTHETIC FLAG",IF(NOT(OR('01_INPUT_COMPANIES'!$M$85="direct",'01_INPUT_COMPANIES'!$M$85="derived",'01_INPUT_COMPANIES'!$M$85="proxy",'01_INPUT_COMPANIES'!$M$85="mixed")),"ERROR: CONSTRUCTION MODE",IF(OR(NOT(ISNUMBER('01_INPUT_COMPANIES'!$P$85)),'01_INPUT_COMPANIES'!$P$85&lt;0,'01_INPUT_COMPANIES'!$P$85&lt;&gt;INT('01_INPUT_COMPANIES'!$P$85)),"ERROR: CARRY LAG",IF('01_INPUT_COMPANIES'!$Q$85&lt;&gt;"yes","ERROR: EXPOSURE ADJUSTMENT",IF(OR(NOT(ISNUMBER('01_INPUT_COMPANIES'!$R$85)),'01_INPUT_COMPANIES'!$R$85&lt;0,'01_INPUT_COMPANIES'!$R$85&gt;1),"ERROR: EXPOSURE FACTOR",IF(COUNT(Y85)=0,"ERROR: SCORE",IF(COUNT(Z85)=0,"READY",IF(AA85&lt;=0.0000000001,"PASS","CHECK"))&amp;IF('01_INPUT_COMPANIES'!$K$85="C"," | C QUALITY","")&amp;IF(OR('01_INPUT_COMPANIES'!$M$85="proxy",'01_INPUT_COMPANIES'!$M$85="mixed")," | PROXY/MIXED","")&amp;IF('01_INPUT_COMPANIES'!$P$85&gt;1," | CARRY&gt;1","")&amp;IF(OR(OR('01_INPUT_COMPANIES'!$T$85&lt;-1,'01_INPUT_COMPANIES'!$T$85&gt;1),OR('01_INPUT_COMPANIES'!$U$85&lt;0,'01_INPUT_COMPANIES'!$U$85&gt;1),OR('01_INPUT_COMPANIES'!$V$85&lt;0,'01_INPUT_COMPANIES'!$V$85&gt;1),OR('01_INPUT_COMPANIES'!$W$85&lt;-10,'01_INPUT_COMPANIES'!$W$85&gt;10),OR('01_INPUT_COMPANIES'!$X$85&lt;-1,'01_INPUT_COMPANIES'!$X$85&gt;1),OR('01_INPUT_COMPANIES'!$Y$85&lt;0,'01_INPUT_COMPANIES'!$Y$85&gt;20),OR('01_INPUT_COMPANIES'!$Z$85&lt;-2,'01_INPUT_COMPANIES'!$Z$85&gt;2),OR('01_INPUT_COMPANIES'!$AA$85&lt;0,'01_INPUT_COMPANIES'!$AA$85&gt;1),OR('01_INPUT_COMPANIES'!$AB$85&lt;0,'01_INPUT_COMPANIES'!$AB$85&gt;1),OR('01_INPUT_COMPANIES'!$AC$85&lt;0,'01_INPUT_COMPANIES'!$AC$85&gt;50))," | REVIEW RANGE","")&amp;IF(COUNTIF('90_CALC_FEATURES'!$J$787:$J$796,"WINSORIZED*")&gt;0," | WINSORIZED","")&amp;IF(ABS('01_INPUT_COMPANIES'!$U$85-'01_INPUT_COMPANIES'!$V$85*'01_INPUT_COMPANIES'!$AB$85)&gt;MAX(0.005,0.05*MAX(ABS('01_INPUT_COMPANIES'!$V$85*'01_INPUT_COMPANIES'!$AB$85),ABS('01_INPUT_COMPANIES'!$U$85),0.000000000001))," | DEPENDENCY",""))))))))))))))))))))</x:f>
      </x:c>
      <x:c r="AC85" s="34" t="str">
        <x:f>IF(A85="","",IF(OR(LEFT(AB85,4)="PASS",LEFT(AB85,5)="READY"),"RESEARCH BETA | 저지원 22.22% | 기업 백분위 N/A", "결과 사용 금지 | "&amp;AB85))</x:f>
      </x:c>
      <x:c r="AD85" s="34" t="str">
        <x:f>IF(A85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$85,TRIM('01_INPUT_COMPANIES'!$D$85)),EXACT('01_INPUT_COMPANIES'!$E$85,TRIM('01_INPUT_COMPANIES'!$E$85)),EXACT('01_INPUT_COMPANIES'!$F$85,TRIM('01_INPUT_COMPANIES'!$F$85)),EXACT('01_INPUT_COMPANIES'!$G$85,TRIM('01_INPUT_COMPANIES'!$G$85)),EXACT('01_INPUT_COMPANIES'!$H$85,TRIM('01_INPUT_COMPANIES'!$H$85)))),"ERROR: COHORT WHITESPACE",IF(NOT(IFERROR(AND(ISTEXT('01_INPUT_COMPANIES'!$O$85),LEN('01_INPUT_COMPANIES'!$O$85)=10,VALUE(LEFT('01_INPUT_COMPANIES'!$O$85,4))&gt;=2000,VALUE(LEFT('01_INPUT_COMPANIES'!$O$85,4))&lt;=2100,EXACT(TEXT(DATE(VALUE(LEFT('01_INPUT_COMPANIES'!$O$85,4)),VALUE(MID('01_INPUT_COMPANIES'!$O$85,6,2)),VALUE(RIGHT('01_INPUT_COMPANIES'!$O$85,2))),"yyyy-mm-dd"),'01_INPUT_COMPANIES'!$O$85)),FALSE)),"ERROR: SOURCE DATE",IF(NOT(AND(OR(EXACT('01_INPUT_COMPANIES'!$C$85,"domestic"),EXACT('01_INPUT_COMPANIES'!$C$85,"foreign"),EXACT('01_INPUT_COMPANIES'!$C$85,"other")),OR(EXACT('01_INPUT_COMPANIES'!$K$85,"A"),EXACT('01_INPUT_COMPANIES'!$K$85,"B"),EXACT('01_INPUT_COMPANIES'!$K$85,"C"),EXACT('01_INPUT_COMPANIES'!$K$85,"SYNTHETIC")),OR(EXACT('01_INPUT_COMPANIES'!$L$85,"yes"),EXACT('01_INPUT_COMPANIES'!$L$85,"no")),OR(EXACT('01_INPUT_COMPANIES'!$M$85,"direct"),EXACT('01_INPUT_COMPANIES'!$M$85,"derived"),EXACT('01_INPUT_COMPANIES'!$M$85,"proxy"),EXACT('01_INPUT_COMPANIES'!$M$85,"mixed")),OR(EXACT('01_INPUT_COMPANIES'!$Q$85,"yes")),EXACT('01_INPUT_COMPANIES'!$I$85,UPPER('01_INPUT_COMPANIES'!$I$85)))),"ERROR: EXACT ENUM",IF(NOT(IFERROR(OR(AND(EXACT('92_REF_VARIABLES'!$A$21,'01_INPUT_COMPANIES'!$H$85),EXACT('92_REF_VARIABLES'!$B$21,'01_INPUT_COMPANIES'!$D$85),EXACT('92_REF_VARIABLES'!$C$21,'01_INPUT_COMPANIES'!$G$85))),FALSE)),"ERROR: BENCHMARK",""))))))</x:f>
      </x:c>
    </x:row>
    <x:row r="86">
      <x:c r="A86" s="34" t="str">
        <x:f>IF(OR('01_INPUT_COMPANIES'!$A$86="",'01_INPUT_COMPANIES'!$A$86=""),"",'01_INPUT_COMPANIES'!$A$86)</x:f>
      </x:c>
      <x:c r="B86" s="34" t="str">
        <x:f>IF(OR('01_INPUT_COMPANIES'!$A$86="",'01_INPUT_COMPANIES'!$B$86=""),"",'01_INPUT_COMPANIES'!$B$86)</x:f>
      </x:c>
      <x:c r="C86" s="34" t="str">
        <x:f>IF(OR('01_INPUT_COMPANIES'!$A$86="",'01_INPUT_COMPANIES'!$C$86=""),"",'01_INPUT_COMPANIES'!$C$86)</x:f>
      </x:c>
      <x:c r="D86" s="34" t="str">
        <x:f>IF(OR('01_INPUT_COMPANIES'!$A$86="",'01_INPUT_COMPANIES'!$D$86=""),"",'01_INPUT_COMPANIES'!$D$86)</x:f>
      </x:c>
      <x:c r="E86" s="34" t="str">
        <x:f>IF(OR('01_INPUT_COMPANIES'!$A$86="",'01_INPUT_COMPANIES'!$E$86=""),"",'01_INPUT_COMPANIES'!$E$86)</x:f>
      </x:c>
      <x:c r="F86" s="34" t="str">
        <x:f>IF(OR('01_INPUT_COMPANIES'!$A$86="",'01_INPUT_COMPANIES'!$F$86=""),"",'01_INPUT_COMPANIES'!$F$86)</x:f>
      </x:c>
      <x:c r="G86" s="34" t="str">
        <x:f>IF(OR('01_INPUT_COMPANIES'!$A$86="",'01_INPUT_COMPANIES'!$G$86=""),"",'01_INPUT_COMPANIES'!$G$86)</x:f>
      </x:c>
      <x:c r="H86" s="34" t="str">
        <x:f>IF(OR('01_INPUT_COMPANIES'!$A$86="",'01_INPUT_COMPANIES'!$H$86=""),"",'01_INPUT_COMPANIES'!$H$86)</x:f>
      </x:c>
      <x:c r="I86" s="34" t="str">
        <x:f>IF(OR('01_INPUT_COMPANIES'!$A$86="",'01_INPUT_COMPANIES'!$K$86=""),"",'01_INPUT_COMPANIES'!$K$86)</x:f>
      </x:c>
      <x:c r="J86" s="34" t="str">
        <x:f>IF(OR('01_INPUT_COMPANIES'!$A$86="",'01_INPUT_COMPANIES'!$M$86=""),"",'01_INPUT_COMPANIES'!$M$86)</x:f>
      </x:c>
      <x:c r="K86" s="34" t="str">
        <x:f>IF(OR(A86="",COUNTBLANK(D86:H86)&gt;0),"",LEN(D86)&amp;":"&amp;D86&amp;LEN(E86)&amp;":"&amp;E86&amp;LEN(F86)&amp;":"&amp;F86&amp;LEN(G86)&amp;":"&amp;G86&amp;LEN(H86)&amp;":"&amp;H86)</x:f>
      </x:c>
      <x:c r="L86" s="47" t="str">
        <x:f>IF(A86="","",'90_CALC_FEATURES'!$I$797)</x:f>
      </x:c>
      <x:c r="M86" s="47" t="str">
        <x:f>IF(A86="","",'90_CALC_FEATURES'!$I$798)</x:f>
      </x:c>
      <x:c r="N86" s="47" t="str">
        <x:f>IF(A86="","",'90_CALC_FEATURES'!$I$799)</x:f>
      </x:c>
      <x:c r="O86" s="47" t="str">
        <x:f>IF(A86="","",'90_CALC_FEATURES'!$I$800)</x:f>
      </x:c>
      <x:c r="P86" s="47" t="str">
        <x:f>IF(A86="","",'90_CALC_FEATURES'!$I$801)</x:f>
      </x:c>
      <x:c r="Q86" s="47" t="str">
        <x:f>IF(A86="","",'90_CALC_FEATURES'!$I$802)</x:f>
      </x:c>
      <x:c r="R86" s="47" t="str">
        <x:f>IF(A86="","",'90_CALC_FEATURES'!$I$803)</x:f>
      </x:c>
      <x:c r="S86" s="47" t="str">
        <x:f>IF(A86="","",'90_CALC_FEATURES'!$I$804)</x:f>
      </x:c>
      <x:c r="T86" s="47" t="str">
        <x:f>IF(A86="","",'90_CALC_FEATURES'!$I$805)</x:f>
      </x:c>
      <x:c r="U86" s="47" t="str">
        <x:f>IF(A86="","",'90_CALC_FEATURES'!$I$806)</x:f>
      </x:c>
      <x:c r="V86" s="47" t="str">
        <x:f>IF(COUNT(L86:N86)=3,100*AVERAGE(L86:N86),"")</x:f>
      </x:c>
      <x:c r="W86" s="47" t="str">
        <x:f>IF(COUNT(O86:R86)=4,100*AVERAGE(O86:R86),"")</x:f>
      </x:c>
      <x:c r="X86" s="47" t="str">
        <x:f>IF(COUNT(S86:U86)=3,100*AVERAGE(S86:U86),"")</x:f>
      </x:c>
      <x:c r="Y86" s="47" t="str">
        <x:f>IF(COUNT(V86:X86)=3,AVERAGE(V86:X86),"")</x:f>
      </x:c>
      <x:c r="Z86" s="47" t="str">
        <x:f>IF(OR(AND(EXACT(A86,"SYN-A"),COUNT('01_INPUT_COMPANIES'!$T$86:$AC$86)=10,'01_INPUT_COMPANIES'!$T$86=-0.02,'01_INPUT_COMPANIES'!$U$86=0.1332,'01_INPUT_COMPANIES'!$V$86=0.18,'01_INPUT_COMPANIES'!$W$86=0.42,'01_INPUT_COMPANIES'!$X$86=0.012,'01_INPUT_COMPANIES'!$Y$86=3.2,'01_INPUT_COMPANIES'!$Z$86=0.08,'01_INPUT_COMPANIES'!$AA$86=0.28,'01_INPUT_COMPANIES'!$AB$86=0.74,'01_INPUT_COMPANIES'!$AC$86=8.5),AND(EXACT(A86,"SYN-B"),COUNT('01_INPUT_COMPANIES'!$T$86:$AC$86)=10,'01_INPUT_COMPANIES'!$T$86=-0.055,'01_INPUT_COMPANIES'!$U$86=0.06405,'01_INPUT_COMPANIES'!$V$86=0.105,'01_INPUT_COMPANIES'!$W$86=0.73,'01_INPUT_COMPANIES'!$X$86=0.004,'01_INPUT_COMPANIES'!$Y$86=4.1,'01_INPUT_COMPANIES'!$Z$86=0.025,'01_INPUT_COMPANIES'!$AA$86=0.16,'01_INPUT_COMPANIES'!$AB$86=0.61,'01_INPUT_COMPANIES'!$AC$86=4),AND(EXACT(A86,"SYN-C"),COUNT('01_INPUT_COMPANIES'!$T$86:$AC$86)=10,'01_INPUT_COMPANIES'!$T$86=0.01,'01_INPUT_COMPANIES'!$U$86=0.0986,'01_INPUT_COMPANIES'!$V$86=0.145,'01_INPUT_COMPANIES'!$W$86=0.18,'01_INPUT_COMPANIES'!$X$86=0.018,'01_INPUT_COMPANIES'!$Y$86=2.65,'01_INPUT_COMPANIES'!$Z$86=0.11,'01_INPUT_COMPANIES'!$AA$86=0.34,'01_INPUT_COMPANIES'!$AB$86=0.68,'01_INPUT_COMPANIES'!$AC$86=6.8),AND(EXACT(A86,"SYN-D"),COUNT('01_INPUT_COMPANIES'!$T$86:$AC$86)=10,'01_INPUT_COMPANIES'!$T$86=-0.005,'01_INPUT_COMPANIES'!$U$86=0.1136,'01_INPUT_COMPANIES'!$V$86=0.16,'01_INPUT_COMPANIES'!$W$86=0.51,'01_INPUT_COMPANIES'!$X$86=0.009,'01_INPUT_COMPANIES'!$Y$86=3.55,'01_INPUT_COMPANIES'!$Z$86=0.065,'01_INPUT_COMPANIES'!$AA$86=0.24,'01_INPUT_COMPANIES'!$AB$86=0.71,'01_INPUT_COMPANIES'!$AC$86=7.4)),IFERROR(INDEX('94_EXPECTED_OUTPUTS'!$B$7:$B$10,MATCH(A86,'94_EXPECTED_OUTPUTS'!$A$7:$A$10,0)),""),"")</x:f>
      </x:c>
      <x:c r="AA86" s="47" t="str">
        <x:f>IF(OR(COUNT(Y86)=0,COUNT(Z86)=0),"",ABS(Y86-Z86))</x:f>
      </x:c>
      <x:c r="AB86" s="34" t="str">
        <x:f>IF(A86="","",IF(AD86&lt;&gt;"",AD86,IF('01_INPUT_COMPANIES'!$A$86="","",IF(OR(LEN(TRIM('01_INPUT_COMPANIES'!$A$86&amp;""))=0,LEN(TRIM('01_INPUT_COMPANIES'!$B$86&amp;""))=0,LEN(TRIM('01_INPUT_COMPANIES'!$C$86&amp;""))=0,LEN(TRIM('01_INPUT_COMPANIES'!$D$86&amp;""))=0,LEN(TRIM('01_INPUT_COMPANIES'!$E$86&amp;""))=0,LEN(TRIM('01_INPUT_COMPANIES'!$F$86&amp;""))=0,LEN(TRIM('01_INPUT_COMPANIES'!$G$86&amp;""))=0,LEN(TRIM('01_INPUT_COMPANIES'!$H$86&amp;""))=0,LEN(TRIM('01_INPUT_COMPANIES'!$I$86&amp;""))=0,LEN(TRIM('01_INPUT_COMPANIES'!$K$86&amp;""))=0,LEN(TRIM('01_INPUT_COMPANIES'!$L$86&amp;""))=0,LEN(TRIM('01_INPUT_COMPANIES'!$M$86&amp;""))=0,LEN(TRIM('01_INPUT_COMPANIES'!$N$86&amp;""))=0,LEN(TRIM('01_INPUT_COMPANIES'!$O$86&amp;""))=0,LEN(TRIM('01_INPUT_COMPANIES'!$Q$86&amp;""))=0,COUNTBLANK('01_INPUT_COMPANIES'!$A$86:$R$86)&gt;0),"INPUT REQUIRED",IF(OR('01_INPUT_COMPANIES'!$A$86&lt;&gt;TRIM('01_INPUT_COMPANIES'!$A$86),NOT(EXACT('01_INPUT_COMPANIES'!$A$86,UPPER('01_INPUT_COMPANIES'!$A$86))),LEN('01_INPUT_COMPANIES'!$A$86)&gt;64,ISNUMBER(FIND("*",'01_INPUT_COMPANIES'!$A$86)),ISNUMBER(FIND("?",'01_INPUT_COMPANIES'!$A$86)),ISNUMBER(FIND("~",'01_INPUT_COMPANIES'!$A$86))),"ERROR: ID FORMAT",IF(COUNTIF('01_INPUT_COMPANIES'!$A$7:$A$106,'01_INPUT_COMPANIES'!$A$86)&lt;&gt;1,"ERROR: DUPLICATE ID",IF(COUNT('01_INPUT_COMPANIES'!$T$86:$AC$86)&lt;&gt;10,"INPUT REQUIRED",IF(NOT(OR('01_INPUT_COMPANIES'!$C$86="domestic",'01_INPUT_COMPANIES'!$C$86="foreign",'01_INPUT_COMPANIES'!$C$86="other")),"ERROR: COMPANY GROUP",IF(OR(LEN('01_INPUT_COMPANIES'!$G$86)&lt;&gt;6,MID('01_INPUT_COMPANIES'!$G$86,5,1)&lt;&gt;"Q",IFERROR(VALUE(LEFT('01_INPUT_COMPANIES'!$G$86,4)),0)&lt;2000,IFERROR(VALUE(LEFT('01_INPUT_COMPANIES'!$G$86,4)),0)&gt;2100,IFERROR(VALUE(RIGHT('01_INPUT_COMPANIES'!$G$86,1)),0)&lt;1,IFERROR(VALUE(RIGHT('01_INPUT_COMPANIES'!$G$86,1)),0)&gt;4),"ERROR: REPORTING PERIOD",IF(OR(COUNTIFS('92_REF_VARIABLES'!$A$21:$A$21,'01_INPUT_COMPANIES'!$H$86,'92_REF_VARIABLES'!$B$21:$B$21,'01_INPUT_COMPANIES'!$D$86,'92_REF_VARIABLES'!$C$21:$C$21,'01_INPUT_COMPANIES'!$G$86)&lt;&gt;1,AND(IFERROR(INDEX('92_REF_VARIABLES'!$I$21:$I$21,MATCH('01_INPUT_COMPANIES'!$H$86,'92_REF_VARIABLES'!$A$21:$A$21,0)),"")="synthetic_only",'01_INPUT_COMPANIES'!$L$86&lt;&gt;"yes")),"ERROR: BENCHMARK",IF(COUNTIF('92_REF_VARIABLES'!$L$21:$L$50,'01_INPUT_COMPANIES'!$I$86)&lt;&gt;1,"ERROR: CURRENCY",IF(OR(NOT(ISNUMBER('01_INPUT_COMPANIES'!$J$86)),'01_INPUT_COMPANIES'!$J$86&lt;&gt;INT('01_INPUT_COMPANIES'!$J$86),'01_INPUT_COMPANIES'!$J$86&lt;2000,'01_INPUT_COMPANIES'!$J$86&gt;2100),"ERROR: PRICE YEAR",IF(NOT(OR('01_INPUT_COMPANIES'!$K$86="A",'01_INPUT_COMPANIES'!$K$86="B",'01_INPUT_COMPANIES'!$K$86="C",'01_INPUT_COMPANIES'!$K$86="SYNTHETIC")),"ERROR: QUALITY",IF(NOT(OR(AND('01_INPUT_COMPANIES'!$L$86="yes",'01_INPUT_COMPANIES'!$K$86="SYNTHETIC"),AND('01_INPUT_COMPANIES'!$L$86="no",'01_INPUT_COMPANIES'!$K$86&lt;&gt;"SYNTHETIC"))),"ERROR: SYNTHETIC FLAG",IF(NOT(OR('01_INPUT_COMPANIES'!$M$86="direct",'01_INPUT_COMPANIES'!$M$86="derived",'01_INPUT_COMPANIES'!$M$86="proxy",'01_INPUT_COMPANIES'!$M$86="mixed")),"ERROR: CONSTRUCTION MODE",IF(OR(NOT(ISNUMBER('01_INPUT_COMPANIES'!$P$86)),'01_INPUT_COMPANIES'!$P$86&lt;0,'01_INPUT_COMPANIES'!$P$86&lt;&gt;INT('01_INPUT_COMPANIES'!$P$86)),"ERROR: CARRY LAG",IF('01_INPUT_COMPANIES'!$Q$86&lt;&gt;"yes","ERROR: EXPOSURE ADJUSTMENT",IF(OR(NOT(ISNUMBER('01_INPUT_COMPANIES'!$R$86)),'01_INPUT_COMPANIES'!$R$86&lt;0,'01_INPUT_COMPANIES'!$R$86&gt;1),"ERROR: EXPOSURE FACTOR",IF(COUNT(Y86)=0,"ERROR: SCORE",IF(COUNT(Z86)=0,"READY",IF(AA86&lt;=0.0000000001,"PASS","CHECK"))&amp;IF('01_INPUT_COMPANIES'!$K$86="C"," | C QUALITY","")&amp;IF(OR('01_INPUT_COMPANIES'!$M$86="proxy",'01_INPUT_COMPANIES'!$M$86="mixed")," | PROXY/MIXED","")&amp;IF('01_INPUT_COMPANIES'!$P$86&gt;1," | CARRY&gt;1","")&amp;IF(OR(OR('01_INPUT_COMPANIES'!$T$86&lt;-1,'01_INPUT_COMPANIES'!$T$86&gt;1),OR('01_INPUT_COMPANIES'!$U$86&lt;0,'01_INPUT_COMPANIES'!$U$86&gt;1),OR('01_INPUT_COMPANIES'!$V$86&lt;0,'01_INPUT_COMPANIES'!$V$86&gt;1),OR('01_INPUT_COMPANIES'!$W$86&lt;-10,'01_INPUT_COMPANIES'!$W$86&gt;10),OR('01_INPUT_COMPANIES'!$X$86&lt;-1,'01_INPUT_COMPANIES'!$X$86&gt;1),OR('01_INPUT_COMPANIES'!$Y$86&lt;0,'01_INPUT_COMPANIES'!$Y$86&gt;20),OR('01_INPUT_COMPANIES'!$Z$86&lt;-2,'01_INPUT_COMPANIES'!$Z$86&gt;2),OR('01_INPUT_COMPANIES'!$AA$86&lt;0,'01_INPUT_COMPANIES'!$AA$86&gt;1),OR('01_INPUT_COMPANIES'!$AB$86&lt;0,'01_INPUT_COMPANIES'!$AB$86&gt;1),OR('01_INPUT_COMPANIES'!$AC$86&lt;0,'01_INPUT_COMPANIES'!$AC$86&gt;50))," | REVIEW RANGE","")&amp;IF(COUNTIF('90_CALC_FEATURES'!$J$797:$J$806,"WINSORIZED*")&gt;0," | WINSORIZED","")&amp;IF(ABS('01_INPUT_COMPANIES'!$U$86-'01_INPUT_COMPANIES'!$V$86*'01_INPUT_COMPANIES'!$AB$86)&gt;MAX(0.005,0.05*MAX(ABS('01_INPUT_COMPANIES'!$V$86*'01_INPUT_COMPANIES'!$AB$86),ABS('01_INPUT_COMPANIES'!$U$86),0.000000000001))," | DEPENDENCY",""))))))))))))))))))))</x:f>
      </x:c>
      <x:c r="AC86" s="34" t="str">
        <x:f>IF(A86="","",IF(OR(LEFT(AB86,4)="PASS",LEFT(AB86,5)="READY"),"RESEARCH BETA | 저지원 22.22% | 기업 백분위 N/A", "결과 사용 금지 | "&amp;AB86))</x:f>
      </x:c>
      <x:c r="AD86" s="34" t="str">
        <x:f>IF(A86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$86,TRIM('01_INPUT_COMPANIES'!$D$86)),EXACT('01_INPUT_COMPANIES'!$E$86,TRIM('01_INPUT_COMPANIES'!$E$86)),EXACT('01_INPUT_COMPANIES'!$F$86,TRIM('01_INPUT_COMPANIES'!$F$86)),EXACT('01_INPUT_COMPANIES'!$G$86,TRIM('01_INPUT_COMPANIES'!$G$86)),EXACT('01_INPUT_COMPANIES'!$H$86,TRIM('01_INPUT_COMPANIES'!$H$86)))),"ERROR: COHORT WHITESPACE",IF(NOT(IFERROR(AND(ISTEXT('01_INPUT_COMPANIES'!$O$86),LEN('01_INPUT_COMPANIES'!$O$86)=10,VALUE(LEFT('01_INPUT_COMPANIES'!$O$86,4))&gt;=2000,VALUE(LEFT('01_INPUT_COMPANIES'!$O$86,4))&lt;=2100,EXACT(TEXT(DATE(VALUE(LEFT('01_INPUT_COMPANIES'!$O$86,4)),VALUE(MID('01_INPUT_COMPANIES'!$O$86,6,2)),VALUE(RIGHT('01_INPUT_COMPANIES'!$O$86,2))),"yyyy-mm-dd"),'01_INPUT_COMPANIES'!$O$86)),FALSE)),"ERROR: SOURCE DATE",IF(NOT(AND(OR(EXACT('01_INPUT_COMPANIES'!$C$86,"domestic"),EXACT('01_INPUT_COMPANIES'!$C$86,"foreign"),EXACT('01_INPUT_COMPANIES'!$C$86,"other")),OR(EXACT('01_INPUT_COMPANIES'!$K$86,"A"),EXACT('01_INPUT_COMPANIES'!$K$86,"B"),EXACT('01_INPUT_COMPANIES'!$K$86,"C"),EXACT('01_INPUT_COMPANIES'!$K$86,"SYNTHETIC")),OR(EXACT('01_INPUT_COMPANIES'!$L$86,"yes"),EXACT('01_INPUT_COMPANIES'!$L$86,"no")),OR(EXACT('01_INPUT_COMPANIES'!$M$86,"direct"),EXACT('01_INPUT_COMPANIES'!$M$86,"derived"),EXACT('01_INPUT_COMPANIES'!$M$86,"proxy"),EXACT('01_INPUT_COMPANIES'!$M$86,"mixed")),OR(EXACT('01_INPUT_COMPANIES'!$Q$86,"yes")),EXACT('01_INPUT_COMPANIES'!$I$86,UPPER('01_INPUT_COMPANIES'!$I$86)))),"ERROR: EXACT ENUM",IF(NOT(IFERROR(OR(AND(EXACT('92_REF_VARIABLES'!$A$21,'01_INPUT_COMPANIES'!$H$86),EXACT('92_REF_VARIABLES'!$B$21,'01_INPUT_COMPANIES'!$D$86),EXACT('92_REF_VARIABLES'!$C$21,'01_INPUT_COMPANIES'!$G$86))),FALSE)),"ERROR: BENCHMARK",""))))))</x:f>
      </x:c>
    </x:row>
    <x:row r="87">
      <x:c r="A87" s="34" t="str">
        <x:f>IF(OR('01_INPUT_COMPANIES'!$A$87="",'01_INPUT_COMPANIES'!$A$87=""),"",'01_INPUT_COMPANIES'!$A$87)</x:f>
      </x:c>
      <x:c r="B87" s="34" t="str">
        <x:f>IF(OR('01_INPUT_COMPANIES'!$A$87="",'01_INPUT_COMPANIES'!$B$87=""),"",'01_INPUT_COMPANIES'!$B$87)</x:f>
      </x:c>
      <x:c r="C87" s="34" t="str">
        <x:f>IF(OR('01_INPUT_COMPANIES'!$A$87="",'01_INPUT_COMPANIES'!$C$87=""),"",'01_INPUT_COMPANIES'!$C$87)</x:f>
      </x:c>
      <x:c r="D87" s="34" t="str">
        <x:f>IF(OR('01_INPUT_COMPANIES'!$A$87="",'01_INPUT_COMPANIES'!$D$87=""),"",'01_INPUT_COMPANIES'!$D$87)</x:f>
      </x:c>
      <x:c r="E87" s="34" t="str">
        <x:f>IF(OR('01_INPUT_COMPANIES'!$A$87="",'01_INPUT_COMPANIES'!$E$87=""),"",'01_INPUT_COMPANIES'!$E$87)</x:f>
      </x:c>
      <x:c r="F87" s="34" t="str">
        <x:f>IF(OR('01_INPUT_COMPANIES'!$A$87="",'01_INPUT_COMPANIES'!$F$87=""),"",'01_INPUT_COMPANIES'!$F$87)</x:f>
      </x:c>
      <x:c r="G87" s="34" t="str">
        <x:f>IF(OR('01_INPUT_COMPANIES'!$A$87="",'01_INPUT_COMPANIES'!$G$87=""),"",'01_INPUT_COMPANIES'!$G$87)</x:f>
      </x:c>
      <x:c r="H87" s="34" t="str">
        <x:f>IF(OR('01_INPUT_COMPANIES'!$A$87="",'01_INPUT_COMPANIES'!$H$87=""),"",'01_INPUT_COMPANIES'!$H$87)</x:f>
      </x:c>
      <x:c r="I87" s="34" t="str">
        <x:f>IF(OR('01_INPUT_COMPANIES'!$A$87="",'01_INPUT_COMPANIES'!$K$87=""),"",'01_INPUT_COMPANIES'!$K$87)</x:f>
      </x:c>
      <x:c r="J87" s="34" t="str">
        <x:f>IF(OR('01_INPUT_COMPANIES'!$A$87="",'01_INPUT_COMPANIES'!$M$87=""),"",'01_INPUT_COMPANIES'!$M$87)</x:f>
      </x:c>
      <x:c r="K87" s="34" t="str">
        <x:f>IF(OR(A87="",COUNTBLANK(D87:H87)&gt;0),"",LEN(D87)&amp;":"&amp;D87&amp;LEN(E87)&amp;":"&amp;E87&amp;LEN(F87)&amp;":"&amp;F87&amp;LEN(G87)&amp;":"&amp;G87&amp;LEN(H87)&amp;":"&amp;H87)</x:f>
      </x:c>
      <x:c r="L87" s="47" t="str">
        <x:f>IF(A87="","",'90_CALC_FEATURES'!$I$807)</x:f>
      </x:c>
      <x:c r="M87" s="47" t="str">
        <x:f>IF(A87="","",'90_CALC_FEATURES'!$I$808)</x:f>
      </x:c>
      <x:c r="N87" s="47" t="str">
        <x:f>IF(A87="","",'90_CALC_FEATURES'!$I$809)</x:f>
      </x:c>
      <x:c r="O87" s="47" t="str">
        <x:f>IF(A87="","",'90_CALC_FEATURES'!$I$810)</x:f>
      </x:c>
      <x:c r="P87" s="47" t="str">
        <x:f>IF(A87="","",'90_CALC_FEATURES'!$I$811)</x:f>
      </x:c>
      <x:c r="Q87" s="47" t="str">
        <x:f>IF(A87="","",'90_CALC_FEATURES'!$I$812)</x:f>
      </x:c>
      <x:c r="R87" s="47" t="str">
        <x:f>IF(A87="","",'90_CALC_FEATURES'!$I$813)</x:f>
      </x:c>
      <x:c r="S87" s="47" t="str">
        <x:f>IF(A87="","",'90_CALC_FEATURES'!$I$814)</x:f>
      </x:c>
      <x:c r="T87" s="47" t="str">
        <x:f>IF(A87="","",'90_CALC_FEATURES'!$I$815)</x:f>
      </x:c>
      <x:c r="U87" s="47" t="str">
        <x:f>IF(A87="","",'90_CALC_FEATURES'!$I$816)</x:f>
      </x:c>
      <x:c r="V87" s="47" t="str">
        <x:f>IF(COUNT(L87:N87)=3,100*AVERAGE(L87:N87),"")</x:f>
      </x:c>
      <x:c r="W87" s="47" t="str">
        <x:f>IF(COUNT(O87:R87)=4,100*AVERAGE(O87:R87),"")</x:f>
      </x:c>
      <x:c r="X87" s="47" t="str">
        <x:f>IF(COUNT(S87:U87)=3,100*AVERAGE(S87:U87),"")</x:f>
      </x:c>
      <x:c r="Y87" s="47" t="str">
        <x:f>IF(COUNT(V87:X87)=3,AVERAGE(V87:X87),"")</x:f>
      </x:c>
      <x:c r="Z87" s="47" t="str">
        <x:f>IF(OR(AND(EXACT(A87,"SYN-A"),COUNT('01_INPUT_COMPANIES'!$T$87:$AC$87)=10,'01_INPUT_COMPANIES'!$T$87=-0.02,'01_INPUT_COMPANIES'!$U$87=0.1332,'01_INPUT_COMPANIES'!$V$87=0.18,'01_INPUT_COMPANIES'!$W$87=0.42,'01_INPUT_COMPANIES'!$X$87=0.012,'01_INPUT_COMPANIES'!$Y$87=3.2,'01_INPUT_COMPANIES'!$Z$87=0.08,'01_INPUT_COMPANIES'!$AA$87=0.28,'01_INPUT_COMPANIES'!$AB$87=0.74,'01_INPUT_COMPANIES'!$AC$87=8.5),AND(EXACT(A87,"SYN-B"),COUNT('01_INPUT_COMPANIES'!$T$87:$AC$87)=10,'01_INPUT_COMPANIES'!$T$87=-0.055,'01_INPUT_COMPANIES'!$U$87=0.06405,'01_INPUT_COMPANIES'!$V$87=0.105,'01_INPUT_COMPANIES'!$W$87=0.73,'01_INPUT_COMPANIES'!$X$87=0.004,'01_INPUT_COMPANIES'!$Y$87=4.1,'01_INPUT_COMPANIES'!$Z$87=0.025,'01_INPUT_COMPANIES'!$AA$87=0.16,'01_INPUT_COMPANIES'!$AB$87=0.61,'01_INPUT_COMPANIES'!$AC$87=4),AND(EXACT(A87,"SYN-C"),COUNT('01_INPUT_COMPANIES'!$T$87:$AC$87)=10,'01_INPUT_COMPANIES'!$T$87=0.01,'01_INPUT_COMPANIES'!$U$87=0.0986,'01_INPUT_COMPANIES'!$V$87=0.145,'01_INPUT_COMPANIES'!$W$87=0.18,'01_INPUT_COMPANIES'!$X$87=0.018,'01_INPUT_COMPANIES'!$Y$87=2.65,'01_INPUT_COMPANIES'!$Z$87=0.11,'01_INPUT_COMPANIES'!$AA$87=0.34,'01_INPUT_COMPANIES'!$AB$87=0.68,'01_INPUT_COMPANIES'!$AC$87=6.8),AND(EXACT(A87,"SYN-D"),COUNT('01_INPUT_COMPANIES'!$T$87:$AC$87)=10,'01_INPUT_COMPANIES'!$T$87=-0.005,'01_INPUT_COMPANIES'!$U$87=0.1136,'01_INPUT_COMPANIES'!$V$87=0.16,'01_INPUT_COMPANIES'!$W$87=0.51,'01_INPUT_COMPANIES'!$X$87=0.009,'01_INPUT_COMPANIES'!$Y$87=3.55,'01_INPUT_COMPANIES'!$Z$87=0.065,'01_INPUT_COMPANIES'!$AA$87=0.24,'01_INPUT_COMPANIES'!$AB$87=0.71,'01_INPUT_COMPANIES'!$AC$87=7.4)),IFERROR(INDEX('94_EXPECTED_OUTPUTS'!$B$7:$B$10,MATCH(A87,'94_EXPECTED_OUTPUTS'!$A$7:$A$10,0)),""),"")</x:f>
      </x:c>
      <x:c r="AA87" s="47" t="str">
        <x:f>IF(OR(COUNT(Y87)=0,COUNT(Z87)=0),"",ABS(Y87-Z87))</x:f>
      </x:c>
      <x:c r="AB87" s="34" t="str">
        <x:f>IF(A87="","",IF(AD87&lt;&gt;"",AD87,IF('01_INPUT_COMPANIES'!$A$87="","",IF(OR(LEN(TRIM('01_INPUT_COMPANIES'!$A$87&amp;""))=0,LEN(TRIM('01_INPUT_COMPANIES'!$B$87&amp;""))=0,LEN(TRIM('01_INPUT_COMPANIES'!$C$87&amp;""))=0,LEN(TRIM('01_INPUT_COMPANIES'!$D$87&amp;""))=0,LEN(TRIM('01_INPUT_COMPANIES'!$E$87&amp;""))=0,LEN(TRIM('01_INPUT_COMPANIES'!$F$87&amp;""))=0,LEN(TRIM('01_INPUT_COMPANIES'!$G$87&amp;""))=0,LEN(TRIM('01_INPUT_COMPANIES'!$H$87&amp;""))=0,LEN(TRIM('01_INPUT_COMPANIES'!$I$87&amp;""))=0,LEN(TRIM('01_INPUT_COMPANIES'!$K$87&amp;""))=0,LEN(TRIM('01_INPUT_COMPANIES'!$L$87&amp;""))=0,LEN(TRIM('01_INPUT_COMPANIES'!$M$87&amp;""))=0,LEN(TRIM('01_INPUT_COMPANIES'!$N$87&amp;""))=0,LEN(TRIM('01_INPUT_COMPANIES'!$O$87&amp;""))=0,LEN(TRIM('01_INPUT_COMPANIES'!$Q$87&amp;""))=0,COUNTBLANK('01_INPUT_COMPANIES'!$A$87:$R$87)&gt;0),"INPUT REQUIRED",IF(OR('01_INPUT_COMPANIES'!$A$87&lt;&gt;TRIM('01_INPUT_COMPANIES'!$A$87),NOT(EXACT('01_INPUT_COMPANIES'!$A$87,UPPER('01_INPUT_COMPANIES'!$A$87))),LEN('01_INPUT_COMPANIES'!$A$87)&gt;64,ISNUMBER(FIND("*",'01_INPUT_COMPANIES'!$A$87)),ISNUMBER(FIND("?",'01_INPUT_COMPANIES'!$A$87)),ISNUMBER(FIND("~",'01_INPUT_COMPANIES'!$A$87))),"ERROR: ID FORMAT",IF(COUNTIF('01_INPUT_COMPANIES'!$A$7:$A$106,'01_INPUT_COMPANIES'!$A$87)&lt;&gt;1,"ERROR: DUPLICATE ID",IF(COUNT('01_INPUT_COMPANIES'!$T$87:$AC$87)&lt;&gt;10,"INPUT REQUIRED",IF(NOT(OR('01_INPUT_COMPANIES'!$C$87="domestic",'01_INPUT_COMPANIES'!$C$87="foreign",'01_INPUT_COMPANIES'!$C$87="other")),"ERROR: COMPANY GROUP",IF(OR(LEN('01_INPUT_COMPANIES'!$G$87)&lt;&gt;6,MID('01_INPUT_COMPANIES'!$G$87,5,1)&lt;&gt;"Q",IFERROR(VALUE(LEFT('01_INPUT_COMPANIES'!$G$87,4)),0)&lt;2000,IFERROR(VALUE(LEFT('01_INPUT_COMPANIES'!$G$87,4)),0)&gt;2100,IFERROR(VALUE(RIGHT('01_INPUT_COMPANIES'!$G$87,1)),0)&lt;1,IFERROR(VALUE(RIGHT('01_INPUT_COMPANIES'!$G$87,1)),0)&gt;4),"ERROR: REPORTING PERIOD",IF(OR(COUNTIFS('92_REF_VARIABLES'!$A$21:$A$21,'01_INPUT_COMPANIES'!$H$87,'92_REF_VARIABLES'!$B$21:$B$21,'01_INPUT_COMPANIES'!$D$87,'92_REF_VARIABLES'!$C$21:$C$21,'01_INPUT_COMPANIES'!$G$87)&lt;&gt;1,AND(IFERROR(INDEX('92_REF_VARIABLES'!$I$21:$I$21,MATCH('01_INPUT_COMPANIES'!$H$87,'92_REF_VARIABLES'!$A$21:$A$21,0)),"")="synthetic_only",'01_INPUT_COMPANIES'!$L$87&lt;&gt;"yes")),"ERROR: BENCHMARK",IF(COUNTIF('92_REF_VARIABLES'!$L$21:$L$50,'01_INPUT_COMPANIES'!$I$87)&lt;&gt;1,"ERROR: CURRENCY",IF(OR(NOT(ISNUMBER('01_INPUT_COMPANIES'!$J$87)),'01_INPUT_COMPANIES'!$J$87&lt;&gt;INT('01_INPUT_COMPANIES'!$J$87),'01_INPUT_COMPANIES'!$J$87&lt;2000,'01_INPUT_COMPANIES'!$J$87&gt;2100),"ERROR: PRICE YEAR",IF(NOT(OR('01_INPUT_COMPANIES'!$K$87="A",'01_INPUT_COMPANIES'!$K$87="B",'01_INPUT_COMPANIES'!$K$87="C",'01_INPUT_COMPANIES'!$K$87="SYNTHETIC")),"ERROR: QUALITY",IF(NOT(OR(AND('01_INPUT_COMPANIES'!$L$87="yes",'01_INPUT_COMPANIES'!$K$87="SYNTHETIC"),AND('01_INPUT_COMPANIES'!$L$87="no",'01_INPUT_COMPANIES'!$K$87&lt;&gt;"SYNTHETIC"))),"ERROR: SYNTHETIC FLAG",IF(NOT(OR('01_INPUT_COMPANIES'!$M$87="direct",'01_INPUT_COMPANIES'!$M$87="derived",'01_INPUT_COMPANIES'!$M$87="proxy",'01_INPUT_COMPANIES'!$M$87="mixed")),"ERROR: CONSTRUCTION MODE",IF(OR(NOT(ISNUMBER('01_INPUT_COMPANIES'!$P$87)),'01_INPUT_COMPANIES'!$P$87&lt;0,'01_INPUT_COMPANIES'!$P$87&lt;&gt;INT('01_INPUT_COMPANIES'!$P$87)),"ERROR: CARRY LAG",IF('01_INPUT_COMPANIES'!$Q$87&lt;&gt;"yes","ERROR: EXPOSURE ADJUSTMENT",IF(OR(NOT(ISNUMBER('01_INPUT_COMPANIES'!$R$87)),'01_INPUT_COMPANIES'!$R$87&lt;0,'01_INPUT_COMPANIES'!$R$87&gt;1),"ERROR: EXPOSURE FACTOR",IF(COUNT(Y87)=0,"ERROR: SCORE",IF(COUNT(Z87)=0,"READY",IF(AA87&lt;=0.0000000001,"PASS","CHECK"))&amp;IF('01_INPUT_COMPANIES'!$K$87="C"," | C QUALITY","")&amp;IF(OR('01_INPUT_COMPANIES'!$M$87="proxy",'01_INPUT_COMPANIES'!$M$87="mixed")," | PROXY/MIXED","")&amp;IF('01_INPUT_COMPANIES'!$P$87&gt;1," | CARRY&gt;1","")&amp;IF(OR(OR('01_INPUT_COMPANIES'!$T$87&lt;-1,'01_INPUT_COMPANIES'!$T$87&gt;1),OR('01_INPUT_COMPANIES'!$U$87&lt;0,'01_INPUT_COMPANIES'!$U$87&gt;1),OR('01_INPUT_COMPANIES'!$V$87&lt;0,'01_INPUT_COMPANIES'!$V$87&gt;1),OR('01_INPUT_COMPANIES'!$W$87&lt;-10,'01_INPUT_COMPANIES'!$W$87&gt;10),OR('01_INPUT_COMPANIES'!$X$87&lt;-1,'01_INPUT_COMPANIES'!$X$87&gt;1),OR('01_INPUT_COMPANIES'!$Y$87&lt;0,'01_INPUT_COMPANIES'!$Y$87&gt;20),OR('01_INPUT_COMPANIES'!$Z$87&lt;-2,'01_INPUT_COMPANIES'!$Z$87&gt;2),OR('01_INPUT_COMPANIES'!$AA$87&lt;0,'01_INPUT_COMPANIES'!$AA$87&gt;1),OR('01_INPUT_COMPANIES'!$AB$87&lt;0,'01_INPUT_COMPANIES'!$AB$87&gt;1),OR('01_INPUT_COMPANIES'!$AC$87&lt;0,'01_INPUT_COMPANIES'!$AC$87&gt;50))," | REVIEW RANGE","")&amp;IF(COUNTIF('90_CALC_FEATURES'!$J$807:$J$816,"WINSORIZED*")&gt;0," | WINSORIZED","")&amp;IF(ABS('01_INPUT_COMPANIES'!$U$87-'01_INPUT_COMPANIES'!$V$87*'01_INPUT_COMPANIES'!$AB$87)&gt;MAX(0.005,0.05*MAX(ABS('01_INPUT_COMPANIES'!$V$87*'01_INPUT_COMPANIES'!$AB$87),ABS('01_INPUT_COMPANIES'!$U$87),0.000000000001))," | DEPENDENCY",""))))))))))))))))))))</x:f>
      </x:c>
      <x:c r="AC87" s="34" t="str">
        <x:f>IF(A87="","",IF(OR(LEFT(AB87,4)="PASS",LEFT(AB87,5)="READY"),"RESEARCH BETA | 저지원 22.22% | 기업 백분위 N/A", "결과 사용 금지 | "&amp;AB87))</x:f>
      </x:c>
      <x:c r="AD87" s="34" t="str">
        <x:f>IF(A87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$87,TRIM('01_INPUT_COMPANIES'!$D$87)),EXACT('01_INPUT_COMPANIES'!$E$87,TRIM('01_INPUT_COMPANIES'!$E$87)),EXACT('01_INPUT_COMPANIES'!$F$87,TRIM('01_INPUT_COMPANIES'!$F$87)),EXACT('01_INPUT_COMPANIES'!$G$87,TRIM('01_INPUT_COMPANIES'!$G$87)),EXACT('01_INPUT_COMPANIES'!$H$87,TRIM('01_INPUT_COMPANIES'!$H$87)))),"ERROR: COHORT WHITESPACE",IF(NOT(IFERROR(AND(ISTEXT('01_INPUT_COMPANIES'!$O$87),LEN('01_INPUT_COMPANIES'!$O$87)=10,VALUE(LEFT('01_INPUT_COMPANIES'!$O$87,4))&gt;=2000,VALUE(LEFT('01_INPUT_COMPANIES'!$O$87,4))&lt;=2100,EXACT(TEXT(DATE(VALUE(LEFT('01_INPUT_COMPANIES'!$O$87,4)),VALUE(MID('01_INPUT_COMPANIES'!$O$87,6,2)),VALUE(RIGHT('01_INPUT_COMPANIES'!$O$87,2))),"yyyy-mm-dd"),'01_INPUT_COMPANIES'!$O$87)),FALSE)),"ERROR: SOURCE DATE",IF(NOT(AND(OR(EXACT('01_INPUT_COMPANIES'!$C$87,"domestic"),EXACT('01_INPUT_COMPANIES'!$C$87,"foreign"),EXACT('01_INPUT_COMPANIES'!$C$87,"other")),OR(EXACT('01_INPUT_COMPANIES'!$K$87,"A"),EXACT('01_INPUT_COMPANIES'!$K$87,"B"),EXACT('01_INPUT_COMPANIES'!$K$87,"C"),EXACT('01_INPUT_COMPANIES'!$K$87,"SYNTHETIC")),OR(EXACT('01_INPUT_COMPANIES'!$L$87,"yes"),EXACT('01_INPUT_COMPANIES'!$L$87,"no")),OR(EXACT('01_INPUT_COMPANIES'!$M$87,"direct"),EXACT('01_INPUT_COMPANIES'!$M$87,"derived"),EXACT('01_INPUT_COMPANIES'!$M$87,"proxy"),EXACT('01_INPUT_COMPANIES'!$M$87,"mixed")),OR(EXACT('01_INPUT_COMPANIES'!$Q$87,"yes")),EXACT('01_INPUT_COMPANIES'!$I$87,UPPER('01_INPUT_COMPANIES'!$I$87)))),"ERROR: EXACT ENUM",IF(NOT(IFERROR(OR(AND(EXACT('92_REF_VARIABLES'!$A$21,'01_INPUT_COMPANIES'!$H$87),EXACT('92_REF_VARIABLES'!$B$21,'01_INPUT_COMPANIES'!$D$87),EXACT('92_REF_VARIABLES'!$C$21,'01_INPUT_COMPANIES'!$G$87))),FALSE)),"ERROR: BENCHMARK",""))))))</x:f>
      </x:c>
    </x:row>
    <x:row r="88">
      <x:c r="A88" s="34" t="str">
        <x:f>IF(OR('01_INPUT_COMPANIES'!$A$88="",'01_INPUT_COMPANIES'!$A$88=""),"",'01_INPUT_COMPANIES'!$A$88)</x:f>
      </x:c>
      <x:c r="B88" s="34" t="str">
        <x:f>IF(OR('01_INPUT_COMPANIES'!$A$88="",'01_INPUT_COMPANIES'!$B$88=""),"",'01_INPUT_COMPANIES'!$B$88)</x:f>
      </x:c>
      <x:c r="C88" s="34" t="str">
        <x:f>IF(OR('01_INPUT_COMPANIES'!$A$88="",'01_INPUT_COMPANIES'!$C$88=""),"",'01_INPUT_COMPANIES'!$C$88)</x:f>
      </x:c>
      <x:c r="D88" s="34" t="str">
        <x:f>IF(OR('01_INPUT_COMPANIES'!$A$88="",'01_INPUT_COMPANIES'!$D$88=""),"",'01_INPUT_COMPANIES'!$D$88)</x:f>
      </x:c>
      <x:c r="E88" s="34" t="str">
        <x:f>IF(OR('01_INPUT_COMPANIES'!$A$88="",'01_INPUT_COMPANIES'!$E$88=""),"",'01_INPUT_COMPANIES'!$E$88)</x:f>
      </x:c>
      <x:c r="F88" s="34" t="str">
        <x:f>IF(OR('01_INPUT_COMPANIES'!$A$88="",'01_INPUT_COMPANIES'!$F$88=""),"",'01_INPUT_COMPANIES'!$F$88)</x:f>
      </x:c>
      <x:c r="G88" s="34" t="str">
        <x:f>IF(OR('01_INPUT_COMPANIES'!$A$88="",'01_INPUT_COMPANIES'!$G$88=""),"",'01_INPUT_COMPANIES'!$G$88)</x:f>
      </x:c>
      <x:c r="H88" s="34" t="str">
        <x:f>IF(OR('01_INPUT_COMPANIES'!$A$88="",'01_INPUT_COMPANIES'!$H$88=""),"",'01_INPUT_COMPANIES'!$H$88)</x:f>
      </x:c>
      <x:c r="I88" s="34" t="str">
        <x:f>IF(OR('01_INPUT_COMPANIES'!$A$88="",'01_INPUT_COMPANIES'!$K$88=""),"",'01_INPUT_COMPANIES'!$K$88)</x:f>
      </x:c>
      <x:c r="J88" s="34" t="str">
        <x:f>IF(OR('01_INPUT_COMPANIES'!$A$88="",'01_INPUT_COMPANIES'!$M$88=""),"",'01_INPUT_COMPANIES'!$M$88)</x:f>
      </x:c>
      <x:c r="K88" s="34" t="str">
        <x:f>IF(OR(A88="",COUNTBLANK(D88:H88)&gt;0),"",LEN(D88)&amp;":"&amp;D88&amp;LEN(E88)&amp;":"&amp;E88&amp;LEN(F88)&amp;":"&amp;F88&amp;LEN(G88)&amp;":"&amp;G88&amp;LEN(H88)&amp;":"&amp;H88)</x:f>
      </x:c>
      <x:c r="L88" s="47" t="str">
        <x:f>IF(A88="","",'90_CALC_FEATURES'!$I$817)</x:f>
      </x:c>
      <x:c r="M88" s="47" t="str">
        <x:f>IF(A88="","",'90_CALC_FEATURES'!$I$818)</x:f>
      </x:c>
      <x:c r="N88" s="47" t="str">
        <x:f>IF(A88="","",'90_CALC_FEATURES'!$I$819)</x:f>
      </x:c>
      <x:c r="O88" s="47" t="str">
        <x:f>IF(A88="","",'90_CALC_FEATURES'!$I$820)</x:f>
      </x:c>
      <x:c r="P88" s="47" t="str">
        <x:f>IF(A88="","",'90_CALC_FEATURES'!$I$821)</x:f>
      </x:c>
      <x:c r="Q88" s="47" t="str">
        <x:f>IF(A88="","",'90_CALC_FEATURES'!$I$822)</x:f>
      </x:c>
      <x:c r="R88" s="47" t="str">
        <x:f>IF(A88="","",'90_CALC_FEATURES'!$I$823)</x:f>
      </x:c>
      <x:c r="S88" s="47" t="str">
        <x:f>IF(A88="","",'90_CALC_FEATURES'!$I$824)</x:f>
      </x:c>
      <x:c r="T88" s="47" t="str">
        <x:f>IF(A88="","",'90_CALC_FEATURES'!$I$825)</x:f>
      </x:c>
      <x:c r="U88" s="47" t="str">
        <x:f>IF(A88="","",'90_CALC_FEATURES'!$I$826)</x:f>
      </x:c>
      <x:c r="V88" s="47" t="str">
        <x:f>IF(COUNT(L88:N88)=3,100*AVERAGE(L88:N88),"")</x:f>
      </x:c>
      <x:c r="W88" s="47" t="str">
        <x:f>IF(COUNT(O88:R88)=4,100*AVERAGE(O88:R88),"")</x:f>
      </x:c>
      <x:c r="X88" s="47" t="str">
        <x:f>IF(COUNT(S88:U88)=3,100*AVERAGE(S88:U88),"")</x:f>
      </x:c>
      <x:c r="Y88" s="47" t="str">
        <x:f>IF(COUNT(V88:X88)=3,AVERAGE(V88:X88),"")</x:f>
      </x:c>
      <x:c r="Z88" s="47" t="str">
        <x:f>IF(OR(AND(EXACT(A88,"SYN-A"),COUNT('01_INPUT_COMPANIES'!$T$88:$AC$88)=10,'01_INPUT_COMPANIES'!$T$88=-0.02,'01_INPUT_COMPANIES'!$U$88=0.1332,'01_INPUT_COMPANIES'!$V$88=0.18,'01_INPUT_COMPANIES'!$W$88=0.42,'01_INPUT_COMPANIES'!$X$88=0.012,'01_INPUT_COMPANIES'!$Y$88=3.2,'01_INPUT_COMPANIES'!$Z$88=0.08,'01_INPUT_COMPANIES'!$AA$88=0.28,'01_INPUT_COMPANIES'!$AB$88=0.74,'01_INPUT_COMPANIES'!$AC$88=8.5),AND(EXACT(A88,"SYN-B"),COUNT('01_INPUT_COMPANIES'!$T$88:$AC$88)=10,'01_INPUT_COMPANIES'!$T$88=-0.055,'01_INPUT_COMPANIES'!$U$88=0.06405,'01_INPUT_COMPANIES'!$V$88=0.105,'01_INPUT_COMPANIES'!$W$88=0.73,'01_INPUT_COMPANIES'!$X$88=0.004,'01_INPUT_COMPANIES'!$Y$88=4.1,'01_INPUT_COMPANIES'!$Z$88=0.025,'01_INPUT_COMPANIES'!$AA$88=0.16,'01_INPUT_COMPANIES'!$AB$88=0.61,'01_INPUT_COMPANIES'!$AC$88=4),AND(EXACT(A88,"SYN-C"),COUNT('01_INPUT_COMPANIES'!$T$88:$AC$88)=10,'01_INPUT_COMPANIES'!$T$88=0.01,'01_INPUT_COMPANIES'!$U$88=0.0986,'01_INPUT_COMPANIES'!$V$88=0.145,'01_INPUT_COMPANIES'!$W$88=0.18,'01_INPUT_COMPANIES'!$X$88=0.018,'01_INPUT_COMPANIES'!$Y$88=2.65,'01_INPUT_COMPANIES'!$Z$88=0.11,'01_INPUT_COMPANIES'!$AA$88=0.34,'01_INPUT_COMPANIES'!$AB$88=0.68,'01_INPUT_COMPANIES'!$AC$88=6.8),AND(EXACT(A88,"SYN-D"),COUNT('01_INPUT_COMPANIES'!$T$88:$AC$88)=10,'01_INPUT_COMPANIES'!$T$88=-0.005,'01_INPUT_COMPANIES'!$U$88=0.1136,'01_INPUT_COMPANIES'!$V$88=0.16,'01_INPUT_COMPANIES'!$W$88=0.51,'01_INPUT_COMPANIES'!$X$88=0.009,'01_INPUT_COMPANIES'!$Y$88=3.55,'01_INPUT_COMPANIES'!$Z$88=0.065,'01_INPUT_COMPANIES'!$AA$88=0.24,'01_INPUT_COMPANIES'!$AB$88=0.71,'01_INPUT_COMPANIES'!$AC$88=7.4)),IFERROR(INDEX('94_EXPECTED_OUTPUTS'!$B$7:$B$10,MATCH(A88,'94_EXPECTED_OUTPUTS'!$A$7:$A$10,0)),""),"")</x:f>
      </x:c>
      <x:c r="AA88" s="47" t="str">
        <x:f>IF(OR(COUNT(Y88)=0,COUNT(Z88)=0),"",ABS(Y88-Z88))</x:f>
      </x:c>
      <x:c r="AB88" s="34" t="str">
        <x:f>IF(A88="","",IF(AD88&lt;&gt;"",AD88,IF('01_INPUT_COMPANIES'!$A$88="","",IF(OR(LEN(TRIM('01_INPUT_COMPANIES'!$A$88&amp;""))=0,LEN(TRIM('01_INPUT_COMPANIES'!$B$88&amp;""))=0,LEN(TRIM('01_INPUT_COMPANIES'!$C$88&amp;""))=0,LEN(TRIM('01_INPUT_COMPANIES'!$D$88&amp;""))=0,LEN(TRIM('01_INPUT_COMPANIES'!$E$88&amp;""))=0,LEN(TRIM('01_INPUT_COMPANIES'!$F$88&amp;""))=0,LEN(TRIM('01_INPUT_COMPANIES'!$G$88&amp;""))=0,LEN(TRIM('01_INPUT_COMPANIES'!$H$88&amp;""))=0,LEN(TRIM('01_INPUT_COMPANIES'!$I$88&amp;""))=0,LEN(TRIM('01_INPUT_COMPANIES'!$K$88&amp;""))=0,LEN(TRIM('01_INPUT_COMPANIES'!$L$88&amp;""))=0,LEN(TRIM('01_INPUT_COMPANIES'!$M$88&amp;""))=0,LEN(TRIM('01_INPUT_COMPANIES'!$N$88&amp;""))=0,LEN(TRIM('01_INPUT_COMPANIES'!$O$88&amp;""))=0,LEN(TRIM('01_INPUT_COMPANIES'!$Q$88&amp;""))=0,COUNTBLANK('01_INPUT_COMPANIES'!$A$88:$R$88)&gt;0),"INPUT REQUIRED",IF(OR('01_INPUT_COMPANIES'!$A$88&lt;&gt;TRIM('01_INPUT_COMPANIES'!$A$88),NOT(EXACT('01_INPUT_COMPANIES'!$A$88,UPPER('01_INPUT_COMPANIES'!$A$88))),LEN('01_INPUT_COMPANIES'!$A$88)&gt;64,ISNUMBER(FIND("*",'01_INPUT_COMPANIES'!$A$88)),ISNUMBER(FIND("?",'01_INPUT_COMPANIES'!$A$88)),ISNUMBER(FIND("~",'01_INPUT_COMPANIES'!$A$88))),"ERROR: ID FORMAT",IF(COUNTIF('01_INPUT_COMPANIES'!$A$7:$A$106,'01_INPUT_COMPANIES'!$A$88)&lt;&gt;1,"ERROR: DUPLICATE ID",IF(COUNT('01_INPUT_COMPANIES'!$T$88:$AC$88)&lt;&gt;10,"INPUT REQUIRED",IF(NOT(OR('01_INPUT_COMPANIES'!$C$88="domestic",'01_INPUT_COMPANIES'!$C$88="foreign",'01_INPUT_COMPANIES'!$C$88="other")),"ERROR: COMPANY GROUP",IF(OR(LEN('01_INPUT_COMPANIES'!$G$88)&lt;&gt;6,MID('01_INPUT_COMPANIES'!$G$88,5,1)&lt;&gt;"Q",IFERROR(VALUE(LEFT('01_INPUT_COMPANIES'!$G$88,4)),0)&lt;2000,IFERROR(VALUE(LEFT('01_INPUT_COMPANIES'!$G$88,4)),0)&gt;2100,IFERROR(VALUE(RIGHT('01_INPUT_COMPANIES'!$G$88,1)),0)&lt;1,IFERROR(VALUE(RIGHT('01_INPUT_COMPANIES'!$G$88,1)),0)&gt;4),"ERROR: REPORTING PERIOD",IF(OR(COUNTIFS('92_REF_VARIABLES'!$A$21:$A$21,'01_INPUT_COMPANIES'!$H$88,'92_REF_VARIABLES'!$B$21:$B$21,'01_INPUT_COMPANIES'!$D$88,'92_REF_VARIABLES'!$C$21:$C$21,'01_INPUT_COMPANIES'!$G$88)&lt;&gt;1,AND(IFERROR(INDEX('92_REF_VARIABLES'!$I$21:$I$21,MATCH('01_INPUT_COMPANIES'!$H$88,'92_REF_VARIABLES'!$A$21:$A$21,0)),"")="synthetic_only",'01_INPUT_COMPANIES'!$L$88&lt;&gt;"yes")),"ERROR: BENCHMARK",IF(COUNTIF('92_REF_VARIABLES'!$L$21:$L$50,'01_INPUT_COMPANIES'!$I$88)&lt;&gt;1,"ERROR: CURRENCY",IF(OR(NOT(ISNUMBER('01_INPUT_COMPANIES'!$J$88)),'01_INPUT_COMPANIES'!$J$88&lt;&gt;INT('01_INPUT_COMPANIES'!$J$88),'01_INPUT_COMPANIES'!$J$88&lt;2000,'01_INPUT_COMPANIES'!$J$88&gt;2100),"ERROR: PRICE YEAR",IF(NOT(OR('01_INPUT_COMPANIES'!$K$88="A",'01_INPUT_COMPANIES'!$K$88="B",'01_INPUT_COMPANIES'!$K$88="C",'01_INPUT_COMPANIES'!$K$88="SYNTHETIC")),"ERROR: QUALITY",IF(NOT(OR(AND('01_INPUT_COMPANIES'!$L$88="yes",'01_INPUT_COMPANIES'!$K$88="SYNTHETIC"),AND('01_INPUT_COMPANIES'!$L$88="no",'01_INPUT_COMPANIES'!$K$88&lt;&gt;"SYNTHETIC"))),"ERROR: SYNTHETIC FLAG",IF(NOT(OR('01_INPUT_COMPANIES'!$M$88="direct",'01_INPUT_COMPANIES'!$M$88="derived",'01_INPUT_COMPANIES'!$M$88="proxy",'01_INPUT_COMPANIES'!$M$88="mixed")),"ERROR: CONSTRUCTION MODE",IF(OR(NOT(ISNUMBER('01_INPUT_COMPANIES'!$P$88)),'01_INPUT_COMPANIES'!$P$88&lt;0,'01_INPUT_COMPANIES'!$P$88&lt;&gt;INT('01_INPUT_COMPANIES'!$P$88)),"ERROR: CARRY LAG",IF('01_INPUT_COMPANIES'!$Q$88&lt;&gt;"yes","ERROR: EXPOSURE ADJUSTMENT",IF(OR(NOT(ISNUMBER('01_INPUT_COMPANIES'!$R$88)),'01_INPUT_COMPANIES'!$R$88&lt;0,'01_INPUT_COMPANIES'!$R$88&gt;1),"ERROR: EXPOSURE FACTOR",IF(COUNT(Y88)=0,"ERROR: SCORE",IF(COUNT(Z88)=0,"READY",IF(AA88&lt;=0.0000000001,"PASS","CHECK"))&amp;IF('01_INPUT_COMPANIES'!$K$88="C"," | C QUALITY","")&amp;IF(OR('01_INPUT_COMPANIES'!$M$88="proxy",'01_INPUT_COMPANIES'!$M$88="mixed")," | PROXY/MIXED","")&amp;IF('01_INPUT_COMPANIES'!$P$88&gt;1," | CARRY&gt;1","")&amp;IF(OR(OR('01_INPUT_COMPANIES'!$T$88&lt;-1,'01_INPUT_COMPANIES'!$T$88&gt;1),OR('01_INPUT_COMPANIES'!$U$88&lt;0,'01_INPUT_COMPANIES'!$U$88&gt;1),OR('01_INPUT_COMPANIES'!$V$88&lt;0,'01_INPUT_COMPANIES'!$V$88&gt;1),OR('01_INPUT_COMPANIES'!$W$88&lt;-10,'01_INPUT_COMPANIES'!$W$88&gt;10),OR('01_INPUT_COMPANIES'!$X$88&lt;-1,'01_INPUT_COMPANIES'!$X$88&gt;1),OR('01_INPUT_COMPANIES'!$Y$88&lt;0,'01_INPUT_COMPANIES'!$Y$88&gt;20),OR('01_INPUT_COMPANIES'!$Z$88&lt;-2,'01_INPUT_COMPANIES'!$Z$88&gt;2),OR('01_INPUT_COMPANIES'!$AA$88&lt;0,'01_INPUT_COMPANIES'!$AA$88&gt;1),OR('01_INPUT_COMPANIES'!$AB$88&lt;0,'01_INPUT_COMPANIES'!$AB$88&gt;1),OR('01_INPUT_COMPANIES'!$AC$88&lt;0,'01_INPUT_COMPANIES'!$AC$88&gt;50))," | REVIEW RANGE","")&amp;IF(COUNTIF('90_CALC_FEATURES'!$J$817:$J$826,"WINSORIZED*")&gt;0," | WINSORIZED","")&amp;IF(ABS('01_INPUT_COMPANIES'!$U$88-'01_INPUT_COMPANIES'!$V$88*'01_INPUT_COMPANIES'!$AB$88)&gt;MAX(0.005,0.05*MAX(ABS('01_INPUT_COMPANIES'!$V$88*'01_INPUT_COMPANIES'!$AB$88),ABS('01_INPUT_COMPANIES'!$U$88),0.000000000001))," | DEPENDENCY",""))))))))))))))))))))</x:f>
      </x:c>
      <x:c r="AC88" s="34" t="str">
        <x:f>IF(A88="","",IF(OR(LEFT(AB88,4)="PASS",LEFT(AB88,5)="READY"),"RESEARCH BETA | 저지원 22.22% | 기업 백분위 N/A", "결과 사용 금지 | "&amp;AB88))</x:f>
      </x:c>
      <x:c r="AD88" s="34" t="str">
        <x:f>IF(A88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$88,TRIM('01_INPUT_COMPANIES'!$D$88)),EXACT('01_INPUT_COMPANIES'!$E$88,TRIM('01_INPUT_COMPANIES'!$E$88)),EXACT('01_INPUT_COMPANIES'!$F$88,TRIM('01_INPUT_COMPANIES'!$F$88)),EXACT('01_INPUT_COMPANIES'!$G$88,TRIM('01_INPUT_COMPANIES'!$G$88)),EXACT('01_INPUT_COMPANIES'!$H$88,TRIM('01_INPUT_COMPANIES'!$H$88)))),"ERROR: COHORT WHITESPACE",IF(NOT(IFERROR(AND(ISTEXT('01_INPUT_COMPANIES'!$O$88),LEN('01_INPUT_COMPANIES'!$O$88)=10,VALUE(LEFT('01_INPUT_COMPANIES'!$O$88,4))&gt;=2000,VALUE(LEFT('01_INPUT_COMPANIES'!$O$88,4))&lt;=2100,EXACT(TEXT(DATE(VALUE(LEFT('01_INPUT_COMPANIES'!$O$88,4)),VALUE(MID('01_INPUT_COMPANIES'!$O$88,6,2)),VALUE(RIGHT('01_INPUT_COMPANIES'!$O$88,2))),"yyyy-mm-dd"),'01_INPUT_COMPANIES'!$O$88)),FALSE)),"ERROR: SOURCE DATE",IF(NOT(AND(OR(EXACT('01_INPUT_COMPANIES'!$C$88,"domestic"),EXACT('01_INPUT_COMPANIES'!$C$88,"foreign"),EXACT('01_INPUT_COMPANIES'!$C$88,"other")),OR(EXACT('01_INPUT_COMPANIES'!$K$88,"A"),EXACT('01_INPUT_COMPANIES'!$K$88,"B"),EXACT('01_INPUT_COMPANIES'!$K$88,"C"),EXACT('01_INPUT_COMPANIES'!$K$88,"SYNTHETIC")),OR(EXACT('01_INPUT_COMPANIES'!$L$88,"yes"),EXACT('01_INPUT_COMPANIES'!$L$88,"no")),OR(EXACT('01_INPUT_COMPANIES'!$M$88,"direct"),EXACT('01_INPUT_COMPANIES'!$M$88,"derived"),EXACT('01_INPUT_COMPANIES'!$M$88,"proxy"),EXACT('01_INPUT_COMPANIES'!$M$88,"mixed")),OR(EXACT('01_INPUT_COMPANIES'!$Q$88,"yes")),EXACT('01_INPUT_COMPANIES'!$I$88,UPPER('01_INPUT_COMPANIES'!$I$88)))),"ERROR: EXACT ENUM",IF(NOT(IFERROR(OR(AND(EXACT('92_REF_VARIABLES'!$A$21,'01_INPUT_COMPANIES'!$H$88),EXACT('92_REF_VARIABLES'!$B$21,'01_INPUT_COMPANIES'!$D$88),EXACT('92_REF_VARIABLES'!$C$21,'01_INPUT_COMPANIES'!$G$88))),FALSE)),"ERROR: BENCHMARK",""))))))</x:f>
      </x:c>
    </x:row>
    <x:row r="89">
      <x:c r="A89" s="34" t="str">
        <x:f>IF(OR('01_INPUT_COMPANIES'!$A$89="",'01_INPUT_COMPANIES'!$A$89=""),"",'01_INPUT_COMPANIES'!$A$89)</x:f>
      </x:c>
      <x:c r="B89" s="34" t="str">
        <x:f>IF(OR('01_INPUT_COMPANIES'!$A$89="",'01_INPUT_COMPANIES'!$B$89=""),"",'01_INPUT_COMPANIES'!$B$89)</x:f>
      </x:c>
      <x:c r="C89" s="34" t="str">
        <x:f>IF(OR('01_INPUT_COMPANIES'!$A$89="",'01_INPUT_COMPANIES'!$C$89=""),"",'01_INPUT_COMPANIES'!$C$89)</x:f>
      </x:c>
      <x:c r="D89" s="34" t="str">
        <x:f>IF(OR('01_INPUT_COMPANIES'!$A$89="",'01_INPUT_COMPANIES'!$D$89=""),"",'01_INPUT_COMPANIES'!$D$89)</x:f>
      </x:c>
      <x:c r="E89" s="34" t="str">
        <x:f>IF(OR('01_INPUT_COMPANIES'!$A$89="",'01_INPUT_COMPANIES'!$E$89=""),"",'01_INPUT_COMPANIES'!$E$89)</x:f>
      </x:c>
      <x:c r="F89" s="34" t="str">
        <x:f>IF(OR('01_INPUT_COMPANIES'!$A$89="",'01_INPUT_COMPANIES'!$F$89=""),"",'01_INPUT_COMPANIES'!$F$89)</x:f>
      </x:c>
      <x:c r="G89" s="34" t="str">
        <x:f>IF(OR('01_INPUT_COMPANIES'!$A$89="",'01_INPUT_COMPANIES'!$G$89=""),"",'01_INPUT_COMPANIES'!$G$89)</x:f>
      </x:c>
      <x:c r="H89" s="34" t="str">
        <x:f>IF(OR('01_INPUT_COMPANIES'!$A$89="",'01_INPUT_COMPANIES'!$H$89=""),"",'01_INPUT_COMPANIES'!$H$89)</x:f>
      </x:c>
      <x:c r="I89" s="34" t="str">
        <x:f>IF(OR('01_INPUT_COMPANIES'!$A$89="",'01_INPUT_COMPANIES'!$K$89=""),"",'01_INPUT_COMPANIES'!$K$89)</x:f>
      </x:c>
      <x:c r="J89" s="34" t="str">
        <x:f>IF(OR('01_INPUT_COMPANIES'!$A$89="",'01_INPUT_COMPANIES'!$M$89=""),"",'01_INPUT_COMPANIES'!$M$89)</x:f>
      </x:c>
      <x:c r="K89" s="34" t="str">
        <x:f>IF(OR(A89="",COUNTBLANK(D89:H89)&gt;0),"",LEN(D89)&amp;":"&amp;D89&amp;LEN(E89)&amp;":"&amp;E89&amp;LEN(F89)&amp;":"&amp;F89&amp;LEN(G89)&amp;":"&amp;G89&amp;LEN(H89)&amp;":"&amp;H89)</x:f>
      </x:c>
      <x:c r="L89" s="47" t="str">
        <x:f>IF(A89="","",'90_CALC_FEATURES'!$I$827)</x:f>
      </x:c>
      <x:c r="M89" s="47" t="str">
        <x:f>IF(A89="","",'90_CALC_FEATURES'!$I$828)</x:f>
      </x:c>
      <x:c r="N89" s="47" t="str">
        <x:f>IF(A89="","",'90_CALC_FEATURES'!$I$829)</x:f>
      </x:c>
      <x:c r="O89" s="47" t="str">
        <x:f>IF(A89="","",'90_CALC_FEATURES'!$I$830)</x:f>
      </x:c>
      <x:c r="P89" s="47" t="str">
        <x:f>IF(A89="","",'90_CALC_FEATURES'!$I$831)</x:f>
      </x:c>
      <x:c r="Q89" s="47" t="str">
        <x:f>IF(A89="","",'90_CALC_FEATURES'!$I$832)</x:f>
      </x:c>
      <x:c r="R89" s="47" t="str">
        <x:f>IF(A89="","",'90_CALC_FEATURES'!$I$833)</x:f>
      </x:c>
      <x:c r="S89" s="47" t="str">
        <x:f>IF(A89="","",'90_CALC_FEATURES'!$I$834)</x:f>
      </x:c>
      <x:c r="T89" s="47" t="str">
        <x:f>IF(A89="","",'90_CALC_FEATURES'!$I$835)</x:f>
      </x:c>
      <x:c r="U89" s="47" t="str">
        <x:f>IF(A89="","",'90_CALC_FEATURES'!$I$836)</x:f>
      </x:c>
      <x:c r="V89" s="47" t="str">
        <x:f>IF(COUNT(L89:N89)=3,100*AVERAGE(L89:N89),"")</x:f>
      </x:c>
      <x:c r="W89" s="47" t="str">
        <x:f>IF(COUNT(O89:R89)=4,100*AVERAGE(O89:R89),"")</x:f>
      </x:c>
      <x:c r="X89" s="47" t="str">
        <x:f>IF(COUNT(S89:U89)=3,100*AVERAGE(S89:U89),"")</x:f>
      </x:c>
      <x:c r="Y89" s="47" t="str">
        <x:f>IF(COUNT(V89:X89)=3,AVERAGE(V89:X89),"")</x:f>
      </x:c>
      <x:c r="Z89" s="47" t="str">
        <x:f>IF(OR(AND(EXACT(A89,"SYN-A"),COUNT('01_INPUT_COMPANIES'!$T$89:$AC$89)=10,'01_INPUT_COMPANIES'!$T$89=-0.02,'01_INPUT_COMPANIES'!$U$89=0.1332,'01_INPUT_COMPANIES'!$V$89=0.18,'01_INPUT_COMPANIES'!$W$89=0.42,'01_INPUT_COMPANIES'!$X$89=0.012,'01_INPUT_COMPANIES'!$Y$89=3.2,'01_INPUT_COMPANIES'!$Z$89=0.08,'01_INPUT_COMPANIES'!$AA$89=0.28,'01_INPUT_COMPANIES'!$AB$89=0.74,'01_INPUT_COMPANIES'!$AC$89=8.5),AND(EXACT(A89,"SYN-B"),COUNT('01_INPUT_COMPANIES'!$T$89:$AC$89)=10,'01_INPUT_COMPANIES'!$T$89=-0.055,'01_INPUT_COMPANIES'!$U$89=0.06405,'01_INPUT_COMPANIES'!$V$89=0.105,'01_INPUT_COMPANIES'!$W$89=0.73,'01_INPUT_COMPANIES'!$X$89=0.004,'01_INPUT_COMPANIES'!$Y$89=4.1,'01_INPUT_COMPANIES'!$Z$89=0.025,'01_INPUT_COMPANIES'!$AA$89=0.16,'01_INPUT_COMPANIES'!$AB$89=0.61,'01_INPUT_COMPANIES'!$AC$89=4),AND(EXACT(A89,"SYN-C"),COUNT('01_INPUT_COMPANIES'!$T$89:$AC$89)=10,'01_INPUT_COMPANIES'!$T$89=0.01,'01_INPUT_COMPANIES'!$U$89=0.0986,'01_INPUT_COMPANIES'!$V$89=0.145,'01_INPUT_COMPANIES'!$W$89=0.18,'01_INPUT_COMPANIES'!$X$89=0.018,'01_INPUT_COMPANIES'!$Y$89=2.65,'01_INPUT_COMPANIES'!$Z$89=0.11,'01_INPUT_COMPANIES'!$AA$89=0.34,'01_INPUT_COMPANIES'!$AB$89=0.68,'01_INPUT_COMPANIES'!$AC$89=6.8),AND(EXACT(A89,"SYN-D"),COUNT('01_INPUT_COMPANIES'!$T$89:$AC$89)=10,'01_INPUT_COMPANIES'!$T$89=-0.005,'01_INPUT_COMPANIES'!$U$89=0.1136,'01_INPUT_COMPANIES'!$V$89=0.16,'01_INPUT_COMPANIES'!$W$89=0.51,'01_INPUT_COMPANIES'!$X$89=0.009,'01_INPUT_COMPANIES'!$Y$89=3.55,'01_INPUT_COMPANIES'!$Z$89=0.065,'01_INPUT_COMPANIES'!$AA$89=0.24,'01_INPUT_COMPANIES'!$AB$89=0.71,'01_INPUT_COMPANIES'!$AC$89=7.4)),IFERROR(INDEX('94_EXPECTED_OUTPUTS'!$B$7:$B$10,MATCH(A89,'94_EXPECTED_OUTPUTS'!$A$7:$A$10,0)),""),"")</x:f>
      </x:c>
      <x:c r="AA89" s="47" t="str">
        <x:f>IF(OR(COUNT(Y89)=0,COUNT(Z89)=0),"",ABS(Y89-Z89))</x:f>
      </x:c>
      <x:c r="AB89" s="34" t="str">
        <x:f>IF(A89="","",IF(AD89&lt;&gt;"",AD89,IF('01_INPUT_COMPANIES'!$A$89="","",IF(OR(LEN(TRIM('01_INPUT_COMPANIES'!$A$89&amp;""))=0,LEN(TRIM('01_INPUT_COMPANIES'!$B$89&amp;""))=0,LEN(TRIM('01_INPUT_COMPANIES'!$C$89&amp;""))=0,LEN(TRIM('01_INPUT_COMPANIES'!$D$89&amp;""))=0,LEN(TRIM('01_INPUT_COMPANIES'!$E$89&amp;""))=0,LEN(TRIM('01_INPUT_COMPANIES'!$F$89&amp;""))=0,LEN(TRIM('01_INPUT_COMPANIES'!$G$89&amp;""))=0,LEN(TRIM('01_INPUT_COMPANIES'!$H$89&amp;""))=0,LEN(TRIM('01_INPUT_COMPANIES'!$I$89&amp;""))=0,LEN(TRIM('01_INPUT_COMPANIES'!$K$89&amp;""))=0,LEN(TRIM('01_INPUT_COMPANIES'!$L$89&amp;""))=0,LEN(TRIM('01_INPUT_COMPANIES'!$M$89&amp;""))=0,LEN(TRIM('01_INPUT_COMPANIES'!$N$89&amp;""))=0,LEN(TRIM('01_INPUT_COMPANIES'!$O$89&amp;""))=0,LEN(TRIM('01_INPUT_COMPANIES'!$Q$89&amp;""))=0,COUNTBLANK('01_INPUT_COMPANIES'!$A$89:$R$89)&gt;0),"INPUT REQUIRED",IF(OR('01_INPUT_COMPANIES'!$A$89&lt;&gt;TRIM('01_INPUT_COMPANIES'!$A$89),NOT(EXACT('01_INPUT_COMPANIES'!$A$89,UPPER('01_INPUT_COMPANIES'!$A$89))),LEN('01_INPUT_COMPANIES'!$A$89)&gt;64,ISNUMBER(FIND("*",'01_INPUT_COMPANIES'!$A$89)),ISNUMBER(FIND("?",'01_INPUT_COMPANIES'!$A$89)),ISNUMBER(FIND("~",'01_INPUT_COMPANIES'!$A$89))),"ERROR: ID FORMAT",IF(COUNTIF('01_INPUT_COMPANIES'!$A$7:$A$106,'01_INPUT_COMPANIES'!$A$89)&lt;&gt;1,"ERROR: DUPLICATE ID",IF(COUNT('01_INPUT_COMPANIES'!$T$89:$AC$89)&lt;&gt;10,"INPUT REQUIRED",IF(NOT(OR('01_INPUT_COMPANIES'!$C$89="domestic",'01_INPUT_COMPANIES'!$C$89="foreign",'01_INPUT_COMPANIES'!$C$89="other")),"ERROR: COMPANY GROUP",IF(OR(LEN('01_INPUT_COMPANIES'!$G$89)&lt;&gt;6,MID('01_INPUT_COMPANIES'!$G$89,5,1)&lt;&gt;"Q",IFERROR(VALUE(LEFT('01_INPUT_COMPANIES'!$G$89,4)),0)&lt;2000,IFERROR(VALUE(LEFT('01_INPUT_COMPANIES'!$G$89,4)),0)&gt;2100,IFERROR(VALUE(RIGHT('01_INPUT_COMPANIES'!$G$89,1)),0)&lt;1,IFERROR(VALUE(RIGHT('01_INPUT_COMPANIES'!$G$89,1)),0)&gt;4),"ERROR: REPORTING PERIOD",IF(OR(COUNTIFS('92_REF_VARIABLES'!$A$21:$A$21,'01_INPUT_COMPANIES'!$H$89,'92_REF_VARIABLES'!$B$21:$B$21,'01_INPUT_COMPANIES'!$D$89,'92_REF_VARIABLES'!$C$21:$C$21,'01_INPUT_COMPANIES'!$G$89)&lt;&gt;1,AND(IFERROR(INDEX('92_REF_VARIABLES'!$I$21:$I$21,MATCH('01_INPUT_COMPANIES'!$H$89,'92_REF_VARIABLES'!$A$21:$A$21,0)),"")="synthetic_only",'01_INPUT_COMPANIES'!$L$89&lt;&gt;"yes")),"ERROR: BENCHMARK",IF(COUNTIF('92_REF_VARIABLES'!$L$21:$L$50,'01_INPUT_COMPANIES'!$I$89)&lt;&gt;1,"ERROR: CURRENCY",IF(OR(NOT(ISNUMBER('01_INPUT_COMPANIES'!$J$89)),'01_INPUT_COMPANIES'!$J$89&lt;&gt;INT('01_INPUT_COMPANIES'!$J$89),'01_INPUT_COMPANIES'!$J$89&lt;2000,'01_INPUT_COMPANIES'!$J$89&gt;2100),"ERROR: PRICE YEAR",IF(NOT(OR('01_INPUT_COMPANIES'!$K$89="A",'01_INPUT_COMPANIES'!$K$89="B",'01_INPUT_COMPANIES'!$K$89="C",'01_INPUT_COMPANIES'!$K$89="SYNTHETIC")),"ERROR: QUALITY",IF(NOT(OR(AND('01_INPUT_COMPANIES'!$L$89="yes",'01_INPUT_COMPANIES'!$K$89="SYNTHETIC"),AND('01_INPUT_COMPANIES'!$L$89="no",'01_INPUT_COMPANIES'!$K$89&lt;&gt;"SYNTHETIC"))),"ERROR: SYNTHETIC FLAG",IF(NOT(OR('01_INPUT_COMPANIES'!$M$89="direct",'01_INPUT_COMPANIES'!$M$89="derived",'01_INPUT_COMPANIES'!$M$89="proxy",'01_INPUT_COMPANIES'!$M$89="mixed")),"ERROR: CONSTRUCTION MODE",IF(OR(NOT(ISNUMBER('01_INPUT_COMPANIES'!$P$89)),'01_INPUT_COMPANIES'!$P$89&lt;0,'01_INPUT_COMPANIES'!$P$89&lt;&gt;INT('01_INPUT_COMPANIES'!$P$89)),"ERROR: CARRY LAG",IF('01_INPUT_COMPANIES'!$Q$89&lt;&gt;"yes","ERROR: EXPOSURE ADJUSTMENT",IF(OR(NOT(ISNUMBER('01_INPUT_COMPANIES'!$R$89)),'01_INPUT_COMPANIES'!$R$89&lt;0,'01_INPUT_COMPANIES'!$R$89&gt;1),"ERROR: EXPOSURE FACTOR",IF(COUNT(Y89)=0,"ERROR: SCORE",IF(COUNT(Z89)=0,"READY",IF(AA89&lt;=0.0000000001,"PASS","CHECK"))&amp;IF('01_INPUT_COMPANIES'!$K$89="C"," | C QUALITY","")&amp;IF(OR('01_INPUT_COMPANIES'!$M$89="proxy",'01_INPUT_COMPANIES'!$M$89="mixed")," | PROXY/MIXED","")&amp;IF('01_INPUT_COMPANIES'!$P$89&gt;1," | CARRY&gt;1","")&amp;IF(OR(OR('01_INPUT_COMPANIES'!$T$89&lt;-1,'01_INPUT_COMPANIES'!$T$89&gt;1),OR('01_INPUT_COMPANIES'!$U$89&lt;0,'01_INPUT_COMPANIES'!$U$89&gt;1),OR('01_INPUT_COMPANIES'!$V$89&lt;0,'01_INPUT_COMPANIES'!$V$89&gt;1),OR('01_INPUT_COMPANIES'!$W$89&lt;-10,'01_INPUT_COMPANIES'!$W$89&gt;10),OR('01_INPUT_COMPANIES'!$X$89&lt;-1,'01_INPUT_COMPANIES'!$X$89&gt;1),OR('01_INPUT_COMPANIES'!$Y$89&lt;0,'01_INPUT_COMPANIES'!$Y$89&gt;20),OR('01_INPUT_COMPANIES'!$Z$89&lt;-2,'01_INPUT_COMPANIES'!$Z$89&gt;2),OR('01_INPUT_COMPANIES'!$AA$89&lt;0,'01_INPUT_COMPANIES'!$AA$89&gt;1),OR('01_INPUT_COMPANIES'!$AB$89&lt;0,'01_INPUT_COMPANIES'!$AB$89&gt;1),OR('01_INPUT_COMPANIES'!$AC$89&lt;0,'01_INPUT_COMPANIES'!$AC$89&gt;50))," | REVIEW RANGE","")&amp;IF(COUNTIF('90_CALC_FEATURES'!$J$827:$J$836,"WINSORIZED*")&gt;0," | WINSORIZED","")&amp;IF(ABS('01_INPUT_COMPANIES'!$U$89-'01_INPUT_COMPANIES'!$V$89*'01_INPUT_COMPANIES'!$AB$89)&gt;MAX(0.005,0.05*MAX(ABS('01_INPUT_COMPANIES'!$V$89*'01_INPUT_COMPANIES'!$AB$89),ABS('01_INPUT_COMPANIES'!$U$89),0.000000000001))," | DEPENDENCY",""))))))))))))))))))))</x:f>
      </x:c>
      <x:c r="AC89" s="34" t="str">
        <x:f>IF(A89="","",IF(OR(LEFT(AB89,4)="PASS",LEFT(AB89,5)="READY"),"RESEARCH BETA | 저지원 22.22% | 기업 백분위 N/A", "결과 사용 금지 | "&amp;AB89))</x:f>
      </x:c>
      <x:c r="AD89" s="34" t="str">
        <x:f>IF(A89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$89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$89,TRIM('01_INPUT_COMPANIES'!$D$89)),EXACT('01_INPUT_COMPANIES'!$E$89,TRIM('01_INPUT_COMPANIES'!$E$89)),EXACT('01_INPUT_COMPANIES'!$F$89,TRIM('01_INPUT_COMPANIES'!$F$89)),EXACT('01_INPUT_COMPANIES'!$G$89,TRIM('01_INPUT_COMPANIES'!$G$89)),EXACT('01_INPUT_COMPANIES'!$H$89,TRIM('01_INPUT_COMPANIES'!$H$89)))),"ERROR: COHORT WHITESPACE",IF(NOT(IFERROR(AND(ISTEXT('01_INPUT_COMPANIES'!$O$89),LEN('01_INPUT_COMPANIES'!$O$89)=10,VALUE(LEFT('01_INPUT_COMPANIES'!$O$89,4))&gt;=2000,VALUE(LEFT('01_INPUT_COMPANIES'!$O$89,4))&lt;=2100,EXACT(TEXT(DATE(VALUE(LEFT('01_INPUT_COMPANIES'!$O$89,4)),VALUE(MID('01_INPUT_COMPANIES'!$O$89,6,2)),VALUE(RIGHT('01_INPUT_COMPANIES'!$O$89,2))),"yyyy-mm-dd"),'01_INPUT_COMPANIES'!$O$89)),FALSE)),"ERROR: SOURCE DATE",IF(NOT(AND(OR(EXACT('01_INPUT_COMPANIES'!$C$89,"domestic"),EXACT('01_INPUT_COMPANIES'!$C$89,"foreign"),EXACT('01_INPUT_COMPANIES'!$C$89,"other")),OR(EXACT('01_INPUT_COMPANIES'!$K$89,"A"),EXACT('01_INPUT_COMPANIES'!$K$89,"B"),EXACT('01_INPUT_COMPANIES'!$K$89,"C"),EXACT('01_INPUT_COMPANIES'!$K$89,"SYNTHETIC")),OR(EXACT('01_INPUT_COMPANIES'!$L$89,"yes"),EXACT('01_INPUT_COMPANIES'!$L$89,"no")),OR(EXACT('01_INPUT_COMPANIES'!$M$89,"direct"),EXACT('01_INPUT_COMPANIES'!$M$89,"derived"),EXACT('01_INPUT_COMPANIES'!$M$89,"proxy"),EXACT('01_INPUT_COMPANIES'!$M$89,"mixed")),OR(EXACT('01_INPUT_COMPANIES'!$Q$89,"yes")),EXACT('01_INPUT_COMPANIES'!$I$89,UPPER('01_INPUT_COMPANIES'!$I$89)))),"ERROR: EXACT ENUM",IF(NOT(IFERROR(OR(AND(EXACT('92_REF_VARIABLES'!$A$21,'01_INPUT_COMPANIES'!$H$89),EXACT('92_REF_VARIABLES'!$B$21,'01_INPUT_COMPANIES'!$D$89),EXACT('92_REF_VARIABLES'!$C$21,'01_INPUT_COMPANIES'!$G$89))),FALSE)),"ERROR: BENCHMARK",""))))))</x:f>
      </x:c>
    </x:row>
    <x:row r="90">
      <x:c r="A90" s="34" t="str">
        <x:f>IF(OR('01_INPUT_COMPANIES'!$A$90="",'01_INPUT_COMPANIES'!$A$90=""),"",'01_INPUT_COMPANIES'!$A$90)</x:f>
      </x:c>
      <x:c r="B90" s="34" t="str">
        <x:f>IF(OR('01_INPUT_COMPANIES'!$A$90="",'01_INPUT_COMPANIES'!$B$90=""),"",'01_INPUT_COMPANIES'!$B$90)</x:f>
      </x:c>
      <x:c r="C90" s="34" t="str">
        <x:f>IF(OR('01_INPUT_COMPANIES'!$A$90="",'01_INPUT_COMPANIES'!$C$90=""),"",'01_INPUT_COMPANIES'!$C$90)</x:f>
      </x:c>
      <x:c r="D90" s="34" t="str">
        <x:f>IF(OR('01_INPUT_COMPANIES'!$A$90="",'01_INPUT_COMPANIES'!$D$90=""),"",'01_INPUT_COMPANIES'!$D$90)</x:f>
      </x:c>
      <x:c r="E90" s="34" t="str">
        <x:f>IF(OR('01_INPUT_COMPANIES'!$A$90="",'01_INPUT_COMPANIES'!$E$90=""),"",'01_INPUT_COMPANIES'!$E$90)</x:f>
      </x:c>
      <x:c r="F90" s="34" t="str">
        <x:f>IF(OR('01_INPUT_COMPANIES'!$A$90="",'01_INPUT_COMPANIES'!$F$90=""),"",'01_INPUT_COMPANIES'!$F$90)</x:f>
      </x:c>
      <x:c r="G90" s="34" t="str">
        <x:f>IF(OR('01_INPUT_COMPANIES'!$A$90="",'01_INPUT_COMPANIES'!$G$90=""),"",'01_INPUT_COMPANIES'!$G$90)</x:f>
      </x:c>
      <x:c r="H90" s="34" t="str">
        <x:f>IF(OR('01_INPUT_COMPANIES'!$A$90="",'01_INPUT_COMPANIES'!$H$90=""),"",'01_INPUT_COMPANIES'!$H$90)</x:f>
      </x:c>
      <x:c r="I90" s="34" t="str">
        <x:f>IF(OR('01_INPUT_COMPANIES'!$A$90="",'01_INPUT_COMPANIES'!$K$90=""),"",'01_INPUT_COMPANIES'!$K$90)</x:f>
      </x:c>
      <x:c r="J90" s="34" t="str">
        <x:f>IF(OR('01_INPUT_COMPANIES'!$A$90="",'01_INPUT_COMPANIES'!$M$90=""),"",'01_INPUT_COMPANIES'!$M$90)</x:f>
      </x:c>
      <x:c r="K90" s="34" t="str">
        <x:f>IF(OR(A90="",COUNTBLANK(D90:H90)&gt;0),"",LEN(D90)&amp;":"&amp;D90&amp;LEN(E90)&amp;":"&amp;E90&amp;LEN(F90)&amp;":"&amp;F90&amp;LEN(G90)&amp;":"&amp;G90&amp;LEN(H90)&amp;":"&amp;H90)</x:f>
      </x:c>
      <x:c r="L90" s="47" t="str">
        <x:f>IF(A90="","",'90_CALC_FEATURES'!$I$837)</x:f>
      </x:c>
      <x:c r="M90" s="47" t="str">
        <x:f>IF(A90="","",'90_CALC_FEATURES'!$I$838)</x:f>
      </x:c>
      <x:c r="N90" s="47" t="str">
        <x:f>IF(A90="","",'90_CALC_FEATURES'!$I$839)</x:f>
      </x:c>
      <x:c r="O90" s="47" t="str">
        <x:f>IF(A90="","",'90_CALC_FEATURES'!$I$840)</x:f>
      </x:c>
      <x:c r="P90" s="47" t="str">
        <x:f>IF(A90="","",'90_CALC_FEATURES'!$I$841)</x:f>
      </x:c>
      <x:c r="Q90" s="47" t="str">
        <x:f>IF(A90="","",'90_CALC_FEATURES'!$I$842)</x:f>
      </x:c>
      <x:c r="R90" s="47" t="str">
        <x:f>IF(A90="","",'90_CALC_FEATURES'!$I$843)</x:f>
      </x:c>
      <x:c r="S90" s="47" t="str">
        <x:f>IF(A90="","",'90_CALC_FEATURES'!$I$844)</x:f>
      </x:c>
      <x:c r="T90" s="47" t="str">
        <x:f>IF(A90="","",'90_CALC_FEATURES'!$I$845)</x:f>
      </x:c>
      <x:c r="U90" s="47" t="str">
        <x:f>IF(A90="","",'90_CALC_FEATURES'!$I$846)</x:f>
      </x:c>
      <x:c r="V90" s="47" t="str">
        <x:f>IF(COUNT(L90:N90)=3,100*AVERAGE(L90:N90),"")</x:f>
      </x:c>
      <x:c r="W90" s="47" t="str">
        <x:f>IF(COUNT(O90:R90)=4,100*AVERAGE(O90:R90),"")</x:f>
      </x:c>
      <x:c r="X90" s="47" t="str">
        <x:f>IF(COUNT(S90:U90)=3,100*AVERAGE(S90:U90),"")</x:f>
      </x:c>
      <x:c r="Y90" s="47" t="str">
        <x:f>IF(COUNT(V90:X90)=3,AVERAGE(V90:X90),"")</x:f>
      </x:c>
      <x:c r="Z90" s="47" t="str">
        <x:f>IF(OR(AND(EXACT(A90,"SYN-A"),COUNT('01_INPUT_COMPANIES'!$T$90:$AC$90)=10,'01_INPUT_COMPANIES'!$T$90=-0.02,'01_INPUT_COMPANIES'!$U$90=0.1332,'01_INPUT_COMPANIES'!$V$90=0.18,'01_INPUT_COMPANIES'!$W$90=0.42,'01_INPUT_COMPANIES'!$X$90=0.012,'01_INPUT_COMPANIES'!$Y$90=3.2,'01_INPUT_COMPANIES'!$Z$90=0.08,'01_INPUT_COMPANIES'!$AA$90=0.28,'01_INPUT_COMPANIES'!$AB$90=0.74,'01_INPUT_COMPANIES'!$AC$90=8.5),AND(EXACT(A90,"SYN-B"),COUNT('01_INPUT_COMPANIES'!$T$90:$AC$90)=10,'01_INPUT_COMPANIES'!$T$90=-0.055,'01_INPUT_COMPANIES'!$U$90=0.06405,'01_INPUT_COMPANIES'!$V$90=0.105,'01_INPUT_COMPANIES'!$W$90=0.73,'01_INPUT_COMPANIES'!$X$90=0.004,'01_INPUT_COMPANIES'!$Y$90=4.1,'01_INPUT_COMPANIES'!$Z$90=0.025,'01_INPUT_COMPANIES'!$AA$90=0.16,'01_INPUT_COMPANIES'!$AB$90=0.61,'01_INPUT_COMPANIES'!$AC$90=4),AND(EXACT(A90,"SYN-C"),COUNT('01_INPUT_COMPANIES'!$T$90:$AC$90)=10,'01_INPUT_COMPANIES'!$T$90=0.01,'01_INPUT_COMPANIES'!$U$90=0.0986,'01_INPUT_COMPANIES'!$V$90=0.145,'01_INPUT_COMPANIES'!$W$90=0.18,'01_INPUT_COMPANIES'!$X$90=0.018,'01_INPUT_COMPANIES'!$Y$90=2.65,'01_INPUT_COMPANIES'!$Z$90=0.11,'01_INPUT_COMPANIES'!$AA$90=0.34,'01_INPUT_COMPANIES'!$AB$90=0.68,'01_INPUT_COMPANIES'!$AC$90=6.8),AND(EXACT(A90,"SYN-D"),COUNT('01_INPUT_COMPANIES'!$T$90:$AC$90)=10,'01_INPUT_COMPANIES'!$T$90=-0.005,'01_INPUT_COMPANIES'!$U$90=0.1136,'01_INPUT_COMPANIES'!$V$90=0.16,'01_INPUT_COMPANIES'!$W$90=0.51,'01_INPUT_COMPANIES'!$X$90=0.009,'01_INPUT_COMPANIES'!$Y$90=3.55,'01_INPUT_COMPANIES'!$Z$90=0.065,'01_INPUT_COMPANIES'!$AA$90=0.24,'01_INPUT_COMPANIES'!$AB$90=0.71,'01_INPUT_COMPANIES'!$AC$90=7.4)),IFERROR(INDEX('94_EXPECTED_OUTPUTS'!$B$7:$B$10,MATCH(A90,'94_EXPECTED_OUTPUTS'!$A$7:$A$10,0)),""),"")</x:f>
      </x:c>
      <x:c r="AA90" s="47" t="str">
        <x:f>IF(OR(COUNT(Y90)=0,COUNT(Z90)=0),"",ABS(Y90-Z90))</x:f>
      </x:c>
      <x:c r="AB90" s="34" t="str">
        <x:f>IF(A90="","",IF(AD90&lt;&gt;"",AD90,IF('01_INPUT_COMPANIES'!$A$90="","",IF(OR(LEN(TRIM('01_INPUT_COMPANIES'!$A$90&amp;""))=0,LEN(TRIM('01_INPUT_COMPANIES'!$B$90&amp;""))=0,LEN(TRIM('01_INPUT_COMPANIES'!$C$90&amp;""))=0,LEN(TRIM('01_INPUT_COMPANIES'!$D$90&amp;""))=0,LEN(TRIM('01_INPUT_COMPANIES'!$E$90&amp;""))=0,LEN(TRIM('01_INPUT_COMPANIES'!$F$90&amp;""))=0,LEN(TRIM('01_INPUT_COMPANIES'!$G$90&amp;""))=0,LEN(TRIM('01_INPUT_COMPANIES'!$H$90&amp;""))=0,LEN(TRIM('01_INPUT_COMPANIES'!$I$90&amp;""))=0,LEN(TRIM('01_INPUT_COMPANIES'!$K$90&amp;""))=0,LEN(TRIM('01_INPUT_COMPANIES'!$L$90&amp;""))=0,LEN(TRIM('01_INPUT_COMPANIES'!$M$90&amp;""))=0,LEN(TRIM('01_INPUT_COMPANIES'!$N$90&amp;""))=0,LEN(TRIM('01_INPUT_COMPANIES'!$O$90&amp;""))=0,LEN(TRIM('01_INPUT_COMPANIES'!$Q$90&amp;""))=0,COUNTBLANK('01_INPUT_COMPANIES'!$A$90:$R$90)&gt;0),"INPUT REQUIRED",IF(OR('01_INPUT_COMPANIES'!$A$90&lt;&gt;TRIM('01_INPUT_COMPANIES'!$A$90),NOT(EXACT('01_INPUT_COMPANIES'!$A$90,UPPER('01_INPUT_COMPANIES'!$A$90))),LEN('01_INPUT_COMPANIES'!$A$90)&gt;64,ISNUMBER(FIND("*",'01_INPUT_COMPANIES'!$A$90)),ISNUMBER(FIND("?",'01_INPUT_COMPANIES'!$A$90)),ISNUMBER(FIND("~",'01_INPUT_COMPANIES'!$A$90))),"ERROR: ID FORMAT",IF(COUNTIF('01_INPUT_COMPANIES'!$A$7:$A$106,'01_INPUT_COMPANIES'!$A$90)&lt;&gt;1,"ERROR: DUPLICATE ID",IF(COUNT('01_INPUT_COMPANIES'!$T$90:$AC$90)&lt;&gt;10,"INPUT REQUIRED",IF(NOT(OR('01_INPUT_COMPANIES'!$C$90="domestic",'01_INPUT_COMPANIES'!$C$90="foreign",'01_INPUT_COMPANIES'!$C$90="other")),"ERROR: COMPANY GROUP",IF(OR(LEN('01_INPUT_COMPANIES'!$G$90)&lt;&gt;6,MID('01_INPUT_COMPANIES'!$G$90,5,1)&lt;&gt;"Q",IFERROR(VALUE(LEFT('01_INPUT_COMPANIES'!$G$90,4)),0)&lt;2000,IFERROR(VALUE(LEFT('01_INPUT_COMPANIES'!$G$90,4)),0)&gt;2100,IFERROR(VALUE(RIGHT('01_INPUT_COMPANIES'!$G$90,1)),0)&lt;1,IFERROR(VALUE(RIGHT('01_INPUT_COMPANIES'!$G$90,1)),0)&gt;4),"ERROR: REPORTING PERIOD",IF(OR(COUNTIFS('92_REF_VARIABLES'!$A$21:$A$21,'01_INPUT_COMPANIES'!$H$90,'92_REF_VARIABLES'!$B$21:$B$21,'01_INPUT_COMPANIES'!$D$90,'92_REF_VARIABLES'!$C$21:$C$21,'01_INPUT_COMPANIES'!$G$90)&lt;&gt;1,AND(IFERROR(INDEX('92_REF_VARIABLES'!$I$21:$I$21,MATCH('01_INPUT_COMPANIES'!$H$90,'92_REF_VARIABLES'!$A$21:$A$21,0)),"")="synthetic_only",'01_INPUT_COMPANIES'!$L$90&lt;&gt;"yes")),"ERROR: BENCHMARK",IF(COUNTIF('92_REF_VARIABLES'!$L$21:$L$50,'01_INPUT_COMPANIES'!$I$90)&lt;&gt;1,"ERROR: CURRENCY",IF(OR(NOT(ISNUMBER('01_INPUT_COMPANIES'!$J$90)),'01_INPUT_COMPANIES'!$J$90&lt;&gt;INT('01_INPUT_COMPANIES'!$J$90),'01_INPUT_COMPANIES'!$J$90&lt;2000,'01_INPUT_COMPANIES'!$J$90&gt;2100),"ERROR: PRICE YEAR",IF(NOT(OR('01_INPUT_COMPANIES'!$K$90="A",'01_INPUT_COMPANIES'!$K$90="B",'01_INPUT_COMPANIES'!$K$90="C",'01_INPUT_COMPANIES'!$K$90="SYNTHETIC")),"ERROR: QUALITY",IF(NOT(OR(AND('01_INPUT_COMPANIES'!$L$90="yes",'01_INPUT_COMPANIES'!$K$90="SYNTHETIC"),AND('01_INPUT_COMPANIES'!$L$90="no",'01_INPUT_COMPANIES'!$K$90&lt;&gt;"SYNTHETIC"))),"ERROR: SYNTHETIC FLAG",IF(NOT(OR('01_INPUT_COMPANIES'!$M$90="direct",'01_INPUT_COMPANIES'!$M$90="derived",'01_INPUT_COMPANIES'!$M$90="proxy",'01_INPUT_COMPANIES'!$M$90="mixed")),"ERROR: CONSTRUCTION MODE",IF(OR(NOT(ISNUMBER('01_INPUT_COMPANIES'!$P$90)),'01_INPUT_COMPANIES'!$P$90&lt;0,'01_INPUT_COMPANIES'!$P$90&lt;&gt;INT('01_INPUT_COMPANIES'!$P$90)),"ERROR: CARRY LAG",IF('01_INPUT_COMPANIES'!$Q$90&lt;&gt;"yes","ERROR: EXPOSURE ADJUSTMENT",IF(OR(NOT(ISNUMBER('01_INPUT_COMPANIES'!$R$90)),'01_INPUT_COMPANIES'!$R$90&lt;0,'01_INPUT_COMPANIES'!$R$90&gt;1),"ERROR: EXPOSURE FACTOR",IF(COUNT(Y90)=0,"ERROR: SCORE",IF(COUNT(Z90)=0,"READY",IF(AA90&lt;=0.0000000001,"PASS","CHECK"))&amp;IF('01_INPUT_COMPANIES'!$K$90="C"," | C QUALITY","")&amp;IF(OR('01_INPUT_COMPANIES'!$M$90="proxy",'01_INPUT_COMPANIES'!$M$90="mixed")," | PROXY/MIXED","")&amp;IF('01_INPUT_COMPANIES'!$P$90&gt;1," | CARRY&gt;1","")&amp;IF(OR(OR('01_INPUT_COMPANIES'!$T$90&lt;-1,'01_INPUT_COMPANIES'!$T$90&gt;1),OR('01_INPUT_COMPANIES'!$U$90&lt;0,'01_INPUT_COMPANIES'!$U$90&gt;1),OR('01_INPUT_COMPANIES'!$V$90&lt;0,'01_INPUT_COMPANIES'!$V$90&gt;1),OR('01_INPUT_COMPANIES'!$W$90&lt;-10,'01_INPUT_COMPANIES'!$W$90&gt;10),OR('01_INPUT_COMPANIES'!$X$90&lt;-1,'01_INPUT_COMPANIES'!$X$90&gt;1),OR('01_INPUT_COMPANIES'!$Y$90&lt;0,'01_INPUT_COMPANIES'!$Y$90&gt;20),OR('01_INPUT_COMPANIES'!$Z$90&lt;-2,'01_INPUT_COMPANIES'!$Z$90&gt;2),OR('01_INPUT_COMPANIES'!$AA$90&lt;0,'01_INPUT_COMPANIES'!$AA$90&gt;1),OR('01_INPUT_COMPANIES'!$AB$90&lt;0,'01_INPUT_COMPANIES'!$AB$90&gt;1),OR('01_INPUT_COMPANIES'!$AC$90&lt;0,'01_INPUT_COMPANIES'!$AC$90&gt;50))," | REVIEW RANGE","")&amp;IF(COUNTIF('90_CALC_FEATURES'!$J$837:$J$846,"WINSORIZED*")&gt;0," | WINSORIZED","")&amp;IF(ABS('01_INPUT_COMPANIES'!$U$90-'01_INPUT_COMPANIES'!$V$90*'01_INPUT_COMPANIES'!$AB$90)&gt;MAX(0.005,0.05*MAX(ABS('01_INPUT_COMPANIES'!$V$90*'01_INPUT_COMPANIES'!$AB$90),ABS('01_INPUT_COMPANIES'!$U$90),0.000000000001))," | DEPENDENCY",""))))))))))))))))))))</x:f>
      </x:c>
      <x:c r="AC90" s="34" t="str">
        <x:f>IF(A90="","",IF(OR(LEFT(AB90,4)="PASS",LEFT(AB90,5)="READY"),"RESEARCH BETA | 저지원 22.22% | 기업 백분위 N/A", "결과 사용 금지 | "&amp;AB90))</x:f>
      </x:c>
      <x:c r="AD90" s="34" t="str">
        <x:f>IF(A90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$90,TRIM('01_INPUT_COMPANIES'!$D$90)),EXACT('01_INPUT_COMPANIES'!$E$90,TRIM('01_INPUT_COMPANIES'!$E$90)),EXACT('01_INPUT_COMPANIES'!$F$90,TRIM('01_INPUT_COMPANIES'!$F$90)),EXACT('01_INPUT_COMPANIES'!$G$90,TRIM('01_INPUT_COMPANIES'!$G$90)),EXACT('01_INPUT_COMPANIES'!$H$90,TRIM('01_INPUT_COMPANIES'!$H$90)))),"ERROR: COHORT WHITESPACE",IF(NOT(IFERROR(AND(ISTEXT('01_INPUT_COMPANIES'!$O$90),LEN('01_INPUT_COMPANIES'!$O$90)=10,VALUE(LEFT('01_INPUT_COMPANIES'!$O$90,4))&gt;=2000,VALUE(LEFT('01_INPUT_COMPANIES'!$O$90,4))&lt;=2100,EXACT(TEXT(DATE(VALUE(LEFT('01_INPUT_COMPANIES'!$O$90,4)),VALUE(MID('01_INPUT_COMPANIES'!$O$90,6,2)),VALUE(RIGHT('01_INPUT_COMPANIES'!$O$90,2))),"yyyy-mm-dd"),'01_INPUT_COMPANIES'!$O$90)),FALSE)),"ERROR: SOURCE DATE",IF(NOT(AND(OR(EXACT('01_INPUT_COMPANIES'!$C$90,"domestic"),EXACT('01_INPUT_COMPANIES'!$C$90,"foreign"),EXACT('01_INPUT_COMPANIES'!$C$90,"other")),OR(EXACT('01_INPUT_COMPANIES'!$K$90,"A"),EXACT('01_INPUT_COMPANIES'!$K$90,"B"),EXACT('01_INPUT_COMPANIES'!$K$90,"C"),EXACT('01_INPUT_COMPANIES'!$K$90,"SYNTHETIC")),OR(EXACT('01_INPUT_COMPANIES'!$L$90,"yes"),EXACT('01_INPUT_COMPANIES'!$L$90,"no")),OR(EXACT('01_INPUT_COMPANIES'!$M$90,"direct"),EXACT('01_INPUT_COMPANIES'!$M$90,"derived"),EXACT('01_INPUT_COMPANIES'!$M$90,"proxy"),EXACT('01_INPUT_COMPANIES'!$M$90,"mixed")),OR(EXACT('01_INPUT_COMPANIES'!$Q$90,"yes")),EXACT('01_INPUT_COMPANIES'!$I$90,UPPER('01_INPUT_COMPANIES'!$I$90)))),"ERROR: EXACT ENUM",IF(NOT(IFERROR(OR(AND(EXACT('92_REF_VARIABLES'!$A$21,'01_INPUT_COMPANIES'!$H$90),EXACT('92_REF_VARIABLES'!$B$21,'01_INPUT_COMPANIES'!$D$90),EXACT('92_REF_VARIABLES'!$C$21,'01_INPUT_COMPANIES'!$G$90))),FALSE)),"ERROR: BENCHMARK",""))))))</x:f>
      </x:c>
    </x:row>
    <x:row r="91">
      <x:c r="A91" s="34" t="str">
        <x:f>IF(OR('01_INPUT_COMPANIES'!$A$91="",'01_INPUT_COMPANIES'!$A$91=""),"",'01_INPUT_COMPANIES'!$A$91)</x:f>
      </x:c>
      <x:c r="B91" s="34" t="str">
        <x:f>IF(OR('01_INPUT_COMPANIES'!$A$91="",'01_INPUT_COMPANIES'!$B$91=""),"",'01_INPUT_COMPANIES'!$B$91)</x:f>
      </x:c>
      <x:c r="C91" s="34" t="str">
        <x:f>IF(OR('01_INPUT_COMPANIES'!$A$91="",'01_INPUT_COMPANIES'!$C$91=""),"",'01_INPUT_COMPANIES'!$C$91)</x:f>
      </x:c>
      <x:c r="D91" s="34" t="str">
        <x:f>IF(OR('01_INPUT_COMPANIES'!$A$91="",'01_INPUT_COMPANIES'!$D$91=""),"",'01_INPUT_COMPANIES'!$D$91)</x:f>
      </x:c>
      <x:c r="E91" s="34" t="str">
        <x:f>IF(OR('01_INPUT_COMPANIES'!$A$91="",'01_INPUT_COMPANIES'!$E$91=""),"",'01_INPUT_COMPANIES'!$E$91)</x:f>
      </x:c>
      <x:c r="F91" s="34" t="str">
        <x:f>IF(OR('01_INPUT_COMPANIES'!$A$91="",'01_INPUT_COMPANIES'!$F$91=""),"",'01_INPUT_COMPANIES'!$F$91)</x:f>
      </x:c>
      <x:c r="G91" s="34" t="str">
        <x:f>IF(OR('01_INPUT_COMPANIES'!$A$91="",'01_INPUT_COMPANIES'!$G$91=""),"",'01_INPUT_COMPANIES'!$G$91)</x:f>
      </x:c>
      <x:c r="H91" s="34" t="str">
        <x:f>IF(OR('01_INPUT_COMPANIES'!$A$91="",'01_INPUT_COMPANIES'!$H$91=""),"",'01_INPUT_COMPANIES'!$H$91)</x:f>
      </x:c>
      <x:c r="I91" s="34" t="str">
        <x:f>IF(OR('01_INPUT_COMPANIES'!$A$91="",'01_INPUT_COMPANIES'!$K$91=""),"",'01_INPUT_COMPANIES'!$K$91)</x:f>
      </x:c>
      <x:c r="J91" s="34" t="str">
        <x:f>IF(OR('01_INPUT_COMPANIES'!$A$91="",'01_INPUT_COMPANIES'!$M$91=""),"",'01_INPUT_COMPANIES'!$M$91)</x:f>
      </x:c>
      <x:c r="K91" s="34" t="str">
        <x:f>IF(OR(A91="",COUNTBLANK(D91:H91)&gt;0),"",LEN(D91)&amp;":"&amp;D91&amp;LEN(E91)&amp;":"&amp;E91&amp;LEN(F91)&amp;":"&amp;F91&amp;LEN(G91)&amp;":"&amp;G91&amp;LEN(H91)&amp;":"&amp;H91)</x:f>
      </x:c>
      <x:c r="L91" s="47" t="str">
        <x:f>IF(A91="","",'90_CALC_FEATURES'!$I$847)</x:f>
      </x:c>
      <x:c r="M91" s="47" t="str">
        <x:f>IF(A91="","",'90_CALC_FEATURES'!$I$848)</x:f>
      </x:c>
      <x:c r="N91" s="47" t="str">
        <x:f>IF(A91="","",'90_CALC_FEATURES'!$I$849)</x:f>
      </x:c>
      <x:c r="O91" s="47" t="str">
        <x:f>IF(A91="","",'90_CALC_FEATURES'!$I$850)</x:f>
      </x:c>
      <x:c r="P91" s="47" t="str">
        <x:f>IF(A91="","",'90_CALC_FEATURES'!$I$851)</x:f>
      </x:c>
      <x:c r="Q91" s="47" t="str">
        <x:f>IF(A91="","",'90_CALC_FEATURES'!$I$852)</x:f>
      </x:c>
      <x:c r="R91" s="47" t="str">
        <x:f>IF(A91="","",'90_CALC_FEATURES'!$I$853)</x:f>
      </x:c>
      <x:c r="S91" s="47" t="str">
        <x:f>IF(A91="","",'90_CALC_FEATURES'!$I$854)</x:f>
      </x:c>
      <x:c r="T91" s="47" t="str">
        <x:f>IF(A91="","",'90_CALC_FEATURES'!$I$855)</x:f>
      </x:c>
      <x:c r="U91" s="47" t="str">
        <x:f>IF(A91="","",'90_CALC_FEATURES'!$I$856)</x:f>
      </x:c>
      <x:c r="V91" s="47" t="str">
        <x:f>IF(COUNT(L91:N91)=3,100*AVERAGE(L91:N91),"")</x:f>
      </x:c>
      <x:c r="W91" s="47" t="str">
        <x:f>IF(COUNT(O91:R91)=4,100*AVERAGE(O91:R91),"")</x:f>
      </x:c>
      <x:c r="X91" s="47" t="str">
        <x:f>IF(COUNT(S91:U91)=3,100*AVERAGE(S91:U91),"")</x:f>
      </x:c>
      <x:c r="Y91" s="47" t="str">
        <x:f>IF(COUNT(V91:X91)=3,AVERAGE(V91:X91),"")</x:f>
      </x:c>
      <x:c r="Z91" s="47" t="str">
        <x:f>IF(OR(AND(EXACT(A91,"SYN-A"),COUNT('01_INPUT_COMPANIES'!$T$91:$AC$91)=10,'01_INPUT_COMPANIES'!$T$91=-0.02,'01_INPUT_COMPANIES'!$U$91=0.1332,'01_INPUT_COMPANIES'!$V$91=0.18,'01_INPUT_COMPANIES'!$W$91=0.42,'01_INPUT_COMPANIES'!$X$91=0.012,'01_INPUT_COMPANIES'!$Y$91=3.2,'01_INPUT_COMPANIES'!$Z$91=0.08,'01_INPUT_COMPANIES'!$AA$91=0.28,'01_INPUT_COMPANIES'!$AB$91=0.74,'01_INPUT_COMPANIES'!$AC$91=8.5),AND(EXACT(A91,"SYN-B"),COUNT('01_INPUT_COMPANIES'!$T$91:$AC$91)=10,'01_INPUT_COMPANIES'!$T$91=-0.055,'01_INPUT_COMPANIES'!$U$91=0.06405,'01_INPUT_COMPANIES'!$V$91=0.105,'01_INPUT_COMPANIES'!$W$91=0.73,'01_INPUT_COMPANIES'!$X$91=0.004,'01_INPUT_COMPANIES'!$Y$91=4.1,'01_INPUT_COMPANIES'!$Z$91=0.025,'01_INPUT_COMPANIES'!$AA$91=0.16,'01_INPUT_COMPANIES'!$AB$91=0.61,'01_INPUT_COMPANIES'!$AC$91=4),AND(EXACT(A91,"SYN-C"),COUNT('01_INPUT_COMPANIES'!$T$91:$AC$91)=10,'01_INPUT_COMPANIES'!$T$91=0.01,'01_INPUT_COMPANIES'!$U$91=0.0986,'01_INPUT_COMPANIES'!$V$91=0.145,'01_INPUT_COMPANIES'!$W$91=0.18,'01_INPUT_COMPANIES'!$X$91=0.018,'01_INPUT_COMPANIES'!$Y$91=2.65,'01_INPUT_COMPANIES'!$Z$91=0.11,'01_INPUT_COMPANIES'!$AA$91=0.34,'01_INPUT_COMPANIES'!$AB$91=0.68,'01_INPUT_COMPANIES'!$AC$91=6.8),AND(EXACT(A91,"SYN-D"),COUNT('01_INPUT_COMPANIES'!$T$91:$AC$91)=10,'01_INPUT_COMPANIES'!$T$91=-0.005,'01_INPUT_COMPANIES'!$U$91=0.1136,'01_INPUT_COMPANIES'!$V$91=0.16,'01_INPUT_COMPANIES'!$W$91=0.51,'01_INPUT_COMPANIES'!$X$91=0.009,'01_INPUT_COMPANIES'!$Y$91=3.55,'01_INPUT_COMPANIES'!$Z$91=0.065,'01_INPUT_COMPANIES'!$AA$91=0.24,'01_INPUT_COMPANIES'!$AB$91=0.71,'01_INPUT_COMPANIES'!$AC$91=7.4)),IFERROR(INDEX('94_EXPECTED_OUTPUTS'!$B$7:$B$10,MATCH(A91,'94_EXPECTED_OUTPUTS'!$A$7:$A$10,0)),""),"")</x:f>
      </x:c>
      <x:c r="AA91" s="47" t="str">
        <x:f>IF(OR(COUNT(Y91)=0,COUNT(Z91)=0),"",ABS(Y91-Z91))</x:f>
      </x:c>
      <x:c r="AB91" s="34" t="str">
        <x:f>IF(A91="","",IF(AD91&lt;&gt;"",AD91,IF('01_INPUT_COMPANIES'!$A$91="","",IF(OR(LEN(TRIM('01_INPUT_COMPANIES'!$A$91&amp;""))=0,LEN(TRIM('01_INPUT_COMPANIES'!$B$91&amp;""))=0,LEN(TRIM('01_INPUT_COMPANIES'!$C$91&amp;""))=0,LEN(TRIM('01_INPUT_COMPANIES'!$D$91&amp;""))=0,LEN(TRIM('01_INPUT_COMPANIES'!$E$91&amp;""))=0,LEN(TRIM('01_INPUT_COMPANIES'!$F$91&amp;""))=0,LEN(TRIM('01_INPUT_COMPANIES'!$G$91&amp;""))=0,LEN(TRIM('01_INPUT_COMPANIES'!$H$91&amp;""))=0,LEN(TRIM('01_INPUT_COMPANIES'!$I$91&amp;""))=0,LEN(TRIM('01_INPUT_COMPANIES'!$K$91&amp;""))=0,LEN(TRIM('01_INPUT_COMPANIES'!$L$91&amp;""))=0,LEN(TRIM('01_INPUT_COMPANIES'!$M$91&amp;""))=0,LEN(TRIM('01_INPUT_COMPANIES'!$N$91&amp;""))=0,LEN(TRIM('01_INPUT_COMPANIES'!$O$91&amp;""))=0,LEN(TRIM('01_INPUT_COMPANIES'!$Q$91&amp;""))=0,COUNTBLANK('01_INPUT_COMPANIES'!$A$91:$R$91)&gt;0),"INPUT REQUIRED",IF(OR('01_INPUT_COMPANIES'!$A$91&lt;&gt;TRIM('01_INPUT_COMPANIES'!$A$91),NOT(EXACT('01_INPUT_COMPANIES'!$A$91,UPPER('01_INPUT_COMPANIES'!$A$91))),LEN('01_INPUT_COMPANIES'!$A$91)&gt;64,ISNUMBER(FIND("*",'01_INPUT_COMPANIES'!$A$91)),ISNUMBER(FIND("?",'01_INPUT_COMPANIES'!$A$91)),ISNUMBER(FIND("~",'01_INPUT_COMPANIES'!$A$91))),"ERROR: ID FORMAT",IF(COUNTIF('01_INPUT_COMPANIES'!$A$7:$A$106,'01_INPUT_COMPANIES'!$A$91)&lt;&gt;1,"ERROR: DUPLICATE ID",IF(COUNT('01_INPUT_COMPANIES'!$T$91:$AC$91)&lt;&gt;10,"INPUT REQUIRED",IF(NOT(OR('01_INPUT_COMPANIES'!$C$91="domestic",'01_INPUT_COMPANIES'!$C$91="foreign",'01_INPUT_COMPANIES'!$C$91="other")),"ERROR: COMPANY GROUP",IF(OR(LEN('01_INPUT_COMPANIES'!$G$91)&lt;&gt;6,MID('01_INPUT_COMPANIES'!$G$91,5,1)&lt;&gt;"Q",IFERROR(VALUE(LEFT('01_INPUT_COMPANIES'!$G$91,4)),0)&lt;2000,IFERROR(VALUE(LEFT('01_INPUT_COMPANIES'!$G$91,4)),0)&gt;2100,IFERROR(VALUE(RIGHT('01_INPUT_COMPANIES'!$G$91,1)),0)&lt;1,IFERROR(VALUE(RIGHT('01_INPUT_COMPANIES'!$G$91,1)),0)&gt;4),"ERROR: REPORTING PERIOD",IF(OR(COUNTIFS('92_REF_VARIABLES'!$A$21:$A$21,'01_INPUT_COMPANIES'!$H$91,'92_REF_VARIABLES'!$B$21:$B$21,'01_INPUT_COMPANIES'!$D$91,'92_REF_VARIABLES'!$C$21:$C$21,'01_INPUT_COMPANIES'!$G$91)&lt;&gt;1,AND(IFERROR(INDEX('92_REF_VARIABLES'!$I$21:$I$21,MATCH('01_INPUT_COMPANIES'!$H$91,'92_REF_VARIABLES'!$A$21:$A$21,0)),"")="synthetic_only",'01_INPUT_COMPANIES'!$L$91&lt;&gt;"yes")),"ERROR: BENCHMARK",IF(COUNTIF('92_REF_VARIABLES'!$L$21:$L$50,'01_INPUT_COMPANIES'!$I$91)&lt;&gt;1,"ERROR: CURRENCY",IF(OR(NOT(ISNUMBER('01_INPUT_COMPANIES'!$J$91)),'01_INPUT_COMPANIES'!$J$91&lt;&gt;INT('01_INPUT_COMPANIES'!$J$91),'01_INPUT_COMPANIES'!$J$91&lt;2000,'01_INPUT_COMPANIES'!$J$91&gt;2100),"ERROR: PRICE YEAR",IF(NOT(OR('01_INPUT_COMPANIES'!$K$91="A",'01_INPUT_COMPANIES'!$K$91="B",'01_INPUT_COMPANIES'!$K$91="C",'01_INPUT_COMPANIES'!$K$91="SYNTHETIC")),"ERROR: QUALITY",IF(NOT(OR(AND('01_INPUT_COMPANIES'!$L$91="yes",'01_INPUT_COMPANIES'!$K$91="SYNTHETIC"),AND('01_INPUT_COMPANIES'!$L$91="no",'01_INPUT_COMPANIES'!$K$91&lt;&gt;"SYNTHETIC"))),"ERROR: SYNTHETIC FLAG",IF(NOT(OR('01_INPUT_COMPANIES'!$M$91="direct",'01_INPUT_COMPANIES'!$M$91="derived",'01_INPUT_COMPANIES'!$M$91="proxy",'01_INPUT_COMPANIES'!$M$91="mixed")),"ERROR: CONSTRUCTION MODE",IF(OR(NOT(ISNUMBER('01_INPUT_COMPANIES'!$P$91)),'01_INPUT_COMPANIES'!$P$91&lt;0,'01_INPUT_COMPANIES'!$P$91&lt;&gt;INT('01_INPUT_COMPANIES'!$P$91)),"ERROR: CARRY LAG",IF('01_INPUT_COMPANIES'!$Q$91&lt;&gt;"yes","ERROR: EXPOSURE ADJUSTMENT",IF(OR(NOT(ISNUMBER('01_INPUT_COMPANIES'!$R$91)),'01_INPUT_COMPANIES'!$R$91&lt;0,'01_INPUT_COMPANIES'!$R$91&gt;1),"ERROR: EXPOSURE FACTOR",IF(COUNT(Y91)=0,"ERROR: SCORE",IF(COUNT(Z91)=0,"READY",IF(AA91&lt;=0.0000000001,"PASS","CHECK"))&amp;IF('01_INPUT_COMPANIES'!$K$91="C"," | C QUALITY","")&amp;IF(OR('01_INPUT_COMPANIES'!$M$91="proxy",'01_INPUT_COMPANIES'!$M$91="mixed")," | PROXY/MIXED","")&amp;IF('01_INPUT_COMPANIES'!$P$91&gt;1," | CARRY&gt;1","")&amp;IF(OR(OR('01_INPUT_COMPANIES'!$T$91&lt;-1,'01_INPUT_COMPANIES'!$T$91&gt;1),OR('01_INPUT_COMPANIES'!$U$91&lt;0,'01_INPUT_COMPANIES'!$U$91&gt;1),OR('01_INPUT_COMPANIES'!$V$91&lt;0,'01_INPUT_COMPANIES'!$V$91&gt;1),OR('01_INPUT_COMPANIES'!$W$91&lt;-10,'01_INPUT_COMPANIES'!$W$91&gt;10),OR('01_INPUT_COMPANIES'!$X$91&lt;-1,'01_INPUT_COMPANIES'!$X$91&gt;1),OR('01_INPUT_COMPANIES'!$Y$91&lt;0,'01_INPUT_COMPANIES'!$Y$91&gt;20),OR('01_INPUT_COMPANIES'!$Z$91&lt;-2,'01_INPUT_COMPANIES'!$Z$91&gt;2),OR('01_INPUT_COMPANIES'!$AA$91&lt;0,'01_INPUT_COMPANIES'!$AA$91&gt;1),OR('01_INPUT_COMPANIES'!$AB$91&lt;0,'01_INPUT_COMPANIES'!$AB$91&gt;1),OR('01_INPUT_COMPANIES'!$AC$91&lt;0,'01_INPUT_COMPANIES'!$AC$91&gt;50))," | REVIEW RANGE","")&amp;IF(COUNTIF('90_CALC_FEATURES'!$J$847:$J$856,"WINSORIZED*")&gt;0," | WINSORIZED","")&amp;IF(ABS('01_INPUT_COMPANIES'!$U$91-'01_INPUT_COMPANIES'!$V$91*'01_INPUT_COMPANIES'!$AB$91)&gt;MAX(0.005,0.05*MAX(ABS('01_INPUT_COMPANIES'!$V$91*'01_INPUT_COMPANIES'!$AB$91),ABS('01_INPUT_COMPANIES'!$U$91),0.000000000001))," | DEPENDENCY",""))))))))))))))))))))</x:f>
      </x:c>
      <x:c r="AC91" s="34" t="str">
        <x:f>IF(A91="","",IF(OR(LEFT(AB91,4)="PASS",LEFT(AB91,5)="READY"),"RESEARCH BETA | 저지원 22.22% | 기업 백분위 N/A", "결과 사용 금지 | "&amp;AB91))</x:f>
      </x:c>
      <x:c r="AD91" s="34" t="str">
        <x:f>IF(A91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$91,TRIM('01_INPUT_COMPANIES'!$D$91)),EXACT('01_INPUT_COMPANIES'!$E$91,TRIM('01_INPUT_COMPANIES'!$E$91)),EXACT('01_INPUT_COMPANIES'!$F$91,TRIM('01_INPUT_COMPANIES'!$F$91)),EXACT('01_INPUT_COMPANIES'!$G$91,TRIM('01_INPUT_COMPANIES'!$G$91)),EXACT('01_INPUT_COMPANIES'!$H$91,TRIM('01_INPUT_COMPANIES'!$H$91)))),"ERROR: COHORT WHITESPACE",IF(NOT(IFERROR(AND(ISTEXT('01_INPUT_COMPANIES'!$O$91),LEN('01_INPUT_COMPANIES'!$O$91)=10,VALUE(LEFT('01_INPUT_COMPANIES'!$O$91,4))&gt;=2000,VALUE(LEFT('01_INPUT_COMPANIES'!$O$91,4))&lt;=2100,EXACT(TEXT(DATE(VALUE(LEFT('01_INPUT_COMPANIES'!$O$91,4)),VALUE(MID('01_INPUT_COMPANIES'!$O$91,6,2)),VALUE(RIGHT('01_INPUT_COMPANIES'!$O$91,2))),"yyyy-mm-dd"),'01_INPUT_COMPANIES'!$O$91)),FALSE)),"ERROR: SOURCE DATE",IF(NOT(AND(OR(EXACT('01_INPUT_COMPANIES'!$C$91,"domestic"),EXACT('01_INPUT_COMPANIES'!$C$91,"foreign"),EXACT('01_INPUT_COMPANIES'!$C$91,"other")),OR(EXACT('01_INPUT_COMPANIES'!$K$91,"A"),EXACT('01_INPUT_COMPANIES'!$K$91,"B"),EXACT('01_INPUT_COMPANIES'!$K$91,"C"),EXACT('01_INPUT_COMPANIES'!$K$91,"SYNTHETIC")),OR(EXACT('01_INPUT_COMPANIES'!$L$91,"yes"),EXACT('01_INPUT_COMPANIES'!$L$91,"no")),OR(EXACT('01_INPUT_COMPANIES'!$M$91,"direct"),EXACT('01_INPUT_COMPANIES'!$M$91,"derived"),EXACT('01_INPUT_COMPANIES'!$M$91,"proxy"),EXACT('01_INPUT_COMPANIES'!$M$91,"mixed")),OR(EXACT('01_INPUT_COMPANIES'!$Q$91,"yes")),EXACT('01_INPUT_COMPANIES'!$I$91,UPPER('01_INPUT_COMPANIES'!$I$91)))),"ERROR: EXACT ENUM",IF(NOT(IFERROR(OR(AND(EXACT('92_REF_VARIABLES'!$A$21,'01_INPUT_COMPANIES'!$H$91),EXACT('92_REF_VARIABLES'!$B$21,'01_INPUT_COMPANIES'!$D$91),EXACT('92_REF_VARIABLES'!$C$21,'01_INPUT_COMPANIES'!$G$91))),FALSE)),"ERROR: BENCHMARK",""))))))</x:f>
      </x:c>
    </x:row>
    <x:row r="92">
      <x:c r="A92" s="34" t="str">
        <x:f>IF(OR('01_INPUT_COMPANIES'!$A$92="",'01_INPUT_COMPANIES'!$A$92=""),"",'01_INPUT_COMPANIES'!$A$92)</x:f>
      </x:c>
      <x:c r="B92" s="34" t="str">
        <x:f>IF(OR('01_INPUT_COMPANIES'!$A$92="",'01_INPUT_COMPANIES'!$B$92=""),"",'01_INPUT_COMPANIES'!$B$92)</x:f>
      </x:c>
      <x:c r="C92" s="34" t="str">
        <x:f>IF(OR('01_INPUT_COMPANIES'!$A$92="",'01_INPUT_COMPANIES'!$C$92=""),"",'01_INPUT_COMPANIES'!$C$92)</x:f>
      </x:c>
      <x:c r="D92" s="34" t="str">
        <x:f>IF(OR('01_INPUT_COMPANIES'!$A$92="",'01_INPUT_COMPANIES'!$D$92=""),"",'01_INPUT_COMPANIES'!$D$92)</x:f>
      </x:c>
      <x:c r="E92" s="34" t="str">
        <x:f>IF(OR('01_INPUT_COMPANIES'!$A$92="",'01_INPUT_COMPANIES'!$E$92=""),"",'01_INPUT_COMPANIES'!$E$92)</x:f>
      </x:c>
      <x:c r="F92" s="34" t="str">
        <x:f>IF(OR('01_INPUT_COMPANIES'!$A$92="",'01_INPUT_COMPANIES'!$F$92=""),"",'01_INPUT_COMPANIES'!$F$92)</x:f>
      </x:c>
      <x:c r="G92" s="34" t="str">
        <x:f>IF(OR('01_INPUT_COMPANIES'!$A$92="",'01_INPUT_COMPANIES'!$G$92=""),"",'01_INPUT_COMPANIES'!$G$92)</x:f>
      </x:c>
      <x:c r="H92" s="34" t="str">
        <x:f>IF(OR('01_INPUT_COMPANIES'!$A$92="",'01_INPUT_COMPANIES'!$H$92=""),"",'01_INPUT_COMPANIES'!$H$92)</x:f>
      </x:c>
      <x:c r="I92" s="34" t="str">
        <x:f>IF(OR('01_INPUT_COMPANIES'!$A$92="",'01_INPUT_COMPANIES'!$K$92=""),"",'01_INPUT_COMPANIES'!$K$92)</x:f>
      </x:c>
      <x:c r="J92" s="34" t="str">
        <x:f>IF(OR('01_INPUT_COMPANIES'!$A$92="",'01_INPUT_COMPANIES'!$M$92=""),"",'01_INPUT_COMPANIES'!$M$92)</x:f>
      </x:c>
      <x:c r="K92" s="34" t="str">
        <x:f>IF(OR(A92="",COUNTBLANK(D92:H92)&gt;0),"",LEN(D92)&amp;":"&amp;D92&amp;LEN(E92)&amp;":"&amp;E92&amp;LEN(F92)&amp;":"&amp;F92&amp;LEN(G92)&amp;":"&amp;G92&amp;LEN(H92)&amp;":"&amp;H92)</x:f>
      </x:c>
      <x:c r="L92" s="47" t="str">
        <x:f>IF(A92="","",'90_CALC_FEATURES'!$I$857)</x:f>
      </x:c>
      <x:c r="M92" s="47" t="str">
        <x:f>IF(A92="","",'90_CALC_FEATURES'!$I$858)</x:f>
      </x:c>
      <x:c r="N92" s="47" t="str">
        <x:f>IF(A92="","",'90_CALC_FEATURES'!$I$859)</x:f>
      </x:c>
      <x:c r="O92" s="47" t="str">
        <x:f>IF(A92="","",'90_CALC_FEATURES'!$I$860)</x:f>
      </x:c>
      <x:c r="P92" s="47" t="str">
        <x:f>IF(A92="","",'90_CALC_FEATURES'!$I$861)</x:f>
      </x:c>
      <x:c r="Q92" s="47" t="str">
        <x:f>IF(A92="","",'90_CALC_FEATURES'!$I$862)</x:f>
      </x:c>
      <x:c r="R92" s="47" t="str">
        <x:f>IF(A92="","",'90_CALC_FEATURES'!$I$863)</x:f>
      </x:c>
      <x:c r="S92" s="47" t="str">
        <x:f>IF(A92="","",'90_CALC_FEATURES'!$I$864)</x:f>
      </x:c>
      <x:c r="T92" s="47" t="str">
        <x:f>IF(A92="","",'90_CALC_FEATURES'!$I$865)</x:f>
      </x:c>
      <x:c r="U92" s="47" t="str">
        <x:f>IF(A92="","",'90_CALC_FEATURES'!$I$866)</x:f>
      </x:c>
      <x:c r="V92" s="47" t="str">
        <x:f>IF(COUNT(L92:N92)=3,100*AVERAGE(L92:N92),"")</x:f>
      </x:c>
      <x:c r="W92" s="47" t="str">
        <x:f>IF(COUNT(O92:R92)=4,100*AVERAGE(O92:R92),"")</x:f>
      </x:c>
      <x:c r="X92" s="47" t="str">
        <x:f>IF(COUNT(S92:U92)=3,100*AVERAGE(S92:U92),"")</x:f>
      </x:c>
      <x:c r="Y92" s="47" t="str">
        <x:f>IF(COUNT(V92:X92)=3,AVERAGE(V92:X92),"")</x:f>
      </x:c>
      <x:c r="Z92" s="47" t="str">
        <x:f>IF(OR(AND(EXACT(A92,"SYN-A"),COUNT('01_INPUT_COMPANIES'!$T$92:$AC$92)=10,'01_INPUT_COMPANIES'!$T$92=-0.02,'01_INPUT_COMPANIES'!$U$92=0.1332,'01_INPUT_COMPANIES'!$V$92=0.18,'01_INPUT_COMPANIES'!$W$92=0.42,'01_INPUT_COMPANIES'!$X$92=0.012,'01_INPUT_COMPANIES'!$Y$92=3.2,'01_INPUT_COMPANIES'!$Z$92=0.08,'01_INPUT_COMPANIES'!$AA$92=0.28,'01_INPUT_COMPANIES'!$AB$92=0.74,'01_INPUT_COMPANIES'!$AC$92=8.5),AND(EXACT(A92,"SYN-B"),COUNT('01_INPUT_COMPANIES'!$T$92:$AC$92)=10,'01_INPUT_COMPANIES'!$T$92=-0.055,'01_INPUT_COMPANIES'!$U$92=0.06405,'01_INPUT_COMPANIES'!$V$92=0.105,'01_INPUT_COMPANIES'!$W$92=0.73,'01_INPUT_COMPANIES'!$X$92=0.004,'01_INPUT_COMPANIES'!$Y$92=4.1,'01_INPUT_COMPANIES'!$Z$92=0.025,'01_INPUT_COMPANIES'!$AA$92=0.16,'01_INPUT_COMPANIES'!$AB$92=0.61,'01_INPUT_COMPANIES'!$AC$92=4),AND(EXACT(A92,"SYN-C"),COUNT('01_INPUT_COMPANIES'!$T$92:$AC$92)=10,'01_INPUT_COMPANIES'!$T$92=0.01,'01_INPUT_COMPANIES'!$U$92=0.0986,'01_INPUT_COMPANIES'!$V$92=0.145,'01_INPUT_COMPANIES'!$W$92=0.18,'01_INPUT_COMPANIES'!$X$92=0.018,'01_INPUT_COMPANIES'!$Y$92=2.65,'01_INPUT_COMPANIES'!$Z$92=0.11,'01_INPUT_COMPANIES'!$AA$92=0.34,'01_INPUT_COMPANIES'!$AB$92=0.68,'01_INPUT_COMPANIES'!$AC$92=6.8),AND(EXACT(A92,"SYN-D"),COUNT('01_INPUT_COMPANIES'!$T$92:$AC$92)=10,'01_INPUT_COMPANIES'!$T$92=-0.005,'01_INPUT_COMPANIES'!$U$92=0.1136,'01_INPUT_COMPANIES'!$V$92=0.16,'01_INPUT_COMPANIES'!$W$92=0.51,'01_INPUT_COMPANIES'!$X$92=0.009,'01_INPUT_COMPANIES'!$Y$92=3.55,'01_INPUT_COMPANIES'!$Z$92=0.065,'01_INPUT_COMPANIES'!$AA$92=0.24,'01_INPUT_COMPANIES'!$AB$92=0.71,'01_INPUT_COMPANIES'!$AC$92=7.4)),IFERROR(INDEX('94_EXPECTED_OUTPUTS'!$B$7:$B$10,MATCH(A92,'94_EXPECTED_OUTPUTS'!$A$7:$A$10,0)),""),"")</x:f>
      </x:c>
      <x:c r="AA92" s="47" t="str">
        <x:f>IF(OR(COUNT(Y92)=0,COUNT(Z92)=0),"",ABS(Y92-Z92))</x:f>
      </x:c>
      <x:c r="AB92" s="34" t="str">
        <x:f>IF(A92="","",IF(AD92&lt;&gt;"",AD92,IF('01_INPUT_COMPANIES'!$A$92="","",IF(OR(LEN(TRIM('01_INPUT_COMPANIES'!$A$92&amp;""))=0,LEN(TRIM('01_INPUT_COMPANIES'!$B$92&amp;""))=0,LEN(TRIM('01_INPUT_COMPANIES'!$C$92&amp;""))=0,LEN(TRIM('01_INPUT_COMPANIES'!$D$92&amp;""))=0,LEN(TRIM('01_INPUT_COMPANIES'!$E$92&amp;""))=0,LEN(TRIM('01_INPUT_COMPANIES'!$F$92&amp;""))=0,LEN(TRIM('01_INPUT_COMPANIES'!$G$92&amp;""))=0,LEN(TRIM('01_INPUT_COMPANIES'!$H$92&amp;""))=0,LEN(TRIM('01_INPUT_COMPANIES'!$I$92&amp;""))=0,LEN(TRIM('01_INPUT_COMPANIES'!$K$92&amp;""))=0,LEN(TRIM('01_INPUT_COMPANIES'!$L$92&amp;""))=0,LEN(TRIM('01_INPUT_COMPANIES'!$M$92&amp;""))=0,LEN(TRIM('01_INPUT_COMPANIES'!$N$92&amp;""))=0,LEN(TRIM('01_INPUT_COMPANIES'!$O$92&amp;""))=0,LEN(TRIM('01_INPUT_COMPANIES'!$Q$92&amp;""))=0,COUNTBLANK('01_INPUT_COMPANIES'!$A$92:$R$92)&gt;0),"INPUT REQUIRED",IF(OR('01_INPUT_COMPANIES'!$A$92&lt;&gt;TRIM('01_INPUT_COMPANIES'!$A$92),NOT(EXACT('01_INPUT_COMPANIES'!$A$92,UPPER('01_INPUT_COMPANIES'!$A$92))),LEN('01_INPUT_COMPANIES'!$A$92)&gt;64,ISNUMBER(FIND("*",'01_INPUT_COMPANIES'!$A$92)),ISNUMBER(FIND("?",'01_INPUT_COMPANIES'!$A$92)),ISNUMBER(FIND("~",'01_INPUT_COMPANIES'!$A$92))),"ERROR: ID FORMAT",IF(COUNTIF('01_INPUT_COMPANIES'!$A$7:$A$106,'01_INPUT_COMPANIES'!$A$92)&lt;&gt;1,"ERROR: DUPLICATE ID",IF(COUNT('01_INPUT_COMPANIES'!$T$92:$AC$92)&lt;&gt;10,"INPUT REQUIRED",IF(NOT(OR('01_INPUT_COMPANIES'!$C$92="domestic",'01_INPUT_COMPANIES'!$C$92="foreign",'01_INPUT_COMPANIES'!$C$92="other")),"ERROR: COMPANY GROUP",IF(OR(LEN('01_INPUT_COMPANIES'!$G$92)&lt;&gt;6,MID('01_INPUT_COMPANIES'!$G$92,5,1)&lt;&gt;"Q",IFERROR(VALUE(LEFT('01_INPUT_COMPANIES'!$G$92,4)),0)&lt;2000,IFERROR(VALUE(LEFT('01_INPUT_COMPANIES'!$G$92,4)),0)&gt;2100,IFERROR(VALUE(RIGHT('01_INPUT_COMPANIES'!$G$92,1)),0)&lt;1,IFERROR(VALUE(RIGHT('01_INPUT_COMPANIES'!$G$92,1)),0)&gt;4),"ERROR: REPORTING PERIOD",IF(OR(COUNTIFS('92_REF_VARIABLES'!$A$21:$A$21,'01_INPUT_COMPANIES'!$H$92,'92_REF_VARIABLES'!$B$21:$B$21,'01_INPUT_COMPANIES'!$D$92,'92_REF_VARIABLES'!$C$21:$C$21,'01_INPUT_COMPANIES'!$G$92)&lt;&gt;1,AND(IFERROR(INDEX('92_REF_VARIABLES'!$I$21:$I$21,MATCH('01_INPUT_COMPANIES'!$H$92,'92_REF_VARIABLES'!$A$21:$A$21,0)),"")="synthetic_only",'01_INPUT_COMPANIES'!$L$92&lt;&gt;"yes")),"ERROR: BENCHMARK",IF(COUNTIF('92_REF_VARIABLES'!$L$21:$L$50,'01_INPUT_COMPANIES'!$I$92)&lt;&gt;1,"ERROR: CURRENCY",IF(OR(NOT(ISNUMBER('01_INPUT_COMPANIES'!$J$92)),'01_INPUT_COMPANIES'!$J$92&lt;&gt;INT('01_INPUT_COMPANIES'!$J$92),'01_INPUT_COMPANIES'!$J$92&lt;2000,'01_INPUT_COMPANIES'!$J$92&gt;2100),"ERROR: PRICE YEAR",IF(NOT(OR('01_INPUT_COMPANIES'!$K$92="A",'01_INPUT_COMPANIES'!$K$92="B",'01_INPUT_COMPANIES'!$K$92="C",'01_INPUT_COMPANIES'!$K$92="SYNTHETIC")),"ERROR: QUALITY",IF(NOT(OR(AND('01_INPUT_COMPANIES'!$L$92="yes",'01_INPUT_COMPANIES'!$K$92="SYNTHETIC"),AND('01_INPUT_COMPANIES'!$L$92="no",'01_INPUT_COMPANIES'!$K$92&lt;&gt;"SYNTHETIC"))),"ERROR: SYNTHETIC FLAG",IF(NOT(OR('01_INPUT_COMPANIES'!$M$92="direct",'01_INPUT_COMPANIES'!$M$92="derived",'01_INPUT_COMPANIES'!$M$92="proxy",'01_INPUT_COMPANIES'!$M$92="mixed")),"ERROR: CONSTRUCTION MODE",IF(OR(NOT(ISNUMBER('01_INPUT_COMPANIES'!$P$92)),'01_INPUT_COMPANIES'!$P$92&lt;0,'01_INPUT_COMPANIES'!$P$92&lt;&gt;INT('01_INPUT_COMPANIES'!$P$92)),"ERROR: CARRY LAG",IF('01_INPUT_COMPANIES'!$Q$92&lt;&gt;"yes","ERROR: EXPOSURE ADJUSTMENT",IF(OR(NOT(ISNUMBER('01_INPUT_COMPANIES'!$R$92)),'01_INPUT_COMPANIES'!$R$92&lt;0,'01_INPUT_COMPANIES'!$R$92&gt;1),"ERROR: EXPOSURE FACTOR",IF(COUNT(Y92)=0,"ERROR: SCORE",IF(COUNT(Z92)=0,"READY",IF(AA92&lt;=0.0000000001,"PASS","CHECK"))&amp;IF('01_INPUT_COMPANIES'!$K$92="C"," | C QUALITY","")&amp;IF(OR('01_INPUT_COMPANIES'!$M$92="proxy",'01_INPUT_COMPANIES'!$M$92="mixed")," | PROXY/MIXED","")&amp;IF('01_INPUT_COMPANIES'!$P$92&gt;1," | CARRY&gt;1","")&amp;IF(OR(OR('01_INPUT_COMPANIES'!$T$92&lt;-1,'01_INPUT_COMPANIES'!$T$92&gt;1),OR('01_INPUT_COMPANIES'!$U$92&lt;0,'01_INPUT_COMPANIES'!$U$92&gt;1),OR('01_INPUT_COMPANIES'!$V$92&lt;0,'01_INPUT_COMPANIES'!$V$92&gt;1),OR('01_INPUT_COMPANIES'!$W$92&lt;-10,'01_INPUT_COMPANIES'!$W$92&gt;10),OR('01_INPUT_COMPANIES'!$X$92&lt;-1,'01_INPUT_COMPANIES'!$X$92&gt;1),OR('01_INPUT_COMPANIES'!$Y$92&lt;0,'01_INPUT_COMPANIES'!$Y$92&gt;20),OR('01_INPUT_COMPANIES'!$Z$92&lt;-2,'01_INPUT_COMPANIES'!$Z$92&gt;2),OR('01_INPUT_COMPANIES'!$AA$92&lt;0,'01_INPUT_COMPANIES'!$AA$92&gt;1),OR('01_INPUT_COMPANIES'!$AB$92&lt;0,'01_INPUT_COMPANIES'!$AB$92&gt;1),OR('01_INPUT_COMPANIES'!$AC$92&lt;0,'01_INPUT_COMPANIES'!$AC$92&gt;50))," | REVIEW RANGE","")&amp;IF(COUNTIF('90_CALC_FEATURES'!$J$857:$J$866,"WINSORIZED*")&gt;0," | WINSORIZED","")&amp;IF(ABS('01_INPUT_COMPANIES'!$U$92-'01_INPUT_COMPANIES'!$V$92*'01_INPUT_COMPANIES'!$AB$92)&gt;MAX(0.005,0.05*MAX(ABS('01_INPUT_COMPANIES'!$V$92*'01_INPUT_COMPANIES'!$AB$92),ABS('01_INPUT_COMPANIES'!$U$92),0.000000000001))," | DEPENDENCY",""))))))))))))))))))))</x:f>
      </x:c>
      <x:c r="AC92" s="34" t="str">
        <x:f>IF(A92="","",IF(OR(LEFT(AB92,4)="PASS",LEFT(AB92,5)="READY"),"RESEARCH BETA | 저지원 22.22% | 기업 백분위 N/A", "결과 사용 금지 | "&amp;AB92))</x:f>
      </x:c>
      <x:c r="AD92" s="34" t="str">
        <x:f>IF(A92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$92,TRIM('01_INPUT_COMPANIES'!$D$92)),EXACT('01_INPUT_COMPANIES'!$E$92,TRIM('01_INPUT_COMPANIES'!$E$92)),EXACT('01_INPUT_COMPANIES'!$F$92,TRIM('01_INPUT_COMPANIES'!$F$92)),EXACT('01_INPUT_COMPANIES'!$G$92,TRIM('01_INPUT_COMPANIES'!$G$92)),EXACT('01_INPUT_COMPANIES'!$H$92,TRIM('01_INPUT_COMPANIES'!$H$92)))),"ERROR: COHORT WHITESPACE",IF(NOT(IFERROR(AND(ISTEXT('01_INPUT_COMPANIES'!$O$92),LEN('01_INPUT_COMPANIES'!$O$92)=10,VALUE(LEFT('01_INPUT_COMPANIES'!$O$92,4))&gt;=2000,VALUE(LEFT('01_INPUT_COMPANIES'!$O$92,4))&lt;=2100,EXACT(TEXT(DATE(VALUE(LEFT('01_INPUT_COMPANIES'!$O$92,4)),VALUE(MID('01_INPUT_COMPANIES'!$O$92,6,2)),VALUE(RIGHT('01_INPUT_COMPANIES'!$O$92,2))),"yyyy-mm-dd"),'01_INPUT_COMPANIES'!$O$92)),FALSE)),"ERROR: SOURCE DATE",IF(NOT(AND(OR(EXACT('01_INPUT_COMPANIES'!$C$92,"domestic"),EXACT('01_INPUT_COMPANIES'!$C$92,"foreign"),EXACT('01_INPUT_COMPANIES'!$C$92,"other")),OR(EXACT('01_INPUT_COMPANIES'!$K$92,"A"),EXACT('01_INPUT_COMPANIES'!$K$92,"B"),EXACT('01_INPUT_COMPANIES'!$K$92,"C"),EXACT('01_INPUT_COMPANIES'!$K$92,"SYNTHETIC")),OR(EXACT('01_INPUT_COMPANIES'!$L$92,"yes"),EXACT('01_INPUT_COMPANIES'!$L$92,"no")),OR(EXACT('01_INPUT_COMPANIES'!$M$92,"direct"),EXACT('01_INPUT_COMPANIES'!$M$92,"derived"),EXACT('01_INPUT_COMPANIES'!$M$92,"proxy"),EXACT('01_INPUT_COMPANIES'!$M$92,"mixed")),OR(EXACT('01_INPUT_COMPANIES'!$Q$92,"yes")),EXACT('01_INPUT_COMPANIES'!$I$92,UPPER('01_INPUT_COMPANIES'!$I$92)))),"ERROR: EXACT ENUM",IF(NOT(IFERROR(OR(AND(EXACT('92_REF_VARIABLES'!$A$21,'01_INPUT_COMPANIES'!$H$92),EXACT('92_REF_VARIABLES'!$B$21,'01_INPUT_COMPANIES'!$D$92),EXACT('92_REF_VARIABLES'!$C$21,'01_INPUT_COMPANIES'!$G$92))),FALSE)),"ERROR: BENCHMARK",""))))))</x:f>
      </x:c>
    </x:row>
    <x:row r="93">
      <x:c r="A93" s="34" t="str">
        <x:f>IF(OR('01_INPUT_COMPANIES'!$A$93="",'01_INPUT_COMPANIES'!$A$93=""),"",'01_INPUT_COMPANIES'!$A$93)</x:f>
      </x:c>
      <x:c r="B93" s="34" t="str">
        <x:f>IF(OR('01_INPUT_COMPANIES'!$A$93="",'01_INPUT_COMPANIES'!$B$93=""),"",'01_INPUT_COMPANIES'!$B$93)</x:f>
      </x:c>
      <x:c r="C93" s="34" t="str">
        <x:f>IF(OR('01_INPUT_COMPANIES'!$A$93="",'01_INPUT_COMPANIES'!$C$93=""),"",'01_INPUT_COMPANIES'!$C$93)</x:f>
      </x:c>
      <x:c r="D93" s="34" t="str">
        <x:f>IF(OR('01_INPUT_COMPANIES'!$A$93="",'01_INPUT_COMPANIES'!$D$93=""),"",'01_INPUT_COMPANIES'!$D$93)</x:f>
      </x:c>
      <x:c r="E93" s="34" t="str">
        <x:f>IF(OR('01_INPUT_COMPANIES'!$A$93="",'01_INPUT_COMPANIES'!$E$93=""),"",'01_INPUT_COMPANIES'!$E$93)</x:f>
      </x:c>
      <x:c r="F93" s="34" t="str">
        <x:f>IF(OR('01_INPUT_COMPANIES'!$A$93="",'01_INPUT_COMPANIES'!$F$93=""),"",'01_INPUT_COMPANIES'!$F$93)</x:f>
      </x:c>
      <x:c r="G93" s="34" t="str">
        <x:f>IF(OR('01_INPUT_COMPANIES'!$A$93="",'01_INPUT_COMPANIES'!$G$93=""),"",'01_INPUT_COMPANIES'!$G$93)</x:f>
      </x:c>
      <x:c r="H93" s="34" t="str">
        <x:f>IF(OR('01_INPUT_COMPANIES'!$A$93="",'01_INPUT_COMPANIES'!$H$93=""),"",'01_INPUT_COMPANIES'!$H$93)</x:f>
      </x:c>
      <x:c r="I93" s="34" t="str">
        <x:f>IF(OR('01_INPUT_COMPANIES'!$A$93="",'01_INPUT_COMPANIES'!$K$93=""),"",'01_INPUT_COMPANIES'!$K$93)</x:f>
      </x:c>
      <x:c r="J93" s="34" t="str">
        <x:f>IF(OR('01_INPUT_COMPANIES'!$A$93="",'01_INPUT_COMPANIES'!$M$93=""),"",'01_INPUT_COMPANIES'!$M$93)</x:f>
      </x:c>
      <x:c r="K93" s="34" t="str">
        <x:f>IF(OR(A93="",COUNTBLANK(D93:H93)&gt;0),"",LEN(D93)&amp;":"&amp;D93&amp;LEN(E93)&amp;":"&amp;E93&amp;LEN(F93)&amp;":"&amp;F93&amp;LEN(G93)&amp;":"&amp;G93&amp;LEN(H93)&amp;":"&amp;H93)</x:f>
      </x:c>
      <x:c r="L93" s="47" t="str">
        <x:f>IF(A93="","",'90_CALC_FEATURES'!$I$867)</x:f>
      </x:c>
      <x:c r="M93" s="47" t="str">
        <x:f>IF(A93="","",'90_CALC_FEATURES'!$I$868)</x:f>
      </x:c>
      <x:c r="N93" s="47" t="str">
        <x:f>IF(A93="","",'90_CALC_FEATURES'!$I$869)</x:f>
      </x:c>
      <x:c r="O93" s="47" t="str">
        <x:f>IF(A93="","",'90_CALC_FEATURES'!$I$870)</x:f>
      </x:c>
      <x:c r="P93" s="47" t="str">
        <x:f>IF(A93="","",'90_CALC_FEATURES'!$I$871)</x:f>
      </x:c>
      <x:c r="Q93" s="47" t="str">
        <x:f>IF(A93="","",'90_CALC_FEATURES'!$I$872)</x:f>
      </x:c>
      <x:c r="R93" s="47" t="str">
        <x:f>IF(A93="","",'90_CALC_FEATURES'!$I$873)</x:f>
      </x:c>
      <x:c r="S93" s="47" t="str">
        <x:f>IF(A93="","",'90_CALC_FEATURES'!$I$874)</x:f>
      </x:c>
      <x:c r="T93" s="47" t="str">
        <x:f>IF(A93="","",'90_CALC_FEATURES'!$I$875)</x:f>
      </x:c>
      <x:c r="U93" s="47" t="str">
        <x:f>IF(A93="","",'90_CALC_FEATURES'!$I$876)</x:f>
      </x:c>
      <x:c r="V93" s="47" t="str">
        <x:f>IF(COUNT(L93:N93)=3,100*AVERAGE(L93:N93),"")</x:f>
      </x:c>
      <x:c r="W93" s="47" t="str">
        <x:f>IF(COUNT(O93:R93)=4,100*AVERAGE(O93:R93),"")</x:f>
      </x:c>
      <x:c r="X93" s="47" t="str">
        <x:f>IF(COUNT(S93:U93)=3,100*AVERAGE(S93:U93),"")</x:f>
      </x:c>
      <x:c r="Y93" s="47" t="str">
        <x:f>IF(COUNT(V93:X93)=3,AVERAGE(V93:X93),"")</x:f>
      </x:c>
      <x:c r="Z93" s="47" t="str">
        <x:f>IF(OR(AND(EXACT(A93,"SYN-A"),COUNT('01_INPUT_COMPANIES'!$T$93:$AC$93)=10,'01_INPUT_COMPANIES'!$T$93=-0.02,'01_INPUT_COMPANIES'!$U$93=0.1332,'01_INPUT_COMPANIES'!$V$93=0.18,'01_INPUT_COMPANIES'!$W$93=0.42,'01_INPUT_COMPANIES'!$X$93=0.012,'01_INPUT_COMPANIES'!$Y$93=3.2,'01_INPUT_COMPANIES'!$Z$93=0.08,'01_INPUT_COMPANIES'!$AA$93=0.28,'01_INPUT_COMPANIES'!$AB$93=0.74,'01_INPUT_COMPANIES'!$AC$93=8.5),AND(EXACT(A93,"SYN-B"),COUNT('01_INPUT_COMPANIES'!$T$93:$AC$93)=10,'01_INPUT_COMPANIES'!$T$93=-0.055,'01_INPUT_COMPANIES'!$U$93=0.06405,'01_INPUT_COMPANIES'!$V$93=0.105,'01_INPUT_COMPANIES'!$W$93=0.73,'01_INPUT_COMPANIES'!$X$93=0.004,'01_INPUT_COMPANIES'!$Y$93=4.1,'01_INPUT_COMPANIES'!$Z$93=0.025,'01_INPUT_COMPANIES'!$AA$93=0.16,'01_INPUT_COMPANIES'!$AB$93=0.61,'01_INPUT_COMPANIES'!$AC$93=4),AND(EXACT(A93,"SYN-C"),COUNT('01_INPUT_COMPANIES'!$T$93:$AC$93)=10,'01_INPUT_COMPANIES'!$T$93=0.01,'01_INPUT_COMPANIES'!$U$93=0.0986,'01_INPUT_COMPANIES'!$V$93=0.145,'01_INPUT_COMPANIES'!$W$93=0.18,'01_INPUT_COMPANIES'!$X$93=0.018,'01_INPUT_COMPANIES'!$Y$93=2.65,'01_INPUT_COMPANIES'!$Z$93=0.11,'01_INPUT_COMPANIES'!$AA$93=0.34,'01_INPUT_COMPANIES'!$AB$93=0.68,'01_INPUT_COMPANIES'!$AC$93=6.8),AND(EXACT(A93,"SYN-D"),COUNT('01_INPUT_COMPANIES'!$T$93:$AC$93)=10,'01_INPUT_COMPANIES'!$T$93=-0.005,'01_INPUT_COMPANIES'!$U$93=0.1136,'01_INPUT_COMPANIES'!$V$93=0.16,'01_INPUT_COMPANIES'!$W$93=0.51,'01_INPUT_COMPANIES'!$X$93=0.009,'01_INPUT_COMPANIES'!$Y$93=3.55,'01_INPUT_COMPANIES'!$Z$93=0.065,'01_INPUT_COMPANIES'!$AA$93=0.24,'01_INPUT_COMPANIES'!$AB$93=0.71,'01_INPUT_COMPANIES'!$AC$93=7.4)),IFERROR(INDEX('94_EXPECTED_OUTPUTS'!$B$7:$B$10,MATCH(A93,'94_EXPECTED_OUTPUTS'!$A$7:$A$10,0)),""),"")</x:f>
      </x:c>
      <x:c r="AA93" s="47" t="str">
        <x:f>IF(OR(COUNT(Y93)=0,COUNT(Z93)=0),"",ABS(Y93-Z93))</x:f>
      </x:c>
      <x:c r="AB93" s="34" t="str">
        <x:f>IF(A93="","",IF(AD93&lt;&gt;"",AD93,IF('01_INPUT_COMPANIES'!$A$93="","",IF(OR(LEN(TRIM('01_INPUT_COMPANIES'!$A$93&amp;""))=0,LEN(TRIM('01_INPUT_COMPANIES'!$B$93&amp;""))=0,LEN(TRIM('01_INPUT_COMPANIES'!$C$93&amp;""))=0,LEN(TRIM('01_INPUT_COMPANIES'!$D$93&amp;""))=0,LEN(TRIM('01_INPUT_COMPANIES'!$E$93&amp;""))=0,LEN(TRIM('01_INPUT_COMPANIES'!$F$93&amp;""))=0,LEN(TRIM('01_INPUT_COMPANIES'!$G$93&amp;""))=0,LEN(TRIM('01_INPUT_COMPANIES'!$H$93&amp;""))=0,LEN(TRIM('01_INPUT_COMPANIES'!$I$93&amp;""))=0,LEN(TRIM('01_INPUT_COMPANIES'!$K$93&amp;""))=0,LEN(TRIM('01_INPUT_COMPANIES'!$L$93&amp;""))=0,LEN(TRIM('01_INPUT_COMPANIES'!$M$93&amp;""))=0,LEN(TRIM('01_INPUT_COMPANIES'!$N$93&amp;""))=0,LEN(TRIM('01_INPUT_COMPANIES'!$O$93&amp;""))=0,LEN(TRIM('01_INPUT_COMPANIES'!$Q$93&amp;""))=0,COUNTBLANK('01_INPUT_COMPANIES'!$A$93:$R$93)&gt;0),"INPUT REQUIRED",IF(OR('01_INPUT_COMPANIES'!$A$93&lt;&gt;TRIM('01_INPUT_COMPANIES'!$A$93),NOT(EXACT('01_INPUT_COMPANIES'!$A$93,UPPER('01_INPUT_COMPANIES'!$A$93))),LEN('01_INPUT_COMPANIES'!$A$93)&gt;64,ISNUMBER(FIND("*",'01_INPUT_COMPANIES'!$A$93)),ISNUMBER(FIND("?",'01_INPUT_COMPANIES'!$A$93)),ISNUMBER(FIND("~",'01_INPUT_COMPANIES'!$A$93))),"ERROR: ID FORMAT",IF(COUNTIF('01_INPUT_COMPANIES'!$A$7:$A$106,'01_INPUT_COMPANIES'!$A$93)&lt;&gt;1,"ERROR: DUPLICATE ID",IF(COUNT('01_INPUT_COMPANIES'!$T$93:$AC$93)&lt;&gt;10,"INPUT REQUIRED",IF(NOT(OR('01_INPUT_COMPANIES'!$C$93="domestic",'01_INPUT_COMPANIES'!$C$93="foreign",'01_INPUT_COMPANIES'!$C$93="other")),"ERROR: COMPANY GROUP",IF(OR(LEN('01_INPUT_COMPANIES'!$G$93)&lt;&gt;6,MID('01_INPUT_COMPANIES'!$G$93,5,1)&lt;&gt;"Q",IFERROR(VALUE(LEFT('01_INPUT_COMPANIES'!$G$93,4)),0)&lt;2000,IFERROR(VALUE(LEFT('01_INPUT_COMPANIES'!$G$93,4)),0)&gt;2100,IFERROR(VALUE(RIGHT('01_INPUT_COMPANIES'!$G$93,1)),0)&lt;1,IFERROR(VALUE(RIGHT('01_INPUT_COMPANIES'!$G$93,1)),0)&gt;4),"ERROR: REPORTING PERIOD",IF(OR(COUNTIFS('92_REF_VARIABLES'!$A$21:$A$21,'01_INPUT_COMPANIES'!$H$93,'92_REF_VARIABLES'!$B$21:$B$21,'01_INPUT_COMPANIES'!$D$93,'92_REF_VARIABLES'!$C$21:$C$21,'01_INPUT_COMPANIES'!$G$93)&lt;&gt;1,AND(IFERROR(INDEX('92_REF_VARIABLES'!$I$21:$I$21,MATCH('01_INPUT_COMPANIES'!$H$93,'92_REF_VARIABLES'!$A$21:$A$21,0)),"")="synthetic_only",'01_INPUT_COMPANIES'!$L$93&lt;&gt;"yes")),"ERROR: BENCHMARK",IF(COUNTIF('92_REF_VARIABLES'!$L$21:$L$50,'01_INPUT_COMPANIES'!$I$93)&lt;&gt;1,"ERROR: CURRENCY",IF(OR(NOT(ISNUMBER('01_INPUT_COMPANIES'!$J$93)),'01_INPUT_COMPANIES'!$J$93&lt;&gt;INT('01_INPUT_COMPANIES'!$J$93),'01_INPUT_COMPANIES'!$J$93&lt;2000,'01_INPUT_COMPANIES'!$J$93&gt;2100),"ERROR: PRICE YEAR",IF(NOT(OR('01_INPUT_COMPANIES'!$K$93="A",'01_INPUT_COMPANIES'!$K$93="B",'01_INPUT_COMPANIES'!$K$93="C",'01_INPUT_COMPANIES'!$K$93="SYNTHETIC")),"ERROR: QUALITY",IF(NOT(OR(AND('01_INPUT_COMPANIES'!$L$93="yes",'01_INPUT_COMPANIES'!$K$93="SYNTHETIC"),AND('01_INPUT_COMPANIES'!$L$93="no",'01_INPUT_COMPANIES'!$K$93&lt;&gt;"SYNTHETIC"))),"ERROR: SYNTHETIC FLAG",IF(NOT(OR('01_INPUT_COMPANIES'!$M$93="direct",'01_INPUT_COMPANIES'!$M$93="derived",'01_INPUT_COMPANIES'!$M$93="proxy",'01_INPUT_COMPANIES'!$M$93="mixed")),"ERROR: CONSTRUCTION MODE",IF(OR(NOT(ISNUMBER('01_INPUT_COMPANIES'!$P$93)),'01_INPUT_COMPANIES'!$P$93&lt;0,'01_INPUT_COMPANIES'!$P$93&lt;&gt;INT('01_INPUT_COMPANIES'!$P$93)),"ERROR: CARRY LAG",IF('01_INPUT_COMPANIES'!$Q$93&lt;&gt;"yes","ERROR: EXPOSURE ADJUSTMENT",IF(OR(NOT(ISNUMBER('01_INPUT_COMPANIES'!$R$93)),'01_INPUT_COMPANIES'!$R$93&lt;0,'01_INPUT_COMPANIES'!$R$93&gt;1),"ERROR: EXPOSURE FACTOR",IF(COUNT(Y93)=0,"ERROR: SCORE",IF(COUNT(Z93)=0,"READY",IF(AA93&lt;=0.0000000001,"PASS","CHECK"))&amp;IF('01_INPUT_COMPANIES'!$K$93="C"," | C QUALITY","")&amp;IF(OR('01_INPUT_COMPANIES'!$M$93="proxy",'01_INPUT_COMPANIES'!$M$93="mixed")," | PROXY/MIXED","")&amp;IF('01_INPUT_COMPANIES'!$P$93&gt;1," | CARRY&gt;1","")&amp;IF(OR(OR('01_INPUT_COMPANIES'!$T$93&lt;-1,'01_INPUT_COMPANIES'!$T$93&gt;1),OR('01_INPUT_COMPANIES'!$U$93&lt;0,'01_INPUT_COMPANIES'!$U$93&gt;1),OR('01_INPUT_COMPANIES'!$V$93&lt;0,'01_INPUT_COMPANIES'!$V$93&gt;1),OR('01_INPUT_COMPANIES'!$W$93&lt;-10,'01_INPUT_COMPANIES'!$W$93&gt;10),OR('01_INPUT_COMPANIES'!$X$93&lt;-1,'01_INPUT_COMPANIES'!$X$93&gt;1),OR('01_INPUT_COMPANIES'!$Y$93&lt;0,'01_INPUT_COMPANIES'!$Y$93&gt;20),OR('01_INPUT_COMPANIES'!$Z$93&lt;-2,'01_INPUT_COMPANIES'!$Z$93&gt;2),OR('01_INPUT_COMPANIES'!$AA$93&lt;0,'01_INPUT_COMPANIES'!$AA$93&gt;1),OR('01_INPUT_COMPANIES'!$AB$93&lt;0,'01_INPUT_COMPANIES'!$AB$93&gt;1),OR('01_INPUT_COMPANIES'!$AC$93&lt;0,'01_INPUT_COMPANIES'!$AC$93&gt;50))," | REVIEW RANGE","")&amp;IF(COUNTIF('90_CALC_FEATURES'!$J$867:$J$876,"WINSORIZED*")&gt;0," | WINSORIZED","")&amp;IF(ABS('01_INPUT_COMPANIES'!$U$93-'01_INPUT_COMPANIES'!$V$93*'01_INPUT_COMPANIES'!$AB$93)&gt;MAX(0.005,0.05*MAX(ABS('01_INPUT_COMPANIES'!$V$93*'01_INPUT_COMPANIES'!$AB$93),ABS('01_INPUT_COMPANIES'!$U$93),0.000000000001))," | DEPENDENCY",""))))))))))))))))))))</x:f>
      </x:c>
      <x:c r="AC93" s="34" t="str">
        <x:f>IF(A93="","",IF(OR(LEFT(AB93,4)="PASS",LEFT(AB93,5)="READY"),"RESEARCH BETA | 저지원 22.22% | 기업 백분위 N/A", "결과 사용 금지 | "&amp;AB93))</x:f>
      </x:c>
      <x:c r="AD93" s="34" t="str">
        <x:f>IF(A93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$93,TRIM('01_INPUT_COMPANIES'!$D$93)),EXACT('01_INPUT_COMPANIES'!$E$93,TRIM('01_INPUT_COMPANIES'!$E$93)),EXACT('01_INPUT_COMPANIES'!$F$93,TRIM('01_INPUT_COMPANIES'!$F$93)),EXACT('01_INPUT_COMPANIES'!$G$93,TRIM('01_INPUT_COMPANIES'!$G$93)),EXACT('01_INPUT_COMPANIES'!$H$93,TRIM('01_INPUT_COMPANIES'!$H$93)))),"ERROR: COHORT WHITESPACE",IF(NOT(IFERROR(AND(ISTEXT('01_INPUT_COMPANIES'!$O$93),LEN('01_INPUT_COMPANIES'!$O$93)=10,VALUE(LEFT('01_INPUT_COMPANIES'!$O$93,4))&gt;=2000,VALUE(LEFT('01_INPUT_COMPANIES'!$O$93,4))&lt;=2100,EXACT(TEXT(DATE(VALUE(LEFT('01_INPUT_COMPANIES'!$O$93,4)),VALUE(MID('01_INPUT_COMPANIES'!$O$93,6,2)),VALUE(RIGHT('01_INPUT_COMPANIES'!$O$93,2))),"yyyy-mm-dd"),'01_INPUT_COMPANIES'!$O$93)),FALSE)),"ERROR: SOURCE DATE",IF(NOT(AND(OR(EXACT('01_INPUT_COMPANIES'!$C$93,"domestic"),EXACT('01_INPUT_COMPANIES'!$C$93,"foreign"),EXACT('01_INPUT_COMPANIES'!$C$93,"other")),OR(EXACT('01_INPUT_COMPANIES'!$K$93,"A"),EXACT('01_INPUT_COMPANIES'!$K$93,"B"),EXACT('01_INPUT_COMPANIES'!$K$93,"C"),EXACT('01_INPUT_COMPANIES'!$K$93,"SYNTHETIC")),OR(EXACT('01_INPUT_COMPANIES'!$L$93,"yes"),EXACT('01_INPUT_COMPANIES'!$L$93,"no")),OR(EXACT('01_INPUT_COMPANIES'!$M$93,"direct"),EXACT('01_INPUT_COMPANIES'!$M$93,"derived"),EXACT('01_INPUT_COMPANIES'!$M$93,"proxy"),EXACT('01_INPUT_COMPANIES'!$M$93,"mixed")),OR(EXACT('01_INPUT_COMPANIES'!$Q$93,"yes")),EXACT('01_INPUT_COMPANIES'!$I$93,UPPER('01_INPUT_COMPANIES'!$I$93)))),"ERROR: EXACT ENUM",IF(NOT(IFERROR(OR(AND(EXACT('92_REF_VARIABLES'!$A$21,'01_INPUT_COMPANIES'!$H$93),EXACT('92_REF_VARIABLES'!$B$21,'01_INPUT_COMPANIES'!$D$93),EXACT('92_REF_VARIABLES'!$C$21,'01_INPUT_COMPANIES'!$G$93))),FALSE)),"ERROR: BENCHMARK",""))))))</x:f>
      </x:c>
    </x:row>
    <x:row r="94">
      <x:c r="A94" s="34" t="str">
        <x:f>IF(OR('01_INPUT_COMPANIES'!$A$94="",'01_INPUT_COMPANIES'!$A$94=""),"",'01_INPUT_COMPANIES'!$A$94)</x:f>
      </x:c>
      <x:c r="B94" s="34" t="str">
        <x:f>IF(OR('01_INPUT_COMPANIES'!$A$94="",'01_INPUT_COMPANIES'!$B$94=""),"",'01_INPUT_COMPANIES'!$B$94)</x:f>
      </x:c>
      <x:c r="C94" s="34" t="str">
        <x:f>IF(OR('01_INPUT_COMPANIES'!$A$94="",'01_INPUT_COMPANIES'!$C$94=""),"",'01_INPUT_COMPANIES'!$C$94)</x:f>
      </x:c>
      <x:c r="D94" s="34" t="str">
        <x:f>IF(OR('01_INPUT_COMPANIES'!$A$94="",'01_INPUT_COMPANIES'!$D$94=""),"",'01_INPUT_COMPANIES'!$D$94)</x:f>
      </x:c>
      <x:c r="E94" s="34" t="str">
        <x:f>IF(OR('01_INPUT_COMPANIES'!$A$94="",'01_INPUT_COMPANIES'!$E$94=""),"",'01_INPUT_COMPANIES'!$E$94)</x:f>
      </x:c>
      <x:c r="F94" s="34" t="str">
        <x:f>IF(OR('01_INPUT_COMPANIES'!$A$94="",'01_INPUT_COMPANIES'!$F$94=""),"",'01_INPUT_COMPANIES'!$F$94)</x:f>
      </x:c>
      <x:c r="G94" s="34" t="str">
        <x:f>IF(OR('01_INPUT_COMPANIES'!$A$94="",'01_INPUT_COMPANIES'!$G$94=""),"",'01_INPUT_COMPANIES'!$G$94)</x:f>
      </x:c>
      <x:c r="H94" s="34" t="str">
        <x:f>IF(OR('01_INPUT_COMPANIES'!$A$94="",'01_INPUT_COMPANIES'!$H$94=""),"",'01_INPUT_COMPANIES'!$H$94)</x:f>
      </x:c>
      <x:c r="I94" s="34" t="str">
        <x:f>IF(OR('01_INPUT_COMPANIES'!$A$94="",'01_INPUT_COMPANIES'!$K$94=""),"",'01_INPUT_COMPANIES'!$K$94)</x:f>
      </x:c>
      <x:c r="J94" s="34" t="str">
        <x:f>IF(OR('01_INPUT_COMPANIES'!$A$94="",'01_INPUT_COMPANIES'!$M$94=""),"",'01_INPUT_COMPANIES'!$M$94)</x:f>
      </x:c>
      <x:c r="K94" s="34" t="str">
        <x:f>IF(OR(A94="",COUNTBLANK(D94:H94)&gt;0),"",LEN(D94)&amp;":"&amp;D94&amp;LEN(E94)&amp;":"&amp;E94&amp;LEN(F94)&amp;":"&amp;F94&amp;LEN(G94)&amp;":"&amp;G94&amp;LEN(H94)&amp;":"&amp;H94)</x:f>
      </x:c>
      <x:c r="L94" s="47" t="str">
        <x:f>IF(A94="","",'90_CALC_FEATURES'!$I$877)</x:f>
      </x:c>
      <x:c r="M94" s="47" t="str">
        <x:f>IF(A94="","",'90_CALC_FEATURES'!$I$878)</x:f>
      </x:c>
      <x:c r="N94" s="47" t="str">
        <x:f>IF(A94="","",'90_CALC_FEATURES'!$I$879)</x:f>
      </x:c>
      <x:c r="O94" s="47" t="str">
        <x:f>IF(A94="","",'90_CALC_FEATURES'!$I$880)</x:f>
      </x:c>
      <x:c r="P94" s="47" t="str">
        <x:f>IF(A94="","",'90_CALC_FEATURES'!$I$881)</x:f>
      </x:c>
      <x:c r="Q94" s="47" t="str">
        <x:f>IF(A94="","",'90_CALC_FEATURES'!$I$882)</x:f>
      </x:c>
      <x:c r="R94" s="47" t="str">
        <x:f>IF(A94="","",'90_CALC_FEATURES'!$I$883)</x:f>
      </x:c>
      <x:c r="S94" s="47" t="str">
        <x:f>IF(A94="","",'90_CALC_FEATURES'!$I$884)</x:f>
      </x:c>
      <x:c r="T94" s="47" t="str">
        <x:f>IF(A94="","",'90_CALC_FEATURES'!$I$885)</x:f>
      </x:c>
      <x:c r="U94" s="47" t="str">
        <x:f>IF(A94="","",'90_CALC_FEATURES'!$I$886)</x:f>
      </x:c>
      <x:c r="V94" s="47" t="str">
        <x:f>IF(COUNT(L94:N94)=3,100*AVERAGE(L94:N94),"")</x:f>
      </x:c>
      <x:c r="W94" s="47" t="str">
        <x:f>IF(COUNT(O94:R94)=4,100*AVERAGE(O94:R94),"")</x:f>
      </x:c>
      <x:c r="X94" s="47" t="str">
        <x:f>IF(COUNT(S94:U94)=3,100*AVERAGE(S94:U94),"")</x:f>
      </x:c>
      <x:c r="Y94" s="47" t="str">
        <x:f>IF(COUNT(V94:X94)=3,AVERAGE(V94:X94),"")</x:f>
      </x:c>
      <x:c r="Z94" s="47" t="str">
        <x:f>IF(OR(AND(EXACT(A94,"SYN-A"),COUNT('01_INPUT_COMPANIES'!$T$94:$AC$94)=10,'01_INPUT_COMPANIES'!$T$94=-0.02,'01_INPUT_COMPANIES'!$U$94=0.1332,'01_INPUT_COMPANIES'!$V$94=0.18,'01_INPUT_COMPANIES'!$W$94=0.42,'01_INPUT_COMPANIES'!$X$94=0.012,'01_INPUT_COMPANIES'!$Y$94=3.2,'01_INPUT_COMPANIES'!$Z$94=0.08,'01_INPUT_COMPANIES'!$AA$94=0.28,'01_INPUT_COMPANIES'!$AB$94=0.74,'01_INPUT_COMPANIES'!$AC$94=8.5),AND(EXACT(A94,"SYN-B"),COUNT('01_INPUT_COMPANIES'!$T$94:$AC$94)=10,'01_INPUT_COMPANIES'!$T$94=-0.055,'01_INPUT_COMPANIES'!$U$94=0.06405,'01_INPUT_COMPANIES'!$V$94=0.105,'01_INPUT_COMPANIES'!$W$94=0.73,'01_INPUT_COMPANIES'!$X$94=0.004,'01_INPUT_COMPANIES'!$Y$94=4.1,'01_INPUT_COMPANIES'!$Z$94=0.025,'01_INPUT_COMPANIES'!$AA$94=0.16,'01_INPUT_COMPANIES'!$AB$94=0.61,'01_INPUT_COMPANIES'!$AC$94=4),AND(EXACT(A94,"SYN-C"),COUNT('01_INPUT_COMPANIES'!$T$94:$AC$94)=10,'01_INPUT_COMPANIES'!$T$94=0.01,'01_INPUT_COMPANIES'!$U$94=0.0986,'01_INPUT_COMPANIES'!$V$94=0.145,'01_INPUT_COMPANIES'!$W$94=0.18,'01_INPUT_COMPANIES'!$X$94=0.018,'01_INPUT_COMPANIES'!$Y$94=2.65,'01_INPUT_COMPANIES'!$Z$94=0.11,'01_INPUT_COMPANIES'!$AA$94=0.34,'01_INPUT_COMPANIES'!$AB$94=0.68,'01_INPUT_COMPANIES'!$AC$94=6.8),AND(EXACT(A94,"SYN-D"),COUNT('01_INPUT_COMPANIES'!$T$94:$AC$94)=10,'01_INPUT_COMPANIES'!$T$94=-0.005,'01_INPUT_COMPANIES'!$U$94=0.1136,'01_INPUT_COMPANIES'!$V$94=0.16,'01_INPUT_COMPANIES'!$W$94=0.51,'01_INPUT_COMPANIES'!$X$94=0.009,'01_INPUT_COMPANIES'!$Y$94=3.55,'01_INPUT_COMPANIES'!$Z$94=0.065,'01_INPUT_COMPANIES'!$AA$94=0.24,'01_INPUT_COMPANIES'!$AB$94=0.71,'01_INPUT_COMPANIES'!$AC$94=7.4)),IFERROR(INDEX('94_EXPECTED_OUTPUTS'!$B$7:$B$10,MATCH(A94,'94_EXPECTED_OUTPUTS'!$A$7:$A$10,0)),""),"")</x:f>
      </x:c>
      <x:c r="AA94" s="47" t="str">
        <x:f>IF(OR(COUNT(Y94)=0,COUNT(Z94)=0),"",ABS(Y94-Z94))</x:f>
      </x:c>
      <x:c r="AB94" s="34" t="str">
        <x:f>IF(A94="","",IF(AD94&lt;&gt;"",AD94,IF('01_INPUT_COMPANIES'!$A$94="","",IF(OR(LEN(TRIM('01_INPUT_COMPANIES'!$A$94&amp;""))=0,LEN(TRIM('01_INPUT_COMPANIES'!$B$94&amp;""))=0,LEN(TRIM('01_INPUT_COMPANIES'!$C$94&amp;""))=0,LEN(TRIM('01_INPUT_COMPANIES'!$D$94&amp;""))=0,LEN(TRIM('01_INPUT_COMPANIES'!$E$94&amp;""))=0,LEN(TRIM('01_INPUT_COMPANIES'!$F$94&amp;""))=0,LEN(TRIM('01_INPUT_COMPANIES'!$G$94&amp;""))=0,LEN(TRIM('01_INPUT_COMPANIES'!$H$94&amp;""))=0,LEN(TRIM('01_INPUT_COMPANIES'!$I$94&amp;""))=0,LEN(TRIM('01_INPUT_COMPANIES'!$K$94&amp;""))=0,LEN(TRIM('01_INPUT_COMPANIES'!$L$94&amp;""))=0,LEN(TRIM('01_INPUT_COMPANIES'!$M$94&amp;""))=0,LEN(TRIM('01_INPUT_COMPANIES'!$N$94&amp;""))=0,LEN(TRIM('01_INPUT_COMPANIES'!$O$94&amp;""))=0,LEN(TRIM('01_INPUT_COMPANIES'!$Q$94&amp;""))=0,COUNTBLANK('01_INPUT_COMPANIES'!$A$94:$R$94)&gt;0),"INPUT REQUIRED",IF(OR('01_INPUT_COMPANIES'!$A$94&lt;&gt;TRIM('01_INPUT_COMPANIES'!$A$94),NOT(EXACT('01_INPUT_COMPANIES'!$A$94,UPPER('01_INPUT_COMPANIES'!$A$94))),LEN('01_INPUT_COMPANIES'!$A$94)&gt;64,ISNUMBER(FIND("*",'01_INPUT_COMPANIES'!$A$94)),ISNUMBER(FIND("?",'01_INPUT_COMPANIES'!$A$94)),ISNUMBER(FIND("~",'01_INPUT_COMPANIES'!$A$94))),"ERROR: ID FORMAT",IF(COUNTIF('01_INPUT_COMPANIES'!$A$7:$A$106,'01_INPUT_COMPANIES'!$A$94)&lt;&gt;1,"ERROR: DUPLICATE ID",IF(COUNT('01_INPUT_COMPANIES'!$T$94:$AC$94)&lt;&gt;10,"INPUT REQUIRED",IF(NOT(OR('01_INPUT_COMPANIES'!$C$94="domestic",'01_INPUT_COMPANIES'!$C$94="foreign",'01_INPUT_COMPANIES'!$C$94="other")),"ERROR: COMPANY GROUP",IF(OR(LEN('01_INPUT_COMPANIES'!$G$94)&lt;&gt;6,MID('01_INPUT_COMPANIES'!$G$94,5,1)&lt;&gt;"Q",IFERROR(VALUE(LEFT('01_INPUT_COMPANIES'!$G$94,4)),0)&lt;2000,IFERROR(VALUE(LEFT('01_INPUT_COMPANIES'!$G$94,4)),0)&gt;2100,IFERROR(VALUE(RIGHT('01_INPUT_COMPANIES'!$G$94,1)),0)&lt;1,IFERROR(VALUE(RIGHT('01_INPUT_COMPANIES'!$G$94,1)),0)&gt;4),"ERROR: REPORTING PERIOD",IF(OR(COUNTIFS('92_REF_VARIABLES'!$A$21:$A$21,'01_INPUT_COMPANIES'!$H$94,'92_REF_VARIABLES'!$B$21:$B$21,'01_INPUT_COMPANIES'!$D$94,'92_REF_VARIABLES'!$C$21:$C$21,'01_INPUT_COMPANIES'!$G$94)&lt;&gt;1,AND(IFERROR(INDEX('92_REF_VARIABLES'!$I$21:$I$21,MATCH('01_INPUT_COMPANIES'!$H$94,'92_REF_VARIABLES'!$A$21:$A$21,0)),"")="synthetic_only",'01_INPUT_COMPANIES'!$L$94&lt;&gt;"yes")),"ERROR: BENCHMARK",IF(COUNTIF('92_REF_VARIABLES'!$L$21:$L$50,'01_INPUT_COMPANIES'!$I$94)&lt;&gt;1,"ERROR: CURRENCY",IF(OR(NOT(ISNUMBER('01_INPUT_COMPANIES'!$J$94)),'01_INPUT_COMPANIES'!$J$94&lt;&gt;INT('01_INPUT_COMPANIES'!$J$94),'01_INPUT_COMPANIES'!$J$94&lt;2000,'01_INPUT_COMPANIES'!$J$94&gt;2100),"ERROR: PRICE YEAR",IF(NOT(OR('01_INPUT_COMPANIES'!$K$94="A",'01_INPUT_COMPANIES'!$K$94="B",'01_INPUT_COMPANIES'!$K$94="C",'01_INPUT_COMPANIES'!$K$94="SYNTHETIC")),"ERROR: QUALITY",IF(NOT(OR(AND('01_INPUT_COMPANIES'!$L$94="yes",'01_INPUT_COMPANIES'!$K$94="SYNTHETIC"),AND('01_INPUT_COMPANIES'!$L$94="no",'01_INPUT_COMPANIES'!$K$94&lt;&gt;"SYNTHETIC"))),"ERROR: SYNTHETIC FLAG",IF(NOT(OR('01_INPUT_COMPANIES'!$M$94="direct",'01_INPUT_COMPANIES'!$M$94="derived",'01_INPUT_COMPANIES'!$M$94="proxy",'01_INPUT_COMPANIES'!$M$94="mixed")),"ERROR: CONSTRUCTION MODE",IF(OR(NOT(ISNUMBER('01_INPUT_COMPANIES'!$P$94)),'01_INPUT_COMPANIES'!$P$94&lt;0,'01_INPUT_COMPANIES'!$P$94&lt;&gt;INT('01_INPUT_COMPANIES'!$P$94)),"ERROR: CARRY LAG",IF('01_INPUT_COMPANIES'!$Q$94&lt;&gt;"yes","ERROR: EXPOSURE ADJUSTMENT",IF(OR(NOT(ISNUMBER('01_INPUT_COMPANIES'!$R$94)),'01_INPUT_COMPANIES'!$R$94&lt;0,'01_INPUT_COMPANIES'!$R$94&gt;1),"ERROR: EXPOSURE FACTOR",IF(COUNT(Y94)=0,"ERROR: SCORE",IF(COUNT(Z94)=0,"READY",IF(AA94&lt;=0.0000000001,"PASS","CHECK"))&amp;IF('01_INPUT_COMPANIES'!$K$94="C"," | C QUALITY","")&amp;IF(OR('01_INPUT_COMPANIES'!$M$94="proxy",'01_INPUT_COMPANIES'!$M$94="mixed")," | PROXY/MIXED","")&amp;IF('01_INPUT_COMPANIES'!$P$94&gt;1," | CARRY&gt;1","")&amp;IF(OR(OR('01_INPUT_COMPANIES'!$T$94&lt;-1,'01_INPUT_COMPANIES'!$T$94&gt;1),OR('01_INPUT_COMPANIES'!$U$94&lt;0,'01_INPUT_COMPANIES'!$U$94&gt;1),OR('01_INPUT_COMPANIES'!$V$94&lt;0,'01_INPUT_COMPANIES'!$V$94&gt;1),OR('01_INPUT_COMPANIES'!$W$94&lt;-10,'01_INPUT_COMPANIES'!$W$94&gt;10),OR('01_INPUT_COMPANIES'!$X$94&lt;-1,'01_INPUT_COMPANIES'!$X$94&gt;1),OR('01_INPUT_COMPANIES'!$Y$94&lt;0,'01_INPUT_COMPANIES'!$Y$94&gt;20),OR('01_INPUT_COMPANIES'!$Z$94&lt;-2,'01_INPUT_COMPANIES'!$Z$94&gt;2),OR('01_INPUT_COMPANIES'!$AA$94&lt;0,'01_INPUT_COMPANIES'!$AA$94&gt;1),OR('01_INPUT_COMPANIES'!$AB$94&lt;0,'01_INPUT_COMPANIES'!$AB$94&gt;1),OR('01_INPUT_COMPANIES'!$AC$94&lt;0,'01_INPUT_COMPANIES'!$AC$94&gt;50))," | REVIEW RANGE","")&amp;IF(COUNTIF('90_CALC_FEATURES'!$J$877:$J$886,"WINSORIZED*")&gt;0," | WINSORIZED","")&amp;IF(ABS('01_INPUT_COMPANIES'!$U$94-'01_INPUT_COMPANIES'!$V$94*'01_INPUT_COMPANIES'!$AB$94)&gt;MAX(0.005,0.05*MAX(ABS('01_INPUT_COMPANIES'!$V$94*'01_INPUT_COMPANIES'!$AB$94),ABS('01_INPUT_COMPANIES'!$U$94),0.000000000001))," | DEPENDENCY",""))))))))))))))))))))</x:f>
      </x:c>
      <x:c r="AC94" s="34" t="str">
        <x:f>IF(A94="","",IF(OR(LEFT(AB94,4)="PASS",LEFT(AB94,5)="READY"),"RESEARCH BETA | 저지원 22.22% | 기업 백분위 N/A", "결과 사용 금지 | "&amp;AB94))</x:f>
      </x:c>
      <x:c r="AD94" s="34" t="str">
        <x:f>IF(A94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$94,TRIM('01_INPUT_COMPANIES'!$D$94)),EXACT('01_INPUT_COMPANIES'!$E$94,TRIM('01_INPUT_COMPANIES'!$E$94)),EXACT('01_INPUT_COMPANIES'!$F$94,TRIM('01_INPUT_COMPANIES'!$F$94)),EXACT('01_INPUT_COMPANIES'!$G$94,TRIM('01_INPUT_COMPANIES'!$G$94)),EXACT('01_INPUT_COMPANIES'!$H$94,TRIM('01_INPUT_COMPANIES'!$H$94)))),"ERROR: COHORT WHITESPACE",IF(NOT(IFERROR(AND(ISTEXT('01_INPUT_COMPANIES'!$O$94),LEN('01_INPUT_COMPANIES'!$O$94)=10,VALUE(LEFT('01_INPUT_COMPANIES'!$O$94,4))&gt;=2000,VALUE(LEFT('01_INPUT_COMPANIES'!$O$94,4))&lt;=2100,EXACT(TEXT(DATE(VALUE(LEFT('01_INPUT_COMPANIES'!$O$94,4)),VALUE(MID('01_INPUT_COMPANIES'!$O$94,6,2)),VALUE(RIGHT('01_INPUT_COMPANIES'!$O$94,2))),"yyyy-mm-dd"),'01_INPUT_COMPANIES'!$O$94)),FALSE)),"ERROR: SOURCE DATE",IF(NOT(AND(OR(EXACT('01_INPUT_COMPANIES'!$C$94,"domestic"),EXACT('01_INPUT_COMPANIES'!$C$94,"foreign"),EXACT('01_INPUT_COMPANIES'!$C$94,"other")),OR(EXACT('01_INPUT_COMPANIES'!$K$94,"A"),EXACT('01_INPUT_COMPANIES'!$K$94,"B"),EXACT('01_INPUT_COMPANIES'!$K$94,"C"),EXACT('01_INPUT_COMPANIES'!$K$94,"SYNTHETIC")),OR(EXACT('01_INPUT_COMPANIES'!$L$94,"yes"),EXACT('01_INPUT_COMPANIES'!$L$94,"no")),OR(EXACT('01_INPUT_COMPANIES'!$M$94,"direct"),EXACT('01_INPUT_COMPANIES'!$M$94,"derived"),EXACT('01_INPUT_COMPANIES'!$M$94,"proxy"),EXACT('01_INPUT_COMPANIES'!$M$94,"mixed")),OR(EXACT('01_INPUT_COMPANIES'!$Q$94,"yes")),EXACT('01_INPUT_COMPANIES'!$I$94,UPPER('01_INPUT_COMPANIES'!$I$94)))),"ERROR: EXACT ENUM",IF(NOT(IFERROR(OR(AND(EXACT('92_REF_VARIABLES'!$A$21,'01_INPUT_COMPANIES'!$H$94),EXACT('92_REF_VARIABLES'!$B$21,'01_INPUT_COMPANIES'!$D$94),EXACT('92_REF_VARIABLES'!$C$21,'01_INPUT_COMPANIES'!$G$94))),FALSE)),"ERROR: BENCHMARK",""))))))</x:f>
      </x:c>
    </x:row>
    <x:row r="95">
      <x:c r="A95" s="34" t="str">
        <x:f>IF(OR('01_INPUT_COMPANIES'!$A$95="",'01_INPUT_COMPANIES'!$A$95=""),"",'01_INPUT_COMPANIES'!$A$95)</x:f>
      </x:c>
      <x:c r="B95" s="34" t="str">
        <x:f>IF(OR('01_INPUT_COMPANIES'!$A$95="",'01_INPUT_COMPANIES'!$B$95=""),"",'01_INPUT_COMPANIES'!$B$95)</x:f>
      </x:c>
      <x:c r="C95" s="34" t="str">
        <x:f>IF(OR('01_INPUT_COMPANIES'!$A$95="",'01_INPUT_COMPANIES'!$C$95=""),"",'01_INPUT_COMPANIES'!$C$95)</x:f>
      </x:c>
      <x:c r="D95" s="34" t="str">
        <x:f>IF(OR('01_INPUT_COMPANIES'!$A$95="",'01_INPUT_COMPANIES'!$D$95=""),"",'01_INPUT_COMPANIES'!$D$95)</x:f>
      </x:c>
      <x:c r="E95" s="34" t="str">
        <x:f>IF(OR('01_INPUT_COMPANIES'!$A$95="",'01_INPUT_COMPANIES'!$E$95=""),"",'01_INPUT_COMPANIES'!$E$95)</x:f>
      </x:c>
      <x:c r="F95" s="34" t="str">
        <x:f>IF(OR('01_INPUT_COMPANIES'!$A$95="",'01_INPUT_COMPANIES'!$F$95=""),"",'01_INPUT_COMPANIES'!$F$95)</x:f>
      </x:c>
      <x:c r="G95" s="34" t="str">
        <x:f>IF(OR('01_INPUT_COMPANIES'!$A$95="",'01_INPUT_COMPANIES'!$G$95=""),"",'01_INPUT_COMPANIES'!$G$95)</x:f>
      </x:c>
      <x:c r="H95" s="34" t="str">
        <x:f>IF(OR('01_INPUT_COMPANIES'!$A$95="",'01_INPUT_COMPANIES'!$H$95=""),"",'01_INPUT_COMPANIES'!$H$95)</x:f>
      </x:c>
      <x:c r="I95" s="34" t="str">
        <x:f>IF(OR('01_INPUT_COMPANIES'!$A$95="",'01_INPUT_COMPANIES'!$K$95=""),"",'01_INPUT_COMPANIES'!$K$95)</x:f>
      </x:c>
      <x:c r="J95" s="34" t="str">
        <x:f>IF(OR('01_INPUT_COMPANIES'!$A$95="",'01_INPUT_COMPANIES'!$M$95=""),"",'01_INPUT_COMPANIES'!$M$95)</x:f>
      </x:c>
      <x:c r="K95" s="34" t="str">
        <x:f>IF(OR(A95="",COUNTBLANK(D95:H95)&gt;0),"",LEN(D95)&amp;":"&amp;D95&amp;LEN(E95)&amp;":"&amp;E95&amp;LEN(F95)&amp;":"&amp;F95&amp;LEN(G95)&amp;":"&amp;G95&amp;LEN(H95)&amp;":"&amp;H95)</x:f>
      </x:c>
      <x:c r="L95" s="47" t="str">
        <x:f>IF(A95="","",'90_CALC_FEATURES'!$I$887)</x:f>
      </x:c>
      <x:c r="M95" s="47" t="str">
        <x:f>IF(A95="","",'90_CALC_FEATURES'!$I$888)</x:f>
      </x:c>
      <x:c r="N95" s="47" t="str">
        <x:f>IF(A95="","",'90_CALC_FEATURES'!$I$889)</x:f>
      </x:c>
      <x:c r="O95" s="47" t="str">
        <x:f>IF(A95="","",'90_CALC_FEATURES'!$I$890)</x:f>
      </x:c>
      <x:c r="P95" s="47" t="str">
        <x:f>IF(A95="","",'90_CALC_FEATURES'!$I$891)</x:f>
      </x:c>
      <x:c r="Q95" s="47" t="str">
        <x:f>IF(A95="","",'90_CALC_FEATURES'!$I$892)</x:f>
      </x:c>
      <x:c r="R95" s="47" t="str">
        <x:f>IF(A95="","",'90_CALC_FEATURES'!$I$893)</x:f>
      </x:c>
      <x:c r="S95" s="47" t="str">
        <x:f>IF(A95="","",'90_CALC_FEATURES'!$I$894)</x:f>
      </x:c>
      <x:c r="T95" s="47" t="str">
        <x:f>IF(A95="","",'90_CALC_FEATURES'!$I$895)</x:f>
      </x:c>
      <x:c r="U95" s="47" t="str">
        <x:f>IF(A95="","",'90_CALC_FEATURES'!$I$896)</x:f>
      </x:c>
      <x:c r="V95" s="47" t="str">
        <x:f>IF(COUNT(L95:N95)=3,100*AVERAGE(L95:N95),"")</x:f>
      </x:c>
      <x:c r="W95" s="47" t="str">
        <x:f>IF(COUNT(O95:R95)=4,100*AVERAGE(O95:R95),"")</x:f>
      </x:c>
      <x:c r="X95" s="47" t="str">
        <x:f>IF(COUNT(S95:U95)=3,100*AVERAGE(S95:U95),"")</x:f>
      </x:c>
      <x:c r="Y95" s="47" t="str">
        <x:f>IF(COUNT(V95:X95)=3,AVERAGE(V95:X95),"")</x:f>
      </x:c>
      <x:c r="Z95" s="47" t="str">
        <x:f>IF(OR(AND(EXACT(A95,"SYN-A"),COUNT('01_INPUT_COMPANIES'!$T$95:$AC$95)=10,'01_INPUT_COMPANIES'!$T$95=-0.02,'01_INPUT_COMPANIES'!$U$95=0.1332,'01_INPUT_COMPANIES'!$V$95=0.18,'01_INPUT_COMPANIES'!$W$95=0.42,'01_INPUT_COMPANIES'!$X$95=0.012,'01_INPUT_COMPANIES'!$Y$95=3.2,'01_INPUT_COMPANIES'!$Z$95=0.08,'01_INPUT_COMPANIES'!$AA$95=0.28,'01_INPUT_COMPANIES'!$AB$95=0.74,'01_INPUT_COMPANIES'!$AC$95=8.5),AND(EXACT(A95,"SYN-B"),COUNT('01_INPUT_COMPANIES'!$T$95:$AC$95)=10,'01_INPUT_COMPANIES'!$T$95=-0.055,'01_INPUT_COMPANIES'!$U$95=0.06405,'01_INPUT_COMPANIES'!$V$95=0.105,'01_INPUT_COMPANIES'!$W$95=0.73,'01_INPUT_COMPANIES'!$X$95=0.004,'01_INPUT_COMPANIES'!$Y$95=4.1,'01_INPUT_COMPANIES'!$Z$95=0.025,'01_INPUT_COMPANIES'!$AA$95=0.16,'01_INPUT_COMPANIES'!$AB$95=0.61,'01_INPUT_COMPANIES'!$AC$95=4),AND(EXACT(A95,"SYN-C"),COUNT('01_INPUT_COMPANIES'!$T$95:$AC$95)=10,'01_INPUT_COMPANIES'!$T$95=0.01,'01_INPUT_COMPANIES'!$U$95=0.0986,'01_INPUT_COMPANIES'!$V$95=0.145,'01_INPUT_COMPANIES'!$W$95=0.18,'01_INPUT_COMPANIES'!$X$95=0.018,'01_INPUT_COMPANIES'!$Y$95=2.65,'01_INPUT_COMPANIES'!$Z$95=0.11,'01_INPUT_COMPANIES'!$AA$95=0.34,'01_INPUT_COMPANIES'!$AB$95=0.68,'01_INPUT_COMPANIES'!$AC$95=6.8),AND(EXACT(A95,"SYN-D"),COUNT('01_INPUT_COMPANIES'!$T$95:$AC$95)=10,'01_INPUT_COMPANIES'!$T$95=-0.005,'01_INPUT_COMPANIES'!$U$95=0.1136,'01_INPUT_COMPANIES'!$V$95=0.16,'01_INPUT_COMPANIES'!$W$95=0.51,'01_INPUT_COMPANIES'!$X$95=0.009,'01_INPUT_COMPANIES'!$Y$95=3.55,'01_INPUT_COMPANIES'!$Z$95=0.065,'01_INPUT_COMPANIES'!$AA$95=0.24,'01_INPUT_COMPANIES'!$AB$95=0.71,'01_INPUT_COMPANIES'!$AC$95=7.4)),IFERROR(INDEX('94_EXPECTED_OUTPUTS'!$B$7:$B$10,MATCH(A95,'94_EXPECTED_OUTPUTS'!$A$7:$A$10,0)),""),"")</x:f>
      </x:c>
      <x:c r="AA95" s="47" t="str">
        <x:f>IF(OR(COUNT(Y95)=0,COUNT(Z95)=0),"",ABS(Y95-Z95))</x:f>
      </x:c>
      <x:c r="AB95" s="34" t="str">
        <x:f>IF(A95="","",IF(AD95&lt;&gt;"",AD95,IF('01_INPUT_COMPANIES'!$A$95="","",IF(OR(LEN(TRIM('01_INPUT_COMPANIES'!$A$95&amp;""))=0,LEN(TRIM('01_INPUT_COMPANIES'!$B$95&amp;""))=0,LEN(TRIM('01_INPUT_COMPANIES'!$C$95&amp;""))=0,LEN(TRIM('01_INPUT_COMPANIES'!$D$95&amp;""))=0,LEN(TRIM('01_INPUT_COMPANIES'!$E$95&amp;""))=0,LEN(TRIM('01_INPUT_COMPANIES'!$F$95&amp;""))=0,LEN(TRIM('01_INPUT_COMPANIES'!$G$95&amp;""))=0,LEN(TRIM('01_INPUT_COMPANIES'!$H$95&amp;""))=0,LEN(TRIM('01_INPUT_COMPANIES'!$I$95&amp;""))=0,LEN(TRIM('01_INPUT_COMPANIES'!$K$95&amp;""))=0,LEN(TRIM('01_INPUT_COMPANIES'!$L$95&amp;""))=0,LEN(TRIM('01_INPUT_COMPANIES'!$M$95&amp;""))=0,LEN(TRIM('01_INPUT_COMPANIES'!$N$95&amp;""))=0,LEN(TRIM('01_INPUT_COMPANIES'!$O$95&amp;""))=0,LEN(TRIM('01_INPUT_COMPANIES'!$Q$95&amp;""))=0,COUNTBLANK('01_INPUT_COMPANIES'!$A$95:$R$95)&gt;0),"INPUT REQUIRED",IF(OR('01_INPUT_COMPANIES'!$A$95&lt;&gt;TRIM('01_INPUT_COMPANIES'!$A$95),NOT(EXACT('01_INPUT_COMPANIES'!$A$95,UPPER('01_INPUT_COMPANIES'!$A$95))),LEN('01_INPUT_COMPANIES'!$A$95)&gt;64,ISNUMBER(FIND("*",'01_INPUT_COMPANIES'!$A$95)),ISNUMBER(FIND("?",'01_INPUT_COMPANIES'!$A$95)),ISNUMBER(FIND("~",'01_INPUT_COMPANIES'!$A$95))),"ERROR: ID FORMAT",IF(COUNTIF('01_INPUT_COMPANIES'!$A$7:$A$106,'01_INPUT_COMPANIES'!$A$95)&lt;&gt;1,"ERROR: DUPLICATE ID",IF(COUNT('01_INPUT_COMPANIES'!$T$95:$AC$95)&lt;&gt;10,"INPUT REQUIRED",IF(NOT(OR('01_INPUT_COMPANIES'!$C$95="domestic",'01_INPUT_COMPANIES'!$C$95="foreign",'01_INPUT_COMPANIES'!$C$95="other")),"ERROR: COMPANY GROUP",IF(OR(LEN('01_INPUT_COMPANIES'!$G$95)&lt;&gt;6,MID('01_INPUT_COMPANIES'!$G$95,5,1)&lt;&gt;"Q",IFERROR(VALUE(LEFT('01_INPUT_COMPANIES'!$G$95,4)),0)&lt;2000,IFERROR(VALUE(LEFT('01_INPUT_COMPANIES'!$G$95,4)),0)&gt;2100,IFERROR(VALUE(RIGHT('01_INPUT_COMPANIES'!$G$95,1)),0)&lt;1,IFERROR(VALUE(RIGHT('01_INPUT_COMPANIES'!$G$95,1)),0)&gt;4),"ERROR: REPORTING PERIOD",IF(OR(COUNTIFS('92_REF_VARIABLES'!$A$21:$A$21,'01_INPUT_COMPANIES'!$H$95,'92_REF_VARIABLES'!$B$21:$B$21,'01_INPUT_COMPANIES'!$D$95,'92_REF_VARIABLES'!$C$21:$C$21,'01_INPUT_COMPANIES'!$G$95)&lt;&gt;1,AND(IFERROR(INDEX('92_REF_VARIABLES'!$I$21:$I$21,MATCH('01_INPUT_COMPANIES'!$H$95,'92_REF_VARIABLES'!$A$21:$A$21,0)),"")="synthetic_only",'01_INPUT_COMPANIES'!$L$95&lt;&gt;"yes")),"ERROR: BENCHMARK",IF(COUNTIF('92_REF_VARIABLES'!$L$21:$L$50,'01_INPUT_COMPANIES'!$I$95)&lt;&gt;1,"ERROR: CURRENCY",IF(OR(NOT(ISNUMBER('01_INPUT_COMPANIES'!$J$95)),'01_INPUT_COMPANIES'!$J$95&lt;&gt;INT('01_INPUT_COMPANIES'!$J$95),'01_INPUT_COMPANIES'!$J$95&lt;2000,'01_INPUT_COMPANIES'!$J$95&gt;2100),"ERROR: PRICE YEAR",IF(NOT(OR('01_INPUT_COMPANIES'!$K$95="A",'01_INPUT_COMPANIES'!$K$95="B",'01_INPUT_COMPANIES'!$K$95="C",'01_INPUT_COMPANIES'!$K$95="SYNTHETIC")),"ERROR: QUALITY",IF(NOT(OR(AND('01_INPUT_COMPANIES'!$L$95="yes",'01_INPUT_COMPANIES'!$K$95="SYNTHETIC"),AND('01_INPUT_COMPANIES'!$L$95="no",'01_INPUT_COMPANIES'!$K$95&lt;&gt;"SYNTHETIC"))),"ERROR: SYNTHETIC FLAG",IF(NOT(OR('01_INPUT_COMPANIES'!$M$95="direct",'01_INPUT_COMPANIES'!$M$95="derived",'01_INPUT_COMPANIES'!$M$95="proxy",'01_INPUT_COMPANIES'!$M$95="mixed")),"ERROR: CONSTRUCTION MODE",IF(OR(NOT(ISNUMBER('01_INPUT_COMPANIES'!$P$95)),'01_INPUT_COMPANIES'!$P$95&lt;0,'01_INPUT_COMPANIES'!$P$95&lt;&gt;INT('01_INPUT_COMPANIES'!$P$95)),"ERROR: CARRY LAG",IF('01_INPUT_COMPANIES'!$Q$95&lt;&gt;"yes","ERROR: EXPOSURE ADJUSTMENT",IF(OR(NOT(ISNUMBER('01_INPUT_COMPANIES'!$R$95)),'01_INPUT_COMPANIES'!$R$95&lt;0,'01_INPUT_COMPANIES'!$R$95&gt;1),"ERROR: EXPOSURE FACTOR",IF(COUNT(Y95)=0,"ERROR: SCORE",IF(COUNT(Z95)=0,"READY",IF(AA95&lt;=0.0000000001,"PASS","CHECK"))&amp;IF('01_INPUT_COMPANIES'!$K$95="C"," | C QUALITY","")&amp;IF(OR('01_INPUT_COMPANIES'!$M$95="proxy",'01_INPUT_COMPANIES'!$M$95="mixed")," | PROXY/MIXED","")&amp;IF('01_INPUT_COMPANIES'!$P$95&gt;1," | CARRY&gt;1","")&amp;IF(OR(OR('01_INPUT_COMPANIES'!$T$95&lt;-1,'01_INPUT_COMPANIES'!$T$95&gt;1),OR('01_INPUT_COMPANIES'!$U$95&lt;0,'01_INPUT_COMPANIES'!$U$95&gt;1),OR('01_INPUT_COMPANIES'!$V$95&lt;0,'01_INPUT_COMPANIES'!$V$95&gt;1),OR('01_INPUT_COMPANIES'!$W$95&lt;-10,'01_INPUT_COMPANIES'!$W$95&gt;10),OR('01_INPUT_COMPANIES'!$X$95&lt;-1,'01_INPUT_COMPANIES'!$X$95&gt;1),OR('01_INPUT_COMPANIES'!$Y$95&lt;0,'01_INPUT_COMPANIES'!$Y$95&gt;20),OR('01_INPUT_COMPANIES'!$Z$95&lt;-2,'01_INPUT_COMPANIES'!$Z$95&gt;2),OR('01_INPUT_COMPANIES'!$AA$95&lt;0,'01_INPUT_COMPANIES'!$AA$95&gt;1),OR('01_INPUT_COMPANIES'!$AB$95&lt;0,'01_INPUT_COMPANIES'!$AB$95&gt;1),OR('01_INPUT_COMPANIES'!$AC$95&lt;0,'01_INPUT_COMPANIES'!$AC$95&gt;50))," | REVIEW RANGE","")&amp;IF(COUNTIF('90_CALC_FEATURES'!$J$887:$J$896,"WINSORIZED*")&gt;0," | WINSORIZED","")&amp;IF(ABS('01_INPUT_COMPANIES'!$U$95-'01_INPUT_COMPANIES'!$V$95*'01_INPUT_COMPANIES'!$AB$95)&gt;MAX(0.005,0.05*MAX(ABS('01_INPUT_COMPANIES'!$V$95*'01_INPUT_COMPANIES'!$AB$95),ABS('01_INPUT_COMPANIES'!$U$95),0.000000000001))," | DEPENDENCY",""))))))))))))))))))))</x:f>
      </x:c>
      <x:c r="AC95" s="34" t="str">
        <x:f>IF(A95="","",IF(OR(LEFT(AB95,4)="PASS",LEFT(AB95,5)="READY"),"RESEARCH BETA | 저지원 22.22% | 기업 백분위 N/A", "결과 사용 금지 | "&amp;AB95))</x:f>
      </x:c>
      <x:c r="AD95" s="34" t="str">
        <x:f>IF(A95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$95,TRIM('01_INPUT_COMPANIES'!$D$95)),EXACT('01_INPUT_COMPANIES'!$E$95,TRIM('01_INPUT_COMPANIES'!$E$95)),EXACT('01_INPUT_COMPANIES'!$F$95,TRIM('01_INPUT_COMPANIES'!$F$95)),EXACT('01_INPUT_COMPANIES'!$G$95,TRIM('01_INPUT_COMPANIES'!$G$95)),EXACT('01_INPUT_COMPANIES'!$H$95,TRIM('01_INPUT_COMPANIES'!$H$95)))),"ERROR: COHORT WHITESPACE",IF(NOT(IFERROR(AND(ISTEXT('01_INPUT_COMPANIES'!$O$95),LEN('01_INPUT_COMPANIES'!$O$95)=10,VALUE(LEFT('01_INPUT_COMPANIES'!$O$95,4))&gt;=2000,VALUE(LEFT('01_INPUT_COMPANIES'!$O$95,4))&lt;=2100,EXACT(TEXT(DATE(VALUE(LEFT('01_INPUT_COMPANIES'!$O$95,4)),VALUE(MID('01_INPUT_COMPANIES'!$O$95,6,2)),VALUE(RIGHT('01_INPUT_COMPANIES'!$O$95,2))),"yyyy-mm-dd"),'01_INPUT_COMPANIES'!$O$95)),FALSE)),"ERROR: SOURCE DATE",IF(NOT(AND(OR(EXACT('01_INPUT_COMPANIES'!$C$95,"domestic"),EXACT('01_INPUT_COMPANIES'!$C$95,"foreign"),EXACT('01_INPUT_COMPANIES'!$C$95,"other")),OR(EXACT('01_INPUT_COMPANIES'!$K$95,"A"),EXACT('01_INPUT_COMPANIES'!$K$95,"B"),EXACT('01_INPUT_COMPANIES'!$K$95,"C"),EXACT('01_INPUT_COMPANIES'!$K$95,"SYNTHETIC")),OR(EXACT('01_INPUT_COMPANIES'!$L$95,"yes"),EXACT('01_INPUT_COMPANIES'!$L$95,"no")),OR(EXACT('01_INPUT_COMPANIES'!$M$95,"direct"),EXACT('01_INPUT_COMPANIES'!$M$95,"derived"),EXACT('01_INPUT_COMPANIES'!$M$95,"proxy"),EXACT('01_INPUT_COMPANIES'!$M$95,"mixed")),OR(EXACT('01_INPUT_COMPANIES'!$Q$95,"yes")),EXACT('01_INPUT_COMPANIES'!$I$95,UPPER('01_INPUT_COMPANIES'!$I$95)))),"ERROR: EXACT ENUM",IF(NOT(IFERROR(OR(AND(EXACT('92_REF_VARIABLES'!$A$21,'01_INPUT_COMPANIES'!$H$95),EXACT('92_REF_VARIABLES'!$B$21,'01_INPUT_COMPANIES'!$D$95),EXACT('92_REF_VARIABLES'!$C$21,'01_INPUT_COMPANIES'!$G$95))),FALSE)),"ERROR: BENCHMARK",""))))))</x:f>
      </x:c>
    </x:row>
    <x:row r="96">
      <x:c r="A96" s="34" t="str">
        <x:f>IF(OR('01_INPUT_COMPANIES'!$A$96="",'01_INPUT_COMPANIES'!$A$96=""),"",'01_INPUT_COMPANIES'!$A$96)</x:f>
      </x:c>
      <x:c r="B96" s="34" t="str">
        <x:f>IF(OR('01_INPUT_COMPANIES'!$A$96="",'01_INPUT_COMPANIES'!$B$96=""),"",'01_INPUT_COMPANIES'!$B$96)</x:f>
      </x:c>
      <x:c r="C96" s="34" t="str">
        <x:f>IF(OR('01_INPUT_COMPANIES'!$A$96="",'01_INPUT_COMPANIES'!$C$96=""),"",'01_INPUT_COMPANIES'!$C$96)</x:f>
      </x:c>
      <x:c r="D96" s="34" t="str">
        <x:f>IF(OR('01_INPUT_COMPANIES'!$A$96="",'01_INPUT_COMPANIES'!$D$96=""),"",'01_INPUT_COMPANIES'!$D$96)</x:f>
      </x:c>
      <x:c r="E96" s="34" t="str">
        <x:f>IF(OR('01_INPUT_COMPANIES'!$A$96="",'01_INPUT_COMPANIES'!$E$96=""),"",'01_INPUT_COMPANIES'!$E$96)</x:f>
      </x:c>
      <x:c r="F96" s="34" t="str">
        <x:f>IF(OR('01_INPUT_COMPANIES'!$A$96="",'01_INPUT_COMPANIES'!$F$96=""),"",'01_INPUT_COMPANIES'!$F$96)</x:f>
      </x:c>
      <x:c r="G96" s="34" t="str">
        <x:f>IF(OR('01_INPUT_COMPANIES'!$A$96="",'01_INPUT_COMPANIES'!$G$96=""),"",'01_INPUT_COMPANIES'!$G$96)</x:f>
      </x:c>
      <x:c r="H96" s="34" t="str">
        <x:f>IF(OR('01_INPUT_COMPANIES'!$A$96="",'01_INPUT_COMPANIES'!$H$96=""),"",'01_INPUT_COMPANIES'!$H$96)</x:f>
      </x:c>
      <x:c r="I96" s="34" t="str">
        <x:f>IF(OR('01_INPUT_COMPANIES'!$A$96="",'01_INPUT_COMPANIES'!$K$96=""),"",'01_INPUT_COMPANIES'!$K$96)</x:f>
      </x:c>
      <x:c r="J96" s="34" t="str">
        <x:f>IF(OR('01_INPUT_COMPANIES'!$A$96="",'01_INPUT_COMPANIES'!$M$96=""),"",'01_INPUT_COMPANIES'!$M$96)</x:f>
      </x:c>
      <x:c r="K96" s="34" t="str">
        <x:f>IF(OR(A96="",COUNTBLANK(D96:H96)&gt;0),"",LEN(D96)&amp;":"&amp;D96&amp;LEN(E96)&amp;":"&amp;E96&amp;LEN(F96)&amp;":"&amp;F96&amp;LEN(G96)&amp;":"&amp;G96&amp;LEN(H96)&amp;":"&amp;H96)</x:f>
      </x:c>
      <x:c r="L96" s="47" t="str">
        <x:f>IF(A96="","",'90_CALC_FEATURES'!$I$897)</x:f>
      </x:c>
      <x:c r="M96" s="47" t="str">
        <x:f>IF(A96="","",'90_CALC_FEATURES'!$I$898)</x:f>
      </x:c>
      <x:c r="N96" s="47" t="str">
        <x:f>IF(A96="","",'90_CALC_FEATURES'!$I$899)</x:f>
      </x:c>
      <x:c r="O96" s="47" t="str">
        <x:f>IF(A96="","",'90_CALC_FEATURES'!$I$900)</x:f>
      </x:c>
      <x:c r="P96" s="47" t="str">
        <x:f>IF(A96="","",'90_CALC_FEATURES'!$I$901)</x:f>
      </x:c>
      <x:c r="Q96" s="47" t="str">
        <x:f>IF(A96="","",'90_CALC_FEATURES'!$I$902)</x:f>
      </x:c>
      <x:c r="R96" s="47" t="str">
        <x:f>IF(A96="","",'90_CALC_FEATURES'!$I$903)</x:f>
      </x:c>
      <x:c r="S96" s="47" t="str">
        <x:f>IF(A96="","",'90_CALC_FEATURES'!$I$904)</x:f>
      </x:c>
      <x:c r="T96" s="47" t="str">
        <x:f>IF(A96="","",'90_CALC_FEATURES'!$I$905)</x:f>
      </x:c>
      <x:c r="U96" s="47" t="str">
        <x:f>IF(A96="","",'90_CALC_FEATURES'!$I$906)</x:f>
      </x:c>
      <x:c r="V96" s="47" t="str">
        <x:f>IF(COUNT(L96:N96)=3,100*AVERAGE(L96:N96),"")</x:f>
      </x:c>
      <x:c r="W96" s="47" t="str">
        <x:f>IF(COUNT(O96:R96)=4,100*AVERAGE(O96:R96),"")</x:f>
      </x:c>
      <x:c r="X96" s="47" t="str">
        <x:f>IF(COUNT(S96:U96)=3,100*AVERAGE(S96:U96),"")</x:f>
      </x:c>
      <x:c r="Y96" s="47" t="str">
        <x:f>IF(COUNT(V96:X96)=3,AVERAGE(V96:X96),"")</x:f>
      </x:c>
      <x:c r="Z96" s="47" t="str">
        <x:f>IF(OR(AND(EXACT(A96,"SYN-A"),COUNT('01_INPUT_COMPANIES'!$T$96:$AC$96)=10,'01_INPUT_COMPANIES'!$T$96=-0.02,'01_INPUT_COMPANIES'!$U$96=0.1332,'01_INPUT_COMPANIES'!$V$96=0.18,'01_INPUT_COMPANIES'!$W$96=0.42,'01_INPUT_COMPANIES'!$X$96=0.012,'01_INPUT_COMPANIES'!$Y$96=3.2,'01_INPUT_COMPANIES'!$Z$96=0.08,'01_INPUT_COMPANIES'!$AA$96=0.28,'01_INPUT_COMPANIES'!$AB$96=0.74,'01_INPUT_COMPANIES'!$AC$96=8.5),AND(EXACT(A96,"SYN-B"),COUNT('01_INPUT_COMPANIES'!$T$96:$AC$96)=10,'01_INPUT_COMPANIES'!$T$96=-0.055,'01_INPUT_COMPANIES'!$U$96=0.06405,'01_INPUT_COMPANIES'!$V$96=0.105,'01_INPUT_COMPANIES'!$W$96=0.73,'01_INPUT_COMPANIES'!$X$96=0.004,'01_INPUT_COMPANIES'!$Y$96=4.1,'01_INPUT_COMPANIES'!$Z$96=0.025,'01_INPUT_COMPANIES'!$AA$96=0.16,'01_INPUT_COMPANIES'!$AB$96=0.61,'01_INPUT_COMPANIES'!$AC$96=4),AND(EXACT(A96,"SYN-C"),COUNT('01_INPUT_COMPANIES'!$T$96:$AC$96)=10,'01_INPUT_COMPANIES'!$T$96=0.01,'01_INPUT_COMPANIES'!$U$96=0.0986,'01_INPUT_COMPANIES'!$V$96=0.145,'01_INPUT_COMPANIES'!$W$96=0.18,'01_INPUT_COMPANIES'!$X$96=0.018,'01_INPUT_COMPANIES'!$Y$96=2.65,'01_INPUT_COMPANIES'!$Z$96=0.11,'01_INPUT_COMPANIES'!$AA$96=0.34,'01_INPUT_COMPANIES'!$AB$96=0.68,'01_INPUT_COMPANIES'!$AC$96=6.8),AND(EXACT(A96,"SYN-D"),COUNT('01_INPUT_COMPANIES'!$T$96:$AC$96)=10,'01_INPUT_COMPANIES'!$T$96=-0.005,'01_INPUT_COMPANIES'!$U$96=0.1136,'01_INPUT_COMPANIES'!$V$96=0.16,'01_INPUT_COMPANIES'!$W$96=0.51,'01_INPUT_COMPANIES'!$X$96=0.009,'01_INPUT_COMPANIES'!$Y$96=3.55,'01_INPUT_COMPANIES'!$Z$96=0.065,'01_INPUT_COMPANIES'!$AA$96=0.24,'01_INPUT_COMPANIES'!$AB$96=0.71,'01_INPUT_COMPANIES'!$AC$96=7.4)),IFERROR(INDEX('94_EXPECTED_OUTPUTS'!$B$7:$B$10,MATCH(A96,'94_EXPECTED_OUTPUTS'!$A$7:$A$10,0)),""),"")</x:f>
      </x:c>
      <x:c r="AA96" s="47" t="str">
        <x:f>IF(OR(COUNT(Y96)=0,COUNT(Z96)=0),"",ABS(Y96-Z96))</x:f>
      </x:c>
      <x:c r="AB96" s="34" t="str">
        <x:f>IF(A96="","",IF(AD96&lt;&gt;"",AD96,IF('01_INPUT_COMPANIES'!$A$96="","",IF(OR(LEN(TRIM('01_INPUT_COMPANIES'!$A$96&amp;""))=0,LEN(TRIM('01_INPUT_COMPANIES'!$B$96&amp;""))=0,LEN(TRIM('01_INPUT_COMPANIES'!$C$96&amp;""))=0,LEN(TRIM('01_INPUT_COMPANIES'!$D$96&amp;""))=0,LEN(TRIM('01_INPUT_COMPANIES'!$E$96&amp;""))=0,LEN(TRIM('01_INPUT_COMPANIES'!$F$96&amp;""))=0,LEN(TRIM('01_INPUT_COMPANIES'!$G$96&amp;""))=0,LEN(TRIM('01_INPUT_COMPANIES'!$H$96&amp;""))=0,LEN(TRIM('01_INPUT_COMPANIES'!$I$96&amp;""))=0,LEN(TRIM('01_INPUT_COMPANIES'!$K$96&amp;""))=0,LEN(TRIM('01_INPUT_COMPANIES'!$L$96&amp;""))=0,LEN(TRIM('01_INPUT_COMPANIES'!$M$96&amp;""))=0,LEN(TRIM('01_INPUT_COMPANIES'!$N$96&amp;""))=0,LEN(TRIM('01_INPUT_COMPANIES'!$O$96&amp;""))=0,LEN(TRIM('01_INPUT_COMPANIES'!$Q$96&amp;""))=0,COUNTBLANK('01_INPUT_COMPANIES'!$A$96:$R$96)&gt;0),"INPUT REQUIRED",IF(OR('01_INPUT_COMPANIES'!$A$96&lt;&gt;TRIM('01_INPUT_COMPANIES'!$A$96),NOT(EXACT('01_INPUT_COMPANIES'!$A$96,UPPER('01_INPUT_COMPANIES'!$A$96))),LEN('01_INPUT_COMPANIES'!$A$96)&gt;64,ISNUMBER(FIND("*",'01_INPUT_COMPANIES'!$A$96)),ISNUMBER(FIND("?",'01_INPUT_COMPANIES'!$A$96)),ISNUMBER(FIND("~",'01_INPUT_COMPANIES'!$A$96))),"ERROR: ID FORMAT",IF(COUNTIF('01_INPUT_COMPANIES'!$A$7:$A$106,'01_INPUT_COMPANIES'!$A$96)&lt;&gt;1,"ERROR: DUPLICATE ID",IF(COUNT('01_INPUT_COMPANIES'!$T$96:$AC$96)&lt;&gt;10,"INPUT REQUIRED",IF(NOT(OR('01_INPUT_COMPANIES'!$C$96="domestic",'01_INPUT_COMPANIES'!$C$96="foreign",'01_INPUT_COMPANIES'!$C$96="other")),"ERROR: COMPANY GROUP",IF(OR(LEN('01_INPUT_COMPANIES'!$G$96)&lt;&gt;6,MID('01_INPUT_COMPANIES'!$G$96,5,1)&lt;&gt;"Q",IFERROR(VALUE(LEFT('01_INPUT_COMPANIES'!$G$96,4)),0)&lt;2000,IFERROR(VALUE(LEFT('01_INPUT_COMPANIES'!$G$96,4)),0)&gt;2100,IFERROR(VALUE(RIGHT('01_INPUT_COMPANIES'!$G$96,1)),0)&lt;1,IFERROR(VALUE(RIGHT('01_INPUT_COMPANIES'!$G$96,1)),0)&gt;4),"ERROR: REPORTING PERIOD",IF(OR(COUNTIFS('92_REF_VARIABLES'!$A$21:$A$21,'01_INPUT_COMPANIES'!$H$96,'92_REF_VARIABLES'!$B$21:$B$21,'01_INPUT_COMPANIES'!$D$96,'92_REF_VARIABLES'!$C$21:$C$21,'01_INPUT_COMPANIES'!$G$96)&lt;&gt;1,AND(IFERROR(INDEX('92_REF_VARIABLES'!$I$21:$I$21,MATCH('01_INPUT_COMPANIES'!$H$96,'92_REF_VARIABLES'!$A$21:$A$21,0)),"")="synthetic_only",'01_INPUT_COMPANIES'!$L$96&lt;&gt;"yes")),"ERROR: BENCHMARK",IF(COUNTIF('92_REF_VARIABLES'!$L$21:$L$50,'01_INPUT_COMPANIES'!$I$96)&lt;&gt;1,"ERROR: CURRENCY",IF(OR(NOT(ISNUMBER('01_INPUT_COMPANIES'!$J$96)),'01_INPUT_COMPANIES'!$J$96&lt;&gt;INT('01_INPUT_COMPANIES'!$J$96),'01_INPUT_COMPANIES'!$J$96&lt;2000,'01_INPUT_COMPANIES'!$J$96&gt;2100),"ERROR: PRICE YEAR",IF(NOT(OR('01_INPUT_COMPANIES'!$K$96="A",'01_INPUT_COMPANIES'!$K$96="B",'01_INPUT_COMPANIES'!$K$96="C",'01_INPUT_COMPANIES'!$K$96="SYNTHETIC")),"ERROR: QUALITY",IF(NOT(OR(AND('01_INPUT_COMPANIES'!$L$96="yes",'01_INPUT_COMPANIES'!$K$96="SYNTHETIC"),AND('01_INPUT_COMPANIES'!$L$96="no",'01_INPUT_COMPANIES'!$K$96&lt;&gt;"SYNTHETIC"))),"ERROR: SYNTHETIC FLAG",IF(NOT(OR('01_INPUT_COMPANIES'!$M$96="direct",'01_INPUT_COMPANIES'!$M$96="derived",'01_INPUT_COMPANIES'!$M$96="proxy",'01_INPUT_COMPANIES'!$M$96="mixed")),"ERROR: CONSTRUCTION MODE",IF(OR(NOT(ISNUMBER('01_INPUT_COMPANIES'!$P$96)),'01_INPUT_COMPANIES'!$P$96&lt;0,'01_INPUT_COMPANIES'!$P$96&lt;&gt;INT('01_INPUT_COMPANIES'!$P$96)),"ERROR: CARRY LAG",IF('01_INPUT_COMPANIES'!$Q$96&lt;&gt;"yes","ERROR: EXPOSURE ADJUSTMENT",IF(OR(NOT(ISNUMBER('01_INPUT_COMPANIES'!$R$96)),'01_INPUT_COMPANIES'!$R$96&lt;0,'01_INPUT_COMPANIES'!$R$96&gt;1),"ERROR: EXPOSURE FACTOR",IF(COUNT(Y96)=0,"ERROR: SCORE",IF(COUNT(Z96)=0,"READY",IF(AA96&lt;=0.0000000001,"PASS","CHECK"))&amp;IF('01_INPUT_COMPANIES'!$K$96="C"," | C QUALITY","")&amp;IF(OR('01_INPUT_COMPANIES'!$M$96="proxy",'01_INPUT_COMPANIES'!$M$96="mixed")," | PROXY/MIXED","")&amp;IF('01_INPUT_COMPANIES'!$P$96&gt;1," | CARRY&gt;1","")&amp;IF(OR(OR('01_INPUT_COMPANIES'!$T$96&lt;-1,'01_INPUT_COMPANIES'!$T$96&gt;1),OR('01_INPUT_COMPANIES'!$U$96&lt;0,'01_INPUT_COMPANIES'!$U$96&gt;1),OR('01_INPUT_COMPANIES'!$V$96&lt;0,'01_INPUT_COMPANIES'!$V$96&gt;1),OR('01_INPUT_COMPANIES'!$W$96&lt;-10,'01_INPUT_COMPANIES'!$W$96&gt;10),OR('01_INPUT_COMPANIES'!$X$96&lt;-1,'01_INPUT_COMPANIES'!$X$96&gt;1),OR('01_INPUT_COMPANIES'!$Y$96&lt;0,'01_INPUT_COMPANIES'!$Y$96&gt;20),OR('01_INPUT_COMPANIES'!$Z$96&lt;-2,'01_INPUT_COMPANIES'!$Z$96&gt;2),OR('01_INPUT_COMPANIES'!$AA$96&lt;0,'01_INPUT_COMPANIES'!$AA$96&gt;1),OR('01_INPUT_COMPANIES'!$AB$96&lt;0,'01_INPUT_COMPANIES'!$AB$96&gt;1),OR('01_INPUT_COMPANIES'!$AC$96&lt;0,'01_INPUT_COMPANIES'!$AC$96&gt;50))," | REVIEW RANGE","")&amp;IF(COUNTIF('90_CALC_FEATURES'!$J$897:$J$906,"WINSORIZED*")&gt;0," | WINSORIZED","")&amp;IF(ABS('01_INPUT_COMPANIES'!$U$96-'01_INPUT_COMPANIES'!$V$96*'01_INPUT_COMPANIES'!$AB$96)&gt;MAX(0.005,0.05*MAX(ABS('01_INPUT_COMPANIES'!$V$96*'01_INPUT_COMPANIES'!$AB$96),ABS('01_INPUT_COMPANIES'!$U$96),0.000000000001))," | DEPENDENCY",""))))))))))))))))))))</x:f>
      </x:c>
      <x:c r="AC96" s="34" t="str">
        <x:f>IF(A96="","",IF(OR(LEFT(AB96,4)="PASS",LEFT(AB96,5)="READY"),"RESEARCH BETA | 저지원 22.22% | 기업 백분위 N/A", "결과 사용 금지 | "&amp;AB96))</x:f>
      </x:c>
      <x:c r="AD96" s="34" t="str">
        <x:f>IF(A96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$96,TRIM('01_INPUT_COMPANIES'!$D$96)),EXACT('01_INPUT_COMPANIES'!$E$96,TRIM('01_INPUT_COMPANIES'!$E$96)),EXACT('01_INPUT_COMPANIES'!$F$96,TRIM('01_INPUT_COMPANIES'!$F$96)),EXACT('01_INPUT_COMPANIES'!$G$96,TRIM('01_INPUT_COMPANIES'!$G$96)),EXACT('01_INPUT_COMPANIES'!$H$96,TRIM('01_INPUT_COMPANIES'!$H$96)))),"ERROR: COHORT WHITESPACE",IF(NOT(IFERROR(AND(ISTEXT('01_INPUT_COMPANIES'!$O$96),LEN('01_INPUT_COMPANIES'!$O$96)=10,VALUE(LEFT('01_INPUT_COMPANIES'!$O$96,4))&gt;=2000,VALUE(LEFT('01_INPUT_COMPANIES'!$O$96,4))&lt;=2100,EXACT(TEXT(DATE(VALUE(LEFT('01_INPUT_COMPANIES'!$O$96,4)),VALUE(MID('01_INPUT_COMPANIES'!$O$96,6,2)),VALUE(RIGHT('01_INPUT_COMPANIES'!$O$96,2))),"yyyy-mm-dd"),'01_INPUT_COMPANIES'!$O$96)),FALSE)),"ERROR: SOURCE DATE",IF(NOT(AND(OR(EXACT('01_INPUT_COMPANIES'!$C$96,"domestic"),EXACT('01_INPUT_COMPANIES'!$C$96,"foreign"),EXACT('01_INPUT_COMPANIES'!$C$96,"other")),OR(EXACT('01_INPUT_COMPANIES'!$K$96,"A"),EXACT('01_INPUT_COMPANIES'!$K$96,"B"),EXACT('01_INPUT_COMPANIES'!$K$96,"C"),EXACT('01_INPUT_COMPANIES'!$K$96,"SYNTHETIC")),OR(EXACT('01_INPUT_COMPANIES'!$L$96,"yes"),EXACT('01_INPUT_COMPANIES'!$L$96,"no")),OR(EXACT('01_INPUT_COMPANIES'!$M$96,"direct"),EXACT('01_INPUT_COMPANIES'!$M$96,"derived"),EXACT('01_INPUT_COMPANIES'!$M$96,"proxy"),EXACT('01_INPUT_COMPANIES'!$M$96,"mixed")),OR(EXACT('01_INPUT_COMPANIES'!$Q$96,"yes")),EXACT('01_INPUT_COMPANIES'!$I$96,UPPER('01_INPUT_COMPANIES'!$I$96)))),"ERROR: EXACT ENUM",IF(NOT(IFERROR(OR(AND(EXACT('92_REF_VARIABLES'!$A$21,'01_INPUT_COMPANIES'!$H$96),EXACT('92_REF_VARIABLES'!$B$21,'01_INPUT_COMPANIES'!$D$96),EXACT('92_REF_VARIABLES'!$C$21,'01_INPUT_COMPANIES'!$G$96))),FALSE)),"ERROR: BENCHMARK",""))))))</x:f>
      </x:c>
    </x:row>
    <x:row r="97">
      <x:c r="A97" s="34" t="str">
        <x:f>IF(OR('01_INPUT_COMPANIES'!$A$97="",'01_INPUT_COMPANIES'!$A$97=""),"",'01_INPUT_COMPANIES'!$A$97)</x:f>
      </x:c>
      <x:c r="B97" s="34" t="str">
        <x:f>IF(OR('01_INPUT_COMPANIES'!$A$97="",'01_INPUT_COMPANIES'!$B$97=""),"",'01_INPUT_COMPANIES'!$B$97)</x:f>
      </x:c>
      <x:c r="C97" s="34" t="str">
        <x:f>IF(OR('01_INPUT_COMPANIES'!$A$97="",'01_INPUT_COMPANIES'!$C$97=""),"",'01_INPUT_COMPANIES'!$C$97)</x:f>
      </x:c>
      <x:c r="D97" s="34" t="str">
        <x:f>IF(OR('01_INPUT_COMPANIES'!$A$97="",'01_INPUT_COMPANIES'!$D$97=""),"",'01_INPUT_COMPANIES'!$D$97)</x:f>
      </x:c>
      <x:c r="E97" s="34" t="str">
        <x:f>IF(OR('01_INPUT_COMPANIES'!$A$97="",'01_INPUT_COMPANIES'!$E$97=""),"",'01_INPUT_COMPANIES'!$E$97)</x:f>
      </x:c>
      <x:c r="F97" s="34" t="str">
        <x:f>IF(OR('01_INPUT_COMPANIES'!$A$97="",'01_INPUT_COMPANIES'!$F$97=""),"",'01_INPUT_COMPANIES'!$F$97)</x:f>
      </x:c>
      <x:c r="G97" s="34" t="str">
        <x:f>IF(OR('01_INPUT_COMPANIES'!$A$97="",'01_INPUT_COMPANIES'!$G$97=""),"",'01_INPUT_COMPANIES'!$G$97)</x:f>
      </x:c>
      <x:c r="H97" s="34" t="str">
        <x:f>IF(OR('01_INPUT_COMPANIES'!$A$97="",'01_INPUT_COMPANIES'!$H$97=""),"",'01_INPUT_COMPANIES'!$H$97)</x:f>
      </x:c>
      <x:c r="I97" s="34" t="str">
        <x:f>IF(OR('01_INPUT_COMPANIES'!$A$97="",'01_INPUT_COMPANIES'!$K$97=""),"",'01_INPUT_COMPANIES'!$K$97)</x:f>
      </x:c>
      <x:c r="J97" s="34" t="str">
        <x:f>IF(OR('01_INPUT_COMPANIES'!$A$97="",'01_INPUT_COMPANIES'!$M$97=""),"",'01_INPUT_COMPANIES'!$M$97)</x:f>
      </x:c>
      <x:c r="K97" s="34" t="str">
        <x:f>IF(OR(A97="",COUNTBLANK(D97:H97)&gt;0),"",LEN(D97)&amp;":"&amp;D97&amp;LEN(E97)&amp;":"&amp;E97&amp;LEN(F97)&amp;":"&amp;F97&amp;LEN(G97)&amp;":"&amp;G97&amp;LEN(H97)&amp;":"&amp;H97)</x:f>
      </x:c>
      <x:c r="L97" s="47" t="str">
        <x:f>IF(A97="","",'90_CALC_FEATURES'!$I$907)</x:f>
      </x:c>
      <x:c r="M97" s="47" t="str">
        <x:f>IF(A97="","",'90_CALC_FEATURES'!$I$908)</x:f>
      </x:c>
      <x:c r="N97" s="47" t="str">
        <x:f>IF(A97="","",'90_CALC_FEATURES'!$I$909)</x:f>
      </x:c>
      <x:c r="O97" s="47" t="str">
        <x:f>IF(A97="","",'90_CALC_FEATURES'!$I$910)</x:f>
      </x:c>
      <x:c r="P97" s="47" t="str">
        <x:f>IF(A97="","",'90_CALC_FEATURES'!$I$911)</x:f>
      </x:c>
      <x:c r="Q97" s="47" t="str">
        <x:f>IF(A97="","",'90_CALC_FEATURES'!$I$912)</x:f>
      </x:c>
      <x:c r="R97" s="47" t="str">
        <x:f>IF(A97="","",'90_CALC_FEATURES'!$I$913)</x:f>
      </x:c>
      <x:c r="S97" s="47" t="str">
        <x:f>IF(A97="","",'90_CALC_FEATURES'!$I$914)</x:f>
      </x:c>
      <x:c r="T97" s="47" t="str">
        <x:f>IF(A97="","",'90_CALC_FEATURES'!$I$915)</x:f>
      </x:c>
      <x:c r="U97" s="47" t="str">
        <x:f>IF(A97="","",'90_CALC_FEATURES'!$I$916)</x:f>
      </x:c>
      <x:c r="V97" s="47" t="str">
        <x:f>IF(COUNT(L97:N97)=3,100*AVERAGE(L97:N97),"")</x:f>
      </x:c>
      <x:c r="W97" s="47" t="str">
        <x:f>IF(COUNT(O97:R97)=4,100*AVERAGE(O97:R97),"")</x:f>
      </x:c>
      <x:c r="X97" s="47" t="str">
        <x:f>IF(COUNT(S97:U97)=3,100*AVERAGE(S97:U97),"")</x:f>
      </x:c>
      <x:c r="Y97" s="47" t="str">
        <x:f>IF(COUNT(V97:X97)=3,AVERAGE(V97:X97),"")</x:f>
      </x:c>
      <x:c r="Z97" s="47" t="str">
        <x:f>IF(OR(AND(EXACT(A97,"SYN-A"),COUNT('01_INPUT_COMPANIES'!$T$97:$AC$97)=10,'01_INPUT_COMPANIES'!$T$97=-0.02,'01_INPUT_COMPANIES'!$U$97=0.1332,'01_INPUT_COMPANIES'!$V$97=0.18,'01_INPUT_COMPANIES'!$W$97=0.42,'01_INPUT_COMPANIES'!$X$97=0.012,'01_INPUT_COMPANIES'!$Y$97=3.2,'01_INPUT_COMPANIES'!$Z$97=0.08,'01_INPUT_COMPANIES'!$AA$97=0.28,'01_INPUT_COMPANIES'!$AB$97=0.74,'01_INPUT_COMPANIES'!$AC$97=8.5),AND(EXACT(A97,"SYN-B"),COUNT('01_INPUT_COMPANIES'!$T$97:$AC$97)=10,'01_INPUT_COMPANIES'!$T$97=-0.055,'01_INPUT_COMPANIES'!$U$97=0.06405,'01_INPUT_COMPANIES'!$V$97=0.105,'01_INPUT_COMPANIES'!$W$97=0.73,'01_INPUT_COMPANIES'!$X$97=0.004,'01_INPUT_COMPANIES'!$Y$97=4.1,'01_INPUT_COMPANIES'!$Z$97=0.025,'01_INPUT_COMPANIES'!$AA$97=0.16,'01_INPUT_COMPANIES'!$AB$97=0.61,'01_INPUT_COMPANIES'!$AC$97=4),AND(EXACT(A97,"SYN-C"),COUNT('01_INPUT_COMPANIES'!$T$97:$AC$97)=10,'01_INPUT_COMPANIES'!$T$97=0.01,'01_INPUT_COMPANIES'!$U$97=0.0986,'01_INPUT_COMPANIES'!$V$97=0.145,'01_INPUT_COMPANIES'!$W$97=0.18,'01_INPUT_COMPANIES'!$X$97=0.018,'01_INPUT_COMPANIES'!$Y$97=2.65,'01_INPUT_COMPANIES'!$Z$97=0.11,'01_INPUT_COMPANIES'!$AA$97=0.34,'01_INPUT_COMPANIES'!$AB$97=0.68,'01_INPUT_COMPANIES'!$AC$97=6.8),AND(EXACT(A97,"SYN-D"),COUNT('01_INPUT_COMPANIES'!$T$97:$AC$97)=10,'01_INPUT_COMPANIES'!$T$97=-0.005,'01_INPUT_COMPANIES'!$U$97=0.1136,'01_INPUT_COMPANIES'!$V$97=0.16,'01_INPUT_COMPANIES'!$W$97=0.51,'01_INPUT_COMPANIES'!$X$97=0.009,'01_INPUT_COMPANIES'!$Y$97=3.55,'01_INPUT_COMPANIES'!$Z$97=0.065,'01_INPUT_COMPANIES'!$AA$97=0.24,'01_INPUT_COMPANIES'!$AB$97=0.71,'01_INPUT_COMPANIES'!$AC$97=7.4)),IFERROR(INDEX('94_EXPECTED_OUTPUTS'!$B$7:$B$10,MATCH(A97,'94_EXPECTED_OUTPUTS'!$A$7:$A$10,0)),""),"")</x:f>
      </x:c>
      <x:c r="AA97" s="47" t="str">
        <x:f>IF(OR(COUNT(Y97)=0,COUNT(Z97)=0),"",ABS(Y97-Z97))</x:f>
      </x:c>
      <x:c r="AB97" s="34" t="str">
        <x:f>IF(A97="","",IF(AD97&lt;&gt;"",AD97,IF('01_INPUT_COMPANIES'!$A$97="","",IF(OR(LEN(TRIM('01_INPUT_COMPANIES'!$A$97&amp;""))=0,LEN(TRIM('01_INPUT_COMPANIES'!$B$97&amp;""))=0,LEN(TRIM('01_INPUT_COMPANIES'!$C$97&amp;""))=0,LEN(TRIM('01_INPUT_COMPANIES'!$D$97&amp;""))=0,LEN(TRIM('01_INPUT_COMPANIES'!$E$97&amp;""))=0,LEN(TRIM('01_INPUT_COMPANIES'!$F$97&amp;""))=0,LEN(TRIM('01_INPUT_COMPANIES'!$G$97&amp;""))=0,LEN(TRIM('01_INPUT_COMPANIES'!$H$97&amp;""))=0,LEN(TRIM('01_INPUT_COMPANIES'!$I$97&amp;""))=0,LEN(TRIM('01_INPUT_COMPANIES'!$K$97&amp;""))=0,LEN(TRIM('01_INPUT_COMPANIES'!$L$97&amp;""))=0,LEN(TRIM('01_INPUT_COMPANIES'!$M$97&amp;""))=0,LEN(TRIM('01_INPUT_COMPANIES'!$N$97&amp;""))=0,LEN(TRIM('01_INPUT_COMPANIES'!$O$97&amp;""))=0,LEN(TRIM('01_INPUT_COMPANIES'!$Q$97&amp;""))=0,COUNTBLANK('01_INPUT_COMPANIES'!$A$97:$R$97)&gt;0),"INPUT REQUIRED",IF(OR('01_INPUT_COMPANIES'!$A$97&lt;&gt;TRIM('01_INPUT_COMPANIES'!$A$97),NOT(EXACT('01_INPUT_COMPANIES'!$A$97,UPPER('01_INPUT_COMPANIES'!$A$97))),LEN('01_INPUT_COMPANIES'!$A$97)&gt;64,ISNUMBER(FIND("*",'01_INPUT_COMPANIES'!$A$97)),ISNUMBER(FIND("?",'01_INPUT_COMPANIES'!$A$97)),ISNUMBER(FIND("~",'01_INPUT_COMPANIES'!$A$97))),"ERROR: ID FORMAT",IF(COUNTIF('01_INPUT_COMPANIES'!$A$7:$A$106,'01_INPUT_COMPANIES'!$A$97)&lt;&gt;1,"ERROR: DUPLICATE ID",IF(COUNT('01_INPUT_COMPANIES'!$T$97:$AC$97)&lt;&gt;10,"INPUT REQUIRED",IF(NOT(OR('01_INPUT_COMPANIES'!$C$97="domestic",'01_INPUT_COMPANIES'!$C$97="foreign",'01_INPUT_COMPANIES'!$C$97="other")),"ERROR: COMPANY GROUP",IF(OR(LEN('01_INPUT_COMPANIES'!$G$97)&lt;&gt;6,MID('01_INPUT_COMPANIES'!$G$97,5,1)&lt;&gt;"Q",IFERROR(VALUE(LEFT('01_INPUT_COMPANIES'!$G$97,4)),0)&lt;2000,IFERROR(VALUE(LEFT('01_INPUT_COMPANIES'!$G$97,4)),0)&gt;2100,IFERROR(VALUE(RIGHT('01_INPUT_COMPANIES'!$G$97,1)),0)&lt;1,IFERROR(VALUE(RIGHT('01_INPUT_COMPANIES'!$G$97,1)),0)&gt;4),"ERROR: REPORTING PERIOD",IF(OR(COUNTIFS('92_REF_VARIABLES'!$A$21:$A$21,'01_INPUT_COMPANIES'!$H$97,'92_REF_VARIABLES'!$B$21:$B$21,'01_INPUT_COMPANIES'!$D$97,'92_REF_VARIABLES'!$C$21:$C$21,'01_INPUT_COMPANIES'!$G$97)&lt;&gt;1,AND(IFERROR(INDEX('92_REF_VARIABLES'!$I$21:$I$21,MATCH('01_INPUT_COMPANIES'!$H$97,'92_REF_VARIABLES'!$A$21:$A$21,0)),"")="synthetic_only",'01_INPUT_COMPANIES'!$L$97&lt;&gt;"yes")),"ERROR: BENCHMARK",IF(COUNTIF('92_REF_VARIABLES'!$L$21:$L$50,'01_INPUT_COMPANIES'!$I$97)&lt;&gt;1,"ERROR: CURRENCY",IF(OR(NOT(ISNUMBER('01_INPUT_COMPANIES'!$J$97)),'01_INPUT_COMPANIES'!$J$97&lt;&gt;INT('01_INPUT_COMPANIES'!$J$97),'01_INPUT_COMPANIES'!$J$97&lt;2000,'01_INPUT_COMPANIES'!$J$97&gt;2100),"ERROR: PRICE YEAR",IF(NOT(OR('01_INPUT_COMPANIES'!$K$97="A",'01_INPUT_COMPANIES'!$K$97="B",'01_INPUT_COMPANIES'!$K$97="C",'01_INPUT_COMPANIES'!$K$97="SYNTHETIC")),"ERROR: QUALITY",IF(NOT(OR(AND('01_INPUT_COMPANIES'!$L$97="yes",'01_INPUT_COMPANIES'!$K$97="SYNTHETIC"),AND('01_INPUT_COMPANIES'!$L$97="no",'01_INPUT_COMPANIES'!$K$97&lt;&gt;"SYNTHETIC"))),"ERROR: SYNTHETIC FLAG",IF(NOT(OR('01_INPUT_COMPANIES'!$M$97="direct",'01_INPUT_COMPANIES'!$M$97="derived",'01_INPUT_COMPANIES'!$M$97="proxy",'01_INPUT_COMPANIES'!$M$97="mixed")),"ERROR: CONSTRUCTION MODE",IF(OR(NOT(ISNUMBER('01_INPUT_COMPANIES'!$P$97)),'01_INPUT_COMPANIES'!$P$97&lt;0,'01_INPUT_COMPANIES'!$P$97&lt;&gt;INT('01_INPUT_COMPANIES'!$P$97)),"ERROR: CARRY LAG",IF('01_INPUT_COMPANIES'!$Q$97&lt;&gt;"yes","ERROR: EXPOSURE ADJUSTMENT",IF(OR(NOT(ISNUMBER('01_INPUT_COMPANIES'!$R$97)),'01_INPUT_COMPANIES'!$R$97&lt;0,'01_INPUT_COMPANIES'!$R$97&gt;1),"ERROR: EXPOSURE FACTOR",IF(COUNT(Y97)=0,"ERROR: SCORE",IF(COUNT(Z97)=0,"READY",IF(AA97&lt;=0.0000000001,"PASS","CHECK"))&amp;IF('01_INPUT_COMPANIES'!$K$97="C"," | C QUALITY","")&amp;IF(OR('01_INPUT_COMPANIES'!$M$97="proxy",'01_INPUT_COMPANIES'!$M$97="mixed")," | PROXY/MIXED","")&amp;IF('01_INPUT_COMPANIES'!$P$97&gt;1," | CARRY&gt;1","")&amp;IF(OR(OR('01_INPUT_COMPANIES'!$T$97&lt;-1,'01_INPUT_COMPANIES'!$T$97&gt;1),OR('01_INPUT_COMPANIES'!$U$97&lt;0,'01_INPUT_COMPANIES'!$U$97&gt;1),OR('01_INPUT_COMPANIES'!$V$97&lt;0,'01_INPUT_COMPANIES'!$V$97&gt;1),OR('01_INPUT_COMPANIES'!$W$97&lt;-10,'01_INPUT_COMPANIES'!$W$97&gt;10),OR('01_INPUT_COMPANIES'!$X$97&lt;-1,'01_INPUT_COMPANIES'!$X$97&gt;1),OR('01_INPUT_COMPANIES'!$Y$97&lt;0,'01_INPUT_COMPANIES'!$Y$97&gt;20),OR('01_INPUT_COMPANIES'!$Z$97&lt;-2,'01_INPUT_COMPANIES'!$Z$97&gt;2),OR('01_INPUT_COMPANIES'!$AA$97&lt;0,'01_INPUT_COMPANIES'!$AA$97&gt;1),OR('01_INPUT_COMPANIES'!$AB$97&lt;0,'01_INPUT_COMPANIES'!$AB$97&gt;1),OR('01_INPUT_COMPANIES'!$AC$97&lt;0,'01_INPUT_COMPANIES'!$AC$97&gt;50))," | REVIEW RANGE","")&amp;IF(COUNTIF('90_CALC_FEATURES'!$J$907:$J$916,"WINSORIZED*")&gt;0," | WINSORIZED","")&amp;IF(ABS('01_INPUT_COMPANIES'!$U$97-'01_INPUT_COMPANIES'!$V$97*'01_INPUT_COMPANIES'!$AB$97)&gt;MAX(0.005,0.05*MAX(ABS('01_INPUT_COMPANIES'!$V$97*'01_INPUT_COMPANIES'!$AB$97),ABS('01_INPUT_COMPANIES'!$U$97),0.000000000001))," | DEPENDENCY",""))))))))))))))))))))</x:f>
      </x:c>
      <x:c r="AC97" s="34" t="str">
        <x:f>IF(A97="","",IF(OR(LEFT(AB97,4)="PASS",LEFT(AB97,5)="READY"),"RESEARCH BETA | 저지원 22.22% | 기업 백분위 N/A", "결과 사용 금지 | "&amp;AB97))</x:f>
      </x:c>
      <x:c r="AD97" s="34" t="str">
        <x:f>IF(A97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$97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$97,TRIM('01_INPUT_COMPANIES'!$D$97)),EXACT('01_INPUT_COMPANIES'!$E$97,TRIM('01_INPUT_COMPANIES'!$E$97)),EXACT('01_INPUT_COMPANIES'!$F$97,TRIM('01_INPUT_COMPANIES'!$F$97)),EXACT('01_INPUT_COMPANIES'!$G$97,TRIM('01_INPUT_COMPANIES'!$G$97)),EXACT('01_INPUT_COMPANIES'!$H$97,TRIM('01_INPUT_COMPANIES'!$H$97)))),"ERROR: COHORT WHITESPACE",IF(NOT(IFERROR(AND(ISTEXT('01_INPUT_COMPANIES'!$O$97),LEN('01_INPUT_COMPANIES'!$O$97)=10,VALUE(LEFT('01_INPUT_COMPANIES'!$O$97,4))&gt;=2000,VALUE(LEFT('01_INPUT_COMPANIES'!$O$97,4))&lt;=2100,EXACT(TEXT(DATE(VALUE(LEFT('01_INPUT_COMPANIES'!$O$97,4)),VALUE(MID('01_INPUT_COMPANIES'!$O$97,6,2)),VALUE(RIGHT('01_INPUT_COMPANIES'!$O$97,2))),"yyyy-mm-dd"),'01_INPUT_COMPANIES'!$O$97)),FALSE)),"ERROR: SOURCE DATE",IF(NOT(AND(OR(EXACT('01_INPUT_COMPANIES'!$C$97,"domestic"),EXACT('01_INPUT_COMPANIES'!$C$97,"foreign"),EXACT('01_INPUT_COMPANIES'!$C$97,"other")),OR(EXACT('01_INPUT_COMPANIES'!$K$97,"A"),EXACT('01_INPUT_COMPANIES'!$K$97,"B"),EXACT('01_INPUT_COMPANIES'!$K$97,"C"),EXACT('01_INPUT_COMPANIES'!$K$97,"SYNTHETIC")),OR(EXACT('01_INPUT_COMPANIES'!$L$97,"yes"),EXACT('01_INPUT_COMPANIES'!$L$97,"no")),OR(EXACT('01_INPUT_COMPANIES'!$M$97,"direct"),EXACT('01_INPUT_COMPANIES'!$M$97,"derived"),EXACT('01_INPUT_COMPANIES'!$M$97,"proxy"),EXACT('01_INPUT_COMPANIES'!$M$97,"mixed")),OR(EXACT('01_INPUT_COMPANIES'!$Q$97,"yes")),EXACT('01_INPUT_COMPANIES'!$I$97,UPPER('01_INPUT_COMPANIES'!$I$97)))),"ERROR: EXACT ENUM",IF(NOT(IFERROR(OR(AND(EXACT('92_REF_VARIABLES'!$A$21,'01_INPUT_COMPANIES'!$H$97),EXACT('92_REF_VARIABLES'!$B$21,'01_INPUT_COMPANIES'!$D$97),EXACT('92_REF_VARIABLES'!$C$21,'01_INPUT_COMPANIES'!$G$97))),FALSE)),"ERROR: BENCHMARK",""))))))</x:f>
      </x:c>
    </x:row>
    <x:row r="98">
      <x:c r="A98" s="34" t="str">
        <x:f>IF(OR('01_INPUT_COMPANIES'!$A$98="",'01_INPUT_COMPANIES'!$A$98=""),"",'01_INPUT_COMPANIES'!$A$98)</x:f>
      </x:c>
      <x:c r="B98" s="34" t="str">
        <x:f>IF(OR('01_INPUT_COMPANIES'!$A$98="",'01_INPUT_COMPANIES'!$B$98=""),"",'01_INPUT_COMPANIES'!$B$98)</x:f>
      </x:c>
      <x:c r="C98" s="34" t="str">
        <x:f>IF(OR('01_INPUT_COMPANIES'!$A$98="",'01_INPUT_COMPANIES'!$C$98=""),"",'01_INPUT_COMPANIES'!$C$98)</x:f>
      </x:c>
      <x:c r="D98" s="34" t="str">
        <x:f>IF(OR('01_INPUT_COMPANIES'!$A$98="",'01_INPUT_COMPANIES'!$D$98=""),"",'01_INPUT_COMPANIES'!$D$98)</x:f>
      </x:c>
      <x:c r="E98" s="34" t="str">
        <x:f>IF(OR('01_INPUT_COMPANIES'!$A$98="",'01_INPUT_COMPANIES'!$E$98=""),"",'01_INPUT_COMPANIES'!$E$98)</x:f>
      </x:c>
      <x:c r="F98" s="34" t="str">
        <x:f>IF(OR('01_INPUT_COMPANIES'!$A$98="",'01_INPUT_COMPANIES'!$F$98=""),"",'01_INPUT_COMPANIES'!$F$98)</x:f>
      </x:c>
      <x:c r="G98" s="34" t="str">
        <x:f>IF(OR('01_INPUT_COMPANIES'!$A$98="",'01_INPUT_COMPANIES'!$G$98=""),"",'01_INPUT_COMPANIES'!$G$98)</x:f>
      </x:c>
      <x:c r="H98" s="34" t="str">
        <x:f>IF(OR('01_INPUT_COMPANIES'!$A$98="",'01_INPUT_COMPANIES'!$H$98=""),"",'01_INPUT_COMPANIES'!$H$98)</x:f>
      </x:c>
      <x:c r="I98" s="34" t="str">
        <x:f>IF(OR('01_INPUT_COMPANIES'!$A$98="",'01_INPUT_COMPANIES'!$K$98=""),"",'01_INPUT_COMPANIES'!$K$98)</x:f>
      </x:c>
      <x:c r="J98" s="34" t="str">
        <x:f>IF(OR('01_INPUT_COMPANIES'!$A$98="",'01_INPUT_COMPANIES'!$M$98=""),"",'01_INPUT_COMPANIES'!$M$98)</x:f>
      </x:c>
      <x:c r="K98" s="34" t="str">
        <x:f>IF(OR(A98="",COUNTBLANK(D98:H98)&gt;0),"",LEN(D98)&amp;":"&amp;D98&amp;LEN(E98)&amp;":"&amp;E98&amp;LEN(F98)&amp;":"&amp;F98&amp;LEN(G98)&amp;":"&amp;G98&amp;LEN(H98)&amp;":"&amp;H98)</x:f>
      </x:c>
      <x:c r="L98" s="47" t="str">
        <x:f>IF(A98="","",'90_CALC_FEATURES'!$I$917)</x:f>
      </x:c>
      <x:c r="M98" s="47" t="str">
        <x:f>IF(A98="","",'90_CALC_FEATURES'!$I$918)</x:f>
      </x:c>
      <x:c r="N98" s="47" t="str">
        <x:f>IF(A98="","",'90_CALC_FEATURES'!$I$919)</x:f>
      </x:c>
      <x:c r="O98" s="47" t="str">
        <x:f>IF(A98="","",'90_CALC_FEATURES'!$I$920)</x:f>
      </x:c>
      <x:c r="P98" s="47" t="str">
        <x:f>IF(A98="","",'90_CALC_FEATURES'!$I$921)</x:f>
      </x:c>
      <x:c r="Q98" s="47" t="str">
        <x:f>IF(A98="","",'90_CALC_FEATURES'!$I$922)</x:f>
      </x:c>
      <x:c r="R98" s="47" t="str">
        <x:f>IF(A98="","",'90_CALC_FEATURES'!$I$923)</x:f>
      </x:c>
      <x:c r="S98" s="47" t="str">
        <x:f>IF(A98="","",'90_CALC_FEATURES'!$I$924)</x:f>
      </x:c>
      <x:c r="T98" s="47" t="str">
        <x:f>IF(A98="","",'90_CALC_FEATURES'!$I$925)</x:f>
      </x:c>
      <x:c r="U98" s="47" t="str">
        <x:f>IF(A98="","",'90_CALC_FEATURES'!$I$926)</x:f>
      </x:c>
      <x:c r="V98" s="47" t="str">
        <x:f>IF(COUNT(L98:N98)=3,100*AVERAGE(L98:N98),"")</x:f>
      </x:c>
      <x:c r="W98" s="47" t="str">
        <x:f>IF(COUNT(O98:R98)=4,100*AVERAGE(O98:R98),"")</x:f>
      </x:c>
      <x:c r="X98" s="47" t="str">
        <x:f>IF(COUNT(S98:U98)=3,100*AVERAGE(S98:U98),"")</x:f>
      </x:c>
      <x:c r="Y98" s="47" t="str">
        <x:f>IF(COUNT(V98:X98)=3,AVERAGE(V98:X98),"")</x:f>
      </x:c>
      <x:c r="Z98" s="47" t="str">
        <x:f>IF(OR(AND(EXACT(A98,"SYN-A"),COUNT('01_INPUT_COMPANIES'!$T$98:$AC$98)=10,'01_INPUT_COMPANIES'!$T$98=-0.02,'01_INPUT_COMPANIES'!$U$98=0.1332,'01_INPUT_COMPANIES'!$V$98=0.18,'01_INPUT_COMPANIES'!$W$98=0.42,'01_INPUT_COMPANIES'!$X$98=0.012,'01_INPUT_COMPANIES'!$Y$98=3.2,'01_INPUT_COMPANIES'!$Z$98=0.08,'01_INPUT_COMPANIES'!$AA$98=0.28,'01_INPUT_COMPANIES'!$AB$98=0.74,'01_INPUT_COMPANIES'!$AC$98=8.5),AND(EXACT(A98,"SYN-B"),COUNT('01_INPUT_COMPANIES'!$T$98:$AC$98)=10,'01_INPUT_COMPANIES'!$T$98=-0.055,'01_INPUT_COMPANIES'!$U$98=0.06405,'01_INPUT_COMPANIES'!$V$98=0.105,'01_INPUT_COMPANIES'!$W$98=0.73,'01_INPUT_COMPANIES'!$X$98=0.004,'01_INPUT_COMPANIES'!$Y$98=4.1,'01_INPUT_COMPANIES'!$Z$98=0.025,'01_INPUT_COMPANIES'!$AA$98=0.16,'01_INPUT_COMPANIES'!$AB$98=0.61,'01_INPUT_COMPANIES'!$AC$98=4),AND(EXACT(A98,"SYN-C"),COUNT('01_INPUT_COMPANIES'!$T$98:$AC$98)=10,'01_INPUT_COMPANIES'!$T$98=0.01,'01_INPUT_COMPANIES'!$U$98=0.0986,'01_INPUT_COMPANIES'!$V$98=0.145,'01_INPUT_COMPANIES'!$W$98=0.18,'01_INPUT_COMPANIES'!$X$98=0.018,'01_INPUT_COMPANIES'!$Y$98=2.65,'01_INPUT_COMPANIES'!$Z$98=0.11,'01_INPUT_COMPANIES'!$AA$98=0.34,'01_INPUT_COMPANIES'!$AB$98=0.68,'01_INPUT_COMPANIES'!$AC$98=6.8),AND(EXACT(A98,"SYN-D"),COUNT('01_INPUT_COMPANIES'!$T$98:$AC$98)=10,'01_INPUT_COMPANIES'!$T$98=-0.005,'01_INPUT_COMPANIES'!$U$98=0.1136,'01_INPUT_COMPANIES'!$V$98=0.16,'01_INPUT_COMPANIES'!$W$98=0.51,'01_INPUT_COMPANIES'!$X$98=0.009,'01_INPUT_COMPANIES'!$Y$98=3.55,'01_INPUT_COMPANIES'!$Z$98=0.065,'01_INPUT_COMPANIES'!$AA$98=0.24,'01_INPUT_COMPANIES'!$AB$98=0.71,'01_INPUT_COMPANIES'!$AC$98=7.4)),IFERROR(INDEX('94_EXPECTED_OUTPUTS'!$B$7:$B$10,MATCH(A98,'94_EXPECTED_OUTPUTS'!$A$7:$A$10,0)),""),"")</x:f>
      </x:c>
      <x:c r="AA98" s="47" t="str">
        <x:f>IF(OR(COUNT(Y98)=0,COUNT(Z98)=0),"",ABS(Y98-Z98))</x:f>
      </x:c>
      <x:c r="AB98" s="34" t="str">
        <x:f>IF(A98="","",IF(AD98&lt;&gt;"",AD98,IF('01_INPUT_COMPANIES'!$A$98="","",IF(OR(LEN(TRIM('01_INPUT_COMPANIES'!$A$98&amp;""))=0,LEN(TRIM('01_INPUT_COMPANIES'!$B$98&amp;""))=0,LEN(TRIM('01_INPUT_COMPANIES'!$C$98&amp;""))=0,LEN(TRIM('01_INPUT_COMPANIES'!$D$98&amp;""))=0,LEN(TRIM('01_INPUT_COMPANIES'!$E$98&amp;""))=0,LEN(TRIM('01_INPUT_COMPANIES'!$F$98&amp;""))=0,LEN(TRIM('01_INPUT_COMPANIES'!$G$98&amp;""))=0,LEN(TRIM('01_INPUT_COMPANIES'!$H$98&amp;""))=0,LEN(TRIM('01_INPUT_COMPANIES'!$I$98&amp;""))=0,LEN(TRIM('01_INPUT_COMPANIES'!$K$98&amp;""))=0,LEN(TRIM('01_INPUT_COMPANIES'!$L$98&amp;""))=0,LEN(TRIM('01_INPUT_COMPANIES'!$M$98&amp;""))=0,LEN(TRIM('01_INPUT_COMPANIES'!$N$98&amp;""))=0,LEN(TRIM('01_INPUT_COMPANIES'!$O$98&amp;""))=0,LEN(TRIM('01_INPUT_COMPANIES'!$Q$98&amp;""))=0,COUNTBLANK('01_INPUT_COMPANIES'!$A$98:$R$98)&gt;0),"INPUT REQUIRED",IF(OR('01_INPUT_COMPANIES'!$A$98&lt;&gt;TRIM('01_INPUT_COMPANIES'!$A$98),NOT(EXACT('01_INPUT_COMPANIES'!$A$98,UPPER('01_INPUT_COMPANIES'!$A$98))),LEN('01_INPUT_COMPANIES'!$A$98)&gt;64,ISNUMBER(FIND("*",'01_INPUT_COMPANIES'!$A$98)),ISNUMBER(FIND("?",'01_INPUT_COMPANIES'!$A$98)),ISNUMBER(FIND("~",'01_INPUT_COMPANIES'!$A$98))),"ERROR: ID FORMAT",IF(COUNTIF('01_INPUT_COMPANIES'!$A$7:$A$106,'01_INPUT_COMPANIES'!$A$98)&lt;&gt;1,"ERROR: DUPLICATE ID",IF(COUNT('01_INPUT_COMPANIES'!$T$98:$AC$98)&lt;&gt;10,"INPUT REQUIRED",IF(NOT(OR('01_INPUT_COMPANIES'!$C$98="domestic",'01_INPUT_COMPANIES'!$C$98="foreign",'01_INPUT_COMPANIES'!$C$98="other")),"ERROR: COMPANY GROUP",IF(OR(LEN('01_INPUT_COMPANIES'!$G$98)&lt;&gt;6,MID('01_INPUT_COMPANIES'!$G$98,5,1)&lt;&gt;"Q",IFERROR(VALUE(LEFT('01_INPUT_COMPANIES'!$G$98,4)),0)&lt;2000,IFERROR(VALUE(LEFT('01_INPUT_COMPANIES'!$G$98,4)),0)&gt;2100,IFERROR(VALUE(RIGHT('01_INPUT_COMPANIES'!$G$98,1)),0)&lt;1,IFERROR(VALUE(RIGHT('01_INPUT_COMPANIES'!$G$98,1)),0)&gt;4),"ERROR: REPORTING PERIOD",IF(OR(COUNTIFS('92_REF_VARIABLES'!$A$21:$A$21,'01_INPUT_COMPANIES'!$H$98,'92_REF_VARIABLES'!$B$21:$B$21,'01_INPUT_COMPANIES'!$D$98,'92_REF_VARIABLES'!$C$21:$C$21,'01_INPUT_COMPANIES'!$G$98)&lt;&gt;1,AND(IFERROR(INDEX('92_REF_VARIABLES'!$I$21:$I$21,MATCH('01_INPUT_COMPANIES'!$H$98,'92_REF_VARIABLES'!$A$21:$A$21,0)),"")="synthetic_only",'01_INPUT_COMPANIES'!$L$98&lt;&gt;"yes")),"ERROR: BENCHMARK",IF(COUNTIF('92_REF_VARIABLES'!$L$21:$L$50,'01_INPUT_COMPANIES'!$I$98)&lt;&gt;1,"ERROR: CURRENCY",IF(OR(NOT(ISNUMBER('01_INPUT_COMPANIES'!$J$98)),'01_INPUT_COMPANIES'!$J$98&lt;&gt;INT('01_INPUT_COMPANIES'!$J$98),'01_INPUT_COMPANIES'!$J$98&lt;2000,'01_INPUT_COMPANIES'!$J$98&gt;2100),"ERROR: PRICE YEAR",IF(NOT(OR('01_INPUT_COMPANIES'!$K$98="A",'01_INPUT_COMPANIES'!$K$98="B",'01_INPUT_COMPANIES'!$K$98="C",'01_INPUT_COMPANIES'!$K$98="SYNTHETIC")),"ERROR: QUALITY",IF(NOT(OR(AND('01_INPUT_COMPANIES'!$L$98="yes",'01_INPUT_COMPANIES'!$K$98="SYNTHETIC"),AND('01_INPUT_COMPANIES'!$L$98="no",'01_INPUT_COMPANIES'!$K$98&lt;&gt;"SYNTHETIC"))),"ERROR: SYNTHETIC FLAG",IF(NOT(OR('01_INPUT_COMPANIES'!$M$98="direct",'01_INPUT_COMPANIES'!$M$98="derived",'01_INPUT_COMPANIES'!$M$98="proxy",'01_INPUT_COMPANIES'!$M$98="mixed")),"ERROR: CONSTRUCTION MODE",IF(OR(NOT(ISNUMBER('01_INPUT_COMPANIES'!$P$98)),'01_INPUT_COMPANIES'!$P$98&lt;0,'01_INPUT_COMPANIES'!$P$98&lt;&gt;INT('01_INPUT_COMPANIES'!$P$98)),"ERROR: CARRY LAG",IF('01_INPUT_COMPANIES'!$Q$98&lt;&gt;"yes","ERROR: EXPOSURE ADJUSTMENT",IF(OR(NOT(ISNUMBER('01_INPUT_COMPANIES'!$R$98)),'01_INPUT_COMPANIES'!$R$98&lt;0,'01_INPUT_COMPANIES'!$R$98&gt;1),"ERROR: EXPOSURE FACTOR",IF(COUNT(Y98)=0,"ERROR: SCORE",IF(COUNT(Z98)=0,"READY",IF(AA98&lt;=0.0000000001,"PASS","CHECK"))&amp;IF('01_INPUT_COMPANIES'!$K$98="C"," | C QUALITY","")&amp;IF(OR('01_INPUT_COMPANIES'!$M$98="proxy",'01_INPUT_COMPANIES'!$M$98="mixed")," | PROXY/MIXED","")&amp;IF('01_INPUT_COMPANIES'!$P$98&gt;1," | CARRY&gt;1","")&amp;IF(OR(OR('01_INPUT_COMPANIES'!$T$98&lt;-1,'01_INPUT_COMPANIES'!$T$98&gt;1),OR('01_INPUT_COMPANIES'!$U$98&lt;0,'01_INPUT_COMPANIES'!$U$98&gt;1),OR('01_INPUT_COMPANIES'!$V$98&lt;0,'01_INPUT_COMPANIES'!$V$98&gt;1),OR('01_INPUT_COMPANIES'!$W$98&lt;-10,'01_INPUT_COMPANIES'!$W$98&gt;10),OR('01_INPUT_COMPANIES'!$X$98&lt;-1,'01_INPUT_COMPANIES'!$X$98&gt;1),OR('01_INPUT_COMPANIES'!$Y$98&lt;0,'01_INPUT_COMPANIES'!$Y$98&gt;20),OR('01_INPUT_COMPANIES'!$Z$98&lt;-2,'01_INPUT_COMPANIES'!$Z$98&gt;2),OR('01_INPUT_COMPANIES'!$AA$98&lt;0,'01_INPUT_COMPANIES'!$AA$98&gt;1),OR('01_INPUT_COMPANIES'!$AB$98&lt;0,'01_INPUT_COMPANIES'!$AB$98&gt;1),OR('01_INPUT_COMPANIES'!$AC$98&lt;0,'01_INPUT_COMPANIES'!$AC$98&gt;50))," | REVIEW RANGE","")&amp;IF(COUNTIF('90_CALC_FEATURES'!$J$917:$J$926,"WINSORIZED*")&gt;0," | WINSORIZED","")&amp;IF(ABS('01_INPUT_COMPANIES'!$U$98-'01_INPUT_COMPANIES'!$V$98*'01_INPUT_COMPANIES'!$AB$98)&gt;MAX(0.005,0.05*MAX(ABS('01_INPUT_COMPANIES'!$V$98*'01_INPUT_COMPANIES'!$AB$98),ABS('01_INPUT_COMPANIES'!$U$98),0.000000000001))," | DEPENDENCY",""))))))))))))))))))))</x:f>
      </x:c>
      <x:c r="AC98" s="34" t="str">
        <x:f>IF(A98="","",IF(OR(LEFT(AB98,4)="PASS",LEFT(AB98,5)="READY"),"RESEARCH BETA | 저지원 22.22% | 기업 백분위 N/A", "결과 사용 금지 | "&amp;AB98))</x:f>
      </x:c>
      <x:c r="AD98" s="34" t="str">
        <x:f>IF(A98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$98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$98,TRIM('01_INPUT_COMPANIES'!$D$98)),EXACT('01_INPUT_COMPANIES'!$E$98,TRIM('01_INPUT_COMPANIES'!$E$98)),EXACT('01_INPUT_COMPANIES'!$F$98,TRIM('01_INPUT_COMPANIES'!$F$98)),EXACT('01_INPUT_COMPANIES'!$G$98,TRIM('01_INPUT_COMPANIES'!$G$98)),EXACT('01_INPUT_COMPANIES'!$H$98,TRIM('01_INPUT_COMPANIES'!$H$98)))),"ERROR: COHORT WHITESPACE",IF(NOT(IFERROR(AND(ISTEXT('01_INPUT_COMPANIES'!$O$98),LEN('01_INPUT_COMPANIES'!$O$98)=10,VALUE(LEFT('01_INPUT_COMPANIES'!$O$98,4))&gt;=2000,VALUE(LEFT('01_INPUT_COMPANIES'!$O$98,4))&lt;=2100,EXACT(TEXT(DATE(VALUE(LEFT('01_INPUT_COMPANIES'!$O$98,4)),VALUE(MID('01_INPUT_COMPANIES'!$O$98,6,2)),VALUE(RIGHT('01_INPUT_COMPANIES'!$O$98,2))),"yyyy-mm-dd"),'01_INPUT_COMPANIES'!$O$98)),FALSE)),"ERROR: SOURCE DATE",IF(NOT(AND(OR(EXACT('01_INPUT_COMPANIES'!$C$98,"domestic"),EXACT('01_INPUT_COMPANIES'!$C$98,"foreign"),EXACT('01_INPUT_COMPANIES'!$C$98,"other")),OR(EXACT('01_INPUT_COMPANIES'!$K$98,"A"),EXACT('01_INPUT_COMPANIES'!$K$98,"B"),EXACT('01_INPUT_COMPANIES'!$K$98,"C"),EXACT('01_INPUT_COMPANIES'!$K$98,"SYNTHETIC")),OR(EXACT('01_INPUT_COMPANIES'!$L$98,"yes"),EXACT('01_INPUT_COMPANIES'!$L$98,"no")),OR(EXACT('01_INPUT_COMPANIES'!$M$98,"direct"),EXACT('01_INPUT_COMPANIES'!$M$98,"derived"),EXACT('01_INPUT_COMPANIES'!$M$98,"proxy"),EXACT('01_INPUT_COMPANIES'!$M$98,"mixed")),OR(EXACT('01_INPUT_COMPANIES'!$Q$98,"yes")),EXACT('01_INPUT_COMPANIES'!$I$98,UPPER('01_INPUT_COMPANIES'!$I$98)))),"ERROR: EXACT ENUM",IF(NOT(IFERROR(OR(AND(EXACT('92_REF_VARIABLES'!$A$21,'01_INPUT_COMPANIES'!$H$98),EXACT('92_REF_VARIABLES'!$B$21,'01_INPUT_COMPANIES'!$D$98),EXACT('92_REF_VARIABLES'!$C$21,'01_INPUT_COMPANIES'!$G$98))),FALSE)),"ERROR: BENCHMARK",""))))))</x:f>
      </x:c>
    </x:row>
    <x:row r="99">
      <x:c r="A99" s="34" t="str">
        <x:f>IF(OR('01_INPUT_COMPANIES'!$A$99="",'01_INPUT_COMPANIES'!$A$99=""),"",'01_INPUT_COMPANIES'!$A$99)</x:f>
      </x:c>
      <x:c r="B99" s="34" t="str">
        <x:f>IF(OR('01_INPUT_COMPANIES'!$A$99="",'01_INPUT_COMPANIES'!$B$99=""),"",'01_INPUT_COMPANIES'!$B$99)</x:f>
      </x:c>
      <x:c r="C99" s="34" t="str">
        <x:f>IF(OR('01_INPUT_COMPANIES'!$A$99="",'01_INPUT_COMPANIES'!$C$99=""),"",'01_INPUT_COMPANIES'!$C$99)</x:f>
      </x:c>
      <x:c r="D99" s="34" t="str">
        <x:f>IF(OR('01_INPUT_COMPANIES'!$A$99="",'01_INPUT_COMPANIES'!$D$99=""),"",'01_INPUT_COMPANIES'!$D$99)</x:f>
      </x:c>
      <x:c r="E99" s="34" t="str">
        <x:f>IF(OR('01_INPUT_COMPANIES'!$A$99="",'01_INPUT_COMPANIES'!$E$99=""),"",'01_INPUT_COMPANIES'!$E$99)</x:f>
      </x:c>
      <x:c r="F99" s="34" t="str">
        <x:f>IF(OR('01_INPUT_COMPANIES'!$A$99="",'01_INPUT_COMPANIES'!$F$99=""),"",'01_INPUT_COMPANIES'!$F$99)</x:f>
      </x:c>
      <x:c r="G99" s="34" t="str">
        <x:f>IF(OR('01_INPUT_COMPANIES'!$A$99="",'01_INPUT_COMPANIES'!$G$99=""),"",'01_INPUT_COMPANIES'!$G$99)</x:f>
      </x:c>
      <x:c r="H99" s="34" t="str">
        <x:f>IF(OR('01_INPUT_COMPANIES'!$A$99="",'01_INPUT_COMPANIES'!$H$99=""),"",'01_INPUT_COMPANIES'!$H$99)</x:f>
      </x:c>
      <x:c r="I99" s="34" t="str">
        <x:f>IF(OR('01_INPUT_COMPANIES'!$A$99="",'01_INPUT_COMPANIES'!$K$99=""),"",'01_INPUT_COMPANIES'!$K$99)</x:f>
      </x:c>
      <x:c r="J99" s="34" t="str">
        <x:f>IF(OR('01_INPUT_COMPANIES'!$A$99="",'01_INPUT_COMPANIES'!$M$99=""),"",'01_INPUT_COMPANIES'!$M$99)</x:f>
      </x:c>
      <x:c r="K99" s="34" t="str">
        <x:f>IF(OR(A99="",COUNTBLANK(D99:H99)&gt;0),"",LEN(D99)&amp;":"&amp;D99&amp;LEN(E99)&amp;":"&amp;E99&amp;LEN(F99)&amp;":"&amp;F99&amp;LEN(G99)&amp;":"&amp;G99&amp;LEN(H99)&amp;":"&amp;H99)</x:f>
      </x:c>
      <x:c r="L99" s="47" t="str">
        <x:f>IF(A99="","",'90_CALC_FEATURES'!$I$927)</x:f>
      </x:c>
      <x:c r="M99" s="47" t="str">
        <x:f>IF(A99="","",'90_CALC_FEATURES'!$I$928)</x:f>
      </x:c>
      <x:c r="N99" s="47" t="str">
        <x:f>IF(A99="","",'90_CALC_FEATURES'!$I$929)</x:f>
      </x:c>
      <x:c r="O99" s="47" t="str">
        <x:f>IF(A99="","",'90_CALC_FEATURES'!$I$930)</x:f>
      </x:c>
      <x:c r="P99" s="47" t="str">
        <x:f>IF(A99="","",'90_CALC_FEATURES'!$I$931)</x:f>
      </x:c>
      <x:c r="Q99" s="47" t="str">
        <x:f>IF(A99="","",'90_CALC_FEATURES'!$I$932)</x:f>
      </x:c>
      <x:c r="R99" s="47" t="str">
        <x:f>IF(A99="","",'90_CALC_FEATURES'!$I$933)</x:f>
      </x:c>
      <x:c r="S99" s="47" t="str">
        <x:f>IF(A99="","",'90_CALC_FEATURES'!$I$934)</x:f>
      </x:c>
      <x:c r="T99" s="47" t="str">
        <x:f>IF(A99="","",'90_CALC_FEATURES'!$I$935)</x:f>
      </x:c>
      <x:c r="U99" s="47" t="str">
        <x:f>IF(A99="","",'90_CALC_FEATURES'!$I$936)</x:f>
      </x:c>
      <x:c r="V99" s="47" t="str">
        <x:f>IF(COUNT(L99:N99)=3,100*AVERAGE(L99:N99),"")</x:f>
      </x:c>
      <x:c r="W99" s="47" t="str">
        <x:f>IF(COUNT(O99:R99)=4,100*AVERAGE(O99:R99),"")</x:f>
      </x:c>
      <x:c r="X99" s="47" t="str">
        <x:f>IF(COUNT(S99:U99)=3,100*AVERAGE(S99:U99),"")</x:f>
      </x:c>
      <x:c r="Y99" s="47" t="str">
        <x:f>IF(COUNT(V99:X99)=3,AVERAGE(V99:X99),"")</x:f>
      </x:c>
      <x:c r="Z99" s="47" t="str">
        <x:f>IF(OR(AND(EXACT(A99,"SYN-A"),COUNT('01_INPUT_COMPANIES'!$T$99:$AC$99)=10,'01_INPUT_COMPANIES'!$T$99=-0.02,'01_INPUT_COMPANIES'!$U$99=0.1332,'01_INPUT_COMPANIES'!$V$99=0.18,'01_INPUT_COMPANIES'!$W$99=0.42,'01_INPUT_COMPANIES'!$X$99=0.012,'01_INPUT_COMPANIES'!$Y$99=3.2,'01_INPUT_COMPANIES'!$Z$99=0.08,'01_INPUT_COMPANIES'!$AA$99=0.28,'01_INPUT_COMPANIES'!$AB$99=0.74,'01_INPUT_COMPANIES'!$AC$99=8.5),AND(EXACT(A99,"SYN-B"),COUNT('01_INPUT_COMPANIES'!$T$99:$AC$99)=10,'01_INPUT_COMPANIES'!$T$99=-0.055,'01_INPUT_COMPANIES'!$U$99=0.06405,'01_INPUT_COMPANIES'!$V$99=0.105,'01_INPUT_COMPANIES'!$W$99=0.73,'01_INPUT_COMPANIES'!$X$99=0.004,'01_INPUT_COMPANIES'!$Y$99=4.1,'01_INPUT_COMPANIES'!$Z$99=0.025,'01_INPUT_COMPANIES'!$AA$99=0.16,'01_INPUT_COMPANIES'!$AB$99=0.61,'01_INPUT_COMPANIES'!$AC$99=4),AND(EXACT(A99,"SYN-C"),COUNT('01_INPUT_COMPANIES'!$T$99:$AC$99)=10,'01_INPUT_COMPANIES'!$T$99=0.01,'01_INPUT_COMPANIES'!$U$99=0.0986,'01_INPUT_COMPANIES'!$V$99=0.145,'01_INPUT_COMPANIES'!$W$99=0.18,'01_INPUT_COMPANIES'!$X$99=0.018,'01_INPUT_COMPANIES'!$Y$99=2.65,'01_INPUT_COMPANIES'!$Z$99=0.11,'01_INPUT_COMPANIES'!$AA$99=0.34,'01_INPUT_COMPANIES'!$AB$99=0.68,'01_INPUT_COMPANIES'!$AC$99=6.8),AND(EXACT(A99,"SYN-D"),COUNT('01_INPUT_COMPANIES'!$T$99:$AC$99)=10,'01_INPUT_COMPANIES'!$T$99=-0.005,'01_INPUT_COMPANIES'!$U$99=0.1136,'01_INPUT_COMPANIES'!$V$99=0.16,'01_INPUT_COMPANIES'!$W$99=0.51,'01_INPUT_COMPANIES'!$X$99=0.009,'01_INPUT_COMPANIES'!$Y$99=3.55,'01_INPUT_COMPANIES'!$Z$99=0.065,'01_INPUT_COMPANIES'!$AA$99=0.24,'01_INPUT_COMPANIES'!$AB$99=0.71,'01_INPUT_COMPANIES'!$AC$99=7.4)),IFERROR(INDEX('94_EXPECTED_OUTPUTS'!$B$7:$B$10,MATCH(A99,'94_EXPECTED_OUTPUTS'!$A$7:$A$10,0)),""),"")</x:f>
      </x:c>
      <x:c r="AA99" s="47" t="str">
        <x:f>IF(OR(COUNT(Y99)=0,COUNT(Z99)=0),"",ABS(Y99-Z99))</x:f>
      </x:c>
      <x:c r="AB99" s="34" t="str">
        <x:f>IF(A99="","",IF(AD99&lt;&gt;"",AD99,IF('01_INPUT_COMPANIES'!$A$99="","",IF(OR(LEN(TRIM('01_INPUT_COMPANIES'!$A$99&amp;""))=0,LEN(TRIM('01_INPUT_COMPANIES'!$B$99&amp;""))=0,LEN(TRIM('01_INPUT_COMPANIES'!$C$99&amp;""))=0,LEN(TRIM('01_INPUT_COMPANIES'!$D$99&amp;""))=0,LEN(TRIM('01_INPUT_COMPANIES'!$E$99&amp;""))=0,LEN(TRIM('01_INPUT_COMPANIES'!$F$99&amp;""))=0,LEN(TRIM('01_INPUT_COMPANIES'!$G$99&amp;""))=0,LEN(TRIM('01_INPUT_COMPANIES'!$H$99&amp;""))=0,LEN(TRIM('01_INPUT_COMPANIES'!$I$99&amp;""))=0,LEN(TRIM('01_INPUT_COMPANIES'!$K$99&amp;""))=0,LEN(TRIM('01_INPUT_COMPANIES'!$L$99&amp;""))=0,LEN(TRIM('01_INPUT_COMPANIES'!$M$99&amp;""))=0,LEN(TRIM('01_INPUT_COMPANIES'!$N$99&amp;""))=0,LEN(TRIM('01_INPUT_COMPANIES'!$O$99&amp;""))=0,LEN(TRIM('01_INPUT_COMPANIES'!$Q$99&amp;""))=0,COUNTBLANK('01_INPUT_COMPANIES'!$A$99:$R$99)&gt;0),"INPUT REQUIRED",IF(OR('01_INPUT_COMPANIES'!$A$99&lt;&gt;TRIM('01_INPUT_COMPANIES'!$A$99),NOT(EXACT('01_INPUT_COMPANIES'!$A$99,UPPER('01_INPUT_COMPANIES'!$A$99))),LEN('01_INPUT_COMPANIES'!$A$99)&gt;64,ISNUMBER(FIND("*",'01_INPUT_COMPANIES'!$A$99)),ISNUMBER(FIND("?",'01_INPUT_COMPANIES'!$A$99)),ISNUMBER(FIND("~",'01_INPUT_COMPANIES'!$A$99))),"ERROR: ID FORMAT",IF(COUNTIF('01_INPUT_COMPANIES'!$A$7:$A$106,'01_INPUT_COMPANIES'!$A$99)&lt;&gt;1,"ERROR: DUPLICATE ID",IF(COUNT('01_INPUT_COMPANIES'!$T$99:$AC$99)&lt;&gt;10,"INPUT REQUIRED",IF(NOT(OR('01_INPUT_COMPANIES'!$C$99="domestic",'01_INPUT_COMPANIES'!$C$99="foreign",'01_INPUT_COMPANIES'!$C$99="other")),"ERROR: COMPANY GROUP",IF(OR(LEN('01_INPUT_COMPANIES'!$G$99)&lt;&gt;6,MID('01_INPUT_COMPANIES'!$G$99,5,1)&lt;&gt;"Q",IFERROR(VALUE(LEFT('01_INPUT_COMPANIES'!$G$99,4)),0)&lt;2000,IFERROR(VALUE(LEFT('01_INPUT_COMPANIES'!$G$99,4)),0)&gt;2100,IFERROR(VALUE(RIGHT('01_INPUT_COMPANIES'!$G$99,1)),0)&lt;1,IFERROR(VALUE(RIGHT('01_INPUT_COMPANIES'!$G$99,1)),0)&gt;4),"ERROR: REPORTING PERIOD",IF(OR(COUNTIFS('92_REF_VARIABLES'!$A$21:$A$21,'01_INPUT_COMPANIES'!$H$99,'92_REF_VARIABLES'!$B$21:$B$21,'01_INPUT_COMPANIES'!$D$99,'92_REF_VARIABLES'!$C$21:$C$21,'01_INPUT_COMPANIES'!$G$99)&lt;&gt;1,AND(IFERROR(INDEX('92_REF_VARIABLES'!$I$21:$I$21,MATCH('01_INPUT_COMPANIES'!$H$99,'92_REF_VARIABLES'!$A$21:$A$21,0)),"")="synthetic_only",'01_INPUT_COMPANIES'!$L$99&lt;&gt;"yes")),"ERROR: BENCHMARK",IF(COUNTIF('92_REF_VARIABLES'!$L$21:$L$50,'01_INPUT_COMPANIES'!$I$99)&lt;&gt;1,"ERROR: CURRENCY",IF(OR(NOT(ISNUMBER('01_INPUT_COMPANIES'!$J$99)),'01_INPUT_COMPANIES'!$J$99&lt;&gt;INT('01_INPUT_COMPANIES'!$J$99),'01_INPUT_COMPANIES'!$J$99&lt;2000,'01_INPUT_COMPANIES'!$J$99&gt;2100),"ERROR: PRICE YEAR",IF(NOT(OR('01_INPUT_COMPANIES'!$K$99="A",'01_INPUT_COMPANIES'!$K$99="B",'01_INPUT_COMPANIES'!$K$99="C",'01_INPUT_COMPANIES'!$K$99="SYNTHETIC")),"ERROR: QUALITY",IF(NOT(OR(AND('01_INPUT_COMPANIES'!$L$99="yes",'01_INPUT_COMPANIES'!$K$99="SYNTHETIC"),AND('01_INPUT_COMPANIES'!$L$99="no",'01_INPUT_COMPANIES'!$K$99&lt;&gt;"SYNTHETIC"))),"ERROR: SYNTHETIC FLAG",IF(NOT(OR('01_INPUT_COMPANIES'!$M$99="direct",'01_INPUT_COMPANIES'!$M$99="derived",'01_INPUT_COMPANIES'!$M$99="proxy",'01_INPUT_COMPANIES'!$M$99="mixed")),"ERROR: CONSTRUCTION MODE",IF(OR(NOT(ISNUMBER('01_INPUT_COMPANIES'!$P$99)),'01_INPUT_COMPANIES'!$P$99&lt;0,'01_INPUT_COMPANIES'!$P$99&lt;&gt;INT('01_INPUT_COMPANIES'!$P$99)),"ERROR: CARRY LAG",IF('01_INPUT_COMPANIES'!$Q$99&lt;&gt;"yes","ERROR: EXPOSURE ADJUSTMENT",IF(OR(NOT(ISNUMBER('01_INPUT_COMPANIES'!$R$99)),'01_INPUT_COMPANIES'!$R$99&lt;0,'01_INPUT_COMPANIES'!$R$99&gt;1),"ERROR: EXPOSURE FACTOR",IF(COUNT(Y99)=0,"ERROR: SCORE",IF(COUNT(Z99)=0,"READY",IF(AA99&lt;=0.0000000001,"PASS","CHECK"))&amp;IF('01_INPUT_COMPANIES'!$K$99="C"," | C QUALITY","")&amp;IF(OR('01_INPUT_COMPANIES'!$M$99="proxy",'01_INPUT_COMPANIES'!$M$99="mixed")," | PROXY/MIXED","")&amp;IF('01_INPUT_COMPANIES'!$P$99&gt;1," | CARRY&gt;1","")&amp;IF(OR(OR('01_INPUT_COMPANIES'!$T$99&lt;-1,'01_INPUT_COMPANIES'!$T$99&gt;1),OR('01_INPUT_COMPANIES'!$U$99&lt;0,'01_INPUT_COMPANIES'!$U$99&gt;1),OR('01_INPUT_COMPANIES'!$V$99&lt;0,'01_INPUT_COMPANIES'!$V$99&gt;1),OR('01_INPUT_COMPANIES'!$W$99&lt;-10,'01_INPUT_COMPANIES'!$W$99&gt;10),OR('01_INPUT_COMPANIES'!$X$99&lt;-1,'01_INPUT_COMPANIES'!$X$99&gt;1),OR('01_INPUT_COMPANIES'!$Y$99&lt;0,'01_INPUT_COMPANIES'!$Y$99&gt;20),OR('01_INPUT_COMPANIES'!$Z$99&lt;-2,'01_INPUT_COMPANIES'!$Z$99&gt;2),OR('01_INPUT_COMPANIES'!$AA$99&lt;0,'01_INPUT_COMPANIES'!$AA$99&gt;1),OR('01_INPUT_COMPANIES'!$AB$99&lt;0,'01_INPUT_COMPANIES'!$AB$99&gt;1),OR('01_INPUT_COMPANIES'!$AC$99&lt;0,'01_INPUT_COMPANIES'!$AC$99&gt;50))," | REVIEW RANGE","")&amp;IF(COUNTIF('90_CALC_FEATURES'!$J$927:$J$936,"WINSORIZED*")&gt;0," | WINSORIZED","")&amp;IF(ABS('01_INPUT_COMPANIES'!$U$99-'01_INPUT_COMPANIES'!$V$99*'01_INPUT_COMPANIES'!$AB$99)&gt;MAX(0.005,0.05*MAX(ABS('01_INPUT_COMPANIES'!$V$99*'01_INPUT_COMPANIES'!$AB$99),ABS('01_INPUT_COMPANIES'!$U$99),0.000000000001))," | DEPENDENCY",""))))))))))))))))))))</x:f>
      </x:c>
      <x:c r="AC99" s="34" t="str">
        <x:f>IF(A99="","",IF(OR(LEFT(AB99,4)="PASS",LEFT(AB99,5)="READY"),"RESEARCH BETA | 저지원 22.22% | 기업 백분위 N/A", "결과 사용 금지 | "&amp;AB99))</x:f>
      </x:c>
      <x:c r="AD99" s="34" t="str">
        <x:f>IF(A99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$99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$99,TRIM('01_INPUT_COMPANIES'!$D$99)),EXACT('01_INPUT_COMPANIES'!$E$99,TRIM('01_INPUT_COMPANIES'!$E$99)),EXACT('01_INPUT_COMPANIES'!$F$99,TRIM('01_INPUT_COMPANIES'!$F$99)),EXACT('01_INPUT_COMPANIES'!$G$99,TRIM('01_INPUT_COMPANIES'!$G$99)),EXACT('01_INPUT_COMPANIES'!$H$99,TRIM('01_INPUT_COMPANIES'!$H$99)))),"ERROR: COHORT WHITESPACE",IF(NOT(IFERROR(AND(ISTEXT('01_INPUT_COMPANIES'!$O$99),LEN('01_INPUT_COMPANIES'!$O$99)=10,VALUE(LEFT('01_INPUT_COMPANIES'!$O$99,4))&gt;=2000,VALUE(LEFT('01_INPUT_COMPANIES'!$O$99,4))&lt;=2100,EXACT(TEXT(DATE(VALUE(LEFT('01_INPUT_COMPANIES'!$O$99,4)),VALUE(MID('01_INPUT_COMPANIES'!$O$99,6,2)),VALUE(RIGHT('01_INPUT_COMPANIES'!$O$99,2))),"yyyy-mm-dd"),'01_INPUT_COMPANIES'!$O$99)),FALSE)),"ERROR: SOURCE DATE",IF(NOT(AND(OR(EXACT('01_INPUT_COMPANIES'!$C$99,"domestic"),EXACT('01_INPUT_COMPANIES'!$C$99,"foreign"),EXACT('01_INPUT_COMPANIES'!$C$99,"other")),OR(EXACT('01_INPUT_COMPANIES'!$K$99,"A"),EXACT('01_INPUT_COMPANIES'!$K$99,"B"),EXACT('01_INPUT_COMPANIES'!$K$99,"C"),EXACT('01_INPUT_COMPANIES'!$K$99,"SYNTHETIC")),OR(EXACT('01_INPUT_COMPANIES'!$L$99,"yes"),EXACT('01_INPUT_COMPANIES'!$L$99,"no")),OR(EXACT('01_INPUT_COMPANIES'!$M$99,"direct"),EXACT('01_INPUT_COMPANIES'!$M$99,"derived"),EXACT('01_INPUT_COMPANIES'!$M$99,"proxy"),EXACT('01_INPUT_COMPANIES'!$M$99,"mixed")),OR(EXACT('01_INPUT_COMPANIES'!$Q$99,"yes")),EXACT('01_INPUT_COMPANIES'!$I$99,UPPER('01_INPUT_COMPANIES'!$I$99)))),"ERROR: EXACT ENUM",IF(NOT(IFERROR(OR(AND(EXACT('92_REF_VARIABLES'!$A$21,'01_INPUT_COMPANIES'!$H$99),EXACT('92_REF_VARIABLES'!$B$21,'01_INPUT_COMPANIES'!$D$99),EXACT('92_REF_VARIABLES'!$C$21,'01_INPUT_COMPANIES'!$G$99))),FALSE)),"ERROR: BENCHMARK",""))))))</x:f>
      </x:c>
    </x:row>
    <x:row r="100">
      <x:c r="A100" s="34" t="str">
        <x:f>IF(OR('01_INPUT_COMPANIES'!$A$100="",'01_INPUT_COMPANIES'!$A$100=""),"",'01_INPUT_COMPANIES'!$A$100)</x:f>
      </x:c>
      <x:c r="B100" s="34" t="str">
        <x:f>IF(OR('01_INPUT_COMPANIES'!$A$100="",'01_INPUT_COMPANIES'!$B$100=""),"",'01_INPUT_COMPANIES'!$B$100)</x:f>
      </x:c>
      <x:c r="C100" s="34" t="str">
        <x:f>IF(OR('01_INPUT_COMPANIES'!$A$100="",'01_INPUT_COMPANIES'!$C$100=""),"",'01_INPUT_COMPANIES'!$C$100)</x:f>
      </x:c>
      <x:c r="D100" s="34" t="str">
        <x:f>IF(OR('01_INPUT_COMPANIES'!$A$100="",'01_INPUT_COMPANIES'!$D$100=""),"",'01_INPUT_COMPANIES'!$D$100)</x:f>
      </x:c>
      <x:c r="E100" s="34" t="str">
        <x:f>IF(OR('01_INPUT_COMPANIES'!$A$100="",'01_INPUT_COMPANIES'!$E$100=""),"",'01_INPUT_COMPANIES'!$E$100)</x:f>
      </x:c>
      <x:c r="F100" s="34" t="str">
        <x:f>IF(OR('01_INPUT_COMPANIES'!$A$100="",'01_INPUT_COMPANIES'!$F$100=""),"",'01_INPUT_COMPANIES'!$F$100)</x:f>
      </x:c>
      <x:c r="G100" s="34" t="str">
        <x:f>IF(OR('01_INPUT_COMPANIES'!$A$100="",'01_INPUT_COMPANIES'!$G$100=""),"",'01_INPUT_COMPANIES'!$G$100)</x:f>
      </x:c>
      <x:c r="H100" s="34" t="str">
        <x:f>IF(OR('01_INPUT_COMPANIES'!$A$100="",'01_INPUT_COMPANIES'!$H$100=""),"",'01_INPUT_COMPANIES'!$H$100)</x:f>
      </x:c>
      <x:c r="I100" s="34" t="str">
        <x:f>IF(OR('01_INPUT_COMPANIES'!$A$100="",'01_INPUT_COMPANIES'!$K$100=""),"",'01_INPUT_COMPANIES'!$K$100)</x:f>
      </x:c>
      <x:c r="J100" s="34" t="str">
        <x:f>IF(OR('01_INPUT_COMPANIES'!$A$100="",'01_INPUT_COMPANIES'!$M$100=""),"",'01_INPUT_COMPANIES'!$M$100)</x:f>
      </x:c>
      <x:c r="K100" s="34" t="str">
        <x:f>IF(OR(A100="",COUNTBLANK(D100:H100)&gt;0),"",LEN(D100)&amp;":"&amp;D100&amp;LEN(E100)&amp;":"&amp;E100&amp;LEN(F100)&amp;":"&amp;F100&amp;LEN(G100)&amp;":"&amp;G100&amp;LEN(H100)&amp;":"&amp;H100)</x:f>
      </x:c>
      <x:c r="L100" s="47" t="str">
        <x:f>IF(A100="","",'90_CALC_FEATURES'!$I$937)</x:f>
      </x:c>
      <x:c r="M100" s="47" t="str">
        <x:f>IF(A100="","",'90_CALC_FEATURES'!$I$938)</x:f>
      </x:c>
      <x:c r="N100" s="47" t="str">
        <x:f>IF(A100="","",'90_CALC_FEATURES'!$I$939)</x:f>
      </x:c>
      <x:c r="O100" s="47" t="str">
        <x:f>IF(A100="","",'90_CALC_FEATURES'!$I$940)</x:f>
      </x:c>
      <x:c r="P100" s="47" t="str">
        <x:f>IF(A100="","",'90_CALC_FEATURES'!$I$941)</x:f>
      </x:c>
      <x:c r="Q100" s="47" t="str">
        <x:f>IF(A100="","",'90_CALC_FEATURES'!$I$942)</x:f>
      </x:c>
      <x:c r="R100" s="47" t="str">
        <x:f>IF(A100="","",'90_CALC_FEATURES'!$I$943)</x:f>
      </x:c>
      <x:c r="S100" s="47" t="str">
        <x:f>IF(A100="","",'90_CALC_FEATURES'!$I$944)</x:f>
      </x:c>
      <x:c r="T100" s="47" t="str">
        <x:f>IF(A100="","",'90_CALC_FEATURES'!$I$945)</x:f>
      </x:c>
      <x:c r="U100" s="47" t="str">
        <x:f>IF(A100="","",'90_CALC_FEATURES'!$I$946)</x:f>
      </x:c>
      <x:c r="V100" s="47" t="str">
        <x:f>IF(COUNT(L100:N100)=3,100*AVERAGE(L100:N100),"")</x:f>
      </x:c>
      <x:c r="W100" s="47" t="str">
        <x:f>IF(COUNT(O100:R100)=4,100*AVERAGE(O100:R100),"")</x:f>
      </x:c>
      <x:c r="X100" s="47" t="str">
        <x:f>IF(COUNT(S100:U100)=3,100*AVERAGE(S100:U100),"")</x:f>
      </x:c>
      <x:c r="Y100" s="47" t="str">
        <x:f>IF(COUNT(V100:X100)=3,AVERAGE(V100:X100),"")</x:f>
      </x:c>
      <x:c r="Z100" s="47" t="str">
        <x:f>IF(OR(AND(EXACT(A100,"SYN-A"),COUNT('01_INPUT_COMPANIES'!$T$100:$AC$100)=10,'01_INPUT_COMPANIES'!$T$100=-0.02,'01_INPUT_COMPANIES'!$U$100=0.1332,'01_INPUT_COMPANIES'!$V$100=0.18,'01_INPUT_COMPANIES'!$W$100=0.42,'01_INPUT_COMPANIES'!$X$100=0.012,'01_INPUT_COMPANIES'!$Y$100=3.2,'01_INPUT_COMPANIES'!$Z$100=0.08,'01_INPUT_COMPANIES'!$AA$100=0.28,'01_INPUT_COMPANIES'!$AB$100=0.74,'01_INPUT_COMPANIES'!$AC$100=8.5),AND(EXACT(A100,"SYN-B"),COUNT('01_INPUT_COMPANIES'!$T$100:$AC$100)=10,'01_INPUT_COMPANIES'!$T$100=-0.055,'01_INPUT_COMPANIES'!$U$100=0.06405,'01_INPUT_COMPANIES'!$V$100=0.105,'01_INPUT_COMPANIES'!$W$100=0.73,'01_INPUT_COMPANIES'!$X$100=0.004,'01_INPUT_COMPANIES'!$Y$100=4.1,'01_INPUT_COMPANIES'!$Z$100=0.025,'01_INPUT_COMPANIES'!$AA$100=0.16,'01_INPUT_COMPANIES'!$AB$100=0.61,'01_INPUT_COMPANIES'!$AC$100=4),AND(EXACT(A100,"SYN-C"),COUNT('01_INPUT_COMPANIES'!$T$100:$AC$100)=10,'01_INPUT_COMPANIES'!$T$100=0.01,'01_INPUT_COMPANIES'!$U$100=0.0986,'01_INPUT_COMPANIES'!$V$100=0.145,'01_INPUT_COMPANIES'!$W$100=0.18,'01_INPUT_COMPANIES'!$X$100=0.018,'01_INPUT_COMPANIES'!$Y$100=2.65,'01_INPUT_COMPANIES'!$Z$100=0.11,'01_INPUT_COMPANIES'!$AA$100=0.34,'01_INPUT_COMPANIES'!$AB$100=0.68,'01_INPUT_COMPANIES'!$AC$100=6.8),AND(EXACT(A100,"SYN-D"),COUNT('01_INPUT_COMPANIES'!$T$100:$AC$100)=10,'01_INPUT_COMPANIES'!$T$100=-0.005,'01_INPUT_COMPANIES'!$U$100=0.1136,'01_INPUT_COMPANIES'!$V$100=0.16,'01_INPUT_COMPANIES'!$W$100=0.51,'01_INPUT_COMPANIES'!$X$100=0.009,'01_INPUT_COMPANIES'!$Y$100=3.55,'01_INPUT_COMPANIES'!$Z$100=0.065,'01_INPUT_COMPANIES'!$AA$100=0.24,'01_INPUT_COMPANIES'!$AB$100=0.71,'01_INPUT_COMPANIES'!$AC$100=7.4)),IFERROR(INDEX('94_EXPECTED_OUTPUTS'!$B$7:$B$10,MATCH(A100,'94_EXPECTED_OUTPUTS'!$A$7:$A$10,0)),""),"")</x:f>
      </x:c>
      <x:c r="AA100" s="47" t="str">
        <x:f>IF(OR(COUNT(Y100)=0,COUNT(Z100)=0),"",ABS(Y100-Z100))</x:f>
      </x:c>
      <x:c r="AB100" s="34" t="str">
        <x:f>IF(A100="","",IF(AD100&lt;&gt;"",AD100,IF('01_INPUT_COMPANIES'!$A$100="","",IF(OR(LEN(TRIM('01_INPUT_COMPANIES'!$A$100&amp;""))=0,LEN(TRIM('01_INPUT_COMPANIES'!$B$100&amp;""))=0,LEN(TRIM('01_INPUT_COMPANIES'!$C$100&amp;""))=0,LEN(TRIM('01_INPUT_COMPANIES'!$D$100&amp;""))=0,LEN(TRIM('01_INPUT_COMPANIES'!$E$100&amp;""))=0,LEN(TRIM('01_INPUT_COMPANIES'!$F$100&amp;""))=0,LEN(TRIM('01_INPUT_COMPANIES'!$G$100&amp;""))=0,LEN(TRIM('01_INPUT_COMPANIES'!$H$100&amp;""))=0,LEN(TRIM('01_INPUT_COMPANIES'!$I$100&amp;""))=0,LEN(TRIM('01_INPUT_COMPANIES'!$K$100&amp;""))=0,LEN(TRIM('01_INPUT_COMPANIES'!$L$100&amp;""))=0,LEN(TRIM('01_INPUT_COMPANIES'!$M$100&amp;""))=0,LEN(TRIM('01_INPUT_COMPANIES'!$N$100&amp;""))=0,LEN(TRIM('01_INPUT_COMPANIES'!$O$100&amp;""))=0,LEN(TRIM('01_INPUT_COMPANIES'!$Q$100&amp;""))=0,COUNTBLANK('01_INPUT_COMPANIES'!$A$100:$R$100)&gt;0),"INPUT REQUIRED",IF(OR('01_INPUT_COMPANIES'!$A$100&lt;&gt;TRIM('01_INPUT_COMPANIES'!$A$100),NOT(EXACT('01_INPUT_COMPANIES'!$A$100,UPPER('01_INPUT_COMPANIES'!$A$100))),LEN('01_INPUT_COMPANIES'!$A$100)&gt;64,ISNUMBER(FIND("*",'01_INPUT_COMPANIES'!$A$100)),ISNUMBER(FIND("?",'01_INPUT_COMPANIES'!$A$100)),ISNUMBER(FIND("~",'01_INPUT_COMPANIES'!$A$100))),"ERROR: ID FORMAT",IF(COUNTIF('01_INPUT_COMPANIES'!$A$7:$A$106,'01_INPUT_COMPANIES'!$A$100)&lt;&gt;1,"ERROR: DUPLICATE ID",IF(COUNT('01_INPUT_COMPANIES'!$T$100:$AC$100)&lt;&gt;10,"INPUT REQUIRED",IF(NOT(OR('01_INPUT_COMPANIES'!$C$100="domestic",'01_INPUT_COMPANIES'!$C$100="foreign",'01_INPUT_COMPANIES'!$C$100="other")),"ERROR: COMPANY GROUP",IF(OR(LEN('01_INPUT_COMPANIES'!$G$100)&lt;&gt;6,MID('01_INPUT_COMPANIES'!$G$100,5,1)&lt;&gt;"Q",IFERROR(VALUE(LEFT('01_INPUT_COMPANIES'!$G$100,4)),0)&lt;2000,IFERROR(VALUE(LEFT('01_INPUT_COMPANIES'!$G$100,4)),0)&gt;2100,IFERROR(VALUE(RIGHT('01_INPUT_COMPANIES'!$G$100,1)),0)&lt;1,IFERROR(VALUE(RIGHT('01_INPUT_COMPANIES'!$G$100,1)),0)&gt;4),"ERROR: REPORTING PERIOD",IF(OR(COUNTIFS('92_REF_VARIABLES'!$A$21:$A$21,'01_INPUT_COMPANIES'!$H$100,'92_REF_VARIABLES'!$B$21:$B$21,'01_INPUT_COMPANIES'!$D$100,'92_REF_VARIABLES'!$C$21:$C$21,'01_INPUT_COMPANIES'!$G$100)&lt;&gt;1,AND(IFERROR(INDEX('92_REF_VARIABLES'!$I$21:$I$21,MATCH('01_INPUT_COMPANIES'!$H$100,'92_REF_VARIABLES'!$A$21:$A$21,0)),"")="synthetic_only",'01_INPUT_COMPANIES'!$L$100&lt;&gt;"yes")),"ERROR: BENCHMARK",IF(COUNTIF('92_REF_VARIABLES'!$L$21:$L$50,'01_INPUT_COMPANIES'!$I$100)&lt;&gt;1,"ERROR: CURRENCY",IF(OR(NOT(ISNUMBER('01_INPUT_COMPANIES'!$J$100)),'01_INPUT_COMPANIES'!$J$100&lt;&gt;INT('01_INPUT_COMPANIES'!$J$100),'01_INPUT_COMPANIES'!$J$100&lt;2000,'01_INPUT_COMPANIES'!$J$100&gt;2100),"ERROR: PRICE YEAR",IF(NOT(OR('01_INPUT_COMPANIES'!$K$100="A",'01_INPUT_COMPANIES'!$K$100="B",'01_INPUT_COMPANIES'!$K$100="C",'01_INPUT_COMPANIES'!$K$100="SYNTHETIC")),"ERROR: QUALITY",IF(NOT(OR(AND('01_INPUT_COMPANIES'!$L$100="yes",'01_INPUT_COMPANIES'!$K$100="SYNTHETIC"),AND('01_INPUT_COMPANIES'!$L$100="no",'01_INPUT_COMPANIES'!$K$100&lt;&gt;"SYNTHETIC"))),"ERROR: SYNTHETIC FLAG",IF(NOT(OR('01_INPUT_COMPANIES'!$M$100="direct",'01_INPUT_COMPANIES'!$M$100="derived",'01_INPUT_COMPANIES'!$M$100="proxy",'01_INPUT_COMPANIES'!$M$100="mixed")),"ERROR: CONSTRUCTION MODE",IF(OR(NOT(ISNUMBER('01_INPUT_COMPANIES'!$P$100)),'01_INPUT_COMPANIES'!$P$100&lt;0,'01_INPUT_COMPANIES'!$P$100&lt;&gt;INT('01_INPUT_COMPANIES'!$P$100)),"ERROR: CARRY LAG",IF('01_INPUT_COMPANIES'!$Q$100&lt;&gt;"yes","ERROR: EXPOSURE ADJUSTMENT",IF(OR(NOT(ISNUMBER('01_INPUT_COMPANIES'!$R$100)),'01_INPUT_COMPANIES'!$R$100&lt;0,'01_INPUT_COMPANIES'!$R$100&gt;1),"ERROR: EXPOSURE FACTOR",IF(COUNT(Y100)=0,"ERROR: SCORE",IF(COUNT(Z100)=0,"READY",IF(AA100&lt;=0.0000000001,"PASS","CHECK"))&amp;IF('01_INPUT_COMPANIES'!$K$100="C"," | C QUALITY","")&amp;IF(OR('01_INPUT_COMPANIES'!$M$100="proxy",'01_INPUT_COMPANIES'!$M$100="mixed")," | PROXY/MIXED","")&amp;IF('01_INPUT_COMPANIES'!$P$100&gt;1," | CARRY&gt;1","")&amp;IF(OR(OR('01_INPUT_COMPANIES'!$T$100&lt;-1,'01_INPUT_COMPANIES'!$T$100&gt;1),OR('01_INPUT_COMPANIES'!$U$100&lt;0,'01_INPUT_COMPANIES'!$U$100&gt;1),OR('01_INPUT_COMPANIES'!$V$100&lt;0,'01_INPUT_COMPANIES'!$V$100&gt;1),OR('01_INPUT_COMPANIES'!$W$100&lt;-10,'01_INPUT_COMPANIES'!$W$100&gt;10),OR('01_INPUT_COMPANIES'!$X$100&lt;-1,'01_INPUT_COMPANIES'!$X$100&gt;1),OR('01_INPUT_COMPANIES'!$Y$100&lt;0,'01_INPUT_COMPANIES'!$Y$100&gt;20),OR('01_INPUT_COMPANIES'!$Z$100&lt;-2,'01_INPUT_COMPANIES'!$Z$100&gt;2),OR('01_INPUT_COMPANIES'!$AA$100&lt;0,'01_INPUT_COMPANIES'!$AA$100&gt;1),OR('01_INPUT_COMPANIES'!$AB$100&lt;0,'01_INPUT_COMPANIES'!$AB$100&gt;1),OR('01_INPUT_COMPANIES'!$AC$100&lt;0,'01_INPUT_COMPANIES'!$AC$100&gt;50))," | REVIEW RANGE","")&amp;IF(COUNTIF('90_CALC_FEATURES'!$J$937:$J$946,"WINSORIZED*")&gt;0," | WINSORIZED","")&amp;IF(ABS('01_INPUT_COMPANIES'!$U$100-'01_INPUT_COMPANIES'!$V$100*'01_INPUT_COMPANIES'!$AB$100)&gt;MAX(0.005,0.05*MAX(ABS('01_INPUT_COMPANIES'!$V$100*'01_INPUT_COMPANIES'!$AB$100),ABS('01_INPUT_COMPANIES'!$U$100),0.000000000001))," | DEPENDENCY",""))))))))))))))))))))</x:f>
      </x:c>
      <x:c r="AC100" s="34" t="str">
        <x:f>IF(A100="","",IF(OR(LEFT(AB100,4)="PASS",LEFT(AB100,5)="READY"),"RESEARCH BETA | 저지원 22.22% | 기업 백분위 N/A", "결과 사용 금지 | "&amp;AB100))</x:f>
      </x:c>
      <x:c r="AD100" s="34" t="str">
        <x:f>IF(A100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$100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$100,TRIM('01_INPUT_COMPANIES'!$D$100)),EXACT('01_INPUT_COMPANIES'!$E$100,TRIM('01_INPUT_COMPANIES'!$E$100)),EXACT('01_INPUT_COMPANIES'!$F$100,TRIM('01_INPUT_COMPANIES'!$F$100)),EXACT('01_INPUT_COMPANIES'!$G$100,TRIM('01_INPUT_COMPANIES'!$G$100)),EXACT('01_INPUT_COMPANIES'!$H$100,TRIM('01_INPUT_COMPANIES'!$H$100)))),"ERROR: COHORT WHITESPACE",IF(NOT(IFERROR(AND(ISTEXT('01_INPUT_COMPANIES'!$O$100),LEN('01_INPUT_COMPANIES'!$O$100)=10,VALUE(LEFT('01_INPUT_COMPANIES'!$O$100,4))&gt;=2000,VALUE(LEFT('01_INPUT_COMPANIES'!$O$100,4))&lt;=2100,EXACT(TEXT(DATE(VALUE(LEFT('01_INPUT_COMPANIES'!$O$100,4)),VALUE(MID('01_INPUT_COMPANIES'!$O$100,6,2)),VALUE(RIGHT('01_INPUT_COMPANIES'!$O$100,2))),"yyyy-mm-dd"),'01_INPUT_COMPANIES'!$O$100)),FALSE)),"ERROR: SOURCE DATE",IF(NOT(AND(OR(EXACT('01_INPUT_COMPANIES'!$C$100,"domestic"),EXACT('01_INPUT_COMPANIES'!$C$100,"foreign"),EXACT('01_INPUT_COMPANIES'!$C$100,"other")),OR(EXACT('01_INPUT_COMPANIES'!$K$100,"A"),EXACT('01_INPUT_COMPANIES'!$K$100,"B"),EXACT('01_INPUT_COMPANIES'!$K$100,"C"),EXACT('01_INPUT_COMPANIES'!$K$100,"SYNTHETIC")),OR(EXACT('01_INPUT_COMPANIES'!$L$100,"yes"),EXACT('01_INPUT_COMPANIES'!$L$100,"no")),OR(EXACT('01_INPUT_COMPANIES'!$M$100,"direct"),EXACT('01_INPUT_COMPANIES'!$M$100,"derived"),EXACT('01_INPUT_COMPANIES'!$M$100,"proxy"),EXACT('01_INPUT_COMPANIES'!$M$100,"mixed")),OR(EXACT('01_INPUT_COMPANIES'!$Q$100,"yes")),EXACT('01_INPUT_COMPANIES'!$I$100,UPPER('01_INPUT_COMPANIES'!$I$100)))),"ERROR: EXACT ENUM",IF(NOT(IFERROR(OR(AND(EXACT('92_REF_VARIABLES'!$A$21,'01_INPUT_COMPANIES'!$H$100),EXACT('92_REF_VARIABLES'!$B$21,'01_INPUT_COMPANIES'!$D$100),EXACT('92_REF_VARIABLES'!$C$21,'01_INPUT_COMPANIES'!$G$100))),FALSE)),"ERROR: BENCHMARK",""))))))</x:f>
      </x:c>
    </x:row>
    <x:row r="101">
      <x:c r="A101" s="34" t="str">
        <x:f>IF(OR('01_INPUT_COMPANIES'!$A$101="",'01_INPUT_COMPANIES'!$A$101=""),"",'01_INPUT_COMPANIES'!$A$101)</x:f>
      </x:c>
      <x:c r="B101" s="34" t="str">
        <x:f>IF(OR('01_INPUT_COMPANIES'!$A$101="",'01_INPUT_COMPANIES'!$B$101=""),"",'01_INPUT_COMPANIES'!$B$101)</x:f>
      </x:c>
      <x:c r="C101" s="34" t="str">
        <x:f>IF(OR('01_INPUT_COMPANIES'!$A$101="",'01_INPUT_COMPANIES'!$C$101=""),"",'01_INPUT_COMPANIES'!$C$101)</x:f>
      </x:c>
      <x:c r="D101" s="34" t="str">
        <x:f>IF(OR('01_INPUT_COMPANIES'!$A$101="",'01_INPUT_COMPANIES'!$D$101=""),"",'01_INPUT_COMPANIES'!$D$101)</x:f>
      </x:c>
      <x:c r="E101" s="34" t="str">
        <x:f>IF(OR('01_INPUT_COMPANIES'!$A$101="",'01_INPUT_COMPANIES'!$E$101=""),"",'01_INPUT_COMPANIES'!$E$101)</x:f>
      </x:c>
      <x:c r="F101" s="34" t="str">
        <x:f>IF(OR('01_INPUT_COMPANIES'!$A$101="",'01_INPUT_COMPANIES'!$F$101=""),"",'01_INPUT_COMPANIES'!$F$101)</x:f>
      </x:c>
      <x:c r="G101" s="34" t="str">
        <x:f>IF(OR('01_INPUT_COMPANIES'!$A$101="",'01_INPUT_COMPANIES'!$G$101=""),"",'01_INPUT_COMPANIES'!$G$101)</x:f>
      </x:c>
      <x:c r="H101" s="34" t="str">
        <x:f>IF(OR('01_INPUT_COMPANIES'!$A$101="",'01_INPUT_COMPANIES'!$H$101=""),"",'01_INPUT_COMPANIES'!$H$101)</x:f>
      </x:c>
      <x:c r="I101" s="34" t="str">
        <x:f>IF(OR('01_INPUT_COMPANIES'!$A$101="",'01_INPUT_COMPANIES'!$K$101=""),"",'01_INPUT_COMPANIES'!$K$101)</x:f>
      </x:c>
      <x:c r="J101" s="34" t="str">
        <x:f>IF(OR('01_INPUT_COMPANIES'!$A$101="",'01_INPUT_COMPANIES'!$M$101=""),"",'01_INPUT_COMPANIES'!$M$101)</x:f>
      </x:c>
      <x:c r="K101" s="34" t="str">
        <x:f>IF(OR(A101="",COUNTBLANK(D101:H101)&gt;0),"",LEN(D101)&amp;":"&amp;D101&amp;LEN(E101)&amp;":"&amp;E101&amp;LEN(F101)&amp;":"&amp;F101&amp;LEN(G101)&amp;":"&amp;G101&amp;LEN(H101)&amp;":"&amp;H101)</x:f>
      </x:c>
      <x:c r="L101" s="47" t="str">
        <x:f>IF(A101="","",'90_CALC_FEATURES'!$I$947)</x:f>
      </x:c>
      <x:c r="M101" s="47" t="str">
        <x:f>IF(A101="","",'90_CALC_FEATURES'!$I$948)</x:f>
      </x:c>
      <x:c r="N101" s="47" t="str">
        <x:f>IF(A101="","",'90_CALC_FEATURES'!$I$949)</x:f>
      </x:c>
      <x:c r="O101" s="47" t="str">
        <x:f>IF(A101="","",'90_CALC_FEATURES'!$I$950)</x:f>
      </x:c>
      <x:c r="P101" s="47" t="str">
        <x:f>IF(A101="","",'90_CALC_FEATURES'!$I$951)</x:f>
      </x:c>
      <x:c r="Q101" s="47" t="str">
        <x:f>IF(A101="","",'90_CALC_FEATURES'!$I$952)</x:f>
      </x:c>
      <x:c r="R101" s="47" t="str">
        <x:f>IF(A101="","",'90_CALC_FEATURES'!$I$953)</x:f>
      </x:c>
      <x:c r="S101" s="47" t="str">
        <x:f>IF(A101="","",'90_CALC_FEATURES'!$I$954)</x:f>
      </x:c>
      <x:c r="T101" s="47" t="str">
        <x:f>IF(A101="","",'90_CALC_FEATURES'!$I$955)</x:f>
      </x:c>
      <x:c r="U101" s="47" t="str">
        <x:f>IF(A101="","",'90_CALC_FEATURES'!$I$956)</x:f>
      </x:c>
      <x:c r="V101" s="47" t="str">
        <x:f>IF(COUNT(L101:N101)=3,100*AVERAGE(L101:N101),"")</x:f>
      </x:c>
      <x:c r="W101" s="47" t="str">
        <x:f>IF(COUNT(O101:R101)=4,100*AVERAGE(O101:R101),"")</x:f>
      </x:c>
      <x:c r="X101" s="47" t="str">
        <x:f>IF(COUNT(S101:U101)=3,100*AVERAGE(S101:U101),"")</x:f>
      </x:c>
      <x:c r="Y101" s="47" t="str">
        <x:f>IF(COUNT(V101:X101)=3,AVERAGE(V101:X101),"")</x:f>
      </x:c>
      <x:c r="Z101" s="47" t="str">
        <x:f>IF(OR(AND(EXACT(A101,"SYN-A"),COUNT('01_INPUT_COMPANIES'!$T$101:$AC$101)=10,'01_INPUT_COMPANIES'!$T$101=-0.02,'01_INPUT_COMPANIES'!$U$101=0.1332,'01_INPUT_COMPANIES'!$V$101=0.18,'01_INPUT_COMPANIES'!$W$101=0.42,'01_INPUT_COMPANIES'!$X$101=0.012,'01_INPUT_COMPANIES'!$Y$101=3.2,'01_INPUT_COMPANIES'!$Z$101=0.08,'01_INPUT_COMPANIES'!$AA$101=0.28,'01_INPUT_COMPANIES'!$AB$101=0.74,'01_INPUT_COMPANIES'!$AC$101=8.5),AND(EXACT(A101,"SYN-B"),COUNT('01_INPUT_COMPANIES'!$T$101:$AC$101)=10,'01_INPUT_COMPANIES'!$T$101=-0.055,'01_INPUT_COMPANIES'!$U$101=0.06405,'01_INPUT_COMPANIES'!$V$101=0.105,'01_INPUT_COMPANIES'!$W$101=0.73,'01_INPUT_COMPANIES'!$X$101=0.004,'01_INPUT_COMPANIES'!$Y$101=4.1,'01_INPUT_COMPANIES'!$Z$101=0.025,'01_INPUT_COMPANIES'!$AA$101=0.16,'01_INPUT_COMPANIES'!$AB$101=0.61,'01_INPUT_COMPANIES'!$AC$101=4),AND(EXACT(A101,"SYN-C"),COUNT('01_INPUT_COMPANIES'!$T$101:$AC$101)=10,'01_INPUT_COMPANIES'!$T$101=0.01,'01_INPUT_COMPANIES'!$U$101=0.0986,'01_INPUT_COMPANIES'!$V$101=0.145,'01_INPUT_COMPANIES'!$W$101=0.18,'01_INPUT_COMPANIES'!$X$101=0.018,'01_INPUT_COMPANIES'!$Y$101=2.65,'01_INPUT_COMPANIES'!$Z$101=0.11,'01_INPUT_COMPANIES'!$AA$101=0.34,'01_INPUT_COMPANIES'!$AB$101=0.68,'01_INPUT_COMPANIES'!$AC$101=6.8),AND(EXACT(A101,"SYN-D"),COUNT('01_INPUT_COMPANIES'!$T$101:$AC$101)=10,'01_INPUT_COMPANIES'!$T$101=-0.005,'01_INPUT_COMPANIES'!$U$101=0.1136,'01_INPUT_COMPANIES'!$V$101=0.16,'01_INPUT_COMPANIES'!$W$101=0.51,'01_INPUT_COMPANIES'!$X$101=0.009,'01_INPUT_COMPANIES'!$Y$101=3.55,'01_INPUT_COMPANIES'!$Z$101=0.065,'01_INPUT_COMPANIES'!$AA$101=0.24,'01_INPUT_COMPANIES'!$AB$101=0.71,'01_INPUT_COMPANIES'!$AC$101=7.4)),IFERROR(INDEX('94_EXPECTED_OUTPUTS'!$B$7:$B$10,MATCH(A101,'94_EXPECTED_OUTPUTS'!$A$7:$A$10,0)),""),"")</x:f>
      </x:c>
      <x:c r="AA101" s="47" t="str">
        <x:f>IF(OR(COUNT(Y101)=0,COUNT(Z101)=0),"",ABS(Y101-Z101))</x:f>
      </x:c>
      <x:c r="AB101" s="34" t="str">
        <x:f>IF(A101="","",IF(AD101&lt;&gt;"",AD101,IF('01_INPUT_COMPANIES'!$A$101="","",IF(OR(LEN(TRIM('01_INPUT_COMPANIES'!$A$101&amp;""))=0,LEN(TRIM('01_INPUT_COMPANIES'!$B$101&amp;""))=0,LEN(TRIM('01_INPUT_COMPANIES'!$C$101&amp;""))=0,LEN(TRIM('01_INPUT_COMPANIES'!$D$101&amp;""))=0,LEN(TRIM('01_INPUT_COMPANIES'!$E$101&amp;""))=0,LEN(TRIM('01_INPUT_COMPANIES'!$F$101&amp;""))=0,LEN(TRIM('01_INPUT_COMPANIES'!$G$101&amp;""))=0,LEN(TRIM('01_INPUT_COMPANIES'!$H$101&amp;""))=0,LEN(TRIM('01_INPUT_COMPANIES'!$I$101&amp;""))=0,LEN(TRIM('01_INPUT_COMPANIES'!$K$101&amp;""))=0,LEN(TRIM('01_INPUT_COMPANIES'!$L$101&amp;""))=0,LEN(TRIM('01_INPUT_COMPANIES'!$M$101&amp;""))=0,LEN(TRIM('01_INPUT_COMPANIES'!$N$101&amp;""))=0,LEN(TRIM('01_INPUT_COMPANIES'!$O$101&amp;""))=0,LEN(TRIM('01_INPUT_COMPANIES'!$Q$101&amp;""))=0,COUNTBLANK('01_INPUT_COMPANIES'!$A$101:$R$101)&gt;0),"INPUT REQUIRED",IF(OR('01_INPUT_COMPANIES'!$A$101&lt;&gt;TRIM('01_INPUT_COMPANIES'!$A$101),NOT(EXACT('01_INPUT_COMPANIES'!$A$101,UPPER('01_INPUT_COMPANIES'!$A$101))),LEN('01_INPUT_COMPANIES'!$A$101)&gt;64,ISNUMBER(FIND("*",'01_INPUT_COMPANIES'!$A$101)),ISNUMBER(FIND("?",'01_INPUT_COMPANIES'!$A$101)),ISNUMBER(FIND("~",'01_INPUT_COMPANIES'!$A$101))),"ERROR: ID FORMAT",IF(COUNTIF('01_INPUT_COMPANIES'!$A$7:$A$106,'01_INPUT_COMPANIES'!$A$101)&lt;&gt;1,"ERROR: DUPLICATE ID",IF(COUNT('01_INPUT_COMPANIES'!$T$101:$AC$101)&lt;&gt;10,"INPUT REQUIRED",IF(NOT(OR('01_INPUT_COMPANIES'!$C$101="domestic",'01_INPUT_COMPANIES'!$C$101="foreign",'01_INPUT_COMPANIES'!$C$101="other")),"ERROR: COMPANY GROUP",IF(OR(LEN('01_INPUT_COMPANIES'!$G$101)&lt;&gt;6,MID('01_INPUT_COMPANIES'!$G$101,5,1)&lt;&gt;"Q",IFERROR(VALUE(LEFT('01_INPUT_COMPANIES'!$G$101,4)),0)&lt;2000,IFERROR(VALUE(LEFT('01_INPUT_COMPANIES'!$G$101,4)),0)&gt;2100,IFERROR(VALUE(RIGHT('01_INPUT_COMPANIES'!$G$101,1)),0)&lt;1,IFERROR(VALUE(RIGHT('01_INPUT_COMPANIES'!$G$101,1)),0)&gt;4),"ERROR: REPORTING PERIOD",IF(OR(COUNTIFS('92_REF_VARIABLES'!$A$21:$A$21,'01_INPUT_COMPANIES'!$H$101,'92_REF_VARIABLES'!$B$21:$B$21,'01_INPUT_COMPANIES'!$D$101,'92_REF_VARIABLES'!$C$21:$C$21,'01_INPUT_COMPANIES'!$G$101)&lt;&gt;1,AND(IFERROR(INDEX('92_REF_VARIABLES'!$I$21:$I$21,MATCH('01_INPUT_COMPANIES'!$H$101,'92_REF_VARIABLES'!$A$21:$A$21,0)),"")="synthetic_only",'01_INPUT_COMPANIES'!$L$101&lt;&gt;"yes")),"ERROR: BENCHMARK",IF(COUNTIF('92_REF_VARIABLES'!$L$21:$L$50,'01_INPUT_COMPANIES'!$I$101)&lt;&gt;1,"ERROR: CURRENCY",IF(OR(NOT(ISNUMBER('01_INPUT_COMPANIES'!$J$101)),'01_INPUT_COMPANIES'!$J$101&lt;&gt;INT('01_INPUT_COMPANIES'!$J$101),'01_INPUT_COMPANIES'!$J$101&lt;2000,'01_INPUT_COMPANIES'!$J$101&gt;2100),"ERROR: PRICE YEAR",IF(NOT(OR('01_INPUT_COMPANIES'!$K$101="A",'01_INPUT_COMPANIES'!$K$101="B",'01_INPUT_COMPANIES'!$K$101="C",'01_INPUT_COMPANIES'!$K$101="SYNTHETIC")),"ERROR: QUALITY",IF(NOT(OR(AND('01_INPUT_COMPANIES'!$L$101="yes",'01_INPUT_COMPANIES'!$K$101="SYNTHETIC"),AND('01_INPUT_COMPANIES'!$L$101="no",'01_INPUT_COMPANIES'!$K$101&lt;&gt;"SYNTHETIC"))),"ERROR: SYNTHETIC FLAG",IF(NOT(OR('01_INPUT_COMPANIES'!$M$101="direct",'01_INPUT_COMPANIES'!$M$101="derived",'01_INPUT_COMPANIES'!$M$101="proxy",'01_INPUT_COMPANIES'!$M$101="mixed")),"ERROR: CONSTRUCTION MODE",IF(OR(NOT(ISNUMBER('01_INPUT_COMPANIES'!$P$101)),'01_INPUT_COMPANIES'!$P$101&lt;0,'01_INPUT_COMPANIES'!$P$101&lt;&gt;INT('01_INPUT_COMPANIES'!$P$101)),"ERROR: CARRY LAG",IF('01_INPUT_COMPANIES'!$Q$101&lt;&gt;"yes","ERROR: EXPOSURE ADJUSTMENT",IF(OR(NOT(ISNUMBER('01_INPUT_COMPANIES'!$R$101)),'01_INPUT_COMPANIES'!$R$101&lt;0,'01_INPUT_COMPANIES'!$R$101&gt;1),"ERROR: EXPOSURE FACTOR",IF(COUNT(Y101)=0,"ERROR: SCORE",IF(COUNT(Z101)=0,"READY",IF(AA101&lt;=0.0000000001,"PASS","CHECK"))&amp;IF('01_INPUT_COMPANIES'!$K$101="C"," | C QUALITY","")&amp;IF(OR('01_INPUT_COMPANIES'!$M$101="proxy",'01_INPUT_COMPANIES'!$M$101="mixed")," | PROXY/MIXED","")&amp;IF('01_INPUT_COMPANIES'!$P$101&gt;1," | CARRY&gt;1","")&amp;IF(OR(OR('01_INPUT_COMPANIES'!$T$101&lt;-1,'01_INPUT_COMPANIES'!$T$101&gt;1),OR('01_INPUT_COMPANIES'!$U$101&lt;0,'01_INPUT_COMPANIES'!$U$101&gt;1),OR('01_INPUT_COMPANIES'!$V$101&lt;0,'01_INPUT_COMPANIES'!$V$101&gt;1),OR('01_INPUT_COMPANIES'!$W$101&lt;-10,'01_INPUT_COMPANIES'!$W$101&gt;10),OR('01_INPUT_COMPANIES'!$X$101&lt;-1,'01_INPUT_COMPANIES'!$X$101&gt;1),OR('01_INPUT_COMPANIES'!$Y$101&lt;0,'01_INPUT_COMPANIES'!$Y$101&gt;20),OR('01_INPUT_COMPANIES'!$Z$101&lt;-2,'01_INPUT_COMPANIES'!$Z$101&gt;2),OR('01_INPUT_COMPANIES'!$AA$101&lt;0,'01_INPUT_COMPANIES'!$AA$101&gt;1),OR('01_INPUT_COMPANIES'!$AB$101&lt;0,'01_INPUT_COMPANIES'!$AB$101&gt;1),OR('01_INPUT_COMPANIES'!$AC$101&lt;0,'01_INPUT_COMPANIES'!$AC$101&gt;50))," | REVIEW RANGE","")&amp;IF(COUNTIF('90_CALC_FEATURES'!$J$947:$J$956,"WINSORIZED*")&gt;0," | WINSORIZED","")&amp;IF(ABS('01_INPUT_COMPANIES'!$U$101-'01_INPUT_COMPANIES'!$V$101*'01_INPUT_COMPANIES'!$AB$101)&gt;MAX(0.005,0.05*MAX(ABS('01_INPUT_COMPANIES'!$V$101*'01_INPUT_COMPANIES'!$AB$101),ABS('01_INPUT_COMPANIES'!$U$101),0.000000000001))," | DEPENDENCY",""))))))))))))))))))))</x:f>
      </x:c>
      <x:c r="AC101" s="34" t="str">
        <x:f>IF(A101="","",IF(OR(LEFT(AB101,4)="PASS",LEFT(AB101,5)="READY"),"RESEARCH BETA | 저지원 22.22% | 기업 백분위 N/A", "결과 사용 금지 | "&amp;AB101))</x:f>
      </x:c>
      <x:c r="AD101" s="34" t="str">
        <x:f>IF(A101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$101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$101,TRIM('01_INPUT_COMPANIES'!$D$101)),EXACT('01_INPUT_COMPANIES'!$E$101,TRIM('01_INPUT_COMPANIES'!$E$101)),EXACT('01_INPUT_COMPANIES'!$F$101,TRIM('01_INPUT_COMPANIES'!$F$101)),EXACT('01_INPUT_COMPANIES'!$G$101,TRIM('01_INPUT_COMPANIES'!$G$101)),EXACT('01_INPUT_COMPANIES'!$H$101,TRIM('01_INPUT_COMPANIES'!$H$101)))),"ERROR: COHORT WHITESPACE",IF(NOT(IFERROR(AND(ISTEXT('01_INPUT_COMPANIES'!$O$101),LEN('01_INPUT_COMPANIES'!$O$101)=10,VALUE(LEFT('01_INPUT_COMPANIES'!$O$101,4))&gt;=2000,VALUE(LEFT('01_INPUT_COMPANIES'!$O$101,4))&lt;=2100,EXACT(TEXT(DATE(VALUE(LEFT('01_INPUT_COMPANIES'!$O$101,4)),VALUE(MID('01_INPUT_COMPANIES'!$O$101,6,2)),VALUE(RIGHT('01_INPUT_COMPANIES'!$O$101,2))),"yyyy-mm-dd"),'01_INPUT_COMPANIES'!$O$101)),FALSE)),"ERROR: SOURCE DATE",IF(NOT(AND(OR(EXACT('01_INPUT_COMPANIES'!$C$101,"domestic"),EXACT('01_INPUT_COMPANIES'!$C$101,"foreign"),EXACT('01_INPUT_COMPANIES'!$C$101,"other")),OR(EXACT('01_INPUT_COMPANIES'!$K$101,"A"),EXACT('01_INPUT_COMPANIES'!$K$101,"B"),EXACT('01_INPUT_COMPANIES'!$K$101,"C"),EXACT('01_INPUT_COMPANIES'!$K$101,"SYNTHETIC")),OR(EXACT('01_INPUT_COMPANIES'!$L$101,"yes"),EXACT('01_INPUT_COMPANIES'!$L$101,"no")),OR(EXACT('01_INPUT_COMPANIES'!$M$101,"direct"),EXACT('01_INPUT_COMPANIES'!$M$101,"derived"),EXACT('01_INPUT_COMPANIES'!$M$101,"proxy"),EXACT('01_INPUT_COMPANIES'!$M$101,"mixed")),OR(EXACT('01_INPUT_COMPANIES'!$Q$101,"yes")),EXACT('01_INPUT_COMPANIES'!$I$101,UPPER('01_INPUT_COMPANIES'!$I$101)))),"ERROR: EXACT ENUM",IF(NOT(IFERROR(OR(AND(EXACT('92_REF_VARIABLES'!$A$21,'01_INPUT_COMPANIES'!$H$101),EXACT('92_REF_VARIABLES'!$B$21,'01_INPUT_COMPANIES'!$D$101),EXACT('92_REF_VARIABLES'!$C$21,'01_INPUT_COMPANIES'!$G$101))),FALSE)),"ERROR: BENCHMARK",""))))))</x:f>
      </x:c>
    </x:row>
    <x:row r="102">
      <x:c r="A102" s="34" t="str">
        <x:f>IF(OR('01_INPUT_COMPANIES'!$A$102="",'01_INPUT_COMPANIES'!$A$102=""),"",'01_INPUT_COMPANIES'!$A$102)</x:f>
      </x:c>
      <x:c r="B102" s="34" t="str">
        <x:f>IF(OR('01_INPUT_COMPANIES'!$A$102="",'01_INPUT_COMPANIES'!$B$102=""),"",'01_INPUT_COMPANIES'!$B$102)</x:f>
      </x:c>
      <x:c r="C102" s="34" t="str">
        <x:f>IF(OR('01_INPUT_COMPANIES'!$A$102="",'01_INPUT_COMPANIES'!$C$102=""),"",'01_INPUT_COMPANIES'!$C$102)</x:f>
      </x:c>
      <x:c r="D102" s="34" t="str">
        <x:f>IF(OR('01_INPUT_COMPANIES'!$A$102="",'01_INPUT_COMPANIES'!$D$102=""),"",'01_INPUT_COMPANIES'!$D$102)</x:f>
      </x:c>
      <x:c r="E102" s="34" t="str">
        <x:f>IF(OR('01_INPUT_COMPANIES'!$A$102="",'01_INPUT_COMPANIES'!$E$102=""),"",'01_INPUT_COMPANIES'!$E$102)</x:f>
      </x:c>
      <x:c r="F102" s="34" t="str">
        <x:f>IF(OR('01_INPUT_COMPANIES'!$A$102="",'01_INPUT_COMPANIES'!$F$102=""),"",'01_INPUT_COMPANIES'!$F$102)</x:f>
      </x:c>
      <x:c r="G102" s="34" t="str">
        <x:f>IF(OR('01_INPUT_COMPANIES'!$A$102="",'01_INPUT_COMPANIES'!$G$102=""),"",'01_INPUT_COMPANIES'!$G$102)</x:f>
      </x:c>
      <x:c r="H102" s="34" t="str">
        <x:f>IF(OR('01_INPUT_COMPANIES'!$A$102="",'01_INPUT_COMPANIES'!$H$102=""),"",'01_INPUT_COMPANIES'!$H$102)</x:f>
      </x:c>
      <x:c r="I102" s="34" t="str">
        <x:f>IF(OR('01_INPUT_COMPANIES'!$A$102="",'01_INPUT_COMPANIES'!$K$102=""),"",'01_INPUT_COMPANIES'!$K$102)</x:f>
      </x:c>
      <x:c r="J102" s="34" t="str">
        <x:f>IF(OR('01_INPUT_COMPANIES'!$A$102="",'01_INPUT_COMPANIES'!$M$102=""),"",'01_INPUT_COMPANIES'!$M$102)</x:f>
      </x:c>
      <x:c r="K102" s="34" t="str">
        <x:f>IF(OR(A102="",COUNTBLANK(D102:H102)&gt;0),"",LEN(D102)&amp;":"&amp;D102&amp;LEN(E102)&amp;":"&amp;E102&amp;LEN(F102)&amp;":"&amp;F102&amp;LEN(G102)&amp;":"&amp;G102&amp;LEN(H102)&amp;":"&amp;H102)</x:f>
      </x:c>
      <x:c r="L102" s="47" t="str">
        <x:f>IF(A102="","",'90_CALC_FEATURES'!$I$957)</x:f>
      </x:c>
      <x:c r="M102" s="47" t="str">
        <x:f>IF(A102="","",'90_CALC_FEATURES'!$I$958)</x:f>
      </x:c>
      <x:c r="N102" s="47" t="str">
        <x:f>IF(A102="","",'90_CALC_FEATURES'!$I$959)</x:f>
      </x:c>
      <x:c r="O102" s="47" t="str">
        <x:f>IF(A102="","",'90_CALC_FEATURES'!$I$960)</x:f>
      </x:c>
      <x:c r="P102" s="47" t="str">
        <x:f>IF(A102="","",'90_CALC_FEATURES'!$I$961)</x:f>
      </x:c>
      <x:c r="Q102" s="47" t="str">
        <x:f>IF(A102="","",'90_CALC_FEATURES'!$I$962)</x:f>
      </x:c>
      <x:c r="R102" s="47" t="str">
        <x:f>IF(A102="","",'90_CALC_FEATURES'!$I$963)</x:f>
      </x:c>
      <x:c r="S102" s="47" t="str">
        <x:f>IF(A102="","",'90_CALC_FEATURES'!$I$964)</x:f>
      </x:c>
      <x:c r="T102" s="47" t="str">
        <x:f>IF(A102="","",'90_CALC_FEATURES'!$I$965)</x:f>
      </x:c>
      <x:c r="U102" s="47" t="str">
        <x:f>IF(A102="","",'90_CALC_FEATURES'!$I$966)</x:f>
      </x:c>
      <x:c r="V102" s="47" t="str">
        <x:f>IF(COUNT(L102:N102)=3,100*AVERAGE(L102:N102),"")</x:f>
      </x:c>
      <x:c r="W102" s="47" t="str">
        <x:f>IF(COUNT(O102:R102)=4,100*AVERAGE(O102:R102),"")</x:f>
      </x:c>
      <x:c r="X102" s="47" t="str">
        <x:f>IF(COUNT(S102:U102)=3,100*AVERAGE(S102:U102),"")</x:f>
      </x:c>
      <x:c r="Y102" s="47" t="str">
        <x:f>IF(COUNT(V102:X102)=3,AVERAGE(V102:X102),"")</x:f>
      </x:c>
      <x:c r="Z102" s="47" t="str">
        <x:f>IF(OR(AND(EXACT(A102,"SYN-A"),COUNT('01_INPUT_COMPANIES'!$T$102:$AC$102)=10,'01_INPUT_COMPANIES'!$T$102=-0.02,'01_INPUT_COMPANIES'!$U$102=0.1332,'01_INPUT_COMPANIES'!$V$102=0.18,'01_INPUT_COMPANIES'!$W$102=0.42,'01_INPUT_COMPANIES'!$X$102=0.012,'01_INPUT_COMPANIES'!$Y$102=3.2,'01_INPUT_COMPANIES'!$Z$102=0.08,'01_INPUT_COMPANIES'!$AA$102=0.28,'01_INPUT_COMPANIES'!$AB$102=0.74,'01_INPUT_COMPANIES'!$AC$102=8.5),AND(EXACT(A102,"SYN-B"),COUNT('01_INPUT_COMPANIES'!$T$102:$AC$102)=10,'01_INPUT_COMPANIES'!$T$102=-0.055,'01_INPUT_COMPANIES'!$U$102=0.06405,'01_INPUT_COMPANIES'!$V$102=0.105,'01_INPUT_COMPANIES'!$W$102=0.73,'01_INPUT_COMPANIES'!$X$102=0.004,'01_INPUT_COMPANIES'!$Y$102=4.1,'01_INPUT_COMPANIES'!$Z$102=0.025,'01_INPUT_COMPANIES'!$AA$102=0.16,'01_INPUT_COMPANIES'!$AB$102=0.61,'01_INPUT_COMPANIES'!$AC$102=4),AND(EXACT(A102,"SYN-C"),COUNT('01_INPUT_COMPANIES'!$T$102:$AC$102)=10,'01_INPUT_COMPANIES'!$T$102=0.01,'01_INPUT_COMPANIES'!$U$102=0.0986,'01_INPUT_COMPANIES'!$V$102=0.145,'01_INPUT_COMPANIES'!$W$102=0.18,'01_INPUT_COMPANIES'!$X$102=0.018,'01_INPUT_COMPANIES'!$Y$102=2.65,'01_INPUT_COMPANIES'!$Z$102=0.11,'01_INPUT_COMPANIES'!$AA$102=0.34,'01_INPUT_COMPANIES'!$AB$102=0.68,'01_INPUT_COMPANIES'!$AC$102=6.8),AND(EXACT(A102,"SYN-D"),COUNT('01_INPUT_COMPANIES'!$T$102:$AC$102)=10,'01_INPUT_COMPANIES'!$T$102=-0.005,'01_INPUT_COMPANIES'!$U$102=0.1136,'01_INPUT_COMPANIES'!$V$102=0.16,'01_INPUT_COMPANIES'!$W$102=0.51,'01_INPUT_COMPANIES'!$X$102=0.009,'01_INPUT_COMPANIES'!$Y$102=3.55,'01_INPUT_COMPANIES'!$Z$102=0.065,'01_INPUT_COMPANIES'!$AA$102=0.24,'01_INPUT_COMPANIES'!$AB$102=0.71,'01_INPUT_COMPANIES'!$AC$102=7.4)),IFERROR(INDEX('94_EXPECTED_OUTPUTS'!$B$7:$B$10,MATCH(A102,'94_EXPECTED_OUTPUTS'!$A$7:$A$10,0)),""),"")</x:f>
      </x:c>
      <x:c r="AA102" s="47" t="str">
        <x:f>IF(OR(COUNT(Y102)=0,COUNT(Z102)=0),"",ABS(Y102-Z102))</x:f>
      </x:c>
      <x:c r="AB102" s="34" t="str">
        <x:f>IF(A102="","",IF(AD102&lt;&gt;"",AD102,IF('01_INPUT_COMPANIES'!$A$102="","",IF(OR(LEN(TRIM('01_INPUT_COMPANIES'!$A$102&amp;""))=0,LEN(TRIM('01_INPUT_COMPANIES'!$B$102&amp;""))=0,LEN(TRIM('01_INPUT_COMPANIES'!$C$102&amp;""))=0,LEN(TRIM('01_INPUT_COMPANIES'!$D$102&amp;""))=0,LEN(TRIM('01_INPUT_COMPANIES'!$E$102&amp;""))=0,LEN(TRIM('01_INPUT_COMPANIES'!$F$102&amp;""))=0,LEN(TRIM('01_INPUT_COMPANIES'!$G$102&amp;""))=0,LEN(TRIM('01_INPUT_COMPANIES'!$H$102&amp;""))=0,LEN(TRIM('01_INPUT_COMPANIES'!$I$102&amp;""))=0,LEN(TRIM('01_INPUT_COMPANIES'!$K$102&amp;""))=0,LEN(TRIM('01_INPUT_COMPANIES'!$L$102&amp;""))=0,LEN(TRIM('01_INPUT_COMPANIES'!$M$102&amp;""))=0,LEN(TRIM('01_INPUT_COMPANIES'!$N$102&amp;""))=0,LEN(TRIM('01_INPUT_COMPANIES'!$O$102&amp;""))=0,LEN(TRIM('01_INPUT_COMPANIES'!$Q$102&amp;""))=0,COUNTBLANK('01_INPUT_COMPANIES'!$A$102:$R$102)&gt;0),"INPUT REQUIRED",IF(OR('01_INPUT_COMPANIES'!$A$102&lt;&gt;TRIM('01_INPUT_COMPANIES'!$A$102),NOT(EXACT('01_INPUT_COMPANIES'!$A$102,UPPER('01_INPUT_COMPANIES'!$A$102))),LEN('01_INPUT_COMPANIES'!$A$102)&gt;64,ISNUMBER(FIND("*",'01_INPUT_COMPANIES'!$A$102)),ISNUMBER(FIND("?",'01_INPUT_COMPANIES'!$A$102)),ISNUMBER(FIND("~",'01_INPUT_COMPANIES'!$A$102))),"ERROR: ID FORMAT",IF(COUNTIF('01_INPUT_COMPANIES'!$A$7:$A$106,'01_INPUT_COMPANIES'!$A$102)&lt;&gt;1,"ERROR: DUPLICATE ID",IF(COUNT('01_INPUT_COMPANIES'!$T$102:$AC$102)&lt;&gt;10,"INPUT REQUIRED",IF(NOT(OR('01_INPUT_COMPANIES'!$C$102="domestic",'01_INPUT_COMPANIES'!$C$102="foreign",'01_INPUT_COMPANIES'!$C$102="other")),"ERROR: COMPANY GROUP",IF(OR(LEN('01_INPUT_COMPANIES'!$G$102)&lt;&gt;6,MID('01_INPUT_COMPANIES'!$G$102,5,1)&lt;&gt;"Q",IFERROR(VALUE(LEFT('01_INPUT_COMPANIES'!$G$102,4)),0)&lt;2000,IFERROR(VALUE(LEFT('01_INPUT_COMPANIES'!$G$102,4)),0)&gt;2100,IFERROR(VALUE(RIGHT('01_INPUT_COMPANIES'!$G$102,1)),0)&lt;1,IFERROR(VALUE(RIGHT('01_INPUT_COMPANIES'!$G$102,1)),0)&gt;4),"ERROR: REPORTING PERIOD",IF(OR(COUNTIFS('92_REF_VARIABLES'!$A$21:$A$21,'01_INPUT_COMPANIES'!$H$102,'92_REF_VARIABLES'!$B$21:$B$21,'01_INPUT_COMPANIES'!$D$102,'92_REF_VARIABLES'!$C$21:$C$21,'01_INPUT_COMPANIES'!$G$102)&lt;&gt;1,AND(IFERROR(INDEX('92_REF_VARIABLES'!$I$21:$I$21,MATCH('01_INPUT_COMPANIES'!$H$102,'92_REF_VARIABLES'!$A$21:$A$21,0)),"")="synthetic_only",'01_INPUT_COMPANIES'!$L$102&lt;&gt;"yes")),"ERROR: BENCHMARK",IF(COUNTIF('92_REF_VARIABLES'!$L$21:$L$50,'01_INPUT_COMPANIES'!$I$102)&lt;&gt;1,"ERROR: CURRENCY",IF(OR(NOT(ISNUMBER('01_INPUT_COMPANIES'!$J$102)),'01_INPUT_COMPANIES'!$J$102&lt;&gt;INT('01_INPUT_COMPANIES'!$J$102),'01_INPUT_COMPANIES'!$J$102&lt;2000,'01_INPUT_COMPANIES'!$J$102&gt;2100),"ERROR: PRICE YEAR",IF(NOT(OR('01_INPUT_COMPANIES'!$K$102="A",'01_INPUT_COMPANIES'!$K$102="B",'01_INPUT_COMPANIES'!$K$102="C",'01_INPUT_COMPANIES'!$K$102="SYNTHETIC")),"ERROR: QUALITY",IF(NOT(OR(AND('01_INPUT_COMPANIES'!$L$102="yes",'01_INPUT_COMPANIES'!$K$102="SYNTHETIC"),AND('01_INPUT_COMPANIES'!$L$102="no",'01_INPUT_COMPANIES'!$K$102&lt;&gt;"SYNTHETIC"))),"ERROR: SYNTHETIC FLAG",IF(NOT(OR('01_INPUT_COMPANIES'!$M$102="direct",'01_INPUT_COMPANIES'!$M$102="derived",'01_INPUT_COMPANIES'!$M$102="proxy",'01_INPUT_COMPANIES'!$M$102="mixed")),"ERROR: CONSTRUCTION MODE",IF(OR(NOT(ISNUMBER('01_INPUT_COMPANIES'!$P$102)),'01_INPUT_COMPANIES'!$P$102&lt;0,'01_INPUT_COMPANIES'!$P$102&lt;&gt;INT('01_INPUT_COMPANIES'!$P$102)),"ERROR: CARRY LAG",IF('01_INPUT_COMPANIES'!$Q$102&lt;&gt;"yes","ERROR: EXPOSURE ADJUSTMENT",IF(OR(NOT(ISNUMBER('01_INPUT_COMPANIES'!$R$102)),'01_INPUT_COMPANIES'!$R$102&lt;0,'01_INPUT_COMPANIES'!$R$102&gt;1),"ERROR: EXPOSURE FACTOR",IF(COUNT(Y102)=0,"ERROR: SCORE",IF(COUNT(Z102)=0,"READY",IF(AA102&lt;=0.0000000001,"PASS","CHECK"))&amp;IF('01_INPUT_COMPANIES'!$K$102="C"," | C QUALITY","")&amp;IF(OR('01_INPUT_COMPANIES'!$M$102="proxy",'01_INPUT_COMPANIES'!$M$102="mixed")," | PROXY/MIXED","")&amp;IF('01_INPUT_COMPANIES'!$P$102&gt;1," | CARRY&gt;1","")&amp;IF(OR(OR('01_INPUT_COMPANIES'!$T$102&lt;-1,'01_INPUT_COMPANIES'!$T$102&gt;1),OR('01_INPUT_COMPANIES'!$U$102&lt;0,'01_INPUT_COMPANIES'!$U$102&gt;1),OR('01_INPUT_COMPANIES'!$V$102&lt;0,'01_INPUT_COMPANIES'!$V$102&gt;1),OR('01_INPUT_COMPANIES'!$W$102&lt;-10,'01_INPUT_COMPANIES'!$W$102&gt;10),OR('01_INPUT_COMPANIES'!$X$102&lt;-1,'01_INPUT_COMPANIES'!$X$102&gt;1),OR('01_INPUT_COMPANIES'!$Y$102&lt;0,'01_INPUT_COMPANIES'!$Y$102&gt;20),OR('01_INPUT_COMPANIES'!$Z$102&lt;-2,'01_INPUT_COMPANIES'!$Z$102&gt;2),OR('01_INPUT_COMPANIES'!$AA$102&lt;0,'01_INPUT_COMPANIES'!$AA$102&gt;1),OR('01_INPUT_COMPANIES'!$AB$102&lt;0,'01_INPUT_COMPANIES'!$AB$102&gt;1),OR('01_INPUT_COMPANIES'!$AC$102&lt;0,'01_INPUT_COMPANIES'!$AC$102&gt;50))," | REVIEW RANGE","")&amp;IF(COUNTIF('90_CALC_FEATURES'!$J$957:$J$966,"WINSORIZED*")&gt;0," | WINSORIZED","")&amp;IF(ABS('01_INPUT_COMPANIES'!$U$102-'01_INPUT_COMPANIES'!$V$102*'01_INPUT_COMPANIES'!$AB$102)&gt;MAX(0.005,0.05*MAX(ABS('01_INPUT_COMPANIES'!$V$102*'01_INPUT_COMPANIES'!$AB$102),ABS('01_INPUT_COMPANIES'!$U$102),0.000000000001))," | DEPENDENCY",""))))))))))))))))))))</x:f>
      </x:c>
      <x:c r="AC102" s="34" t="str">
        <x:f>IF(A102="","",IF(OR(LEFT(AB102,4)="PASS",LEFT(AB102,5)="READY"),"RESEARCH BETA | 저지원 22.22% | 기업 백분위 N/A", "결과 사용 금지 | "&amp;AB102))</x:f>
      </x:c>
      <x:c r="AD102" s="34" t="str">
        <x:f>IF(A102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$102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$102,TRIM('01_INPUT_COMPANIES'!$D$102)),EXACT('01_INPUT_COMPANIES'!$E$102,TRIM('01_INPUT_COMPANIES'!$E$102)),EXACT('01_INPUT_COMPANIES'!$F$102,TRIM('01_INPUT_COMPANIES'!$F$102)),EXACT('01_INPUT_COMPANIES'!$G$102,TRIM('01_INPUT_COMPANIES'!$G$102)),EXACT('01_INPUT_COMPANIES'!$H$102,TRIM('01_INPUT_COMPANIES'!$H$102)))),"ERROR: COHORT WHITESPACE",IF(NOT(IFERROR(AND(ISTEXT('01_INPUT_COMPANIES'!$O$102),LEN('01_INPUT_COMPANIES'!$O$102)=10,VALUE(LEFT('01_INPUT_COMPANIES'!$O$102,4))&gt;=2000,VALUE(LEFT('01_INPUT_COMPANIES'!$O$102,4))&lt;=2100,EXACT(TEXT(DATE(VALUE(LEFT('01_INPUT_COMPANIES'!$O$102,4)),VALUE(MID('01_INPUT_COMPANIES'!$O$102,6,2)),VALUE(RIGHT('01_INPUT_COMPANIES'!$O$102,2))),"yyyy-mm-dd"),'01_INPUT_COMPANIES'!$O$102)),FALSE)),"ERROR: SOURCE DATE",IF(NOT(AND(OR(EXACT('01_INPUT_COMPANIES'!$C$102,"domestic"),EXACT('01_INPUT_COMPANIES'!$C$102,"foreign"),EXACT('01_INPUT_COMPANIES'!$C$102,"other")),OR(EXACT('01_INPUT_COMPANIES'!$K$102,"A"),EXACT('01_INPUT_COMPANIES'!$K$102,"B"),EXACT('01_INPUT_COMPANIES'!$K$102,"C"),EXACT('01_INPUT_COMPANIES'!$K$102,"SYNTHETIC")),OR(EXACT('01_INPUT_COMPANIES'!$L$102,"yes"),EXACT('01_INPUT_COMPANIES'!$L$102,"no")),OR(EXACT('01_INPUT_COMPANIES'!$M$102,"direct"),EXACT('01_INPUT_COMPANIES'!$M$102,"derived"),EXACT('01_INPUT_COMPANIES'!$M$102,"proxy"),EXACT('01_INPUT_COMPANIES'!$M$102,"mixed")),OR(EXACT('01_INPUT_COMPANIES'!$Q$102,"yes")),EXACT('01_INPUT_COMPANIES'!$I$102,UPPER('01_INPUT_COMPANIES'!$I$102)))),"ERROR: EXACT ENUM",IF(NOT(IFERROR(OR(AND(EXACT('92_REF_VARIABLES'!$A$21,'01_INPUT_COMPANIES'!$H$102),EXACT('92_REF_VARIABLES'!$B$21,'01_INPUT_COMPANIES'!$D$102),EXACT('92_REF_VARIABLES'!$C$21,'01_INPUT_COMPANIES'!$G$102))),FALSE)),"ERROR: BENCHMARK",""))))))</x:f>
      </x:c>
    </x:row>
    <x:row r="103">
      <x:c r="A103" s="34" t="str">
        <x:f>IF(OR('01_INPUT_COMPANIES'!$A$103="",'01_INPUT_COMPANIES'!$A$103=""),"",'01_INPUT_COMPANIES'!$A$103)</x:f>
      </x:c>
      <x:c r="B103" s="34" t="str">
        <x:f>IF(OR('01_INPUT_COMPANIES'!$A$103="",'01_INPUT_COMPANIES'!$B$103=""),"",'01_INPUT_COMPANIES'!$B$103)</x:f>
      </x:c>
      <x:c r="C103" s="34" t="str">
        <x:f>IF(OR('01_INPUT_COMPANIES'!$A$103="",'01_INPUT_COMPANIES'!$C$103=""),"",'01_INPUT_COMPANIES'!$C$103)</x:f>
      </x:c>
      <x:c r="D103" s="34" t="str">
        <x:f>IF(OR('01_INPUT_COMPANIES'!$A$103="",'01_INPUT_COMPANIES'!$D$103=""),"",'01_INPUT_COMPANIES'!$D$103)</x:f>
      </x:c>
      <x:c r="E103" s="34" t="str">
        <x:f>IF(OR('01_INPUT_COMPANIES'!$A$103="",'01_INPUT_COMPANIES'!$E$103=""),"",'01_INPUT_COMPANIES'!$E$103)</x:f>
      </x:c>
      <x:c r="F103" s="34" t="str">
        <x:f>IF(OR('01_INPUT_COMPANIES'!$A$103="",'01_INPUT_COMPANIES'!$F$103=""),"",'01_INPUT_COMPANIES'!$F$103)</x:f>
      </x:c>
      <x:c r="G103" s="34" t="str">
        <x:f>IF(OR('01_INPUT_COMPANIES'!$A$103="",'01_INPUT_COMPANIES'!$G$103=""),"",'01_INPUT_COMPANIES'!$G$103)</x:f>
      </x:c>
      <x:c r="H103" s="34" t="str">
        <x:f>IF(OR('01_INPUT_COMPANIES'!$A$103="",'01_INPUT_COMPANIES'!$H$103=""),"",'01_INPUT_COMPANIES'!$H$103)</x:f>
      </x:c>
      <x:c r="I103" s="34" t="str">
        <x:f>IF(OR('01_INPUT_COMPANIES'!$A$103="",'01_INPUT_COMPANIES'!$K$103=""),"",'01_INPUT_COMPANIES'!$K$103)</x:f>
      </x:c>
      <x:c r="J103" s="34" t="str">
        <x:f>IF(OR('01_INPUT_COMPANIES'!$A$103="",'01_INPUT_COMPANIES'!$M$103=""),"",'01_INPUT_COMPANIES'!$M$103)</x:f>
      </x:c>
      <x:c r="K103" s="34" t="str">
        <x:f>IF(OR(A103="",COUNTBLANK(D103:H103)&gt;0),"",LEN(D103)&amp;":"&amp;D103&amp;LEN(E103)&amp;":"&amp;E103&amp;LEN(F103)&amp;":"&amp;F103&amp;LEN(G103)&amp;":"&amp;G103&amp;LEN(H103)&amp;":"&amp;H103)</x:f>
      </x:c>
      <x:c r="L103" s="47" t="str">
        <x:f>IF(A103="","",'90_CALC_FEATURES'!$I$967)</x:f>
      </x:c>
      <x:c r="M103" s="47" t="str">
        <x:f>IF(A103="","",'90_CALC_FEATURES'!$I$968)</x:f>
      </x:c>
      <x:c r="N103" s="47" t="str">
        <x:f>IF(A103="","",'90_CALC_FEATURES'!$I$969)</x:f>
      </x:c>
      <x:c r="O103" s="47" t="str">
        <x:f>IF(A103="","",'90_CALC_FEATURES'!$I$970)</x:f>
      </x:c>
      <x:c r="P103" s="47" t="str">
        <x:f>IF(A103="","",'90_CALC_FEATURES'!$I$971)</x:f>
      </x:c>
      <x:c r="Q103" s="47" t="str">
        <x:f>IF(A103="","",'90_CALC_FEATURES'!$I$972)</x:f>
      </x:c>
      <x:c r="R103" s="47" t="str">
        <x:f>IF(A103="","",'90_CALC_FEATURES'!$I$973)</x:f>
      </x:c>
      <x:c r="S103" s="47" t="str">
        <x:f>IF(A103="","",'90_CALC_FEATURES'!$I$974)</x:f>
      </x:c>
      <x:c r="T103" s="47" t="str">
        <x:f>IF(A103="","",'90_CALC_FEATURES'!$I$975)</x:f>
      </x:c>
      <x:c r="U103" s="47" t="str">
        <x:f>IF(A103="","",'90_CALC_FEATURES'!$I$976)</x:f>
      </x:c>
      <x:c r="V103" s="47" t="str">
        <x:f>IF(COUNT(L103:N103)=3,100*AVERAGE(L103:N103),"")</x:f>
      </x:c>
      <x:c r="W103" s="47" t="str">
        <x:f>IF(COUNT(O103:R103)=4,100*AVERAGE(O103:R103),"")</x:f>
      </x:c>
      <x:c r="X103" s="47" t="str">
        <x:f>IF(COUNT(S103:U103)=3,100*AVERAGE(S103:U103),"")</x:f>
      </x:c>
      <x:c r="Y103" s="47" t="str">
        <x:f>IF(COUNT(V103:X103)=3,AVERAGE(V103:X103),"")</x:f>
      </x:c>
      <x:c r="Z103" s="47" t="str">
        <x:f>IF(OR(AND(EXACT(A103,"SYN-A"),COUNT('01_INPUT_COMPANIES'!$T$103:$AC$103)=10,'01_INPUT_COMPANIES'!$T$103=-0.02,'01_INPUT_COMPANIES'!$U$103=0.1332,'01_INPUT_COMPANIES'!$V$103=0.18,'01_INPUT_COMPANIES'!$W$103=0.42,'01_INPUT_COMPANIES'!$X$103=0.012,'01_INPUT_COMPANIES'!$Y$103=3.2,'01_INPUT_COMPANIES'!$Z$103=0.08,'01_INPUT_COMPANIES'!$AA$103=0.28,'01_INPUT_COMPANIES'!$AB$103=0.74,'01_INPUT_COMPANIES'!$AC$103=8.5),AND(EXACT(A103,"SYN-B"),COUNT('01_INPUT_COMPANIES'!$T$103:$AC$103)=10,'01_INPUT_COMPANIES'!$T$103=-0.055,'01_INPUT_COMPANIES'!$U$103=0.06405,'01_INPUT_COMPANIES'!$V$103=0.105,'01_INPUT_COMPANIES'!$W$103=0.73,'01_INPUT_COMPANIES'!$X$103=0.004,'01_INPUT_COMPANIES'!$Y$103=4.1,'01_INPUT_COMPANIES'!$Z$103=0.025,'01_INPUT_COMPANIES'!$AA$103=0.16,'01_INPUT_COMPANIES'!$AB$103=0.61,'01_INPUT_COMPANIES'!$AC$103=4),AND(EXACT(A103,"SYN-C"),COUNT('01_INPUT_COMPANIES'!$T$103:$AC$103)=10,'01_INPUT_COMPANIES'!$T$103=0.01,'01_INPUT_COMPANIES'!$U$103=0.0986,'01_INPUT_COMPANIES'!$V$103=0.145,'01_INPUT_COMPANIES'!$W$103=0.18,'01_INPUT_COMPANIES'!$X$103=0.018,'01_INPUT_COMPANIES'!$Y$103=2.65,'01_INPUT_COMPANIES'!$Z$103=0.11,'01_INPUT_COMPANIES'!$AA$103=0.34,'01_INPUT_COMPANIES'!$AB$103=0.68,'01_INPUT_COMPANIES'!$AC$103=6.8),AND(EXACT(A103,"SYN-D"),COUNT('01_INPUT_COMPANIES'!$T$103:$AC$103)=10,'01_INPUT_COMPANIES'!$T$103=-0.005,'01_INPUT_COMPANIES'!$U$103=0.1136,'01_INPUT_COMPANIES'!$V$103=0.16,'01_INPUT_COMPANIES'!$W$103=0.51,'01_INPUT_COMPANIES'!$X$103=0.009,'01_INPUT_COMPANIES'!$Y$103=3.55,'01_INPUT_COMPANIES'!$Z$103=0.065,'01_INPUT_COMPANIES'!$AA$103=0.24,'01_INPUT_COMPANIES'!$AB$103=0.71,'01_INPUT_COMPANIES'!$AC$103=7.4)),IFERROR(INDEX('94_EXPECTED_OUTPUTS'!$B$7:$B$10,MATCH(A103,'94_EXPECTED_OUTPUTS'!$A$7:$A$10,0)),""),"")</x:f>
      </x:c>
      <x:c r="AA103" s="47" t="str">
        <x:f>IF(OR(COUNT(Y103)=0,COUNT(Z103)=0),"",ABS(Y103-Z103))</x:f>
      </x:c>
      <x:c r="AB103" s="34" t="str">
        <x:f>IF(A103="","",IF(AD103&lt;&gt;"",AD103,IF('01_INPUT_COMPANIES'!$A$103="","",IF(OR(LEN(TRIM('01_INPUT_COMPANIES'!$A$103&amp;""))=0,LEN(TRIM('01_INPUT_COMPANIES'!$B$103&amp;""))=0,LEN(TRIM('01_INPUT_COMPANIES'!$C$103&amp;""))=0,LEN(TRIM('01_INPUT_COMPANIES'!$D$103&amp;""))=0,LEN(TRIM('01_INPUT_COMPANIES'!$E$103&amp;""))=0,LEN(TRIM('01_INPUT_COMPANIES'!$F$103&amp;""))=0,LEN(TRIM('01_INPUT_COMPANIES'!$G$103&amp;""))=0,LEN(TRIM('01_INPUT_COMPANIES'!$H$103&amp;""))=0,LEN(TRIM('01_INPUT_COMPANIES'!$I$103&amp;""))=0,LEN(TRIM('01_INPUT_COMPANIES'!$K$103&amp;""))=0,LEN(TRIM('01_INPUT_COMPANIES'!$L$103&amp;""))=0,LEN(TRIM('01_INPUT_COMPANIES'!$M$103&amp;""))=0,LEN(TRIM('01_INPUT_COMPANIES'!$N$103&amp;""))=0,LEN(TRIM('01_INPUT_COMPANIES'!$O$103&amp;""))=0,LEN(TRIM('01_INPUT_COMPANIES'!$Q$103&amp;""))=0,COUNTBLANK('01_INPUT_COMPANIES'!$A$103:$R$103)&gt;0),"INPUT REQUIRED",IF(OR('01_INPUT_COMPANIES'!$A$103&lt;&gt;TRIM('01_INPUT_COMPANIES'!$A$103),NOT(EXACT('01_INPUT_COMPANIES'!$A$103,UPPER('01_INPUT_COMPANIES'!$A$103))),LEN('01_INPUT_COMPANIES'!$A$103)&gt;64,ISNUMBER(FIND("*",'01_INPUT_COMPANIES'!$A$103)),ISNUMBER(FIND("?",'01_INPUT_COMPANIES'!$A$103)),ISNUMBER(FIND("~",'01_INPUT_COMPANIES'!$A$103))),"ERROR: ID FORMAT",IF(COUNTIF('01_INPUT_COMPANIES'!$A$7:$A$106,'01_INPUT_COMPANIES'!$A$103)&lt;&gt;1,"ERROR: DUPLICATE ID",IF(COUNT('01_INPUT_COMPANIES'!$T$103:$AC$103)&lt;&gt;10,"INPUT REQUIRED",IF(NOT(OR('01_INPUT_COMPANIES'!$C$103="domestic",'01_INPUT_COMPANIES'!$C$103="foreign",'01_INPUT_COMPANIES'!$C$103="other")),"ERROR: COMPANY GROUP",IF(OR(LEN('01_INPUT_COMPANIES'!$G$103)&lt;&gt;6,MID('01_INPUT_COMPANIES'!$G$103,5,1)&lt;&gt;"Q",IFERROR(VALUE(LEFT('01_INPUT_COMPANIES'!$G$103,4)),0)&lt;2000,IFERROR(VALUE(LEFT('01_INPUT_COMPANIES'!$G$103,4)),0)&gt;2100,IFERROR(VALUE(RIGHT('01_INPUT_COMPANIES'!$G$103,1)),0)&lt;1,IFERROR(VALUE(RIGHT('01_INPUT_COMPANIES'!$G$103,1)),0)&gt;4),"ERROR: REPORTING PERIOD",IF(OR(COUNTIFS('92_REF_VARIABLES'!$A$21:$A$21,'01_INPUT_COMPANIES'!$H$103,'92_REF_VARIABLES'!$B$21:$B$21,'01_INPUT_COMPANIES'!$D$103,'92_REF_VARIABLES'!$C$21:$C$21,'01_INPUT_COMPANIES'!$G$103)&lt;&gt;1,AND(IFERROR(INDEX('92_REF_VARIABLES'!$I$21:$I$21,MATCH('01_INPUT_COMPANIES'!$H$103,'92_REF_VARIABLES'!$A$21:$A$21,0)),"")="synthetic_only",'01_INPUT_COMPANIES'!$L$103&lt;&gt;"yes")),"ERROR: BENCHMARK",IF(COUNTIF('92_REF_VARIABLES'!$L$21:$L$50,'01_INPUT_COMPANIES'!$I$103)&lt;&gt;1,"ERROR: CURRENCY",IF(OR(NOT(ISNUMBER('01_INPUT_COMPANIES'!$J$103)),'01_INPUT_COMPANIES'!$J$103&lt;&gt;INT('01_INPUT_COMPANIES'!$J$103),'01_INPUT_COMPANIES'!$J$103&lt;2000,'01_INPUT_COMPANIES'!$J$103&gt;2100),"ERROR: PRICE YEAR",IF(NOT(OR('01_INPUT_COMPANIES'!$K$103="A",'01_INPUT_COMPANIES'!$K$103="B",'01_INPUT_COMPANIES'!$K$103="C",'01_INPUT_COMPANIES'!$K$103="SYNTHETIC")),"ERROR: QUALITY",IF(NOT(OR(AND('01_INPUT_COMPANIES'!$L$103="yes",'01_INPUT_COMPANIES'!$K$103="SYNTHETIC"),AND('01_INPUT_COMPANIES'!$L$103="no",'01_INPUT_COMPANIES'!$K$103&lt;&gt;"SYNTHETIC"))),"ERROR: SYNTHETIC FLAG",IF(NOT(OR('01_INPUT_COMPANIES'!$M$103="direct",'01_INPUT_COMPANIES'!$M$103="derived",'01_INPUT_COMPANIES'!$M$103="proxy",'01_INPUT_COMPANIES'!$M$103="mixed")),"ERROR: CONSTRUCTION MODE",IF(OR(NOT(ISNUMBER('01_INPUT_COMPANIES'!$P$103)),'01_INPUT_COMPANIES'!$P$103&lt;0,'01_INPUT_COMPANIES'!$P$103&lt;&gt;INT('01_INPUT_COMPANIES'!$P$103)),"ERROR: CARRY LAG",IF('01_INPUT_COMPANIES'!$Q$103&lt;&gt;"yes","ERROR: EXPOSURE ADJUSTMENT",IF(OR(NOT(ISNUMBER('01_INPUT_COMPANIES'!$R$103)),'01_INPUT_COMPANIES'!$R$103&lt;0,'01_INPUT_COMPANIES'!$R$103&gt;1),"ERROR: EXPOSURE FACTOR",IF(COUNT(Y103)=0,"ERROR: SCORE",IF(COUNT(Z103)=0,"READY",IF(AA103&lt;=0.0000000001,"PASS","CHECK"))&amp;IF('01_INPUT_COMPANIES'!$K$103="C"," | C QUALITY","")&amp;IF(OR('01_INPUT_COMPANIES'!$M$103="proxy",'01_INPUT_COMPANIES'!$M$103="mixed")," | PROXY/MIXED","")&amp;IF('01_INPUT_COMPANIES'!$P$103&gt;1," | CARRY&gt;1","")&amp;IF(OR(OR('01_INPUT_COMPANIES'!$T$103&lt;-1,'01_INPUT_COMPANIES'!$T$103&gt;1),OR('01_INPUT_COMPANIES'!$U$103&lt;0,'01_INPUT_COMPANIES'!$U$103&gt;1),OR('01_INPUT_COMPANIES'!$V$103&lt;0,'01_INPUT_COMPANIES'!$V$103&gt;1),OR('01_INPUT_COMPANIES'!$W$103&lt;-10,'01_INPUT_COMPANIES'!$W$103&gt;10),OR('01_INPUT_COMPANIES'!$X$103&lt;-1,'01_INPUT_COMPANIES'!$X$103&gt;1),OR('01_INPUT_COMPANIES'!$Y$103&lt;0,'01_INPUT_COMPANIES'!$Y$103&gt;20),OR('01_INPUT_COMPANIES'!$Z$103&lt;-2,'01_INPUT_COMPANIES'!$Z$103&gt;2),OR('01_INPUT_COMPANIES'!$AA$103&lt;0,'01_INPUT_COMPANIES'!$AA$103&gt;1),OR('01_INPUT_COMPANIES'!$AB$103&lt;0,'01_INPUT_COMPANIES'!$AB$103&gt;1),OR('01_INPUT_COMPANIES'!$AC$103&lt;0,'01_INPUT_COMPANIES'!$AC$103&gt;50))," | REVIEW RANGE","")&amp;IF(COUNTIF('90_CALC_FEATURES'!$J$967:$J$976,"WINSORIZED*")&gt;0," | WINSORIZED","")&amp;IF(ABS('01_INPUT_COMPANIES'!$U$103-'01_INPUT_COMPANIES'!$V$103*'01_INPUT_COMPANIES'!$AB$103)&gt;MAX(0.005,0.05*MAX(ABS('01_INPUT_COMPANIES'!$V$103*'01_INPUT_COMPANIES'!$AB$103),ABS('01_INPUT_COMPANIES'!$U$103),0.000000000001))," | DEPENDENCY",""))))))))))))))))))))</x:f>
      </x:c>
      <x:c r="AC103" s="34" t="str">
        <x:f>IF(A103="","",IF(OR(LEFT(AB103,4)="PASS",LEFT(AB103,5)="READY"),"RESEARCH BETA | 저지원 22.22% | 기업 백분위 N/A", "결과 사용 금지 | "&amp;AB103))</x:f>
      </x:c>
      <x:c r="AD103" s="34" t="str">
        <x:f>IF(A103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$103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$103,TRIM('01_INPUT_COMPANIES'!$D$103)),EXACT('01_INPUT_COMPANIES'!$E$103,TRIM('01_INPUT_COMPANIES'!$E$103)),EXACT('01_INPUT_COMPANIES'!$F$103,TRIM('01_INPUT_COMPANIES'!$F$103)),EXACT('01_INPUT_COMPANIES'!$G$103,TRIM('01_INPUT_COMPANIES'!$G$103)),EXACT('01_INPUT_COMPANIES'!$H$103,TRIM('01_INPUT_COMPANIES'!$H$103)))),"ERROR: COHORT WHITESPACE",IF(NOT(IFERROR(AND(ISTEXT('01_INPUT_COMPANIES'!$O$103),LEN('01_INPUT_COMPANIES'!$O$103)=10,VALUE(LEFT('01_INPUT_COMPANIES'!$O$103,4))&gt;=2000,VALUE(LEFT('01_INPUT_COMPANIES'!$O$103,4))&lt;=2100,EXACT(TEXT(DATE(VALUE(LEFT('01_INPUT_COMPANIES'!$O$103,4)),VALUE(MID('01_INPUT_COMPANIES'!$O$103,6,2)),VALUE(RIGHT('01_INPUT_COMPANIES'!$O$103,2))),"yyyy-mm-dd"),'01_INPUT_COMPANIES'!$O$103)),FALSE)),"ERROR: SOURCE DATE",IF(NOT(AND(OR(EXACT('01_INPUT_COMPANIES'!$C$103,"domestic"),EXACT('01_INPUT_COMPANIES'!$C$103,"foreign"),EXACT('01_INPUT_COMPANIES'!$C$103,"other")),OR(EXACT('01_INPUT_COMPANIES'!$K$103,"A"),EXACT('01_INPUT_COMPANIES'!$K$103,"B"),EXACT('01_INPUT_COMPANIES'!$K$103,"C"),EXACT('01_INPUT_COMPANIES'!$K$103,"SYNTHETIC")),OR(EXACT('01_INPUT_COMPANIES'!$L$103,"yes"),EXACT('01_INPUT_COMPANIES'!$L$103,"no")),OR(EXACT('01_INPUT_COMPANIES'!$M$103,"direct"),EXACT('01_INPUT_COMPANIES'!$M$103,"derived"),EXACT('01_INPUT_COMPANIES'!$M$103,"proxy"),EXACT('01_INPUT_COMPANIES'!$M$103,"mixed")),OR(EXACT('01_INPUT_COMPANIES'!$Q$103,"yes")),EXACT('01_INPUT_COMPANIES'!$I$103,UPPER('01_INPUT_COMPANIES'!$I$103)))),"ERROR: EXACT ENUM",IF(NOT(IFERROR(OR(AND(EXACT('92_REF_VARIABLES'!$A$21,'01_INPUT_COMPANIES'!$H$103),EXACT('92_REF_VARIABLES'!$B$21,'01_INPUT_COMPANIES'!$D$103),EXACT('92_REF_VARIABLES'!$C$21,'01_INPUT_COMPANIES'!$G$103))),FALSE)),"ERROR: BENCHMARK",""))))))</x:f>
      </x:c>
    </x:row>
    <x:row r="104">
      <x:c r="A104" s="34" t="str">
        <x:f>IF(OR('01_INPUT_COMPANIES'!$A$104="",'01_INPUT_COMPANIES'!$A$104=""),"",'01_INPUT_COMPANIES'!$A$104)</x:f>
      </x:c>
      <x:c r="B104" s="34" t="str">
        <x:f>IF(OR('01_INPUT_COMPANIES'!$A$104="",'01_INPUT_COMPANIES'!$B$104=""),"",'01_INPUT_COMPANIES'!$B$104)</x:f>
      </x:c>
      <x:c r="C104" s="34" t="str">
        <x:f>IF(OR('01_INPUT_COMPANIES'!$A$104="",'01_INPUT_COMPANIES'!$C$104=""),"",'01_INPUT_COMPANIES'!$C$104)</x:f>
      </x:c>
      <x:c r="D104" s="34" t="str">
        <x:f>IF(OR('01_INPUT_COMPANIES'!$A$104="",'01_INPUT_COMPANIES'!$D$104=""),"",'01_INPUT_COMPANIES'!$D$104)</x:f>
      </x:c>
      <x:c r="E104" s="34" t="str">
        <x:f>IF(OR('01_INPUT_COMPANIES'!$A$104="",'01_INPUT_COMPANIES'!$E$104=""),"",'01_INPUT_COMPANIES'!$E$104)</x:f>
      </x:c>
      <x:c r="F104" s="34" t="str">
        <x:f>IF(OR('01_INPUT_COMPANIES'!$A$104="",'01_INPUT_COMPANIES'!$F$104=""),"",'01_INPUT_COMPANIES'!$F$104)</x:f>
      </x:c>
      <x:c r="G104" s="34" t="str">
        <x:f>IF(OR('01_INPUT_COMPANIES'!$A$104="",'01_INPUT_COMPANIES'!$G$104=""),"",'01_INPUT_COMPANIES'!$G$104)</x:f>
      </x:c>
      <x:c r="H104" s="34" t="str">
        <x:f>IF(OR('01_INPUT_COMPANIES'!$A$104="",'01_INPUT_COMPANIES'!$H$104=""),"",'01_INPUT_COMPANIES'!$H$104)</x:f>
      </x:c>
      <x:c r="I104" s="34" t="str">
        <x:f>IF(OR('01_INPUT_COMPANIES'!$A$104="",'01_INPUT_COMPANIES'!$K$104=""),"",'01_INPUT_COMPANIES'!$K$104)</x:f>
      </x:c>
      <x:c r="J104" s="34" t="str">
        <x:f>IF(OR('01_INPUT_COMPANIES'!$A$104="",'01_INPUT_COMPANIES'!$M$104=""),"",'01_INPUT_COMPANIES'!$M$104)</x:f>
      </x:c>
      <x:c r="K104" s="34" t="str">
        <x:f>IF(OR(A104="",COUNTBLANK(D104:H104)&gt;0),"",LEN(D104)&amp;":"&amp;D104&amp;LEN(E104)&amp;":"&amp;E104&amp;LEN(F104)&amp;":"&amp;F104&amp;LEN(G104)&amp;":"&amp;G104&amp;LEN(H104)&amp;":"&amp;H104)</x:f>
      </x:c>
      <x:c r="L104" s="47" t="str">
        <x:f>IF(A104="","",'90_CALC_FEATURES'!$I$977)</x:f>
      </x:c>
      <x:c r="M104" s="47" t="str">
        <x:f>IF(A104="","",'90_CALC_FEATURES'!$I$978)</x:f>
      </x:c>
      <x:c r="N104" s="47" t="str">
        <x:f>IF(A104="","",'90_CALC_FEATURES'!$I$979)</x:f>
      </x:c>
      <x:c r="O104" s="47" t="str">
        <x:f>IF(A104="","",'90_CALC_FEATURES'!$I$980)</x:f>
      </x:c>
      <x:c r="P104" s="47" t="str">
        <x:f>IF(A104="","",'90_CALC_FEATURES'!$I$981)</x:f>
      </x:c>
      <x:c r="Q104" s="47" t="str">
        <x:f>IF(A104="","",'90_CALC_FEATURES'!$I$982)</x:f>
      </x:c>
      <x:c r="R104" s="47" t="str">
        <x:f>IF(A104="","",'90_CALC_FEATURES'!$I$983)</x:f>
      </x:c>
      <x:c r="S104" s="47" t="str">
        <x:f>IF(A104="","",'90_CALC_FEATURES'!$I$984)</x:f>
      </x:c>
      <x:c r="T104" s="47" t="str">
        <x:f>IF(A104="","",'90_CALC_FEATURES'!$I$985)</x:f>
      </x:c>
      <x:c r="U104" s="47" t="str">
        <x:f>IF(A104="","",'90_CALC_FEATURES'!$I$986)</x:f>
      </x:c>
      <x:c r="V104" s="47" t="str">
        <x:f>IF(COUNT(L104:N104)=3,100*AVERAGE(L104:N104),"")</x:f>
      </x:c>
      <x:c r="W104" s="47" t="str">
        <x:f>IF(COUNT(O104:R104)=4,100*AVERAGE(O104:R104),"")</x:f>
      </x:c>
      <x:c r="X104" s="47" t="str">
        <x:f>IF(COUNT(S104:U104)=3,100*AVERAGE(S104:U104),"")</x:f>
      </x:c>
      <x:c r="Y104" s="47" t="str">
        <x:f>IF(COUNT(V104:X104)=3,AVERAGE(V104:X104),"")</x:f>
      </x:c>
      <x:c r="Z104" s="47" t="str">
        <x:f>IF(OR(AND(EXACT(A104,"SYN-A"),COUNT('01_INPUT_COMPANIES'!$T$104:$AC$104)=10,'01_INPUT_COMPANIES'!$T$104=-0.02,'01_INPUT_COMPANIES'!$U$104=0.1332,'01_INPUT_COMPANIES'!$V$104=0.18,'01_INPUT_COMPANIES'!$W$104=0.42,'01_INPUT_COMPANIES'!$X$104=0.012,'01_INPUT_COMPANIES'!$Y$104=3.2,'01_INPUT_COMPANIES'!$Z$104=0.08,'01_INPUT_COMPANIES'!$AA$104=0.28,'01_INPUT_COMPANIES'!$AB$104=0.74,'01_INPUT_COMPANIES'!$AC$104=8.5),AND(EXACT(A104,"SYN-B"),COUNT('01_INPUT_COMPANIES'!$T$104:$AC$104)=10,'01_INPUT_COMPANIES'!$T$104=-0.055,'01_INPUT_COMPANIES'!$U$104=0.06405,'01_INPUT_COMPANIES'!$V$104=0.105,'01_INPUT_COMPANIES'!$W$104=0.73,'01_INPUT_COMPANIES'!$X$104=0.004,'01_INPUT_COMPANIES'!$Y$104=4.1,'01_INPUT_COMPANIES'!$Z$104=0.025,'01_INPUT_COMPANIES'!$AA$104=0.16,'01_INPUT_COMPANIES'!$AB$104=0.61,'01_INPUT_COMPANIES'!$AC$104=4),AND(EXACT(A104,"SYN-C"),COUNT('01_INPUT_COMPANIES'!$T$104:$AC$104)=10,'01_INPUT_COMPANIES'!$T$104=0.01,'01_INPUT_COMPANIES'!$U$104=0.0986,'01_INPUT_COMPANIES'!$V$104=0.145,'01_INPUT_COMPANIES'!$W$104=0.18,'01_INPUT_COMPANIES'!$X$104=0.018,'01_INPUT_COMPANIES'!$Y$104=2.65,'01_INPUT_COMPANIES'!$Z$104=0.11,'01_INPUT_COMPANIES'!$AA$104=0.34,'01_INPUT_COMPANIES'!$AB$104=0.68,'01_INPUT_COMPANIES'!$AC$104=6.8),AND(EXACT(A104,"SYN-D"),COUNT('01_INPUT_COMPANIES'!$T$104:$AC$104)=10,'01_INPUT_COMPANIES'!$T$104=-0.005,'01_INPUT_COMPANIES'!$U$104=0.1136,'01_INPUT_COMPANIES'!$V$104=0.16,'01_INPUT_COMPANIES'!$W$104=0.51,'01_INPUT_COMPANIES'!$X$104=0.009,'01_INPUT_COMPANIES'!$Y$104=3.55,'01_INPUT_COMPANIES'!$Z$104=0.065,'01_INPUT_COMPANIES'!$AA$104=0.24,'01_INPUT_COMPANIES'!$AB$104=0.71,'01_INPUT_COMPANIES'!$AC$104=7.4)),IFERROR(INDEX('94_EXPECTED_OUTPUTS'!$B$7:$B$10,MATCH(A104,'94_EXPECTED_OUTPUTS'!$A$7:$A$10,0)),""),"")</x:f>
      </x:c>
      <x:c r="AA104" s="47" t="str">
        <x:f>IF(OR(COUNT(Y104)=0,COUNT(Z104)=0),"",ABS(Y104-Z104))</x:f>
      </x:c>
      <x:c r="AB104" s="34" t="str">
        <x:f>IF(A104="","",IF(AD104&lt;&gt;"",AD104,IF('01_INPUT_COMPANIES'!$A$104="","",IF(OR(LEN(TRIM('01_INPUT_COMPANIES'!$A$104&amp;""))=0,LEN(TRIM('01_INPUT_COMPANIES'!$B$104&amp;""))=0,LEN(TRIM('01_INPUT_COMPANIES'!$C$104&amp;""))=0,LEN(TRIM('01_INPUT_COMPANIES'!$D$104&amp;""))=0,LEN(TRIM('01_INPUT_COMPANIES'!$E$104&amp;""))=0,LEN(TRIM('01_INPUT_COMPANIES'!$F$104&amp;""))=0,LEN(TRIM('01_INPUT_COMPANIES'!$G$104&amp;""))=0,LEN(TRIM('01_INPUT_COMPANIES'!$H$104&amp;""))=0,LEN(TRIM('01_INPUT_COMPANIES'!$I$104&amp;""))=0,LEN(TRIM('01_INPUT_COMPANIES'!$K$104&amp;""))=0,LEN(TRIM('01_INPUT_COMPANIES'!$L$104&amp;""))=0,LEN(TRIM('01_INPUT_COMPANIES'!$M$104&amp;""))=0,LEN(TRIM('01_INPUT_COMPANIES'!$N$104&amp;""))=0,LEN(TRIM('01_INPUT_COMPANIES'!$O$104&amp;""))=0,LEN(TRIM('01_INPUT_COMPANIES'!$Q$104&amp;""))=0,COUNTBLANK('01_INPUT_COMPANIES'!$A$104:$R$104)&gt;0),"INPUT REQUIRED",IF(OR('01_INPUT_COMPANIES'!$A$104&lt;&gt;TRIM('01_INPUT_COMPANIES'!$A$104),NOT(EXACT('01_INPUT_COMPANIES'!$A$104,UPPER('01_INPUT_COMPANIES'!$A$104))),LEN('01_INPUT_COMPANIES'!$A$104)&gt;64,ISNUMBER(FIND("*",'01_INPUT_COMPANIES'!$A$104)),ISNUMBER(FIND("?",'01_INPUT_COMPANIES'!$A$104)),ISNUMBER(FIND("~",'01_INPUT_COMPANIES'!$A$104))),"ERROR: ID FORMAT",IF(COUNTIF('01_INPUT_COMPANIES'!$A$7:$A$106,'01_INPUT_COMPANIES'!$A$104)&lt;&gt;1,"ERROR: DUPLICATE ID",IF(COUNT('01_INPUT_COMPANIES'!$T$104:$AC$104)&lt;&gt;10,"INPUT REQUIRED",IF(NOT(OR('01_INPUT_COMPANIES'!$C$104="domestic",'01_INPUT_COMPANIES'!$C$104="foreign",'01_INPUT_COMPANIES'!$C$104="other")),"ERROR: COMPANY GROUP",IF(OR(LEN('01_INPUT_COMPANIES'!$G$104)&lt;&gt;6,MID('01_INPUT_COMPANIES'!$G$104,5,1)&lt;&gt;"Q",IFERROR(VALUE(LEFT('01_INPUT_COMPANIES'!$G$104,4)),0)&lt;2000,IFERROR(VALUE(LEFT('01_INPUT_COMPANIES'!$G$104,4)),0)&gt;2100,IFERROR(VALUE(RIGHT('01_INPUT_COMPANIES'!$G$104,1)),0)&lt;1,IFERROR(VALUE(RIGHT('01_INPUT_COMPANIES'!$G$104,1)),0)&gt;4),"ERROR: REPORTING PERIOD",IF(OR(COUNTIFS('92_REF_VARIABLES'!$A$21:$A$21,'01_INPUT_COMPANIES'!$H$104,'92_REF_VARIABLES'!$B$21:$B$21,'01_INPUT_COMPANIES'!$D$104,'92_REF_VARIABLES'!$C$21:$C$21,'01_INPUT_COMPANIES'!$G$104)&lt;&gt;1,AND(IFERROR(INDEX('92_REF_VARIABLES'!$I$21:$I$21,MATCH('01_INPUT_COMPANIES'!$H$104,'92_REF_VARIABLES'!$A$21:$A$21,0)),"")="synthetic_only",'01_INPUT_COMPANIES'!$L$104&lt;&gt;"yes")),"ERROR: BENCHMARK",IF(COUNTIF('92_REF_VARIABLES'!$L$21:$L$50,'01_INPUT_COMPANIES'!$I$104)&lt;&gt;1,"ERROR: CURRENCY",IF(OR(NOT(ISNUMBER('01_INPUT_COMPANIES'!$J$104)),'01_INPUT_COMPANIES'!$J$104&lt;&gt;INT('01_INPUT_COMPANIES'!$J$104),'01_INPUT_COMPANIES'!$J$104&lt;2000,'01_INPUT_COMPANIES'!$J$104&gt;2100),"ERROR: PRICE YEAR",IF(NOT(OR('01_INPUT_COMPANIES'!$K$104="A",'01_INPUT_COMPANIES'!$K$104="B",'01_INPUT_COMPANIES'!$K$104="C",'01_INPUT_COMPANIES'!$K$104="SYNTHETIC")),"ERROR: QUALITY",IF(NOT(OR(AND('01_INPUT_COMPANIES'!$L$104="yes",'01_INPUT_COMPANIES'!$K$104="SYNTHETIC"),AND('01_INPUT_COMPANIES'!$L$104="no",'01_INPUT_COMPANIES'!$K$104&lt;&gt;"SYNTHETIC"))),"ERROR: SYNTHETIC FLAG",IF(NOT(OR('01_INPUT_COMPANIES'!$M$104="direct",'01_INPUT_COMPANIES'!$M$104="derived",'01_INPUT_COMPANIES'!$M$104="proxy",'01_INPUT_COMPANIES'!$M$104="mixed")),"ERROR: CONSTRUCTION MODE",IF(OR(NOT(ISNUMBER('01_INPUT_COMPANIES'!$P$104)),'01_INPUT_COMPANIES'!$P$104&lt;0,'01_INPUT_COMPANIES'!$P$104&lt;&gt;INT('01_INPUT_COMPANIES'!$P$104)),"ERROR: CARRY LAG",IF('01_INPUT_COMPANIES'!$Q$104&lt;&gt;"yes","ERROR: EXPOSURE ADJUSTMENT",IF(OR(NOT(ISNUMBER('01_INPUT_COMPANIES'!$R$104)),'01_INPUT_COMPANIES'!$R$104&lt;0,'01_INPUT_COMPANIES'!$R$104&gt;1),"ERROR: EXPOSURE FACTOR",IF(COUNT(Y104)=0,"ERROR: SCORE",IF(COUNT(Z104)=0,"READY",IF(AA104&lt;=0.0000000001,"PASS","CHECK"))&amp;IF('01_INPUT_COMPANIES'!$K$104="C"," | C QUALITY","")&amp;IF(OR('01_INPUT_COMPANIES'!$M$104="proxy",'01_INPUT_COMPANIES'!$M$104="mixed")," | PROXY/MIXED","")&amp;IF('01_INPUT_COMPANIES'!$P$104&gt;1," | CARRY&gt;1","")&amp;IF(OR(OR('01_INPUT_COMPANIES'!$T$104&lt;-1,'01_INPUT_COMPANIES'!$T$104&gt;1),OR('01_INPUT_COMPANIES'!$U$104&lt;0,'01_INPUT_COMPANIES'!$U$104&gt;1),OR('01_INPUT_COMPANIES'!$V$104&lt;0,'01_INPUT_COMPANIES'!$V$104&gt;1),OR('01_INPUT_COMPANIES'!$W$104&lt;-10,'01_INPUT_COMPANIES'!$W$104&gt;10),OR('01_INPUT_COMPANIES'!$X$104&lt;-1,'01_INPUT_COMPANIES'!$X$104&gt;1),OR('01_INPUT_COMPANIES'!$Y$104&lt;0,'01_INPUT_COMPANIES'!$Y$104&gt;20),OR('01_INPUT_COMPANIES'!$Z$104&lt;-2,'01_INPUT_COMPANIES'!$Z$104&gt;2),OR('01_INPUT_COMPANIES'!$AA$104&lt;0,'01_INPUT_COMPANIES'!$AA$104&gt;1),OR('01_INPUT_COMPANIES'!$AB$104&lt;0,'01_INPUT_COMPANIES'!$AB$104&gt;1),OR('01_INPUT_COMPANIES'!$AC$104&lt;0,'01_INPUT_COMPANIES'!$AC$104&gt;50))," | REVIEW RANGE","")&amp;IF(COUNTIF('90_CALC_FEATURES'!$J$977:$J$986,"WINSORIZED*")&gt;0," | WINSORIZED","")&amp;IF(ABS('01_INPUT_COMPANIES'!$U$104-'01_INPUT_COMPANIES'!$V$104*'01_INPUT_COMPANIES'!$AB$104)&gt;MAX(0.005,0.05*MAX(ABS('01_INPUT_COMPANIES'!$V$104*'01_INPUT_COMPANIES'!$AB$104),ABS('01_INPUT_COMPANIES'!$U$104),0.000000000001))," | DEPENDENCY",""))))))))))))))))))))</x:f>
      </x:c>
      <x:c r="AC104" s="34" t="str">
        <x:f>IF(A104="","",IF(OR(LEFT(AB104,4)="PASS",LEFT(AB104,5)="READY"),"RESEARCH BETA | 저지원 22.22% | 기업 백분위 N/A", "결과 사용 금지 | "&amp;AB104))</x:f>
      </x:c>
      <x:c r="AD104" s="34" t="str">
        <x:f>IF(A104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$104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$104,TRIM('01_INPUT_COMPANIES'!$D$104)),EXACT('01_INPUT_COMPANIES'!$E$104,TRIM('01_INPUT_COMPANIES'!$E$104)),EXACT('01_INPUT_COMPANIES'!$F$104,TRIM('01_INPUT_COMPANIES'!$F$104)),EXACT('01_INPUT_COMPANIES'!$G$104,TRIM('01_INPUT_COMPANIES'!$G$104)),EXACT('01_INPUT_COMPANIES'!$H$104,TRIM('01_INPUT_COMPANIES'!$H$104)))),"ERROR: COHORT WHITESPACE",IF(NOT(IFERROR(AND(ISTEXT('01_INPUT_COMPANIES'!$O$104),LEN('01_INPUT_COMPANIES'!$O$104)=10,VALUE(LEFT('01_INPUT_COMPANIES'!$O$104,4))&gt;=2000,VALUE(LEFT('01_INPUT_COMPANIES'!$O$104,4))&lt;=2100,EXACT(TEXT(DATE(VALUE(LEFT('01_INPUT_COMPANIES'!$O$104,4)),VALUE(MID('01_INPUT_COMPANIES'!$O$104,6,2)),VALUE(RIGHT('01_INPUT_COMPANIES'!$O$104,2))),"yyyy-mm-dd"),'01_INPUT_COMPANIES'!$O$104)),FALSE)),"ERROR: SOURCE DATE",IF(NOT(AND(OR(EXACT('01_INPUT_COMPANIES'!$C$104,"domestic"),EXACT('01_INPUT_COMPANIES'!$C$104,"foreign"),EXACT('01_INPUT_COMPANIES'!$C$104,"other")),OR(EXACT('01_INPUT_COMPANIES'!$K$104,"A"),EXACT('01_INPUT_COMPANIES'!$K$104,"B"),EXACT('01_INPUT_COMPANIES'!$K$104,"C"),EXACT('01_INPUT_COMPANIES'!$K$104,"SYNTHETIC")),OR(EXACT('01_INPUT_COMPANIES'!$L$104,"yes"),EXACT('01_INPUT_COMPANIES'!$L$104,"no")),OR(EXACT('01_INPUT_COMPANIES'!$M$104,"direct"),EXACT('01_INPUT_COMPANIES'!$M$104,"derived"),EXACT('01_INPUT_COMPANIES'!$M$104,"proxy"),EXACT('01_INPUT_COMPANIES'!$M$104,"mixed")),OR(EXACT('01_INPUT_COMPANIES'!$Q$104,"yes")),EXACT('01_INPUT_COMPANIES'!$I$104,UPPER('01_INPUT_COMPANIES'!$I$104)))),"ERROR: EXACT ENUM",IF(NOT(IFERROR(OR(AND(EXACT('92_REF_VARIABLES'!$A$21,'01_INPUT_COMPANIES'!$H$104),EXACT('92_REF_VARIABLES'!$B$21,'01_INPUT_COMPANIES'!$D$104),EXACT('92_REF_VARIABLES'!$C$21,'01_INPUT_COMPANIES'!$G$104))),FALSE)),"ERROR: BENCHMARK",""))))))</x:f>
      </x:c>
    </x:row>
    <x:row r="105">
      <x:c r="A105" s="34" t="str">
        <x:f>IF(OR('01_INPUT_COMPANIES'!$A$105="",'01_INPUT_COMPANIES'!$A$105=""),"",'01_INPUT_COMPANIES'!$A$105)</x:f>
      </x:c>
      <x:c r="B105" s="34" t="str">
        <x:f>IF(OR('01_INPUT_COMPANIES'!$A$105="",'01_INPUT_COMPANIES'!$B$105=""),"",'01_INPUT_COMPANIES'!$B$105)</x:f>
      </x:c>
      <x:c r="C105" s="34" t="str">
        <x:f>IF(OR('01_INPUT_COMPANIES'!$A$105="",'01_INPUT_COMPANIES'!$C$105=""),"",'01_INPUT_COMPANIES'!$C$105)</x:f>
      </x:c>
      <x:c r="D105" s="34" t="str">
        <x:f>IF(OR('01_INPUT_COMPANIES'!$A$105="",'01_INPUT_COMPANIES'!$D$105=""),"",'01_INPUT_COMPANIES'!$D$105)</x:f>
      </x:c>
      <x:c r="E105" s="34" t="str">
        <x:f>IF(OR('01_INPUT_COMPANIES'!$A$105="",'01_INPUT_COMPANIES'!$E$105=""),"",'01_INPUT_COMPANIES'!$E$105)</x:f>
      </x:c>
      <x:c r="F105" s="34" t="str">
        <x:f>IF(OR('01_INPUT_COMPANIES'!$A$105="",'01_INPUT_COMPANIES'!$F$105=""),"",'01_INPUT_COMPANIES'!$F$105)</x:f>
      </x:c>
      <x:c r="G105" s="34" t="str">
        <x:f>IF(OR('01_INPUT_COMPANIES'!$A$105="",'01_INPUT_COMPANIES'!$G$105=""),"",'01_INPUT_COMPANIES'!$G$105)</x:f>
      </x:c>
      <x:c r="H105" s="34" t="str">
        <x:f>IF(OR('01_INPUT_COMPANIES'!$A$105="",'01_INPUT_COMPANIES'!$H$105=""),"",'01_INPUT_COMPANIES'!$H$105)</x:f>
      </x:c>
      <x:c r="I105" s="34" t="str">
        <x:f>IF(OR('01_INPUT_COMPANIES'!$A$105="",'01_INPUT_COMPANIES'!$K$105=""),"",'01_INPUT_COMPANIES'!$K$105)</x:f>
      </x:c>
      <x:c r="J105" s="34" t="str">
        <x:f>IF(OR('01_INPUT_COMPANIES'!$A$105="",'01_INPUT_COMPANIES'!$M$105=""),"",'01_INPUT_COMPANIES'!$M$105)</x:f>
      </x:c>
      <x:c r="K105" s="34" t="str">
        <x:f>IF(OR(A105="",COUNTBLANK(D105:H105)&gt;0),"",LEN(D105)&amp;":"&amp;D105&amp;LEN(E105)&amp;":"&amp;E105&amp;LEN(F105)&amp;":"&amp;F105&amp;LEN(G105)&amp;":"&amp;G105&amp;LEN(H105)&amp;":"&amp;H105)</x:f>
      </x:c>
      <x:c r="L105" s="47" t="str">
        <x:f>IF(A105="","",'90_CALC_FEATURES'!$I$987)</x:f>
      </x:c>
      <x:c r="M105" s="47" t="str">
        <x:f>IF(A105="","",'90_CALC_FEATURES'!$I$988)</x:f>
      </x:c>
      <x:c r="N105" s="47" t="str">
        <x:f>IF(A105="","",'90_CALC_FEATURES'!$I$989)</x:f>
      </x:c>
      <x:c r="O105" s="47" t="str">
        <x:f>IF(A105="","",'90_CALC_FEATURES'!$I$990)</x:f>
      </x:c>
      <x:c r="P105" s="47" t="str">
        <x:f>IF(A105="","",'90_CALC_FEATURES'!$I$991)</x:f>
      </x:c>
      <x:c r="Q105" s="47" t="str">
        <x:f>IF(A105="","",'90_CALC_FEATURES'!$I$992)</x:f>
      </x:c>
      <x:c r="R105" s="47" t="str">
        <x:f>IF(A105="","",'90_CALC_FEATURES'!$I$993)</x:f>
      </x:c>
      <x:c r="S105" s="47" t="str">
        <x:f>IF(A105="","",'90_CALC_FEATURES'!$I$994)</x:f>
      </x:c>
      <x:c r="T105" s="47" t="str">
        <x:f>IF(A105="","",'90_CALC_FEATURES'!$I$995)</x:f>
      </x:c>
      <x:c r="U105" s="47" t="str">
        <x:f>IF(A105="","",'90_CALC_FEATURES'!$I$996)</x:f>
      </x:c>
      <x:c r="V105" s="47" t="str">
        <x:f>IF(COUNT(L105:N105)=3,100*AVERAGE(L105:N105),"")</x:f>
      </x:c>
      <x:c r="W105" s="47" t="str">
        <x:f>IF(COUNT(O105:R105)=4,100*AVERAGE(O105:R105),"")</x:f>
      </x:c>
      <x:c r="X105" s="47" t="str">
        <x:f>IF(COUNT(S105:U105)=3,100*AVERAGE(S105:U105),"")</x:f>
      </x:c>
      <x:c r="Y105" s="47" t="str">
        <x:f>IF(COUNT(V105:X105)=3,AVERAGE(V105:X105),"")</x:f>
      </x:c>
      <x:c r="Z105" s="47" t="str">
        <x:f>IF(OR(AND(EXACT(A105,"SYN-A"),COUNT('01_INPUT_COMPANIES'!$T$105:$AC$105)=10,'01_INPUT_COMPANIES'!$T$105=-0.02,'01_INPUT_COMPANIES'!$U$105=0.1332,'01_INPUT_COMPANIES'!$V$105=0.18,'01_INPUT_COMPANIES'!$W$105=0.42,'01_INPUT_COMPANIES'!$X$105=0.012,'01_INPUT_COMPANIES'!$Y$105=3.2,'01_INPUT_COMPANIES'!$Z$105=0.08,'01_INPUT_COMPANIES'!$AA$105=0.28,'01_INPUT_COMPANIES'!$AB$105=0.74,'01_INPUT_COMPANIES'!$AC$105=8.5),AND(EXACT(A105,"SYN-B"),COUNT('01_INPUT_COMPANIES'!$T$105:$AC$105)=10,'01_INPUT_COMPANIES'!$T$105=-0.055,'01_INPUT_COMPANIES'!$U$105=0.06405,'01_INPUT_COMPANIES'!$V$105=0.105,'01_INPUT_COMPANIES'!$W$105=0.73,'01_INPUT_COMPANIES'!$X$105=0.004,'01_INPUT_COMPANIES'!$Y$105=4.1,'01_INPUT_COMPANIES'!$Z$105=0.025,'01_INPUT_COMPANIES'!$AA$105=0.16,'01_INPUT_COMPANIES'!$AB$105=0.61,'01_INPUT_COMPANIES'!$AC$105=4),AND(EXACT(A105,"SYN-C"),COUNT('01_INPUT_COMPANIES'!$T$105:$AC$105)=10,'01_INPUT_COMPANIES'!$T$105=0.01,'01_INPUT_COMPANIES'!$U$105=0.0986,'01_INPUT_COMPANIES'!$V$105=0.145,'01_INPUT_COMPANIES'!$W$105=0.18,'01_INPUT_COMPANIES'!$X$105=0.018,'01_INPUT_COMPANIES'!$Y$105=2.65,'01_INPUT_COMPANIES'!$Z$105=0.11,'01_INPUT_COMPANIES'!$AA$105=0.34,'01_INPUT_COMPANIES'!$AB$105=0.68,'01_INPUT_COMPANIES'!$AC$105=6.8),AND(EXACT(A105,"SYN-D"),COUNT('01_INPUT_COMPANIES'!$T$105:$AC$105)=10,'01_INPUT_COMPANIES'!$T$105=-0.005,'01_INPUT_COMPANIES'!$U$105=0.1136,'01_INPUT_COMPANIES'!$V$105=0.16,'01_INPUT_COMPANIES'!$W$105=0.51,'01_INPUT_COMPANIES'!$X$105=0.009,'01_INPUT_COMPANIES'!$Y$105=3.55,'01_INPUT_COMPANIES'!$Z$105=0.065,'01_INPUT_COMPANIES'!$AA$105=0.24,'01_INPUT_COMPANIES'!$AB$105=0.71,'01_INPUT_COMPANIES'!$AC$105=7.4)),IFERROR(INDEX('94_EXPECTED_OUTPUTS'!$B$7:$B$10,MATCH(A105,'94_EXPECTED_OUTPUTS'!$A$7:$A$10,0)),""),"")</x:f>
      </x:c>
      <x:c r="AA105" s="47" t="str">
        <x:f>IF(OR(COUNT(Y105)=0,COUNT(Z105)=0),"",ABS(Y105-Z105))</x:f>
      </x:c>
      <x:c r="AB105" s="34" t="str">
        <x:f>IF(A105="","",IF(AD105&lt;&gt;"",AD105,IF('01_INPUT_COMPANIES'!$A$105="","",IF(OR(LEN(TRIM('01_INPUT_COMPANIES'!$A$105&amp;""))=0,LEN(TRIM('01_INPUT_COMPANIES'!$B$105&amp;""))=0,LEN(TRIM('01_INPUT_COMPANIES'!$C$105&amp;""))=0,LEN(TRIM('01_INPUT_COMPANIES'!$D$105&amp;""))=0,LEN(TRIM('01_INPUT_COMPANIES'!$E$105&amp;""))=0,LEN(TRIM('01_INPUT_COMPANIES'!$F$105&amp;""))=0,LEN(TRIM('01_INPUT_COMPANIES'!$G$105&amp;""))=0,LEN(TRIM('01_INPUT_COMPANIES'!$H$105&amp;""))=0,LEN(TRIM('01_INPUT_COMPANIES'!$I$105&amp;""))=0,LEN(TRIM('01_INPUT_COMPANIES'!$K$105&amp;""))=0,LEN(TRIM('01_INPUT_COMPANIES'!$L$105&amp;""))=0,LEN(TRIM('01_INPUT_COMPANIES'!$M$105&amp;""))=0,LEN(TRIM('01_INPUT_COMPANIES'!$N$105&amp;""))=0,LEN(TRIM('01_INPUT_COMPANIES'!$O$105&amp;""))=0,LEN(TRIM('01_INPUT_COMPANIES'!$Q$105&amp;""))=0,COUNTBLANK('01_INPUT_COMPANIES'!$A$105:$R$105)&gt;0),"INPUT REQUIRED",IF(OR('01_INPUT_COMPANIES'!$A$105&lt;&gt;TRIM('01_INPUT_COMPANIES'!$A$105),NOT(EXACT('01_INPUT_COMPANIES'!$A$105,UPPER('01_INPUT_COMPANIES'!$A$105))),LEN('01_INPUT_COMPANIES'!$A$105)&gt;64,ISNUMBER(FIND("*",'01_INPUT_COMPANIES'!$A$105)),ISNUMBER(FIND("?",'01_INPUT_COMPANIES'!$A$105)),ISNUMBER(FIND("~",'01_INPUT_COMPANIES'!$A$105))),"ERROR: ID FORMAT",IF(COUNTIF('01_INPUT_COMPANIES'!$A$7:$A$106,'01_INPUT_COMPANIES'!$A$105)&lt;&gt;1,"ERROR: DUPLICATE ID",IF(COUNT('01_INPUT_COMPANIES'!$T$105:$AC$105)&lt;&gt;10,"INPUT REQUIRED",IF(NOT(OR('01_INPUT_COMPANIES'!$C$105="domestic",'01_INPUT_COMPANIES'!$C$105="foreign",'01_INPUT_COMPANIES'!$C$105="other")),"ERROR: COMPANY GROUP",IF(OR(LEN('01_INPUT_COMPANIES'!$G$105)&lt;&gt;6,MID('01_INPUT_COMPANIES'!$G$105,5,1)&lt;&gt;"Q",IFERROR(VALUE(LEFT('01_INPUT_COMPANIES'!$G$105,4)),0)&lt;2000,IFERROR(VALUE(LEFT('01_INPUT_COMPANIES'!$G$105,4)),0)&gt;2100,IFERROR(VALUE(RIGHT('01_INPUT_COMPANIES'!$G$105,1)),0)&lt;1,IFERROR(VALUE(RIGHT('01_INPUT_COMPANIES'!$G$105,1)),0)&gt;4),"ERROR: REPORTING PERIOD",IF(OR(COUNTIFS('92_REF_VARIABLES'!$A$21:$A$21,'01_INPUT_COMPANIES'!$H$105,'92_REF_VARIABLES'!$B$21:$B$21,'01_INPUT_COMPANIES'!$D$105,'92_REF_VARIABLES'!$C$21:$C$21,'01_INPUT_COMPANIES'!$G$105)&lt;&gt;1,AND(IFERROR(INDEX('92_REF_VARIABLES'!$I$21:$I$21,MATCH('01_INPUT_COMPANIES'!$H$105,'92_REF_VARIABLES'!$A$21:$A$21,0)),"")="synthetic_only",'01_INPUT_COMPANIES'!$L$105&lt;&gt;"yes")),"ERROR: BENCHMARK",IF(COUNTIF('92_REF_VARIABLES'!$L$21:$L$50,'01_INPUT_COMPANIES'!$I$105)&lt;&gt;1,"ERROR: CURRENCY",IF(OR(NOT(ISNUMBER('01_INPUT_COMPANIES'!$J$105)),'01_INPUT_COMPANIES'!$J$105&lt;&gt;INT('01_INPUT_COMPANIES'!$J$105),'01_INPUT_COMPANIES'!$J$105&lt;2000,'01_INPUT_COMPANIES'!$J$105&gt;2100),"ERROR: PRICE YEAR",IF(NOT(OR('01_INPUT_COMPANIES'!$K$105="A",'01_INPUT_COMPANIES'!$K$105="B",'01_INPUT_COMPANIES'!$K$105="C",'01_INPUT_COMPANIES'!$K$105="SYNTHETIC")),"ERROR: QUALITY",IF(NOT(OR(AND('01_INPUT_COMPANIES'!$L$105="yes",'01_INPUT_COMPANIES'!$K$105="SYNTHETIC"),AND('01_INPUT_COMPANIES'!$L$105="no",'01_INPUT_COMPANIES'!$K$105&lt;&gt;"SYNTHETIC"))),"ERROR: SYNTHETIC FLAG",IF(NOT(OR('01_INPUT_COMPANIES'!$M$105="direct",'01_INPUT_COMPANIES'!$M$105="derived",'01_INPUT_COMPANIES'!$M$105="proxy",'01_INPUT_COMPANIES'!$M$105="mixed")),"ERROR: CONSTRUCTION MODE",IF(OR(NOT(ISNUMBER('01_INPUT_COMPANIES'!$P$105)),'01_INPUT_COMPANIES'!$P$105&lt;0,'01_INPUT_COMPANIES'!$P$105&lt;&gt;INT('01_INPUT_COMPANIES'!$P$105)),"ERROR: CARRY LAG",IF('01_INPUT_COMPANIES'!$Q$105&lt;&gt;"yes","ERROR: EXPOSURE ADJUSTMENT",IF(OR(NOT(ISNUMBER('01_INPUT_COMPANIES'!$R$105)),'01_INPUT_COMPANIES'!$R$105&lt;0,'01_INPUT_COMPANIES'!$R$105&gt;1),"ERROR: EXPOSURE FACTOR",IF(COUNT(Y105)=0,"ERROR: SCORE",IF(COUNT(Z105)=0,"READY",IF(AA105&lt;=0.0000000001,"PASS","CHECK"))&amp;IF('01_INPUT_COMPANIES'!$K$105="C"," | C QUALITY","")&amp;IF(OR('01_INPUT_COMPANIES'!$M$105="proxy",'01_INPUT_COMPANIES'!$M$105="mixed")," | PROXY/MIXED","")&amp;IF('01_INPUT_COMPANIES'!$P$105&gt;1," | CARRY&gt;1","")&amp;IF(OR(OR('01_INPUT_COMPANIES'!$T$105&lt;-1,'01_INPUT_COMPANIES'!$T$105&gt;1),OR('01_INPUT_COMPANIES'!$U$105&lt;0,'01_INPUT_COMPANIES'!$U$105&gt;1),OR('01_INPUT_COMPANIES'!$V$105&lt;0,'01_INPUT_COMPANIES'!$V$105&gt;1),OR('01_INPUT_COMPANIES'!$W$105&lt;-10,'01_INPUT_COMPANIES'!$W$105&gt;10),OR('01_INPUT_COMPANIES'!$X$105&lt;-1,'01_INPUT_COMPANIES'!$X$105&gt;1),OR('01_INPUT_COMPANIES'!$Y$105&lt;0,'01_INPUT_COMPANIES'!$Y$105&gt;20),OR('01_INPUT_COMPANIES'!$Z$105&lt;-2,'01_INPUT_COMPANIES'!$Z$105&gt;2),OR('01_INPUT_COMPANIES'!$AA$105&lt;0,'01_INPUT_COMPANIES'!$AA$105&gt;1),OR('01_INPUT_COMPANIES'!$AB$105&lt;0,'01_INPUT_COMPANIES'!$AB$105&gt;1),OR('01_INPUT_COMPANIES'!$AC$105&lt;0,'01_INPUT_COMPANIES'!$AC$105&gt;50))," | REVIEW RANGE","")&amp;IF(COUNTIF('90_CALC_FEATURES'!$J$987:$J$996,"WINSORIZED*")&gt;0," | WINSORIZED","")&amp;IF(ABS('01_INPUT_COMPANIES'!$U$105-'01_INPUT_COMPANIES'!$V$105*'01_INPUT_COMPANIES'!$AB$105)&gt;MAX(0.005,0.05*MAX(ABS('01_INPUT_COMPANIES'!$V$105*'01_INPUT_COMPANIES'!$AB$105),ABS('01_INPUT_COMPANIES'!$U$105),0.000000000001))," | DEPENDENCY",""))))))))))))))))))))</x:f>
      </x:c>
      <x:c r="AC105" s="34" t="str">
        <x:f>IF(A105="","",IF(OR(LEFT(AB105,4)="PASS",LEFT(AB105,5)="READY"),"RESEARCH BETA | 저지원 22.22% | 기업 백분위 N/A", "결과 사용 금지 | "&amp;AB105))</x:f>
      </x:c>
      <x:c r="AD105" s="34" t="str">
        <x:f>IF(A105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$105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$105,TRIM('01_INPUT_COMPANIES'!$D$105)),EXACT('01_INPUT_COMPANIES'!$E$105,TRIM('01_INPUT_COMPANIES'!$E$105)),EXACT('01_INPUT_COMPANIES'!$F$105,TRIM('01_INPUT_COMPANIES'!$F$105)),EXACT('01_INPUT_COMPANIES'!$G$105,TRIM('01_INPUT_COMPANIES'!$G$105)),EXACT('01_INPUT_COMPANIES'!$H$105,TRIM('01_INPUT_COMPANIES'!$H$105)))),"ERROR: COHORT WHITESPACE",IF(NOT(IFERROR(AND(ISTEXT('01_INPUT_COMPANIES'!$O$105),LEN('01_INPUT_COMPANIES'!$O$105)=10,VALUE(LEFT('01_INPUT_COMPANIES'!$O$105,4))&gt;=2000,VALUE(LEFT('01_INPUT_COMPANIES'!$O$105,4))&lt;=2100,EXACT(TEXT(DATE(VALUE(LEFT('01_INPUT_COMPANIES'!$O$105,4)),VALUE(MID('01_INPUT_COMPANIES'!$O$105,6,2)),VALUE(RIGHT('01_INPUT_COMPANIES'!$O$105,2))),"yyyy-mm-dd"),'01_INPUT_COMPANIES'!$O$105)),FALSE)),"ERROR: SOURCE DATE",IF(NOT(AND(OR(EXACT('01_INPUT_COMPANIES'!$C$105,"domestic"),EXACT('01_INPUT_COMPANIES'!$C$105,"foreign"),EXACT('01_INPUT_COMPANIES'!$C$105,"other")),OR(EXACT('01_INPUT_COMPANIES'!$K$105,"A"),EXACT('01_INPUT_COMPANIES'!$K$105,"B"),EXACT('01_INPUT_COMPANIES'!$K$105,"C"),EXACT('01_INPUT_COMPANIES'!$K$105,"SYNTHETIC")),OR(EXACT('01_INPUT_COMPANIES'!$L$105,"yes"),EXACT('01_INPUT_COMPANIES'!$L$105,"no")),OR(EXACT('01_INPUT_COMPANIES'!$M$105,"direct"),EXACT('01_INPUT_COMPANIES'!$M$105,"derived"),EXACT('01_INPUT_COMPANIES'!$M$105,"proxy"),EXACT('01_INPUT_COMPANIES'!$M$105,"mixed")),OR(EXACT('01_INPUT_COMPANIES'!$Q$105,"yes")),EXACT('01_INPUT_COMPANIES'!$I$105,UPPER('01_INPUT_COMPANIES'!$I$105)))),"ERROR: EXACT ENUM",IF(NOT(IFERROR(OR(AND(EXACT('92_REF_VARIABLES'!$A$21,'01_INPUT_COMPANIES'!$H$105),EXACT('92_REF_VARIABLES'!$B$21,'01_INPUT_COMPANIES'!$D$105),EXACT('92_REF_VARIABLES'!$C$21,'01_INPUT_COMPANIES'!$G$105))),FALSE)),"ERROR: BENCHMARK",""))))))</x:f>
      </x:c>
    </x:row>
    <x:row r="106">
      <x:c r="A106" s="34" t="str">
        <x:f>IF(OR('01_INPUT_COMPANIES'!$A$106="",'01_INPUT_COMPANIES'!$A$106=""),"",'01_INPUT_COMPANIES'!$A$106)</x:f>
      </x:c>
      <x:c r="B106" s="34" t="str">
        <x:f>IF(OR('01_INPUT_COMPANIES'!$A$106="",'01_INPUT_COMPANIES'!$B$106=""),"",'01_INPUT_COMPANIES'!$B$106)</x:f>
      </x:c>
      <x:c r="C106" s="34" t="str">
        <x:f>IF(OR('01_INPUT_COMPANIES'!$A$106="",'01_INPUT_COMPANIES'!$C$106=""),"",'01_INPUT_COMPANIES'!$C$106)</x:f>
      </x:c>
      <x:c r="D106" s="34" t="str">
        <x:f>IF(OR('01_INPUT_COMPANIES'!$A$106="",'01_INPUT_COMPANIES'!$D$106=""),"",'01_INPUT_COMPANIES'!$D$106)</x:f>
      </x:c>
      <x:c r="E106" s="34" t="str">
        <x:f>IF(OR('01_INPUT_COMPANIES'!$A$106="",'01_INPUT_COMPANIES'!$E$106=""),"",'01_INPUT_COMPANIES'!$E$106)</x:f>
      </x:c>
      <x:c r="F106" s="34" t="str">
        <x:f>IF(OR('01_INPUT_COMPANIES'!$A$106="",'01_INPUT_COMPANIES'!$F$106=""),"",'01_INPUT_COMPANIES'!$F$106)</x:f>
      </x:c>
      <x:c r="G106" s="34" t="str">
        <x:f>IF(OR('01_INPUT_COMPANIES'!$A$106="",'01_INPUT_COMPANIES'!$G$106=""),"",'01_INPUT_COMPANIES'!$G$106)</x:f>
      </x:c>
      <x:c r="H106" s="34" t="str">
        <x:f>IF(OR('01_INPUT_COMPANIES'!$A$106="",'01_INPUT_COMPANIES'!$H$106=""),"",'01_INPUT_COMPANIES'!$H$106)</x:f>
      </x:c>
      <x:c r="I106" s="34" t="str">
        <x:f>IF(OR('01_INPUT_COMPANIES'!$A$106="",'01_INPUT_COMPANIES'!$K$106=""),"",'01_INPUT_COMPANIES'!$K$106)</x:f>
      </x:c>
      <x:c r="J106" s="34" t="str">
        <x:f>IF(OR('01_INPUT_COMPANIES'!$A$106="",'01_INPUT_COMPANIES'!$M$106=""),"",'01_INPUT_COMPANIES'!$M$106)</x:f>
      </x:c>
      <x:c r="K106" s="34" t="str">
        <x:f>IF(OR(A106="",COUNTBLANK(D106:H106)&gt;0),"",LEN(D106)&amp;":"&amp;D106&amp;LEN(E106)&amp;":"&amp;E106&amp;LEN(F106)&amp;":"&amp;F106&amp;LEN(G106)&amp;":"&amp;G106&amp;LEN(H106)&amp;":"&amp;H106)</x:f>
      </x:c>
      <x:c r="L106" s="47" t="str">
        <x:f>IF(A106="","",'90_CALC_FEATURES'!$I$997)</x:f>
      </x:c>
      <x:c r="M106" s="47" t="str">
        <x:f>IF(A106="","",'90_CALC_FEATURES'!$I$998)</x:f>
      </x:c>
      <x:c r="N106" s="47" t="str">
        <x:f>IF(A106="","",'90_CALC_FEATURES'!$I$999)</x:f>
      </x:c>
      <x:c r="O106" s="47" t="str">
        <x:f>IF(A106="","",'90_CALC_FEATURES'!$I$1000)</x:f>
      </x:c>
      <x:c r="P106" s="47" t="str">
        <x:f>IF(A106="","",'90_CALC_FEATURES'!$I$1001)</x:f>
      </x:c>
      <x:c r="Q106" s="47" t="str">
        <x:f>IF(A106="","",'90_CALC_FEATURES'!$I$1002)</x:f>
      </x:c>
      <x:c r="R106" s="47" t="str">
        <x:f>IF(A106="","",'90_CALC_FEATURES'!$I$1003)</x:f>
      </x:c>
      <x:c r="S106" s="47" t="str">
        <x:f>IF(A106="","",'90_CALC_FEATURES'!$I$1004)</x:f>
      </x:c>
      <x:c r="T106" s="47" t="str">
        <x:f>IF(A106="","",'90_CALC_FEATURES'!$I$1005)</x:f>
      </x:c>
      <x:c r="U106" s="47" t="str">
        <x:f>IF(A106="","",'90_CALC_FEATURES'!$I$1006)</x:f>
      </x:c>
      <x:c r="V106" s="47" t="str">
        <x:f>IF(COUNT(L106:N106)=3,100*AVERAGE(L106:N106),"")</x:f>
      </x:c>
      <x:c r="W106" s="47" t="str">
        <x:f>IF(COUNT(O106:R106)=4,100*AVERAGE(O106:R106),"")</x:f>
      </x:c>
      <x:c r="X106" s="47" t="str">
        <x:f>IF(COUNT(S106:U106)=3,100*AVERAGE(S106:U106),"")</x:f>
      </x:c>
      <x:c r="Y106" s="47" t="str">
        <x:f>IF(COUNT(V106:X106)=3,AVERAGE(V106:X106),"")</x:f>
      </x:c>
      <x:c r="Z106" s="47" t="str">
        <x:f>IF(OR(AND(EXACT(A106,"SYN-A"),COUNT('01_INPUT_COMPANIES'!$T$106:$AC$106)=10,'01_INPUT_COMPANIES'!$T$106=-0.02,'01_INPUT_COMPANIES'!$U$106=0.1332,'01_INPUT_COMPANIES'!$V$106=0.18,'01_INPUT_COMPANIES'!$W$106=0.42,'01_INPUT_COMPANIES'!$X$106=0.012,'01_INPUT_COMPANIES'!$Y$106=3.2,'01_INPUT_COMPANIES'!$Z$106=0.08,'01_INPUT_COMPANIES'!$AA$106=0.28,'01_INPUT_COMPANIES'!$AB$106=0.74,'01_INPUT_COMPANIES'!$AC$106=8.5),AND(EXACT(A106,"SYN-B"),COUNT('01_INPUT_COMPANIES'!$T$106:$AC$106)=10,'01_INPUT_COMPANIES'!$T$106=-0.055,'01_INPUT_COMPANIES'!$U$106=0.06405,'01_INPUT_COMPANIES'!$V$106=0.105,'01_INPUT_COMPANIES'!$W$106=0.73,'01_INPUT_COMPANIES'!$X$106=0.004,'01_INPUT_COMPANIES'!$Y$106=4.1,'01_INPUT_COMPANIES'!$Z$106=0.025,'01_INPUT_COMPANIES'!$AA$106=0.16,'01_INPUT_COMPANIES'!$AB$106=0.61,'01_INPUT_COMPANIES'!$AC$106=4),AND(EXACT(A106,"SYN-C"),COUNT('01_INPUT_COMPANIES'!$T$106:$AC$106)=10,'01_INPUT_COMPANIES'!$T$106=0.01,'01_INPUT_COMPANIES'!$U$106=0.0986,'01_INPUT_COMPANIES'!$V$106=0.145,'01_INPUT_COMPANIES'!$W$106=0.18,'01_INPUT_COMPANIES'!$X$106=0.018,'01_INPUT_COMPANIES'!$Y$106=2.65,'01_INPUT_COMPANIES'!$Z$106=0.11,'01_INPUT_COMPANIES'!$AA$106=0.34,'01_INPUT_COMPANIES'!$AB$106=0.68,'01_INPUT_COMPANIES'!$AC$106=6.8),AND(EXACT(A106,"SYN-D"),COUNT('01_INPUT_COMPANIES'!$T$106:$AC$106)=10,'01_INPUT_COMPANIES'!$T$106=-0.005,'01_INPUT_COMPANIES'!$U$106=0.1136,'01_INPUT_COMPANIES'!$V$106=0.16,'01_INPUT_COMPANIES'!$W$106=0.51,'01_INPUT_COMPANIES'!$X$106=0.009,'01_INPUT_COMPANIES'!$Y$106=3.55,'01_INPUT_COMPANIES'!$Z$106=0.065,'01_INPUT_COMPANIES'!$AA$106=0.24,'01_INPUT_COMPANIES'!$AB$106=0.71,'01_INPUT_COMPANIES'!$AC$106=7.4)),IFERROR(INDEX('94_EXPECTED_OUTPUTS'!$B$7:$B$10,MATCH(A106,'94_EXPECTED_OUTPUTS'!$A$7:$A$10,0)),""),"")</x:f>
      </x:c>
      <x:c r="AA106" s="47" t="str">
        <x:f>IF(OR(COUNT(Y106)=0,COUNT(Z106)=0),"",ABS(Y106-Z106))</x:f>
      </x:c>
      <x:c r="AB106" s="34" t="str">
        <x:f>IF(A106="","",IF(AD106&lt;&gt;"",AD106,IF('01_INPUT_COMPANIES'!$A$106="","",IF(OR(LEN(TRIM('01_INPUT_COMPANIES'!$A$106&amp;""))=0,LEN(TRIM('01_INPUT_COMPANIES'!$B$106&amp;""))=0,LEN(TRIM('01_INPUT_COMPANIES'!$C$106&amp;""))=0,LEN(TRIM('01_INPUT_COMPANIES'!$D$106&amp;""))=0,LEN(TRIM('01_INPUT_COMPANIES'!$E$106&amp;""))=0,LEN(TRIM('01_INPUT_COMPANIES'!$F$106&amp;""))=0,LEN(TRIM('01_INPUT_COMPANIES'!$G$106&amp;""))=0,LEN(TRIM('01_INPUT_COMPANIES'!$H$106&amp;""))=0,LEN(TRIM('01_INPUT_COMPANIES'!$I$106&amp;""))=0,LEN(TRIM('01_INPUT_COMPANIES'!$K$106&amp;""))=0,LEN(TRIM('01_INPUT_COMPANIES'!$L$106&amp;""))=0,LEN(TRIM('01_INPUT_COMPANIES'!$M$106&amp;""))=0,LEN(TRIM('01_INPUT_COMPANIES'!$N$106&amp;""))=0,LEN(TRIM('01_INPUT_COMPANIES'!$O$106&amp;""))=0,LEN(TRIM('01_INPUT_COMPANIES'!$Q$106&amp;""))=0,COUNTBLANK('01_INPUT_COMPANIES'!$A$106:$R$106)&gt;0),"INPUT REQUIRED",IF(OR('01_INPUT_COMPANIES'!$A$106&lt;&gt;TRIM('01_INPUT_COMPANIES'!$A$106),NOT(EXACT('01_INPUT_COMPANIES'!$A$106,UPPER('01_INPUT_COMPANIES'!$A$106))),LEN('01_INPUT_COMPANIES'!$A$106)&gt;64,ISNUMBER(FIND("*",'01_INPUT_COMPANIES'!$A$106)),ISNUMBER(FIND("?",'01_INPUT_COMPANIES'!$A$106)),ISNUMBER(FIND("~",'01_INPUT_COMPANIES'!$A$106))),"ERROR: ID FORMAT",IF(COUNTIF('01_INPUT_COMPANIES'!$A$7:$A$106,'01_INPUT_COMPANIES'!$A$106)&lt;&gt;1,"ERROR: DUPLICATE ID",IF(COUNT('01_INPUT_COMPANIES'!$T$106:$AC$106)&lt;&gt;10,"INPUT REQUIRED",IF(NOT(OR('01_INPUT_COMPANIES'!$C$106="domestic",'01_INPUT_COMPANIES'!$C$106="foreign",'01_INPUT_COMPANIES'!$C$106="other")),"ERROR: COMPANY GROUP",IF(OR(LEN('01_INPUT_COMPANIES'!$G$106)&lt;&gt;6,MID('01_INPUT_COMPANIES'!$G$106,5,1)&lt;&gt;"Q",IFERROR(VALUE(LEFT('01_INPUT_COMPANIES'!$G$106,4)),0)&lt;2000,IFERROR(VALUE(LEFT('01_INPUT_COMPANIES'!$G$106,4)),0)&gt;2100,IFERROR(VALUE(RIGHT('01_INPUT_COMPANIES'!$G$106,1)),0)&lt;1,IFERROR(VALUE(RIGHT('01_INPUT_COMPANIES'!$G$106,1)),0)&gt;4),"ERROR: REPORTING PERIOD",IF(OR(COUNTIFS('92_REF_VARIABLES'!$A$21:$A$21,'01_INPUT_COMPANIES'!$H$106,'92_REF_VARIABLES'!$B$21:$B$21,'01_INPUT_COMPANIES'!$D$106,'92_REF_VARIABLES'!$C$21:$C$21,'01_INPUT_COMPANIES'!$G$106)&lt;&gt;1,AND(IFERROR(INDEX('92_REF_VARIABLES'!$I$21:$I$21,MATCH('01_INPUT_COMPANIES'!$H$106,'92_REF_VARIABLES'!$A$21:$A$21,0)),"")="synthetic_only",'01_INPUT_COMPANIES'!$L$106&lt;&gt;"yes")),"ERROR: BENCHMARK",IF(COUNTIF('92_REF_VARIABLES'!$L$21:$L$50,'01_INPUT_COMPANIES'!$I$106)&lt;&gt;1,"ERROR: CURRENCY",IF(OR(NOT(ISNUMBER('01_INPUT_COMPANIES'!$J$106)),'01_INPUT_COMPANIES'!$J$106&lt;&gt;INT('01_INPUT_COMPANIES'!$J$106),'01_INPUT_COMPANIES'!$J$106&lt;2000,'01_INPUT_COMPANIES'!$J$106&gt;2100),"ERROR: PRICE YEAR",IF(NOT(OR('01_INPUT_COMPANIES'!$K$106="A",'01_INPUT_COMPANIES'!$K$106="B",'01_INPUT_COMPANIES'!$K$106="C",'01_INPUT_COMPANIES'!$K$106="SYNTHETIC")),"ERROR: QUALITY",IF(NOT(OR(AND('01_INPUT_COMPANIES'!$L$106="yes",'01_INPUT_COMPANIES'!$K$106="SYNTHETIC"),AND('01_INPUT_COMPANIES'!$L$106="no",'01_INPUT_COMPANIES'!$K$106&lt;&gt;"SYNTHETIC"))),"ERROR: SYNTHETIC FLAG",IF(NOT(OR('01_INPUT_COMPANIES'!$M$106="direct",'01_INPUT_COMPANIES'!$M$106="derived",'01_INPUT_COMPANIES'!$M$106="proxy",'01_INPUT_COMPANIES'!$M$106="mixed")),"ERROR: CONSTRUCTION MODE",IF(OR(NOT(ISNUMBER('01_INPUT_COMPANIES'!$P$106)),'01_INPUT_COMPANIES'!$P$106&lt;0,'01_INPUT_COMPANIES'!$P$106&lt;&gt;INT('01_INPUT_COMPANIES'!$P$106)),"ERROR: CARRY LAG",IF('01_INPUT_COMPANIES'!$Q$106&lt;&gt;"yes","ERROR: EXPOSURE ADJUSTMENT",IF(OR(NOT(ISNUMBER('01_INPUT_COMPANIES'!$R$106)),'01_INPUT_COMPANIES'!$R$106&lt;0,'01_INPUT_COMPANIES'!$R$106&gt;1),"ERROR: EXPOSURE FACTOR",IF(COUNT(Y106)=0,"ERROR: SCORE",IF(COUNT(Z106)=0,"READY",IF(AA106&lt;=0.0000000001,"PASS","CHECK"))&amp;IF('01_INPUT_COMPANIES'!$K$106="C"," | C QUALITY","")&amp;IF(OR('01_INPUT_COMPANIES'!$M$106="proxy",'01_INPUT_COMPANIES'!$M$106="mixed")," | PROXY/MIXED","")&amp;IF('01_INPUT_COMPANIES'!$P$106&gt;1," | CARRY&gt;1","")&amp;IF(OR(OR('01_INPUT_COMPANIES'!$T$106&lt;-1,'01_INPUT_COMPANIES'!$T$106&gt;1),OR('01_INPUT_COMPANIES'!$U$106&lt;0,'01_INPUT_COMPANIES'!$U$106&gt;1),OR('01_INPUT_COMPANIES'!$V$106&lt;0,'01_INPUT_COMPANIES'!$V$106&gt;1),OR('01_INPUT_COMPANIES'!$W$106&lt;-10,'01_INPUT_COMPANIES'!$W$106&gt;10),OR('01_INPUT_COMPANIES'!$X$106&lt;-1,'01_INPUT_COMPANIES'!$X$106&gt;1),OR('01_INPUT_COMPANIES'!$Y$106&lt;0,'01_INPUT_COMPANIES'!$Y$106&gt;20),OR('01_INPUT_COMPANIES'!$Z$106&lt;-2,'01_INPUT_COMPANIES'!$Z$106&gt;2),OR('01_INPUT_COMPANIES'!$AA$106&lt;0,'01_INPUT_COMPANIES'!$AA$106&gt;1),OR('01_INPUT_COMPANIES'!$AB$106&lt;0,'01_INPUT_COMPANIES'!$AB$106&gt;1),OR('01_INPUT_COMPANIES'!$AC$106&lt;0,'01_INPUT_COMPANIES'!$AC$106&gt;50))," | REVIEW RANGE","")&amp;IF(COUNTIF('90_CALC_FEATURES'!$J$997:$J$1006,"WINSORIZED*")&gt;0," | WINSORIZED","")&amp;IF(ABS('01_INPUT_COMPANIES'!$U$106-'01_INPUT_COMPANIES'!$V$106*'01_INPUT_COMPANIES'!$AB$106)&gt;MAX(0.005,0.05*MAX(ABS('01_INPUT_COMPANIES'!$V$106*'01_INPUT_COMPANIES'!$AB$106),ABS('01_INPUT_COMPANIES'!$U$106),0.000000000001))," | DEPENDENCY",""))))))))))))))))))))</x:f>
      </x:c>
      <x:c r="AC106" s="34" t="str">
        <x:f>IF(A106="","",IF(OR(LEFT(AB106,4)="PASS",LEFT(AB106,5)="READY"),"RESEARCH BETA | 저지원 22.22% | 기업 백분위 N/A", "결과 사용 금지 | "&amp;AB106))</x:f>
      </x:c>
      <x:c r="AD106" s="34" t="str">
        <x:f>IF(A106="","",IF(LEN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01_INPUT_COMPANIES'!$A$106,"A",""),"B",""),"C",""),"D",""),"E",""),"F",""),"G",""),"H",""),"I",""),"J",""),"K",""),"L",""),"M",""),"N",""),"O",""),"P",""),"Q",""),"R",""),"S",""),"T",""),"U",""),"V",""),"W",""),"X",""),"Y",""),"Z",""),"0",""),"1",""),"2",""),"3",""),"4",""),"5",""),"6",""),"7",""),"8",""),"9",""),"-",""),"_",""),".",""))&gt;0,"ERROR: ID FORMAT",IF(NOT(AND(EXACT('01_INPUT_COMPANIES'!$D$106,TRIM('01_INPUT_COMPANIES'!$D$106)),EXACT('01_INPUT_COMPANIES'!$E$106,TRIM('01_INPUT_COMPANIES'!$E$106)),EXACT('01_INPUT_COMPANIES'!$F$106,TRIM('01_INPUT_COMPANIES'!$F$106)),EXACT('01_INPUT_COMPANIES'!$G$106,TRIM('01_INPUT_COMPANIES'!$G$106)),EXACT('01_INPUT_COMPANIES'!$H$106,TRIM('01_INPUT_COMPANIES'!$H$106)))),"ERROR: COHORT WHITESPACE",IF(NOT(IFERROR(AND(ISTEXT('01_INPUT_COMPANIES'!$O$106),LEN('01_INPUT_COMPANIES'!$O$106)=10,VALUE(LEFT('01_INPUT_COMPANIES'!$O$106,4))&gt;=2000,VALUE(LEFT('01_INPUT_COMPANIES'!$O$106,4))&lt;=2100,EXACT(TEXT(DATE(VALUE(LEFT('01_INPUT_COMPANIES'!$O$106,4)),VALUE(MID('01_INPUT_COMPANIES'!$O$106,6,2)),VALUE(RIGHT('01_INPUT_COMPANIES'!$O$106,2))),"yyyy-mm-dd"),'01_INPUT_COMPANIES'!$O$106)),FALSE)),"ERROR: SOURCE DATE",IF(NOT(AND(OR(EXACT('01_INPUT_COMPANIES'!$C$106,"domestic"),EXACT('01_INPUT_COMPANIES'!$C$106,"foreign"),EXACT('01_INPUT_COMPANIES'!$C$106,"other")),OR(EXACT('01_INPUT_COMPANIES'!$K$106,"A"),EXACT('01_INPUT_COMPANIES'!$K$106,"B"),EXACT('01_INPUT_COMPANIES'!$K$106,"C"),EXACT('01_INPUT_COMPANIES'!$K$106,"SYNTHETIC")),OR(EXACT('01_INPUT_COMPANIES'!$L$106,"yes"),EXACT('01_INPUT_COMPANIES'!$L$106,"no")),OR(EXACT('01_INPUT_COMPANIES'!$M$106,"direct"),EXACT('01_INPUT_COMPANIES'!$M$106,"derived"),EXACT('01_INPUT_COMPANIES'!$M$106,"proxy"),EXACT('01_INPUT_COMPANIES'!$M$106,"mixed")),OR(EXACT('01_INPUT_COMPANIES'!$Q$106,"yes")),EXACT('01_INPUT_COMPANIES'!$I$106,UPPER('01_INPUT_COMPANIES'!$I$106)))),"ERROR: EXACT ENUM",IF(NOT(IFERROR(OR(AND(EXACT('92_REF_VARIABLES'!$A$21,'01_INPUT_COMPANIES'!$H$106),EXACT('92_REF_VARIABLES'!$B$21,'01_INPUT_COMPANIES'!$D$106),EXACT('92_REF_VARIABLES'!$C$21,'01_INPUT_COMPANIES'!$G$106))),FALSE)),"ERROR: BENCHMARK",""))))))</x:f>
      </x:c>
    </x:row>
  </x:sheetData>
  <x:mergeCells>
    <x:mergeCell ref="A1:AD1"/>
    <x:mergeCell ref="A2:AD3"/>
  </x:mergeCells>
  <x:conditionalFormatting sqref="AB7:AB106">
    <x:cfRule type="containsText" dxfId="12" priority="1" operator="containsText" text="CHECK"/>
    <x:cfRule type="containsText" dxfId="13" priority="2" operator="containsText" text="ERROR"/>
    <x:cfRule type="containsText" dxfId="14" priority="3" operator="containsText" text="INPUT REQUIRED"/>
    <x:cfRule type="containsText" dxfId="15" priority="4" operator="containsText" text="READY"/>
    <x:cfRule type="containsText" dxfId="16" priority="5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30" hidden="0" customWidth="1"/>
    <x:col min="3" max="3" width="14" hidden="0" customWidth="1"/>
    <x:col min="4" max="4" width="10" hidden="0" customWidth="1"/>
    <x:col min="5" max="5" width="18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30" hidden="0" customWidth="1"/>
    <x:col min="12" max="12" width="18" hidden="0" customWidth="1"/>
    <x:col min="13" max="13" width="28" hidden="0" customWidth="1"/>
    <x:col min="14" max="14" width="28" hidden="0" customWidth="1"/>
    <x:col min="15" max="15" width="58" hidden="0" customWidth="1"/>
    <x:col min="16" max="16" width="58" hidden="0" customWidth="1"/>
  </x:cols>
  <x:sheetData>
    <x:row r="1" ht="30" customHeight="1">
      <x:c r="A1" s="3" t="str">
        <x:v>92 | 변수·가중치·경제 브리지 참조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7" t="str">
        <x:v>계산 참조 시트입니다. 사용자 편집 금지. 파란 입력 시트와 달리 회색으로 표시됩니다.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6" ht="40" customHeight="1">
      <x:c r="A6" s="13" t="str">
        <x:v>변수</x:v>
      </x:c>
      <x:c r="B6" s="13" t="str">
        <x:v>표시명</x:v>
      </x:c>
      <x:c r="C6" s="13" t="str">
        <x:v>하위지수</x:v>
      </x:c>
      <x:c r="D6" s="13" t="str">
        <x:v>방향</x:v>
      </x:c>
      <x:c r="E6" s="13" t="str">
        <x:v>단위</x:v>
      </x:c>
      <x:c r="F6" s="13" t="str">
        <x:v>Rank key 하단</x:v>
      </x:c>
      <x:c r="G6" s="13" t="str">
        <x:v>Rank key 상단</x:v>
      </x:c>
      <x:c r="H6" s="13" t="str">
        <x:v>기준 N</x:v>
      </x:c>
      <x:c r="I6" s="13" t="str">
        <x:v>유효가중치</x:v>
      </x:c>
      <x:c r="J6" s="13" t="str">
        <x:v>저지원</x:v>
      </x:c>
      <x:c r="K6" s="13" t="str">
        <x:v>해석 유형</x:v>
      </x:c>
      <x:c r="L6" s="13" t="str">
        <x:v>브리지</x:v>
      </x:c>
      <x:c r="M6" s="13" t="str">
        <x:v>경제기준</x:v>
      </x:c>
      <x:c r="N6" s="13" t="str">
        <x:v>중복군</x:v>
      </x:c>
      <x:c r="O6" s="13" t="str">
        <x:v>운영 정의</x:v>
      </x:c>
      <x:c r="P6" s="13" t="str">
        <x:v>쉬운 설명</x:v>
      </x:c>
    </x:row>
    <x:row r="7" ht="26.399999618530273" hidden="0" customHeight="1">
      <x:c r="A7" s="37" t="str">
        <x:v>effective_tax_rate_gap</x:v>
      </x:c>
      <x:c r="B7" s="37" t="str">
        <x:v>유효세율 격차</x:v>
      </x:c>
      <x:c r="C7" s="34" t="str">
        <x:v>I_reg</x:v>
      </x:c>
      <x:c r="D7" s="34" t="n">
        <x:v>1</x:v>
      </x:c>
      <x:c r="E7" s="34" t="str">
        <x:v>decimal_ratio</x:v>
      </x:c>
      <x:c r="F7" s="42" t="n">
        <x:v>-0.1416111014</x:v>
      </x:c>
      <x:c r="G7" s="42" t="n">
        <x:v>0.2683650488</x:v>
      </x:c>
      <x:c r="H7" s="34" t="n">
        <x:v>74</x:v>
      </x:c>
      <x:c r="I7" s="43" t="n">
        <x:v>0.1111111111111111</x:v>
      </x:c>
      <x:c r="J7" s="34" t="str">
        <x:v>no</x:v>
      </x:c>
      <x:c r="K7" s="37" t="str">
        <x:v>conditional_accounting_equivalent</x:v>
      </x:c>
      <x:c r="L7" s="37" t="str">
        <x:v>enabled</x:v>
      </x:c>
      <x:c r="M7" s="37" t="str">
        <x:v>positive_pretax_income</x:v>
      </x:c>
      <x:c r="N7" s="37" t="str">
        <x:v>tax_burden</x:v>
      </x:c>
      <x:c r="O7" s="37" t="str">
        <x:v>기업 유효세율(법인세비용/양의 세전이익)에서 동일 분야·분기 비한국 비교군 중앙값을 차감한 값</x:v>
      </x:c>
      <x:c r="P7" s="37" t="str">
        <x:v>세전이익 기준의 조건부 세부담 상당액</x:v>
      </x:c>
    </x:row>
    <x:row r="8" ht="15" hidden="0" customHeight="1">
      <x:c r="A8" s="37" t="str">
        <x:v>infra_dependency_ratio</x:v>
      </x:c>
      <x:c r="B8" s="37" t="str">
        <x:v>인프라 비용·해외의존 결합비율</x:v>
      </x:c>
      <x:c r="C8" s="34" t="str">
        <x:v>I_reg</x:v>
      </x:c>
      <x:c r="D8" s="34" t="n">
        <x:v>1</x:v>
      </x:c>
      <x:c r="E8" s="34" t="str">
        <x:v>decimal_ratio</x:v>
      </x:c>
      <x:c r="F8" s="42" t="n">
        <x:v>-0.10705024705171803</x:v>
      </x:c>
      <x:c r="G8" s="42" t="n">
        <x:v>0.8008753865408955</x:v>
      </x:c>
      <x:c r="H8" s="34" t="n">
        <x:v>64</x:v>
      </x:c>
      <x:c r="I8" s="43" t="n">
        <x:v>0.1111111111111111</x:v>
      </x:c>
      <x:c r="J8" s="34" t="str">
        <x:v>no</x:v>
      </x:c>
      <x:c r="K8" s="37" t="str">
        <x:v>non_monetizable</x:v>
      </x:c>
      <x:c r="L8" s="37" t="str">
        <x:v>disabled</x:v>
      </x:c>
      <x:c r="M8" s="37" t="str">
        <x:v>none</x:v>
      </x:c>
      <x:c r="N8" s="37" t="str">
        <x:v>network_infrastructure</x:v>
      </x:c>
      <x:c r="O8" s="37" t="str">
        <x:v>실행코드상 network_cost_ratio와 foreign_dependency_ratio의 곱</x:v>
      </x:c>
      <x:c r="P8" s="37" t="str">
        <x:v>독립적 가격·비용 계수가 없고 네트워크 비용과 중복될 수 있음</x:v>
      </x:c>
    </x:row>
    <x:row r="9" ht="26.399999618530273" hidden="0" customHeight="1">
      <x:c r="A9" s="37" t="str">
        <x:v>network_cost_ratio</x:v>
      </x:c>
      <x:c r="B9" s="37" t="str">
        <x:v>네트워크 비용률</x:v>
      </x:c>
      <x:c r="C9" s="34" t="str">
        <x:v>I_reg</x:v>
      </x:c>
      <x:c r="D9" s="34" t="n">
        <x:v>1</x:v>
      </x:c>
      <x:c r="E9" s="34" t="str">
        <x:v>decimal_ratio</x:v>
      </x:c>
      <x:c r="F9" s="42" t="n">
        <x:v>-0.1395374353</x:v>
      </x:c>
      <x:c r="G9" s="42" t="n">
        <x:v>0.9274274845000001</x:v>
      </x:c>
      <x:c r="H9" s="34" t="n">
        <x:v>97</x:v>
      </x:c>
      <x:c r="I9" s="43" t="n">
        <x:v>0.1111111111111111</x:v>
      </x:c>
      <x:c r="J9" s="34" t="str">
        <x:v>no</x:v>
      </x:c>
      <x:c r="K9" s="37" t="str">
        <x:v>conditional_accounting_equivalent</x:v>
      </x:c>
      <x:c r="L9" s="37" t="str">
        <x:v>enabled</x:v>
      </x:c>
      <x:c r="M9" s="37" t="str">
        <x:v>revenue</x:v>
      </x:c>
      <x:c r="N9" s="37" t="str">
        <x:v>network_infrastructure</x:v>
      </x:c>
      <x:c r="O9" s="37" t="str">
        <x:v>네트워크·클라우드·CDN 관련 비용 또는 실행자료의 대응 비용항목을 매출로 나눈 절대 비율</x:v>
      </x:c>
      <x:c r="P9" s="37" t="str">
        <x:v>매출 기준의 네트워크 비용 차이 상당액</x:v>
      </x:c>
    </x:row>
    <x:row r="10" ht="15" hidden="0" customHeight="1">
      <x:c r="A10" s="37" t="str">
        <x:v>cashflow_recovery_ratio</x:v>
      </x:c>
      <x:c r="B10" s="37" t="str">
        <x:v>세전이익 기반 회수 대리값</x:v>
      </x:c>
      <x:c r="C10" s="34" t="str">
        <x:v>I_risk</x:v>
      </x:c>
      <x:c r="D10" s="34" t="n">
        <x:v>-1</x:v>
      </x:c>
      <x:c r="E10" s="34" t="str">
        <x:v>multiple</x:v>
      </x:c>
      <x:c r="F10" s="42" t="n">
        <x:v>-300.75</x:v>
      </x:c>
      <x:c r="G10" s="42" t="n">
        <x:v>42.6920305469</x:v>
      </x:c>
      <x:c r="H10" s="34" t="n">
        <x:v>95</x:v>
      </x:c>
      <x:c r="I10" s="43" t="n">
        <x:v>0.08333333333333333</x:v>
      </x:c>
      <x:c r="J10" s="34" t="str">
        <x:v>no</x:v>
      </x:c>
      <x:c r="K10" s="37" t="str">
        <x:v>conditional_performance_equivalent</x:v>
      </x:c>
      <x:c r="L10" s="37" t="str">
        <x:v>enabled</x:v>
      </x:c>
      <x:c r="M10" s="37" t="str">
        <x:v>content_investment</x:v>
      </x:c>
      <x:c r="N10" s="37" t="str">
        <x:v>recovery</x:v>
      </x:c>
      <x:c r="O10" s="37" t="str">
        <x:v>실행코드상 세전이익/콘텐츠 투자액; 웹툰 대체경로에서는 역순위×local-IP 대리값</x:v>
      </x:c>
      <x:c r="P10" s="37" t="str">
        <x:v>콘텐츠투자액 기준 세전이익 회수 차이 상당액</x:v>
      </x:c>
    </x:row>
    <x:row r="11" ht="15" hidden="0" customHeight="1">
      <x:c r="A11" s="37" t="str">
        <x:v>funding_cost_spread</x:v>
      </x:c>
      <x:c r="B11" s="37" t="str">
        <x:v>자금조달비용 스프레드</x:v>
      </x:c>
      <x:c r="C11" s="34" t="str">
        <x:v>I_risk</x:v>
      </x:c>
      <x:c r="D11" s="34" t="n">
        <x:v>1</x:v>
      </x:c>
      <x:c r="E11" s="34" t="str">
        <x:v>decimal_ratio</x:v>
      </x:c>
      <x:c r="F11" s="42" t="n">
        <x:v>-0.4430292903</x:v>
      </x:c>
      <x:c r="G11" s="42" t="n">
        <x:v>0.5068913103</x:v>
      </x:c>
      <x:c r="H11" s="34" t="n">
        <x:v>58</x:v>
      </x:c>
      <x:c r="I11" s="43" t="n">
        <x:v>0.08333333333333333</x:v>
      </x:c>
      <x:c r="J11" s="34" t="str">
        <x:v>no</x:v>
      </x:c>
      <x:c r="K11" s="37" t="str">
        <x:v>conditional_accounting_equivalent</x:v>
      </x:c>
      <x:c r="L11" s="37" t="str">
        <x:v>enabled</x:v>
      </x:c>
      <x:c r="M11" s="37" t="str">
        <x:v>average_interest_bearing_debt</x:v>
      </x:c>
      <x:c r="N11" s="37" t="str">
        <x:v>financing_ip</x:v>
      </x:c>
      <x:c r="O11" s="37" t="str">
        <x:v>기업 이자비용/이자부부채에서 동일 분야·분기 비한국 비교군 중앙값을 차감한 값</x:v>
      </x:c>
      <x:c r="P11" s="37" t="str">
        <x:v>평균 이자부부채와 기간을 반영한 조달비용 상당액</x:v>
      </x:c>
    </x:row>
    <x:row r="12" ht="15" hidden="0" customHeight="1">
      <x:c r="A12" s="37" t="str">
        <x:v>investment_recovery_ratio</x:v>
      </x:c>
      <x:c r="B12" s="37" t="str">
        <x:v>투자 회수율</x:v>
      </x:c>
      <x:c r="C12" s="34" t="str">
        <x:v>I_risk</x:v>
      </x:c>
      <x:c r="D12" s="34" t="n">
        <x:v>-1</x:v>
      </x:c>
      <x:c r="E12" s="34" t="str">
        <x:v>multiple</x:v>
      </x:c>
      <x:c r="F12" s="42" t="n">
        <x:v>-3163.7500000000014</x:v>
      </x:c>
      <x:c r="G12" s="42" t="n">
        <x:v>189.68191301719997</x:v>
      </x:c>
      <x:c r="H12" s="34" t="n">
        <x:v>95</x:v>
      </x:c>
      <x:c r="I12" s="43" t="n">
        <x:v>0.08333333333333333</x:v>
      </x:c>
      <x:c r="J12" s="34" t="str">
        <x:v>no</x:v>
      </x:c>
      <x:c r="K12" s="37" t="str">
        <x:v>conditional_performance_equivalent</x:v>
      </x:c>
      <x:c r="L12" s="37" t="str">
        <x:v>enabled</x:v>
      </x:c>
      <x:c r="M12" s="37" t="str">
        <x:v>content_investment</x:v>
      </x:c>
      <x:c r="N12" s="37" t="str">
        <x:v>recovery</x:v>
      </x:c>
      <x:c r="O12" s="37" t="str">
        <x:v>실행코드상 매출/콘텐츠 투자액; 웹툰 대체경로에서는 역순위 대리값을 사용할 수 있음</x:v>
      </x:c>
      <x:c r="P12" s="37" t="str">
        <x:v>콘텐츠투자액 기준 매출 회수성 차이 상당액</x:v>
      </x:c>
    </x:row>
    <x:row r="13" ht="26.399999618530273" hidden="0" customHeight="1">
      <x:c r="A13" s="37" t="str">
        <x:v>ip_assetization_gap</x:v>
      </x:c>
      <x:c r="B13" s="37" t="str">
        <x:v>IP 자산화 결손</x:v>
      </x:c>
      <x:c r="C13" s="34" t="str">
        <x:v>I_risk</x:v>
      </x:c>
      <x:c r="D13" s="34" t="n">
        <x:v>1</x:v>
      </x:c>
      <x:c r="E13" s="34" t="str">
        <x:v>decimal_ratio</x:v>
      </x:c>
      <x:c r="F13" s="42" t="n">
        <x:v>-1.6707152386</x:v>
      </x:c>
      <x:c r="G13" s="42" t="n">
        <x:v>0.7716332556000001</x:v>
      </x:c>
      <x:c r="H13" s="34" t="n">
        <x:v>92</x:v>
      </x:c>
      <x:c r="I13" s="43" t="n">
        <x:v>0.08333333333333333</x:v>
      </x:c>
      <x:c r="J13" s="34" t="str">
        <x:v>no</x:v>
      </x:c>
      <x:c r="K13" s="37" t="str">
        <x:v>scenario_only</x:v>
      </x:c>
      <x:c r="L13" s="37" t="str">
        <x:v>enabled</x:v>
      </x:c>
      <x:c r="M13" s="37" t="str">
        <x:v>revenue</x:v>
      </x:c>
      <x:c r="N13" s="37" t="str">
        <x:v>financing_ip</x:v>
      </x:c>
      <x:c r="O13" s="37" t="str">
        <x:v>동일 분야·분기 비한국 비교군의 무형자산/매출 중앙값에서 기업 무형자산/매출을 차감한 값</x:v>
      </x:c>
      <x:c r="P13" s="37" t="str">
        <x:v>매출 기준 IP 자산화 결손 시나리오 금액</x:v>
      </x:c>
    </x:row>
    <x:row r="14" ht="26.399999618530273" hidden="0" customHeight="1">
      <x:c r="A14" s="37" t="str">
        <x:v>cross_market_transfer_index</x:v>
      </x:c>
      <x:c r="B14" s="37" t="str">
        <x:v>시장간 전이 대리지수</x:v>
      </x:c>
      <x:c r="C14" s="34" t="str">
        <x:v>I_market</x:v>
      </x:c>
      <x:c r="D14" s="34" t="n">
        <x:v>1</x:v>
      </x:c>
      <x:c r="E14" s="34" t="str">
        <x:v>index_0_1</x:v>
      </x:c>
      <x:c r="F14" s="42" t="n">
        <x:v>0</x:v>
      </x:c>
      <x:c r="G14" s="42" t="n">
        <x:v>0.7587051325360435</x:v>
      </x:c>
      <x:c r="H14" s="34" t="n">
        <x:v>4</x:v>
      </x:c>
      <x:c r="I14" s="43" t="n">
        <x:v>0.1111111111111111</x:v>
      </x:c>
      <x:c r="J14" s="34" t="str">
        <x:v>yes</x:v>
      </x:c>
      <x:c r="K14" s="37" t="str">
        <x:v>scenario_only</x:v>
      </x:c>
      <x:c r="L14" s="37" t="str">
        <x:v>enabled</x:v>
      </x:c>
      <x:c r="M14" s="37" t="str">
        <x:v>eligible_market_revenue</x:v>
      </x:c>
      <x:c r="N14" s="37" t="str">
        <x:v>market_transfer</x:v>
      </x:c>
      <x:c r="O14" s="37" t="str">
        <x:v>음악은 bundle×foreign_dependency×(1-chart_share), 웹툰은 번역작 역순위 대리값으로 구성되는 이질적 proxy</x:v>
      </x:c>
      <x:c r="P14" s="37" t="str">
        <x:v>대상매출과 가정 전환율을 적용한 시장전이 시나리오</x:v>
      </x:c>
    </x:row>
    <x:row r="15" ht="15" hidden="0" customHeight="1">
      <x:c r="A15" s="37" t="str">
        <x:v>foreign_dependency_ratio</x:v>
      </x:c>
      <x:c r="B15" s="37" t="str">
        <x:v>해외의존비율</x:v>
      </x:c>
      <x:c r="C15" s="34" t="str">
        <x:v>I_market</x:v>
      </x:c>
      <x:c r="D15" s="34" t="n">
        <x:v>1</x:v>
      </x:c>
      <x:c r="E15" s="34" t="str">
        <x:v>decimal_ratio</x:v>
      </x:c>
      <x:c r="F15" s="42" t="n">
        <x:v>0.728196</x:v>
      </x:c>
      <x:c r="G15" s="42" t="n">
        <x:v>0.94</x:v>
      </x:c>
      <x:c r="H15" s="34" t="n">
        <x:v>84</x:v>
      </x:c>
      <x:c r="I15" s="43" t="n">
        <x:v>0.1111111111111111</x:v>
      </x:c>
      <x:c r="J15" s="34" t="str">
        <x:v>yes</x:v>
      </x:c>
      <x:c r="K15" s="37" t="str">
        <x:v>non_monetizable</x:v>
      </x:c>
      <x:c r="L15" s="37" t="str">
        <x:v>disabled</x:v>
      </x:c>
      <x:c r="M15" s="37" t="str">
        <x:v>none</x:v>
      </x:c>
      <x:c r="N15" s="37" t="str">
        <x:v>network_infrastructure</x:v>
      </x:c>
      <x:c r="O15" s="37" t="str">
        <x:v>해외 트래픽 또는 외부 인프라 의존의 서비스·국가·분기 비율/대리값</x:v>
      </x:c>
      <x:c r="P15" s="37" t="str">
        <x:v>독립적 가격·비용 계수가 없으므로 지수 위치로만 해석</x:v>
      </x:c>
    </x:row>
    <x:row r="16" ht="26.399999618530273" hidden="0" customHeight="1">
      <x:c r="A16" s="37" t="str">
        <x:v>outflow_to_capex_ratio</x:v>
      </x:c>
      <x:c r="B16" s="37" t="str">
        <x:v>비용 대비 설비투자 압박률</x:v>
      </x:c>
      <x:c r="C16" s="34" t="str">
        <x:v>I_market</x:v>
      </x:c>
      <x:c r="D16" s="34" t="n">
        <x:v>1</x:v>
      </x:c>
      <x:c r="E16" s="34" t="str">
        <x:v>multiple</x:v>
      </x:c>
      <x:c r="F16" s="42" t="n">
        <x:v>-123.5385890408</x:v>
      </x:c>
      <x:c r="G16" s="42" t="n">
        <x:v>974.1666666666999</x:v>
      </x:c>
      <x:c r="H16" s="34" t="n">
        <x:v>97</x:v>
      </x:c>
      <x:c r="I16" s="43" t="n">
        <x:v>0.1111111111111111</x:v>
      </x:c>
      <x:c r="J16" s="34" t="str">
        <x:v>no</x:v>
      </x:c>
      <x:c r="K16" s="37" t="str">
        <x:v>non_monetizable</x:v>
      </x:c>
      <x:c r="L16" s="37" t="str">
        <x:v>disabled</x:v>
      </x:c>
      <x:c r="M16" s="37" t="str">
        <x:v>none</x:v>
      </x:c>
      <x:c r="N16" s="37" t="str">
        <x:v>network_infrastructure</x:v>
      </x:c>
      <x:c r="O16" s="37" t="str">
        <x:v>실행코드상 network_cloud_cost/CAPEX; 실제 국외유출액으로 직접 식별되지 않을 수 있음</x:v>
      </x:c>
      <x:c r="P16" s="37" t="str">
        <x:v>실제 국외유출액이 아닌 비용·CAPEX 프록시이며 네트워크 비용과 중복 가능</x:v>
      </x:c>
    </x:row>
    <x:row r="19">
      <x:c r="A19" s="13" t="str">
        <x:v>등록 Benchmark (ID·산업·기간·합성 전용 여부 검증용)</x:v>
      </x:c>
      <x:c r="B19" s="13"/>
      <x:c r="C19" s="13"/>
      <x:c r="D19" s="13"/>
      <x:c r="E19" s="13"/>
      <x:c r="F19" s="13"/>
      <x:c r="G19" s="13"/>
      <x:c r="H19" s="13"/>
      <x:c r="I19" s="13"/>
      <x:c r="J19" s="13"/>
      <x:c r="L19" s="13" t="str">
        <x:v>지원 통화 코드</x:v>
      </x:c>
      <x:c r="M19" s="13"/>
      <x:c r="N19" s="13"/>
      <x:c r="O19" s="13"/>
      <x:c r="P19" s="13"/>
    </x:row>
    <x:row r="20">
      <x:c r="A20" s="13" t="str">
        <x:v>Benchmark ID</x:v>
      </x:c>
      <x:c r="B20" s="13" t="str">
        <x:v>산업</x:v>
      </x:c>
      <x:c r="C20" s="13" t="str">
        <x:v>기간</x:v>
      </x:c>
      <x:c r="D20" s="13" t="str">
        <x:v>Cohort 정의</x:v>
      </x:c>
      <x:c r="E20" s="13" t="str">
        <x:v>산식</x:v>
      </x:c>
      <x:c r="F20" s="13" t="str">
        <x:v>버전</x:v>
      </x:c>
      <x:c r="G20" s="13" t="str">
        <x:v>원천유형</x:v>
      </x:c>
      <x:c r="H20" s="13" t="str">
        <x:v>원천 SHA-256</x:v>
      </x:c>
      <x:c r="I20" s="13" t="str">
        <x:v>상태</x:v>
      </x:c>
      <x:c r="J20" s="13" t="str">
        <x:v>주의</x:v>
      </x:c>
      <x:c r="L20" s="13" t="str">
        <x:v>ISO code</x:v>
      </x:c>
    </x:row>
    <x:row r="21">
      <x:c r="A21" s="34" t="str">
        <x:v>BM-DIGITAL-CONTENT-2025Q4</x:v>
      </x:c>
      <x:c r="B21" s="34" t="str">
        <x:v>digital_content</x:v>
      </x:c>
      <x:c r="C21" s="34" t="str">
        <x:v>2025Q4</x:v>
      </x:c>
      <x:c r="D21" s="34" t="str">
        <x:v>methodology-demo non-KR peer cohort</x:v>
      </x:c>
      <x:c r="E21" s="34" t="str">
        <x:v>median by active benchmark-gap feature</x:v>
      </x:c>
      <x:c r="F21" s="34" t="str">
        <x:v>BM_SYNTHETIC_V1</x:v>
      </x:c>
      <x:c r="G21" s="34" t="str">
        <x:v>synthetic</x:v>
      </x:c>
      <x:c r="H21" s="34" t="str">
        <x:v>37ce0afdbab9f73c20c867ea40074af397a5eeac16ecc235f149942962362ade</x:v>
      </x:c>
      <x:c r="I21" s="34" t="str">
        <x:v>synthetic_only</x:v>
      </x:c>
      <x:c r="J21" s="34" t="str">
        <x:v>방법론 설명용으로 실제 비교집단이 아님</x:v>
      </x:c>
      <x:c r="L21" s="34" t="str">
        <x:v>AED</x:v>
      </x:c>
    </x:row>
    <x:row r="22">
      <x:c r="L22" s="34" t="str">
        <x:v>AUD</x:v>
      </x:c>
    </x:row>
    <x:row r="23">
      <x:c r="L23" s="34" t="str">
        <x:v>BRL</x:v>
      </x:c>
    </x:row>
    <x:row r="24">
      <x:c r="L24" s="34" t="str">
        <x:v>CAD</x:v>
      </x:c>
    </x:row>
    <x:row r="25">
      <x:c r="L25" s="34" t="str">
        <x:v>CHF</x:v>
      </x:c>
    </x:row>
    <x:row r="26">
      <x:c r="L26" s="34" t="str">
        <x:v>CNY</x:v>
      </x:c>
    </x:row>
    <x:row r="27">
      <x:c r="L27" s="34" t="str">
        <x:v>DKK</x:v>
      </x:c>
    </x:row>
    <x:row r="28">
      <x:c r="L28" s="34" t="str">
        <x:v>EUR</x:v>
      </x:c>
    </x:row>
    <x:row r="29">
      <x:c r="L29" s="34" t="str">
        <x:v>GBP</x:v>
      </x:c>
    </x:row>
    <x:row r="30">
      <x:c r="L30" s="34" t="str">
        <x:v>HKD</x:v>
      </x:c>
    </x:row>
    <x:row r="31">
      <x:c r="L31" s="34" t="str">
        <x:v>IDR</x:v>
      </x:c>
    </x:row>
    <x:row r="32">
      <x:c r="L32" s="34" t="str">
        <x:v>INR</x:v>
      </x:c>
    </x:row>
    <x:row r="33">
      <x:c r="L33" s="34" t="str">
        <x:v>JPY</x:v>
      </x:c>
    </x:row>
    <x:row r="34">
      <x:c r="L34" s="34" t="str">
        <x:v>KRW</x:v>
      </x:c>
    </x:row>
    <x:row r="35">
      <x:c r="L35" s="34" t="str">
        <x:v>MXN</x:v>
      </x:c>
    </x:row>
    <x:row r="36">
      <x:c r="L36" s="34" t="str">
        <x:v>MYR</x:v>
      </x:c>
    </x:row>
    <x:row r="37">
      <x:c r="L37" s="34" t="str">
        <x:v>NOK</x:v>
      </x:c>
    </x:row>
    <x:row r="38">
      <x:c r="L38" s="34" t="str">
        <x:v>NZD</x:v>
      </x:c>
    </x:row>
    <x:row r="39">
      <x:c r="L39" s="34" t="str">
        <x:v>PHP</x:v>
      </x:c>
    </x:row>
    <x:row r="40">
      <x:c r="L40" s="34" t="str">
        <x:v>PLN</x:v>
      </x:c>
    </x:row>
    <x:row r="41">
      <x:c r="L41" s="34" t="str">
        <x:v>RUB</x:v>
      </x:c>
    </x:row>
    <x:row r="42">
      <x:c r="L42" s="34" t="str">
        <x:v>SAR</x:v>
      </x:c>
    </x:row>
    <x:row r="43">
      <x:c r="L43" s="34" t="str">
        <x:v>SEK</x:v>
      </x:c>
    </x:row>
    <x:row r="44">
      <x:c r="L44" s="34" t="str">
        <x:v>SGD</x:v>
      </x:c>
    </x:row>
    <x:row r="45">
      <x:c r="L45" s="34" t="str">
        <x:v>THB</x:v>
      </x:c>
    </x:row>
    <x:row r="46">
      <x:c r="L46" s="34" t="str">
        <x:v>TRY</x:v>
      </x:c>
    </x:row>
    <x:row r="47">
      <x:c r="L47" s="34" t="str">
        <x:v>TWD</x:v>
      </x:c>
    </x:row>
    <x:row r="48">
      <x:c r="L48" s="34" t="str">
        <x:v>USD</x:v>
      </x:c>
    </x:row>
    <x:row r="49">
      <x:c r="L49" s="34" t="str">
        <x:v>VND</x:v>
      </x:c>
    </x:row>
    <x:row r="50">
      <x:c r="L50" s="34" t="str">
        <x:v>ZAR</x:v>
      </x:c>
    </x:row>
  </x:sheetData>
  <x:mergeCells>
    <x:mergeCell ref="A1:P1"/>
    <x:mergeCell ref="A2:P3"/>
    <x:mergeCell ref="A19:J19"/>
    <x:mergeCell ref="L19:P19"/>
  </x:mergeCells>
  <x:conditionalFormatting sqref="J7:J16">
    <x:cfRule type="containsText" dxfId="8" priority="1" operator="containsText" text="ye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 ht="30" customHeight="1">
      <x:c r="A1" s="3" t="str">
        <x:v>93 | 동결 Anchor Rank Keys</x:v>
      </x:c>
      <x:c r="B1" s="3"/>
      <x:c r="C1" s="3"/>
    </x:row>
    <x:row r="2" ht="24" customHeight="1">
      <x:c r="A2" s="7" t="str">
        <x:v>계산 참조 시트입니다. signed-log가 단조함을 이용한 directed raw-space projection이며 Python canonical normalizer와 검증됩니다.</x:v>
      </x:c>
      <x:c r="B2" s="7"/>
      <x:c r="C2" s="7"/>
    </x:row>
    <x:row r="3" ht="24" customHeight="1">
      <x:c r="A3" s="7"/>
      <x:c r="B3" s="7"/>
      <x:c r="C3" s="7"/>
    </x:row>
    <x:row r="6">
      <x:c r="A6" s="13" t="str">
        <x:v>변수</x:v>
      </x:c>
      <x:c r="B6" s="13" t="str">
        <x:v>참조 순서</x:v>
      </x:c>
      <x:c r="C6" s="13" t="str">
        <x:v>Directed rank key</x:v>
      </x:c>
    </x:row>
    <x:row r="7">
      <x:c r="A7" s="34" t="str">
        <x:v>effective_tax_rate_gap</x:v>
      </x:c>
      <x:c r="B7" s="34" t="n">
        <x:v>1</x:v>
      </x:c>
      <x:c r="C7" s="42" t="n">
        <x:v>-0.1416111014</x:v>
      </x:c>
    </x:row>
    <x:row r="8">
      <x:c r="A8" s="34" t="str">
        <x:v>effective_tax_rate_gap</x:v>
      </x:c>
      <x:c r="B8" s="34" t="n">
        <x:v>2</x:v>
      </x:c>
      <x:c r="C8" s="42" t="n">
        <x:v>-0.1416111014</x:v>
      </x:c>
    </x:row>
    <x:row r="9">
      <x:c r="A9" s="34" t="str">
        <x:v>effective_tax_rate_gap</x:v>
      </x:c>
      <x:c r="B9" s="34" t="n">
        <x:v>3</x:v>
      </x:c>
      <x:c r="C9" s="42" t="n">
        <x:v>-0.1416111014</x:v>
      </x:c>
    </x:row>
    <x:row r="10">
      <x:c r="A10" s="34" t="str">
        <x:v>effective_tax_rate_gap</x:v>
      </x:c>
      <x:c r="B10" s="34" t="n">
        <x:v>4</x:v>
      </x:c>
      <x:c r="C10" s="42" t="n">
        <x:v>-0.1416111014</x:v>
      </x:c>
    </x:row>
    <x:row r="11">
      <x:c r="A11" s="34" t="str">
        <x:v>effective_tax_rate_gap</x:v>
      </x:c>
      <x:c r="B11" s="34" t="n">
        <x:v>5</x:v>
      </x:c>
      <x:c r="C11" s="42" t="n">
        <x:v>-0.0708055507</x:v>
      </x:c>
    </x:row>
    <x:row r="12">
      <x:c r="A12" s="34" t="str">
        <x:v>effective_tax_rate_gap</x:v>
      </x:c>
      <x:c r="B12" s="34" t="n">
        <x:v>6</x:v>
      </x:c>
      <x:c r="C12" s="42" t="n">
        <x:v>-0.0708055507</x:v>
      </x:c>
    </x:row>
    <x:row r="13">
      <x:c r="A13" s="34" t="str">
        <x:v>effective_tax_rate_gap</x:v>
      </x:c>
      <x:c r="B13" s="34" t="n">
        <x:v>7</x:v>
      </x:c>
      <x:c r="C13" s="42" t="n">
        <x:v>-0.0708055507</x:v>
      </x:c>
    </x:row>
    <x:row r="14">
      <x:c r="A14" s="34" t="str">
        <x:v>effective_tax_rate_gap</x:v>
      </x:c>
      <x:c r="B14" s="34" t="n">
        <x:v>8</x:v>
      </x:c>
      <x:c r="C14" s="42" t="n">
        <x:v>-0.0708055507</x:v>
      </x:c>
    </x:row>
    <x:row r="15">
      <x:c r="A15" s="34" t="str">
        <x:v>effective_tax_rate_gap</x:v>
      </x:c>
      <x:c r="B15" s="34" t="n">
        <x:v>9</x:v>
      </x:c>
      <x:c r="C15" s="42" t="n">
        <x:v>-0.0359904895</x:v>
      </x:c>
    </x:row>
    <x:row r="16">
      <x:c r="A16" s="34" t="str">
        <x:v>effective_tax_rate_gap</x:v>
      </x:c>
      <x:c r="B16" s="34" t="n">
        <x:v>10</x:v>
      </x:c>
      <x:c r="C16" s="42" t="n">
        <x:v>-0.0300760628</x:v>
      </x:c>
    </x:row>
    <x:row r="17">
      <x:c r="A17" s="34" t="str">
        <x:v>effective_tax_rate_gap</x:v>
      </x:c>
      <x:c r="B17" s="34" t="n">
        <x:v>11</x:v>
      </x:c>
      <x:c r="C17" s="42" t="n">
        <x:v>-0.0300760628</x:v>
      </x:c>
    </x:row>
    <x:row r="18">
      <x:c r="A18" s="34" t="str">
        <x:v>effective_tax_rate_gap</x:v>
      </x:c>
      <x:c r="B18" s="34" t="n">
        <x:v>12</x:v>
      </x:c>
      <x:c r="C18" s="42" t="n">
        <x:v>-0.0300760628</x:v>
      </x:c>
    </x:row>
    <x:row r="19">
      <x:c r="A19" s="34" t="str">
        <x:v>effective_tax_rate_gap</x:v>
      </x:c>
      <x:c r="B19" s="34" t="n">
        <x:v>13</x:v>
      </x:c>
      <x:c r="C19" s="42" t="n">
        <x:v>-0.029703355</x:v>
      </x:c>
    </x:row>
    <x:row r="20">
      <x:c r="A20" s="34" t="str">
        <x:v>effective_tax_rate_gap</x:v>
      </x:c>
      <x:c r="B20" s="34" t="n">
        <x:v>14</x:v>
      </x:c>
      <x:c r="C20" s="42" t="n">
        <x:v>-0.029703355</x:v>
      </x:c>
    </x:row>
    <x:row r="21">
      <x:c r="A21" s="34" t="str">
        <x:v>effective_tax_rate_gap</x:v>
      </x:c>
      <x:c r="B21" s="34" t="n">
        <x:v>15</x:v>
      </x:c>
      <x:c r="C21" s="42" t="n">
        <x:v>-0.029703355</x:v>
      </x:c>
    </x:row>
    <x:row r="22">
      <x:c r="A22" s="34" t="str">
        <x:v>effective_tax_rate_gap</x:v>
      </x:c>
      <x:c r="B22" s="34" t="n">
        <x:v>16</x:v>
      </x:c>
      <x:c r="C22" s="42" t="n">
        <x:v>-0.0244004593</x:v>
      </x:c>
    </x:row>
    <x:row r="23">
      <x:c r="A23" s="34" t="str">
        <x:v>effective_tax_rate_gap</x:v>
      </x:c>
      <x:c r="B23" s="34" t="n">
        <x:v>17</x:v>
      </x:c>
      <x:c r="C23" s="42" t="n">
        <x:v>-0.0244004593</x:v>
      </x:c>
    </x:row>
    <x:row r="24">
      <x:c r="A24" s="34" t="str">
        <x:v>effective_tax_rate_gap</x:v>
      </x:c>
      <x:c r="B24" s="34" t="n">
        <x:v>18</x:v>
      </x:c>
      <x:c r="C24" s="42" t="n">
        <x:v>-0.0244004593</x:v>
      </x:c>
    </x:row>
    <x:row r="25">
      <x:c r="A25" s="34" t="str">
        <x:v>effective_tax_rate_gap</x:v>
      </x:c>
      <x:c r="B25" s="34" t="n">
        <x:v>19</x:v>
      </x:c>
      <x:c r="C25" s="42" t="n">
        <x:v>-0.021099575</x:v>
      </x:c>
    </x:row>
    <x:row r="26">
      <x:c r="A26" s="34" t="str">
        <x:v>effective_tax_rate_gap</x:v>
      </x:c>
      <x:c r="B26" s="34" t="n">
        <x:v>20</x:v>
      </x:c>
      <x:c r="C26" s="42" t="n">
        <x:v>-0.0196039726</x:v>
      </x:c>
    </x:row>
    <x:row r="27">
      <x:c r="A27" s="34" t="str">
        <x:v>effective_tax_rate_gap</x:v>
      </x:c>
      <x:c r="B27" s="34" t="n">
        <x:v>21</x:v>
      </x:c>
      <x:c r="C27" s="42" t="n">
        <x:v>-0.0196039726</x:v>
      </x:c>
    </x:row>
    <x:row r="28">
      <x:c r="A28" s="34" t="str">
        <x:v>effective_tax_rate_gap</x:v>
      </x:c>
      <x:c r="B28" s="34" t="n">
        <x:v>22</x:v>
      </x:c>
      <x:c r="C28" s="42" t="n">
        <x:v>0</x:v>
      </x:c>
    </x:row>
    <x:row r="29">
      <x:c r="A29" s="34" t="str">
        <x:v>effective_tax_rate_gap</x:v>
      </x:c>
      <x:c r="B29" s="34" t="n">
        <x:v>23</x:v>
      </x:c>
      <x:c r="C29" s="42" t="n">
        <x:v>0</x:v>
      </x:c>
    </x:row>
    <x:row r="30">
      <x:c r="A30" s="34" t="str">
        <x:v>effective_tax_rate_gap</x:v>
      </x:c>
      <x:c r="B30" s="34" t="n">
        <x:v>24</x:v>
      </x:c>
      <x:c r="C30" s="42" t="n">
        <x:v>0</x:v>
      </x:c>
    </x:row>
    <x:row r="31">
      <x:c r="A31" s="34" t="str">
        <x:v>effective_tax_rate_gap</x:v>
      </x:c>
      <x:c r="B31" s="34" t="n">
        <x:v>25</x:v>
      </x:c>
      <x:c r="C31" s="42" t="n">
        <x:v>0</x:v>
      </x:c>
    </x:row>
    <x:row r="32">
      <x:c r="A32" s="34" t="str">
        <x:v>effective_tax_rate_gap</x:v>
      </x:c>
      <x:c r="B32" s="34" t="n">
        <x:v>26</x:v>
      </x:c>
      <x:c r="C32" s="42" t="n">
        <x:v>0</x:v>
      </x:c>
    </x:row>
    <x:row r="33">
      <x:c r="A33" s="34" t="str">
        <x:v>effective_tax_rate_gap</x:v>
      </x:c>
      <x:c r="B33" s="34" t="n">
        <x:v>27</x:v>
      </x:c>
      <x:c r="C33" s="42" t="n">
        <x:v>0</x:v>
      </x:c>
    </x:row>
    <x:row r="34">
      <x:c r="A34" s="34" t="str">
        <x:v>effective_tax_rate_gap</x:v>
      </x:c>
      <x:c r="B34" s="34" t="n">
        <x:v>28</x:v>
      </x:c>
      <x:c r="C34" s="42" t="n">
        <x:v>0</x:v>
      </x:c>
    </x:row>
    <x:row r="35">
      <x:c r="A35" s="34" t="str">
        <x:v>effective_tax_rate_gap</x:v>
      </x:c>
      <x:c r="B35" s="34" t="n">
        <x:v>29</x:v>
      </x:c>
      <x:c r="C35" s="42" t="n">
        <x:v>0</x:v>
      </x:c>
    </x:row>
    <x:row r="36">
      <x:c r="A36" s="34" t="str">
        <x:v>effective_tax_rate_gap</x:v>
      </x:c>
      <x:c r="B36" s="34" t="n">
        <x:v>30</x:v>
      </x:c>
      <x:c r="C36" s="42" t="n">
        <x:v>0</x:v>
      </x:c>
    </x:row>
    <x:row r="37">
      <x:c r="A37" s="34" t="str">
        <x:v>effective_tax_rate_gap</x:v>
      </x:c>
      <x:c r="B37" s="34" t="n">
        <x:v>31</x:v>
      </x:c>
      <x:c r="C37" s="42" t="n">
        <x:v>0</x:v>
      </x:c>
    </x:row>
    <x:row r="38">
      <x:c r="A38" s="34" t="str">
        <x:v>effective_tax_rate_gap</x:v>
      </x:c>
      <x:c r="B38" s="34" t="n">
        <x:v>32</x:v>
      </x:c>
      <x:c r="C38" s="42" t="n">
        <x:v>0</x:v>
      </x:c>
    </x:row>
    <x:row r="39">
      <x:c r="A39" s="34" t="str">
        <x:v>effective_tax_rate_gap</x:v>
      </x:c>
      <x:c r="B39" s="34" t="n">
        <x:v>33</x:v>
      </x:c>
      <x:c r="C39" s="42" t="n">
        <x:v>0</x:v>
      </x:c>
    </x:row>
    <x:row r="40">
      <x:c r="A40" s="34" t="str">
        <x:v>effective_tax_rate_gap</x:v>
      </x:c>
      <x:c r="B40" s="34" t="n">
        <x:v>34</x:v>
      </x:c>
      <x:c r="C40" s="42" t="n">
        <x:v>0.0037092283</x:v>
      </x:c>
    </x:row>
    <x:row r="41">
      <x:c r="A41" s="34" t="str">
        <x:v>effective_tax_rate_gap</x:v>
      </x:c>
      <x:c r="B41" s="34" t="n">
        <x:v>35</x:v>
      </x:c>
      <x:c r="C41" s="42" t="n">
        <x:v>0.0037092283</x:v>
      </x:c>
    </x:row>
    <x:row r="42">
      <x:c r="A42" s="34" t="str">
        <x:v>effective_tax_rate_gap</x:v>
      </x:c>
      <x:c r="B42" s="34" t="n">
        <x:v>36</x:v>
      </x:c>
      <x:c r="C42" s="42" t="n">
        <x:v>0.0037092283</x:v>
      </x:c>
    </x:row>
    <x:row r="43">
      <x:c r="A43" s="34" t="str">
        <x:v>effective_tax_rate_gap</x:v>
      </x:c>
      <x:c r="B43" s="34" t="n">
        <x:v>37</x:v>
      </x:c>
      <x:c r="C43" s="42" t="n">
        <x:v>0.0037092283</x:v>
      </x:c>
    </x:row>
    <x:row r="44">
      <x:c r="A44" s="34" t="str">
        <x:v>effective_tax_rate_gap</x:v>
      </x:c>
      <x:c r="B44" s="34" t="n">
        <x:v>38</x:v>
      </x:c>
      <x:c r="C44" s="42" t="n">
        <x:v>0.0037092283</x:v>
      </x:c>
    </x:row>
    <x:row r="45">
      <x:c r="A45" s="34" t="str">
        <x:v>effective_tax_rate_gap</x:v>
      </x:c>
      <x:c r="B45" s="34" t="n">
        <x:v>39</x:v>
      </x:c>
      <x:c r="C45" s="42" t="n">
        <x:v>0.0049929863</x:v>
      </x:c>
    </x:row>
    <x:row r="46">
      <x:c r="A46" s="34" t="str">
        <x:v>effective_tax_rate_gap</x:v>
      </x:c>
      <x:c r="B46" s="34" t="n">
        <x:v>40</x:v>
      </x:c>
      <x:c r="C46" s="42" t="n">
        <x:v>0.0049929863</x:v>
      </x:c>
    </x:row>
    <x:row r="47">
      <x:c r="A47" s="34" t="str">
        <x:v>effective_tax_rate_gap</x:v>
      </x:c>
      <x:c r="B47" s="34" t="n">
        <x:v>41</x:v>
      </x:c>
      <x:c r="C47" s="42" t="n">
        <x:v>0.0049929863</x:v>
      </x:c>
    </x:row>
    <x:row r="48">
      <x:c r="A48" s="34" t="str">
        <x:v>effective_tax_rate_gap</x:v>
      </x:c>
      <x:c r="B48" s="34" t="n">
        <x:v>42</x:v>
      </x:c>
      <x:c r="C48" s="42" t="n">
        <x:v>0.0049929863</x:v>
      </x:c>
    </x:row>
    <x:row r="49">
      <x:c r="A49" s="34" t="str">
        <x:v>effective_tax_rate_gap</x:v>
      </x:c>
      <x:c r="B49" s="34" t="n">
        <x:v>43</x:v>
      </x:c>
      <x:c r="C49" s="42" t="n">
        <x:v>0.0049929863</x:v>
      </x:c>
    </x:row>
    <x:row r="50">
      <x:c r="A50" s="34" t="str">
        <x:v>effective_tax_rate_gap</x:v>
      </x:c>
      <x:c r="B50" s="34" t="n">
        <x:v>44</x:v>
      </x:c>
      <x:c r="C50" s="42" t="n">
        <x:v>0.0055961472</x:v>
      </x:c>
    </x:row>
    <x:row r="51">
      <x:c r="A51" s="34" t="str">
        <x:v>effective_tax_rate_gap</x:v>
      </x:c>
      <x:c r="B51" s="34" t="n">
        <x:v>45</x:v>
      </x:c>
      <x:c r="C51" s="42" t="n">
        <x:v>0.0055961472</x:v>
      </x:c>
    </x:row>
    <x:row r="52">
      <x:c r="A52" s="34" t="str">
        <x:v>effective_tax_rate_gap</x:v>
      </x:c>
      <x:c r="B52" s="34" t="n">
        <x:v>46</x:v>
      </x:c>
      <x:c r="C52" s="42" t="n">
        <x:v>0.0055961472</x:v>
      </x:c>
    </x:row>
    <x:row r="53">
      <x:c r="A53" s="34" t="str">
        <x:v>effective_tax_rate_gap</x:v>
      </x:c>
      <x:c r="B53" s="34" t="n">
        <x:v>47</x:v>
      </x:c>
      <x:c r="C53" s="42" t="n">
        <x:v>0.0055961472</x:v>
      </x:c>
    </x:row>
    <x:row r="54">
      <x:c r="A54" s="34" t="str">
        <x:v>effective_tax_rate_gap</x:v>
      </x:c>
      <x:c r="B54" s="34" t="n">
        <x:v>48</x:v>
      </x:c>
      <x:c r="C54" s="42" t="n">
        <x:v>0.0055961472</x:v>
      </x:c>
    </x:row>
    <x:row r="55">
      <x:c r="A55" s="34" t="str">
        <x:v>effective_tax_rate_gap</x:v>
      </x:c>
      <x:c r="B55" s="34" t="n">
        <x:v>49</x:v>
      </x:c>
      <x:c r="C55" s="42" t="n">
        <x:v>0.0074184565</x:v>
      </x:c>
    </x:row>
    <x:row r="56">
      <x:c r="A56" s="34" t="str">
        <x:v>effective_tax_rate_gap</x:v>
      </x:c>
      <x:c r="B56" s="34" t="n">
        <x:v>50</x:v>
      </x:c>
      <x:c r="C56" s="42" t="n">
        <x:v>0.0074184565</x:v>
      </x:c>
    </x:row>
    <x:row r="57">
      <x:c r="A57" s="34" t="str">
        <x:v>effective_tax_rate_gap</x:v>
      </x:c>
      <x:c r="B57" s="34" t="n">
        <x:v>51</x:v>
      </x:c>
      <x:c r="C57" s="42" t="n">
        <x:v>0.0074184565</x:v>
      </x:c>
    </x:row>
    <x:row r="58">
      <x:c r="A58" s="34" t="str">
        <x:v>effective_tax_rate_gap</x:v>
      </x:c>
      <x:c r="B58" s="34" t="n">
        <x:v>52</x:v>
      </x:c>
      <x:c r="C58" s="42" t="n">
        <x:v>0.0206448957</x:v>
      </x:c>
    </x:row>
    <x:row r="59">
      <x:c r="A59" s="34" t="str">
        <x:v>effective_tax_rate_gap</x:v>
      </x:c>
      <x:c r="B59" s="34" t="n">
        <x:v>53</x:v>
      </x:c>
      <x:c r="C59" s="42" t="n">
        <x:v>0.0206448957</x:v>
      </x:c>
    </x:row>
    <x:row r="60">
      <x:c r="A60" s="34" t="str">
        <x:v>effective_tax_rate_gap</x:v>
      </x:c>
      <x:c r="B60" s="34" t="n">
        <x:v>54</x:v>
      </x:c>
      <x:c r="C60" s="42" t="n">
        <x:v>0.0206448957</x:v>
      </x:c>
    </x:row>
    <x:row r="61">
      <x:c r="A61" s="34" t="str">
        <x:v>effective_tax_rate_gap</x:v>
      </x:c>
      <x:c r="B61" s="34" t="n">
        <x:v>55</x:v>
      </x:c>
      <x:c r="C61" s="42" t="n">
        <x:v>0.0206448957</x:v>
      </x:c>
    </x:row>
    <x:row r="62">
      <x:c r="A62" s="34" t="str">
        <x:v>effective_tax_rate_gap</x:v>
      </x:c>
      <x:c r="B62" s="34" t="n">
        <x:v>56</x:v>
      </x:c>
      <x:c r="C62" s="42" t="n">
        <x:v>0.0206448957</x:v>
      </x:c>
    </x:row>
    <x:row r="63">
      <x:c r="A63" s="34" t="str">
        <x:v>effective_tax_rate_gap</x:v>
      </x:c>
      <x:c r="B63" s="34" t="n">
        <x:v>57</x:v>
      </x:c>
      <x:c r="C63" s="42" t="n">
        <x:v>0.0525437451</x:v>
      </x:c>
    </x:row>
    <x:row r="64">
      <x:c r="A64" s="34" t="str">
        <x:v>effective_tax_rate_gap</x:v>
      </x:c>
      <x:c r="B64" s="34" t="n">
        <x:v>58</x:v>
      </x:c>
      <x:c r="C64" s="42" t="n">
        <x:v>0.0574876739</x:v>
      </x:c>
    </x:row>
    <x:row r="65">
      <x:c r="A65" s="34" t="str">
        <x:v>effective_tax_rate_gap</x:v>
      </x:c>
      <x:c r="B65" s="34" t="n">
        <x:v>59</x:v>
      </x:c>
      <x:c r="C65" s="42" t="n">
        <x:v>0.0658624508</x:v>
      </x:c>
    </x:row>
    <x:row r="66">
      <x:c r="A66" s="34" t="str">
        <x:v>effective_tax_rate_gap</x:v>
      </x:c>
      <x:c r="B66" s="34" t="n">
        <x:v>60</x:v>
      </x:c>
      <x:c r="C66" s="42" t="n">
        <x:v>0.0681609407</x:v>
      </x:c>
    </x:row>
    <x:row r="67">
      <x:c r="A67" s="34" t="str">
        <x:v>effective_tax_rate_gap</x:v>
      </x:c>
      <x:c r="B67" s="34" t="n">
        <x:v>61</x:v>
      </x:c>
      <x:c r="C67" s="42" t="n">
        <x:v>0.0681609407</x:v>
      </x:c>
    </x:row>
    <x:row r="68">
      <x:c r="A68" s="34" t="str">
        <x:v>effective_tax_rate_gap</x:v>
      </x:c>
      <x:c r="B68" s="34" t="n">
        <x:v>62</x:v>
      </x:c>
      <x:c r="C68" s="42" t="n">
        <x:v>0.0681609407</x:v>
      </x:c>
    </x:row>
    <x:row r="69">
      <x:c r="A69" s="34" t="str">
        <x:v>effective_tax_rate_gap</x:v>
      </x:c>
      <x:c r="B69" s="34" t="n">
        <x:v>63</x:v>
      </x:c>
      <x:c r="C69" s="42" t="n">
        <x:v>0.0681609407</x:v>
      </x:c>
    </x:row>
    <x:row r="70">
      <x:c r="A70" s="34" t="str">
        <x:v>effective_tax_rate_gap</x:v>
      </x:c>
      <x:c r="B70" s="34" t="n">
        <x:v>64</x:v>
      </x:c>
      <x:c r="C70" s="42" t="n">
        <x:v>0.0885217451</x:v>
      </x:c>
    </x:row>
    <x:row r="71">
      <x:c r="A71" s="34" t="str">
        <x:v>effective_tax_rate_gap</x:v>
      </x:c>
      <x:c r="B71" s="34" t="n">
        <x:v>65</x:v>
      </x:c>
      <x:c r="C71" s="42" t="n">
        <x:v>0.0885217451</x:v>
      </x:c>
    </x:row>
    <x:row r="72">
      <x:c r="A72" s="34" t="str">
        <x:v>effective_tax_rate_gap</x:v>
      </x:c>
      <x:c r="B72" s="34" t="n">
        <x:v>66</x:v>
      </x:c>
      <x:c r="C72" s="42" t="n">
        <x:v>0.0970622489</x:v>
      </x:c>
    </x:row>
    <x:row r="73">
      <x:c r="A73" s="34" t="str">
        <x:v>effective_tax_rate_gap</x:v>
      </x:c>
      <x:c r="B73" s="34" t="n">
        <x:v>67</x:v>
      </x:c>
      <x:c r="C73" s="42" t="n">
        <x:v>0.139917026</x:v>
      </x:c>
    </x:row>
    <x:row r="74">
      <x:c r="A74" s="34" t="str">
        <x:v>effective_tax_rate_gap</x:v>
      </x:c>
      <x:c r="B74" s="34" t="n">
        <x:v>68</x:v>
      </x:c>
      <x:c r="C74" s="42" t="n">
        <x:v>0.139917026</x:v>
      </x:c>
    </x:row>
    <x:row r="75">
      <x:c r="A75" s="34" t="str">
        <x:v>effective_tax_rate_gap</x:v>
      </x:c>
      <x:c r="B75" s="34" t="n">
        <x:v>69</x:v>
      </x:c>
      <x:c r="C75" s="42" t="n">
        <x:v>0.1896855316</x:v>
      </x:c>
    </x:row>
    <x:row r="76">
      <x:c r="A76" s="34" t="str">
        <x:v>effective_tax_rate_gap</x:v>
      </x:c>
      <x:c r="B76" s="34" t="n">
        <x:v>70</x:v>
      </x:c>
      <x:c r="C76" s="42" t="n">
        <x:v>0.1896855316</x:v>
      </x:c>
    </x:row>
    <x:row r="77">
      <x:c r="A77" s="34" t="str">
        <x:v>effective_tax_rate_gap</x:v>
      </x:c>
      <x:c r="B77" s="34" t="n">
        <x:v>71</x:v>
      </x:c>
      <x:c r="C77" s="42" t="n">
        <x:v>0.1954037625</x:v>
      </x:c>
    </x:row>
    <x:row r="78">
      <x:c r="A78" s="34" t="str">
        <x:v>effective_tax_rate_gap</x:v>
      </x:c>
      <x:c r="B78" s="34" t="n">
        <x:v>72</x:v>
      </x:c>
      <x:c r="C78" s="42" t="n">
        <x:v>0.1954037625</x:v>
      </x:c>
    </x:row>
    <x:row r="79">
      <x:c r="A79" s="34" t="str">
        <x:v>effective_tax_rate_gap</x:v>
      </x:c>
      <x:c r="B79" s="34" t="n">
        <x:v>73</x:v>
      </x:c>
      <x:c r="C79" s="42" t="n">
        <x:v>0.2683650488</x:v>
      </x:c>
    </x:row>
    <x:row r="80">
      <x:c r="A80" s="34" t="str">
        <x:v>effective_tax_rate_gap</x:v>
      </x:c>
      <x:c r="B80" s="34" t="n">
        <x:v>74</x:v>
      </x:c>
      <x:c r="C80" s="42" t="n">
        <x:v>0.2683650488</x:v>
      </x:c>
    </x:row>
    <x:row r="81">
      <x:c r="A81" s="34" t="str">
        <x:v>infra_dependency_ratio</x:v>
      </x:c>
      <x:c r="B81" s="34" t="n">
        <x:v>1</x:v>
      </x:c>
      <x:c r="C81" s="42" t="n">
        <x:v>-0.10705024705171803</x:v>
      </x:c>
    </x:row>
    <x:row r="82">
      <x:c r="A82" s="34" t="str">
        <x:v>infra_dependency_ratio</x:v>
      </x:c>
      <x:c r="B82" s="34" t="n">
        <x:v>2</x:v>
      </x:c>
      <x:c r="C82" s="42" t="n">
        <x:v>-0.10161060219999998</x:v>
      </x:c>
    </x:row>
    <x:row r="83">
      <x:c r="A83" s="34" t="str">
        <x:v>infra_dependency_ratio</x:v>
      </x:c>
      <x:c r="B83" s="34" t="n">
        <x:v>3</x:v>
      </x:c>
      <x:c r="C83" s="42" t="n">
        <x:v>0.1180769369</x:v>
      </x:c>
    </x:row>
    <x:row r="84">
      <x:c r="A84" s="34" t="str">
        <x:v>infra_dependency_ratio</x:v>
      </x:c>
      <x:c r="B84" s="34" t="n">
        <x:v>4</x:v>
      </x:c>
      <x:c r="C84" s="42" t="n">
        <x:v>0.1324389742</x:v>
      </x:c>
    </x:row>
    <x:row r="85">
      <x:c r="A85" s="34" t="str">
        <x:v>infra_dependency_ratio</x:v>
      </x:c>
      <x:c r="B85" s="34" t="n">
        <x:v>5</x:v>
      </x:c>
      <x:c r="C85" s="42" t="n">
        <x:v>0.1324389742</x:v>
      </x:c>
    </x:row>
    <x:row r="86">
      <x:c r="A86" s="34" t="str">
        <x:v>infra_dependency_ratio</x:v>
      </x:c>
      <x:c r="B86" s="34" t="n">
        <x:v>6</x:v>
      </x:c>
      <x:c r="C86" s="42" t="n">
        <x:v>0.135233049</x:v>
      </x:c>
    </x:row>
    <x:row r="87">
      <x:c r="A87" s="34" t="str">
        <x:v>infra_dependency_ratio</x:v>
      </x:c>
      <x:c r="B87" s="34" t="n">
        <x:v>7</x:v>
      </x:c>
      <x:c r="C87" s="42" t="n">
        <x:v>0.15168183360000004</x:v>
      </x:c>
    </x:row>
    <x:row r="88">
      <x:c r="A88" s="34" t="str">
        <x:v>infra_dependency_ratio</x:v>
      </x:c>
      <x:c r="B88" s="34" t="n">
        <x:v>8</x:v>
      </x:c>
      <x:c r="C88" s="42" t="n">
        <x:v>0.15168183360000004</x:v>
      </x:c>
    </x:row>
    <x:row r="89">
      <x:c r="A89" s="34" t="str">
        <x:v>infra_dependency_ratio</x:v>
      </x:c>
      <x:c r="B89" s="34" t="n">
        <x:v>9</x:v>
      </x:c>
      <x:c r="C89" s="42" t="n">
        <x:v>0.2471186071</x:v>
      </x:c>
    </x:row>
    <x:row r="90">
      <x:c r="A90" s="34" t="str">
        <x:v>infra_dependency_ratio</x:v>
      </x:c>
      <x:c r="B90" s="34" t="n">
        <x:v>10</x:v>
      </x:c>
      <x:c r="C90" s="42" t="n">
        <x:v>0.2518299147</x:v>
      </x:c>
    </x:row>
    <x:row r="91">
      <x:c r="A91" s="34" t="str">
        <x:v>infra_dependency_ratio</x:v>
      </x:c>
      <x:c r="B91" s="34" t="n">
        <x:v>11</x:v>
      </x:c>
      <x:c r="C91" s="42" t="n">
        <x:v>0.2527359881</x:v>
      </x:c>
    </x:row>
    <x:row r="92">
      <x:c r="A92" s="34" t="str">
        <x:v>infra_dependency_ratio</x:v>
      </x:c>
      <x:c r="B92" s="34" t="n">
        <x:v>12</x:v>
      </x:c>
      <x:c r="C92" s="42" t="n">
        <x:v>0.2550784721</x:v>
      </x:c>
    </x:row>
    <x:row r="93">
      <x:c r="A93" s="34" t="str">
        <x:v>infra_dependency_ratio</x:v>
      </x:c>
      <x:c r="B93" s="34" t="n">
        <x:v>13</x:v>
      </x:c>
      <x:c r="C93" s="42" t="n">
        <x:v>0.2550784721</x:v>
      </x:c>
    </x:row>
    <x:row r="94">
      <x:c r="A94" s="34" t="str">
        <x:v>infra_dependency_ratio</x:v>
      </x:c>
      <x:c r="B94" s="34" t="n">
        <x:v>14</x:v>
      </x:c>
      <x:c r="C94" s="42" t="n">
        <x:v>0.2559858722</x:v>
      </x:c>
    </x:row>
    <x:row r="95">
      <x:c r="A95" s="34" t="str">
        <x:v>infra_dependency_ratio</x:v>
      </x:c>
      <x:c r="B95" s="34" t="n">
        <x:v>15</x:v>
      </x:c>
      <x:c r="C95" s="42" t="n">
        <x:v>0.2795853536</x:v>
      </x:c>
    </x:row>
    <x:row r="96">
      <x:c r="A96" s="34" t="str">
        <x:v>infra_dependency_ratio</x:v>
      </x:c>
      <x:c r="B96" s="34" t="n">
        <x:v>16</x:v>
      </x:c>
      <x:c r="C96" s="42" t="n">
        <x:v>0.2831495402</x:v>
      </x:c>
    </x:row>
    <x:row r="97">
      <x:c r="A97" s="34" t="str">
        <x:v>infra_dependency_ratio</x:v>
      </x:c>
      <x:c r="B97" s="34" t="n">
        <x:v>17</x:v>
      </x:c>
      <x:c r="C97" s="42" t="n">
        <x:v>0.2833354373</x:v>
      </x:c>
    </x:row>
    <x:row r="98">
      <x:c r="A98" s="34" t="str">
        <x:v>infra_dependency_ratio</x:v>
      </x:c>
      <x:c r="B98" s="34" t="n">
        <x:v>18</x:v>
      </x:c>
      <x:c r="C98" s="42" t="n">
        <x:v>0.284375247</x:v>
      </x:c>
    </x:row>
    <x:row r="99">
      <x:c r="A99" s="34" t="str">
        <x:v>infra_dependency_ratio</x:v>
      </x:c>
      <x:c r="B99" s="34" t="n">
        <x:v>19</x:v>
      </x:c>
      <x:c r="C99" s="42" t="n">
        <x:v>0.2845332302</x:v>
      </x:c>
    </x:row>
    <x:row r="100">
      <x:c r="A100" s="34" t="str">
        <x:v>infra_dependency_ratio</x:v>
      </x:c>
      <x:c r="B100" s="34" t="n">
        <x:v>20</x:v>
      </x:c>
      <x:c r="C100" s="42" t="n">
        <x:v>0.2881904686</x:v>
      </x:c>
    </x:row>
    <x:row r="101">
      <x:c r="A101" s="34" t="str">
        <x:v>infra_dependency_ratio</x:v>
      </x:c>
      <x:c r="B101" s="34" t="n">
        <x:v>21</x:v>
      </x:c>
      <x:c r="C101" s="42" t="n">
        <x:v>0.28841989590000006</x:v>
      </x:c>
    </x:row>
    <x:row r="102">
      <x:c r="A102" s="34" t="str">
        <x:v>infra_dependency_ratio</x:v>
      </x:c>
      <x:c r="B102" s="34" t="n">
        <x:v>22</x:v>
      </x:c>
      <x:c r="C102" s="42" t="n">
        <x:v>0.2894575617</x:v>
      </x:c>
    </x:row>
    <x:row r="103">
      <x:c r="A103" s="34" t="str">
        <x:v>infra_dependency_ratio</x:v>
      </x:c>
      <x:c r="B103" s="34" t="n">
        <x:v>23</x:v>
      </x:c>
      <x:c r="C103" s="42" t="n">
        <x:v>0.3108030848</x:v>
      </x:c>
    </x:row>
    <x:row r="104">
      <x:c r="A104" s="34" t="str">
        <x:v>infra_dependency_ratio</x:v>
      </x:c>
      <x:c r="B104" s="34" t="n">
        <x:v>24</x:v>
      </x:c>
      <x:c r="C104" s="42" t="n">
        <x:v>0.3147979818</x:v>
      </x:c>
    </x:row>
    <x:row r="105">
      <x:c r="A105" s="34" t="str">
        <x:v>infra_dependency_ratio</x:v>
      </x:c>
      <x:c r="B105" s="34" t="n">
        <x:v>25</x:v>
      </x:c>
      <x:c r="C105" s="42" t="n">
        <x:v>0.3150485913</x:v>
      </x:c>
    </x:row>
    <x:row r="106">
      <x:c r="A106" s="34" t="str">
        <x:v>infra_dependency_ratio</x:v>
      </x:c>
      <x:c r="B106" s="34" t="n">
        <x:v>26</x:v>
      </x:c>
      <x:c r="C106" s="42" t="n">
        <x:v>0.31618206080000005</x:v>
      </x:c>
    </x:row>
    <x:row r="107">
      <x:c r="A107" s="34" t="str">
        <x:v>infra_dependency_ratio</x:v>
      </x:c>
      <x:c r="B107" s="34" t="n">
        <x:v>27</x:v>
      </x:c>
      <x:c r="C107" s="42" t="n">
        <x:v>0.3206969261</x:v>
      </x:c>
    </x:row>
    <x:row r="108">
      <x:c r="A108" s="34" t="str">
        <x:v>infra_dependency_ratio</x:v>
      </x:c>
      <x:c r="B108" s="34" t="n">
        <x:v>28</x:v>
      </x:c>
      <x:c r="C108" s="42" t="n">
        <x:v>0.3246917661</x:v>
      </x:c>
    </x:row>
    <x:row r="109">
      <x:c r="A109" s="34" t="str">
        <x:v>infra_dependency_ratio</x:v>
      </x:c>
      <x:c r="B109" s="34" t="n">
        <x:v>29</x:v>
      </x:c>
      <x:c r="C109" s="42" t="n">
        <x:v>0.3248189933</x:v>
      </x:c>
    </x:row>
    <x:row r="110">
      <x:c r="A110" s="34" t="str">
        <x:v>infra_dependency_ratio</x:v>
      </x:c>
      <x:c r="B110" s="34" t="n">
        <x:v>30</x:v>
      </x:c>
      <x:c r="C110" s="42" t="n">
        <x:v>0.3250775805</x:v>
      </x:c>
    </x:row>
    <x:row r="111">
      <x:c r="A111" s="34" t="str">
        <x:v>infra_dependency_ratio</x:v>
      </x:c>
      <x:c r="B111" s="34" t="n">
        <x:v>31</x:v>
      </x:c>
      <x:c r="C111" s="42" t="n">
        <x:v>0.32624713189999993</x:v>
      </x:c>
    </x:row>
    <x:row r="112">
      <x:c r="A112" s="34" t="str">
        <x:v>infra_dependency_ratio</x:v>
      </x:c>
      <x:c r="B112" s="34" t="n">
        <x:v>32</x:v>
      </x:c>
      <x:c r="C112" s="42" t="n">
        <x:v>0.37186819619999995</x:v>
      </x:c>
    </x:row>
    <x:row r="113">
      <x:c r="A113" s="34" t="str">
        <x:v>infra_dependency_ratio</x:v>
      </x:c>
      <x:c r="B113" s="34" t="n">
        <x:v>33</x:v>
      </x:c>
      <x:c r="C113" s="42" t="n">
        <x:v>0.5042430825</x:v>
      </x:c>
    </x:row>
    <x:row r="114">
      <x:c r="A114" s="34" t="str">
        <x:v>infra_dependency_ratio</x:v>
      </x:c>
      <x:c r="B114" s="34" t="n">
        <x:v>34</x:v>
      </x:c>
      <x:c r="C114" s="42" t="n">
        <x:v>0.5177590237</x:v>
      </x:c>
    </x:row>
    <x:row r="115">
      <x:c r="A115" s="34" t="str">
        <x:v>infra_dependency_ratio</x:v>
      </x:c>
      <x:c r="B115" s="34" t="n">
        <x:v>35</x:v>
      </x:c>
      <x:c r="C115" s="42" t="n">
        <x:v>0.5177590237</x:v>
      </x:c>
    </x:row>
    <x:row r="116">
      <x:c r="A116" s="34" t="str">
        <x:v>infra_dependency_ratio</x:v>
      </x:c>
      <x:c r="B116" s="34" t="n">
        <x:v>36</x:v>
      </x:c>
      <x:c r="C116" s="42" t="n">
        <x:v>0.5252820675</x:v>
      </x:c>
    </x:row>
    <x:row r="117">
      <x:c r="A117" s="34" t="str">
        <x:v>infra_dependency_ratio</x:v>
      </x:c>
      <x:c r="B117" s="34" t="n">
        <x:v>37</x:v>
      </x:c>
      <x:c r="C117" s="42" t="n">
        <x:v>0.5252820675</x:v>
      </x:c>
    </x:row>
    <x:row r="118">
      <x:c r="A118" s="34" t="str">
        <x:v>infra_dependency_ratio</x:v>
      </x:c>
      <x:c r="B118" s="34" t="n">
        <x:v>38</x:v>
      </x:c>
      <x:c r="C118" s="42" t="n">
        <x:v>0.5252820675</x:v>
      </x:c>
    </x:row>
    <x:row r="119">
      <x:c r="A119" s="34" t="str">
        <x:v>infra_dependency_ratio</x:v>
      </x:c>
      <x:c r="B119" s="34" t="n">
        <x:v>39</x:v>
      </x:c>
      <x:c r="C119" s="42" t="n">
        <x:v>0.5271852539</x:v>
      </x:c>
    </x:row>
    <x:row r="120">
      <x:c r="A120" s="34" t="str">
        <x:v>infra_dependency_ratio</x:v>
      </x:c>
      <x:c r="B120" s="34" t="n">
        <x:v>40</x:v>
      </x:c>
      <x:c r="C120" s="42" t="n">
        <x:v>0.5724743283</x:v>
      </x:c>
    </x:row>
    <x:row r="121">
      <x:c r="A121" s="34" t="str">
        <x:v>infra_dependency_ratio</x:v>
      </x:c>
      <x:c r="B121" s="34" t="n">
        <x:v>41</x:v>
      </x:c>
      <x:c r="C121" s="42" t="n">
        <x:v>0.5724743283</x:v>
      </x:c>
    </x:row>
    <x:row r="122">
      <x:c r="A122" s="34" t="str">
        <x:v>infra_dependency_ratio</x:v>
      </x:c>
      <x:c r="B122" s="34" t="n">
        <x:v>42</x:v>
      </x:c>
      <x:c r="C122" s="42" t="n">
        <x:v>0.5742743013</x:v>
      </x:c>
    </x:row>
    <x:row r="123">
      <x:c r="A123" s="34" t="str">
        <x:v>infra_dependency_ratio</x:v>
      </x:c>
      <x:c r="B123" s="34" t="n">
        <x:v>43</x:v>
      </x:c>
      <x:c r="C123" s="42" t="n">
        <x:v>0.5929873629</x:v>
      </x:c>
    </x:row>
    <x:row r="124">
      <x:c r="A124" s="34" t="str">
        <x:v>infra_dependency_ratio</x:v>
      </x:c>
      <x:c r="B124" s="34" t="n">
        <x:v>44</x:v>
      </x:c>
      <x:c r="C124" s="42" t="n">
        <x:v>0.5929873629</x:v>
      </x:c>
    </x:row>
    <x:row r="125">
      <x:c r="A125" s="34" t="str">
        <x:v>infra_dependency_ratio</x:v>
      </x:c>
      <x:c r="B125" s="34" t="n">
        <x:v>45</x:v>
      </x:c>
      <x:c r="C125" s="42" t="n">
        <x:v>0.6007883832</x:v>
      </x:c>
    </x:row>
    <x:row r="126">
      <x:c r="A126" s="34" t="str">
        <x:v>infra_dependency_ratio</x:v>
      </x:c>
      <x:c r="B126" s="34" t="n">
        <x:v>46</x:v>
      </x:c>
      <x:c r="C126" s="42" t="n">
        <x:v>0.6007883832</x:v>
      </x:c>
    </x:row>
    <x:row r="127">
      <x:c r="A127" s="34" t="str">
        <x:v>infra_dependency_ratio</x:v>
      </x:c>
      <x:c r="B127" s="34" t="n">
        <x:v>47</x:v>
      </x:c>
      <x:c r="C127" s="42" t="n">
        <x:v>0.601942312</x:v>
      </x:c>
    </x:row>
    <x:row r="128">
      <x:c r="A128" s="34" t="str">
        <x:v>infra_dependency_ratio</x:v>
      </x:c>
      <x:c r="B128" s="34" t="n">
        <x:v>48</x:v>
      </x:c>
      <x:c r="C128" s="42" t="n">
        <x:v>0.6037831871</x:v>
      </x:c>
    </x:row>
    <x:row r="129">
      <x:c r="A129" s="34" t="str">
        <x:v>infra_dependency_ratio</x:v>
      </x:c>
      <x:c r="B129" s="34" t="n">
        <x:v>49</x:v>
      </x:c>
      <x:c r="C129" s="42" t="n">
        <x:v>0.6289336337</x:v>
      </x:c>
    </x:row>
    <x:row r="130">
      <x:c r="A130" s="34" t="str">
        <x:v>infra_dependency_ratio</x:v>
      </x:c>
      <x:c r="B130" s="34" t="n">
        <x:v>50</x:v>
      </x:c>
      <x:c r="C130" s="42" t="n">
        <x:v>0.6289336337</x:v>
      </x:c>
    </x:row>
    <x:row r="131">
      <x:c r="A131" s="34" t="str">
        <x:v>infra_dependency_ratio</x:v>
      </x:c>
      <x:c r="B131" s="34" t="n">
        <x:v>51</x:v>
      </x:c>
      <x:c r="C131" s="42" t="n">
        <x:v>0.6316341245</x:v>
      </x:c>
    </x:row>
    <x:row r="132">
      <x:c r="A132" s="34" t="str">
        <x:v>infra_dependency_ratio</x:v>
      </x:c>
      <x:c r="B132" s="34" t="n">
        <x:v>52</x:v>
      </x:c>
      <x:c r="C132" s="42" t="n">
        <x:v>0.6335152762</x:v>
      </x:c>
    </x:row>
    <x:row r="133">
      <x:c r="A133" s="34" t="str">
        <x:v>infra_dependency_ratio</x:v>
      </x:c>
      <x:c r="B133" s="34" t="n">
        <x:v>53</x:v>
      </x:c>
      <x:c r="C133" s="42" t="n">
        <x:v>0.6335152762</x:v>
      </x:c>
    </x:row>
    <x:row r="134">
      <x:c r="A134" s="34" t="str">
        <x:v>infra_dependency_ratio</x:v>
      </x:c>
      <x:c r="B134" s="34" t="n">
        <x:v>54</x:v>
      </x:c>
      <x:c r="C134" s="42" t="n">
        <x:v>0.6887086344</x:v>
      </x:c>
    </x:row>
    <x:row r="135">
      <x:c r="A135" s="34" t="str">
        <x:v>infra_dependency_ratio</x:v>
      </x:c>
      <x:c r="B135" s="34" t="n">
        <x:v>55</x:v>
      </x:c>
      <x:c r="C135" s="42" t="n">
        <x:v>0.6887086344</x:v>
      </x:c>
    </x:row>
    <x:row r="136">
      <x:c r="A136" s="34" t="str">
        <x:v>infra_dependency_ratio</x:v>
      </x:c>
      <x:c r="B136" s="34" t="n">
        <x:v>56</x:v>
      </x:c>
      <x:c r="C136" s="42" t="n">
        <x:v>0.6900314309000001</x:v>
      </x:c>
    </x:row>
    <x:row r="137">
      <x:c r="A137" s="34" t="str">
        <x:v>infra_dependency_ratio</x:v>
      </x:c>
      <x:c r="B137" s="34" t="n">
        <x:v>57</x:v>
      </x:c>
      <x:c r="C137" s="42" t="n">
        <x:v>0.6987299272</x:v>
      </x:c>
    </x:row>
    <x:row r="138">
      <x:c r="A138" s="34" t="str">
        <x:v>infra_dependency_ratio</x:v>
      </x:c>
      <x:c r="B138" s="34" t="n">
        <x:v>58</x:v>
      </x:c>
      <x:c r="C138" s="42" t="n">
        <x:v>0.6987299272</x:v>
      </x:c>
    </x:row>
    <x:row r="139">
      <x:c r="A139" s="34" t="str">
        <x:v>infra_dependency_ratio</x:v>
      </x:c>
      <x:c r="B139" s="34" t="n">
        <x:v>59</x:v>
      </x:c>
      <x:c r="C139" s="42" t="n">
        <x:v>0.7017301066</x:v>
      </x:c>
    </x:row>
    <x:row r="140">
      <x:c r="A140" s="34" t="str">
        <x:v>infra_dependency_ratio</x:v>
      </x:c>
      <x:c r="B140" s="34" t="n">
        <x:v>60</x:v>
      </x:c>
      <x:c r="C140" s="42" t="n">
        <x:v>0.7209727021000001</x:v>
      </x:c>
    </x:row>
    <x:row r="141">
      <x:c r="A141" s="34" t="str">
        <x:v>infra_dependency_ratio</x:v>
      </x:c>
      <x:c r="B141" s="34" t="n">
        <x:v>61</x:v>
      </x:c>
      <x:c r="C141" s="42" t="n">
        <x:v>0.7209727021000001</x:v>
      </x:c>
    </x:row>
    <x:row r="142">
      <x:c r="A142" s="34" t="str">
        <x:v>infra_dependency_ratio</x:v>
      </x:c>
      <x:c r="B142" s="34" t="n">
        <x:v>62</x:v>
      </x:c>
      <x:c r="C142" s="42" t="n">
        <x:v>0.7240683866</x:v>
      </x:c>
    </x:row>
    <x:row r="143">
      <x:c r="A143" s="34" t="str">
        <x:v>infra_dependency_ratio</x:v>
      </x:c>
      <x:c r="B143" s="34" t="n">
        <x:v>63</x:v>
      </x:c>
      <x:c r="C143" s="42" t="n">
        <x:v>0.7604905373</x:v>
      </x:c>
    </x:row>
    <x:row r="144">
      <x:c r="A144" s="34" t="str">
        <x:v>infra_dependency_ratio</x:v>
      </x:c>
      <x:c r="B144" s="34" t="n">
        <x:v>64</x:v>
      </x:c>
      <x:c r="C144" s="42" t="n">
        <x:v>0.8008753865408955</x:v>
      </x:c>
    </x:row>
    <x:row r="145">
      <x:c r="A145" s="34" t="str">
        <x:v>network_cost_ratio</x:v>
      </x:c>
      <x:c r="B145" s="34" t="n">
        <x:v>1</x:v>
      </x:c>
      <x:c r="C145" s="42" t="n">
        <x:v>-0.1395374353</x:v>
      </x:c>
    </x:row>
    <x:row r="146">
      <x:c r="A146" s="34" t="str">
        <x:v>network_cost_ratio</x:v>
      </x:c>
      <x:c r="B146" s="34" t="n">
        <x:v>2</x:v>
      </x:c>
      <x:c r="C146" s="42" t="n">
        <x:v>-0.1395374353</x:v>
      </x:c>
    </x:row>
    <x:row r="147">
      <x:c r="A147" s="34" t="str">
        <x:v>network_cost_ratio</x:v>
      </x:c>
      <x:c r="B147" s="34" t="n">
        <x:v>3</x:v>
      </x:c>
      <x:c r="C147" s="42" t="n">
        <x:v>-0.1395374353</x:v>
      </x:c>
    </x:row>
    <x:row r="148">
      <x:c r="A148" s="34" t="str">
        <x:v>network_cost_ratio</x:v>
      </x:c>
      <x:c r="B148" s="34" t="n">
        <x:v>4</x:v>
      </x:c>
      <x:c r="C148" s="42" t="n">
        <x:v>0.1621499388</x:v>
      </x:c>
    </x:row>
    <x:row r="149">
      <x:c r="A149" s="34" t="str">
        <x:v>network_cost_ratio</x:v>
      </x:c>
      <x:c r="B149" s="34" t="n">
        <x:v>5</x:v>
      </x:c>
      <x:c r="C149" s="42" t="n">
        <x:v>0.1621499388</x:v>
      </x:c>
    </x:row>
    <x:row r="150">
      <x:c r="A150" s="34" t="str">
        <x:v>network_cost_ratio</x:v>
      </x:c>
      <x:c r="B150" s="34" t="n">
        <x:v>6</x:v>
      </x:c>
      <x:c r="C150" s="42" t="n">
        <x:v>0.1621499388</x:v>
      </x:c>
    </x:row>
    <x:row r="151">
      <x:c r="A151" s="34" t="str">
        <x:v>network_cost_ratio</x:v>
      </x:c>
      <x:c r="B151" s="34" t="n">
        <x:v>7</x:v>
      </x:c>
      <x:c r="C151" s="42" t="n">
        <x:v>0.1818727022</x:v>
      </x:c>
    </x:row>
    <x:row r="152">
      <x:c r="A152" s="34" t="str">
        <x:v>network_cost_ratio</x:v>
      </x:c>
      <x:c r="B152" s="34" t="n">
        <x:v>8</x:v>
      </x:c>
      <x:c r="C152" s="42" t="n">
        <x:v>0.1818727022</x:v>
      </x:c>
    </x:row>
    <x:row r="153">
      <x:c r="A153" s="34" t="str">
        <x:v>network_cost_ratio</x:v>
      </x:c>
      <x:c r="B153" s="34" t="n">
        <x:v>9</x:v>
      </x:c>
      <x:c r="C153" s="42" t="n">
        <x:v>0.1818727022</x:v>
      </x:c>
    </x:row>
    <x:row r="154">
      <x:c r="A154" s="34" t="str">
        <x:v>network_cost_ratio</x:v>
      </x:c>
      <x:c r="B154" s="34" t="n">
        <x:v>10</x:v>
      </x:c>
      <x:c r="C154" s="42" t="n">
        <x:v>0.1818727022</x:v>
      </x:c>
    </x:row>
    <x:row r="155">
      <x:c r="A155" s="34" t="str">
        <x:v>network_cost_ratio</x:v>
      </x:c>
      <x:c r="B155" s="34" t="n">
        <x:v>11</x:v>
      </x:c>
      <x:c r="C155" s="42" t="n">
        <x:v>0.2524241223</x:v>
      </x:c>
    </x:row>
    <x:row r="156">
      <x:c r="A156" s="34" t="str">
        <x:v>network_cost_ratio</x:v>
      </x:c>
      <x:c r="B156" s="34" t="n">
        <x:v>12</x:v>
      </x:c>
      <x:c r="C156" s="42" t="n">
        <x:v>0.2862833581</x:v>
      </x:c>
    </x:row>
    <x:row r="157">
      <x:c r="A157" s="34" t="str">
        <x:v>network_cost_ratio</x:v>
      </x:c>
      <x:c r="B157" s="34" t="n">
        <x:v>13</x:v>
      </x:c>
      <x:c r="C157" s="42" t="n">
        <x:v>0.2862833581</x:v>
      </x:c>
    </x:row>
    <x:row r="158">
      <x:c r="A158" s="34" t="str">
        <x:v>network_cost_ratio</x:v>
      </x:c>
      <x:c r="B158" s="34" t="n">
        <x:v>14</x:v>
      </x:c>
      <x:c r="C158" s="42" t="n">
        <x:v>0.3393572706</x:v>
      </x:c>
    </x:row>
    <x:row r="159">
      <x:c r="A159" s="34" t="str">
        <x:v>network_cost_ratio</x:v>
      </x:c>
      <x:c r="B159" s="34" t="n">
        <x:v>15</x:v>
      </x:c>
      <x:c r="C159" s="42" t="n">
        <x:v>0.3411669426000001</x:v>
      </x:c>
    </x:row>
    <x:row r="160">
      <x:c r="A160" s="34" t="str">
        <x:v>network_cost_ratio</x:v>
      </x:c>
      <x:c r="B160" s="34" t="n">
        <x:v>16</x:v>
      </x:c>
      <x:c r="C160" s="42" t="n">
        <x:v>0.3411669426000001</x:v>
      </x:c>
    </x:row>
    <x:row r="161">
      <x:c r="A161" s="34" t="str">
        <x:v>network_cost_ratio</x:v>
      </x:c>
      <x:c r="B161" s="34" t="n">
        <x:v>17</x:v>
      </x:c>
      <x:c r="C161" s="42" t="n">
        <x:v>0.3411669426000001</x:v>
      </x:c>
    </x:row>
    <x:row r="162">
      <x:c r="A162" s="34" t="str">
        <x:v>network_cost_ratio</x:v>
      </x:c>
      <x:c r="B162" s="34" t="n">
        <x:v>18</x:v>
      </x:c>
      <x:c r="C162" s="42" t="n">
        <x:v>0.3411669426000001</x:v>
      </x:c>
    </x:row>
    <x:row r="163">
      <x:c r="A163" s="34" t="str">
        <x:v>network_cost_ratio</x:v>
      </x:c>
      <x:c r="B163" s="34" t="n">
        <x:v>19</x:v>
      </x:c>
      <x:c r="C163" s="42" t="n">
        <x:v>0.3444836324</x:v>
      </x:c>
    </x:row>
    <x:row r="164">
      <x:c r="A164" s="34" t="str">
        <x:v>network_cost_ratio</x:v>
      </x:c>
      <x:c r="B164" s="34" t="n">
        <x:v>20</x:v>
      </x:c>
      <x:c r="C164" s="42" t="n">
        <x:v>0.3455521206</x:v>
      </x:c>
    </x:row>
    <x:row r="165">
      <x:c r="A165" s="34" t="str">
        <x:v>network_cost_ratio</x:v>
      </x:c>
      <x:c r="B165" s="34" t="n">
        <x:v>21</x:v>
      </x:c>
      <x:c r="C165" s="42" t="n">
        <x:v>0.3455521206</x:v>
      </x:c>
    </x:row>
    <x:row r="166">
      <x:c r="A166" s="34" t="str">
        <x:v>network_cost_ratio</x:v>
      </x:c>
      <x:c r="B166" s="34" t="n">
        <x:v>22</x:v>
      </x:c>
      <x:c r="C166" s="42" t="n">
        <x:v>0.3455521206</x:v>
      </x:c>
    </x:row>
    <x:row r="167">
      <x:c r="A167" s="34" t="str">
        <x:v>network_cost_ratio</x:v>
      </x:c>
      <x:c r="B167" s="34" t="n">
        <x:v>23</x:v>
      </x:c>
      <x:c r="C167" s="42" t="n">
        <x:v>0.3455521206</x:v>
      </x:c>
    </x:row>
    <x:row r="168">
      <x:c r="A168" s="34" t="str">
        <x:v>network_cost_ratio</x:v>
      </x:c>
      <x:c r="B168" s="34" t="n">
        <x:v>24</x:v>
      </x:c>
      <x:c r="C168" s="42" t="n">
        <x:v>0.3458271052</x:v>
      </x:c>
    </x:row>
    <x:row r="169">
      <x:c r="A169" s="34" t="str">
        <x:v>network_cost_ratio</x:v>
      </x:c>
      <x:c r="B169" s="34" t="n">
        <x:v>25</x:v>
      </x:c>
      <x:c r="C169" s="42" t="n">
        <x:v>0.34582721329999994</x:v>
      </x:c>
    </x:row>
    <x:row r="170">
      <x:c r="A170" s="34" t="str">
        <x:v>network_cost_ratio</x:v>
      </x:c>
      <x:c r="B170" s="34" t="n">
        <x:v>26</x:v>
      </x:c>
      <x:c r="C170" s="42" t="n">
        <x:v>0.34582721329999994</x:v>
      </x:c>
    </x:row>
    <x:row r="171">
      <x:c r="A171" s="34" t="str">
        <x:v>network_cost_ratio</x:v>
      </x:c>
      <x:c r="B171" s="34" t="n">
        <x:v>27</x:v>
      </x:c>
      <x:c r="C171" s="42" t="n">
        <x:v>0.34582721329999994</x:v>
      </x:c>
    </x:row>
    <x:row r="172">
      <x:c r="A172" s="34" t="str">
        <x:v>network_cost_ratio</x:v>
      </x:c>
      <x:c r="B172" s="34" t="n">
        <x:v>28</x:v>
      </x:c>
      <x:c r="C172" s="42" t="n">
        <x:v>0.34582721329999994</x:v>
      </x:c>
    </x:row>
    <x:row r="173">
      <x:c r="A173" s="34" t="str">
        <x:v>network_cost_ratio</x:v>
      </x:c>
      <x:c r="B173" s="34" t="n">
        <x:v>29</x:v>
      </x:c>
      <x:c r="C173" s="42" t="n">
        <x:v>0.3470713765</x:v>
      </x:c>
    </x:row>
    <x:row r="174">
      <x:c r="A174" s="34" t="str">
        <x:v>network_cost_ratio</x:v>
      </x:c>
      <x:c r="B174" s="34" t="n">
        <x:v>30</x:v>
      </x:c>
      <x:c r="C174" s="42" t="n">
        <x:v>0.3470714169</x:v>
      </x:c>
    </x:row>
    <x:row r="175">
      <x:c r="A175" s="34" t="str">
        <x:v>network_cost_ratio</x:v>
      </x:c>
      <x:c r="B175" s="34" t="n">
        <x:v>31</x:v>
      </x:c>
      <x:c r="C175" s="42" t="n">
        <x:v>0.3470714169</x:v>
      </x:c>
    </x:row>
    <x:row r="176">
      <x:c r="A176" s="34" t="str">
        <x:v>network_cost_ratio</x:v>
      </x:c>
      <x:c r="B176" s="34" t="n">
        <x:v>32</x:v>
      </x:c>
      <x:c r="C176" s="42" t="n">
        <x:v>0.3470714169</x:v>
      </x:c>
    </x:row>
    <x:row r="177">
      <x:c r="A177" s="34" t="str">
        <x:v>network_cost_ratio</x:v>
      </x:c>
      <x:c r="B177" s="34" t="n">
        <x:v>33</x:v>
      </x:c>
      <x:c r="C177" s="42" t="n">
        <x:v>0.3470714169</x:v>
      </x:c>
    </x:row>
    <x:row r="178">
      <x:c r="A178" s="34" t="str">
        <x:v>network_cost_ratio</x:v>
      </x:c>
      <x:c r="B178" s="34" t="n">
        <x:v>34</x:v>
      </x:c>
      <x:c r="C178" s="42" t="n">
        <x:v>0.3487761475999999</x:v>
      </x:c>
    </x:row>
    <x:row r="179">
      <x:c r="A179" s="34" t="str">
        <x:v>network_cost_ratio</x:v>
      </x:c>
      <x:c r="B179" s="34" t="n">
        <x:v>35</x:v>
      </x:c>
      <x:c r="C179" s="42" t="n">
        <x:v>0.3515343015</x:v>
      </x:c>
    </x:row>
    <x:row r="180">
      <x:c r="A180" s="34" t="str">
        <x:v>network_cost_ratio</x:v>
      </x:c>
      <x:c r="B180" s="34" t="n">
        <x:v>36</x:v>
      </x:c>
      <x:c r="C180" s="42" t="n">
        <x:v>0.4179956459</x:v>
      </x:c>
    </x:row>
    <x:row r="181">
      <x:c r="A181" s="34" t="str">
        <x:v>network_cost_ratio</x:v>
      </x:c>
      <x:c r="B181" s="34" t="n">
        <x:v>37</x:v>
      </x:c>
      <x:c r="C181" s="42" t="n">
        <x:v>0.4179956459</x:v>
      </x:c>
    </x:row>
    <x:row r="182">
      <x:c r="A182" s="34" t="str">
        <x:v>network_cost_ratio</x:v>
      </x:c>
      <x:c r="B182" s="34" t="n">
        <x:v>38</x:v>
      </x:c>
      <x:c r="C182" s="42" t="n">
        <x:v>0.4458851273</x:v>
      </x:c>
    </x:row>
    <x:row r="183">
      <x:c r="A183" s="34" t="str">
        <x:v>network_cost_ratio</x:v>
      </x:c>
      <x:c r="B183" s="34" t="n">
        <x:v>39</x:v>
      </x:c>
      <x:c r="C183" s="42" t="n">
        <x:v>0.4458851273</x:v>
      </x:c>
    </x:row>
    <x:row r="184">
      <x:c r="A184" s="34" t="str">
        <x:v>network_cost_ratio</x:v>
      </x:c>
      <x:c r="B184" s="34" t="n">
        <x:v>40</x:v>
      </x:c>
      <x:c r="C184" s="42" t="n">
        <x:v>0.446823515</x:v>
      </x:c>
    </x:row>
    <x:row r="185">
      <x:c r="A185" s="34" t="str">
        <x:v>network_cost_ratio</x:v>
      </x:c>
      <x:c r="B185" s="34" t="n">
        <x:v>41</x:v>
      </x:c>
      <x:c r="C185" s="42" t="n">
        <x:v>0.446823515</x:v>
      </x:c>
    </x:row>
    <x:row r="186">
      <x:c r="A186" s="34" t="str">
        <x:v>network_cost_ratio</x:v>
      </x:c>
      <x:c r="B186" s="34" t="n">
        <x:v>42</x:v>
      </x:c>
      <x:c r="C186" s="42" t="n">
        <x:v>0.446823515</x:v>
      </x:c>
    </x:row>
    <x:row r="187">
      <x:c r="A187" s="34" t="str">
        <x:v>network_cost_ratio</x:v>
      </x:c>
      <x:c r="B187" s="34" t="n">
        <x:v>43</x:v>
      </x:c>
      <x:c r="C187" s="42" t="n">
        <x:v>0.4548314159</x:v>
      </x:c>
    </x:row>
    <x:row r="188">
      <x:c r="A188" s="34" t="str">
        <x:v>network_cost_ratio</x:v>
      </x:c>
      <x:c r="B188" s="34" t="n">
        <x:v>44</x:v>
      </x:c>
      <x:c r="C188" s="42" t="n">
        <x:v>0.4548314159</x:v>
      </x:c>
    </x:row>
    <x:row r="189">
      <x:c r="A189" s="34" t="str">
        <x:v>network_cost_ratio</x:v>
      </x:c>
      <x:c r="B189" s="34" t="n">
        <x:v>45</x:v>
      </x:c>
      <x:c r="C189" s="42" t="n">
        <x:v>0.4548314159</x:v>
      </x:c>
    </x:row>
    <x:row r="190">
      <x:c r="A190" s="34" t="str">
        <x:v>network_cost_ratio</x:v>
      </x:c>
      <x:c r="B190" s="34" t="n">
        <x:v>46</x:v>
      </x:c>
      <x:c r="C190" s="42" t="n">
        <x:v>0.4593055456</x:v>
      </x:c>
    </x:row>
    <x:row r="191">
      <x:c r="A191" s="34" t="str">
        <x:v>network_cost_ratio</x:v>
      </x:c>
      <x:c r="B191" s="34" t="n">
        <x:v>47</x:v>
      </x:c>
      <x:c r="C191" s="42" t="n">
        <x:v>0.4593055456</x:v>
      </x:c>
    </x:row>
    <x:row r="192">
      <x:c r="A192" s="34" t="str">
        <x:v>network_cost_ratio</x:v>
      </x:c>
      <x:c r="B192" s="34" t="n">
        <x:v>48</x:v>
      </x:c>
      <x:c r="C192" s="42" t="n">
        <x:v>0.4593055456</x:v>
      </x:c>
    </x:row>
    <x:row r="193">
      <x:c r="A193" s="34" t="str">
        <x:v>network_cost_ratio</x:v>
      </x:c>
      <x:c r="B193" s="34" t="n">
        <x:v>49</x:v>
      </x:c>
      <x:c r="C193" s="42" t="n">
        <x:v>0.4787150397</x:v>
      </x:c>
    </x:row>
    <x:row r="194">
      <x:c r="A194" s="34" t="str">
        <x:v>network_cost_ratio</x:v>
      </x:c>
      <x:c r="B194" s="34" t="n">
        <x:v>50</x:v>
      </x:c>
      <x:c r="C194" s="42" t="n">
        <x:v>0.4787150397</x:v>
      </x:c>
    </x:row>
    <x:row r="195">
      <x:c r="A195" s="34" t="str">
        <x:v>network_cost_ratio</x:v>
      </x:c>
      <x:c r="B195" s="34" t="n">
        <x:v>51</x:v>
      </x:c>
      <x:c r="C195" s="42" t="n">
        <x:v>0.4787150397</x:v>
      </x:c>
    </x:row>
    <x:row r="196">
      <x:c r="A196" s="34" t="str">
        <x:v>network_cost_ratio</x:v>
      </x:c>
      <x:c r="B196" s="34" t="n">
        <x:v>52</x:v>
      </x:c>
      <x:c r="C196" s="42" t="n">
        <x:v>0.492848679</x:v>
      </x:c>
    </x:row>
    <x:row r="197">
      <x:c r="A197" s="34" t="str">
        <x:v>network_cost_ratio</x:v>
      </x:c>
      <x:c r="B197" s="34" t="n">
        <x:v>53</x:v>
      </x:c>
      <x:c r="C197" s="42" t="n">
        <x:v>0.5659293855</x:v>
      </x:c>
    </x:row>
    <x:row r="198">
      <x:c r="A198" s="34" t="str">
        <x:v>network_cost_ratio</x:v>
      </x:c>
      <x:c r="B198" s="34" t="n">
        <x:v>54</x:v>
      </x:c>
      <x:c r="C198" s="42" t="n">
        <x:v>0.5765994155</x:v>
      </x:c>
    </x:row>
    <x:row r="199">
      <x:c r="A199" s="34" t="str">
        <x:v>network_cost_ratio</x:v>
      </x:c>
      <x:c r="B199" s="34" t="n">
        <x:v>55</x:v>
      </x:c>
      <x:c r="C199" s="42" t="n">
        <x:v>0.5765994155</x:v>
      </x:c>
    </x:row>
    <x:row r="200">
      <x:c r="A200" s="34" t="str">
        <x:v>network_cost_ratio</x:v>
      </x:c>
      <x:c r="B200" s="34" t="n">
        <x:v>56</x:v>
      </x:c>
      <x:c r="C200" s="42" t="n">
        <x:v>0.5765994155</x:v>
      </x:c>
    </x:row>
    <x:row r="201">
      <x:c r="A201" s="34" t="str">
        <x:v>network_cost_ratio</x:v>
      </x:c>
      <x:c r="B201" s="34" t="n">
        <x:v>57</x:v>
      </x:c>
      <x:c r="C201" s="42" t="n">
        <x:v>0.5765994155</x:v>
      </x:c>
    </x:row>
    <x:row r="202">
      <x:c r="A202" s="34" t="str">
        <x:v>network_cost_ratio</x:v>
      </x:c>
      <x:c r="B202" s="34" t="n">
        <x:v>58</x:v>
      </x:c>
      <x:c r="C202" s="42" t="n">
        <x:v>0.5765994155</x:v>
      </x:c>
    </x:row>
    <x:row r="203">
      <x:c r="A203" s="34" t="str">
        <x:v>network_cost_ratio</x:v>
      </x:c>
      <x:c r="B203" s="34" t="n">
        <x:v>59</x:v>
      </x:c>
      <x:c r="C203" s="42" t="n">
        <x:v>0.5765994155</x:v>
      </x:c>
    </x:row>
    <x:row r="204">
      <x:c r="A204" s="34" t="str">
        <x:v>network_cost_ratio</x:v>
      </x:c>
      <x:c r="B204" s="34" t="n">
        <x:v>60</x:v>
      </x:c>
      <x:c r="C204" s="42" t="n">
        <x:v>0.6284021167</x:v>
      </x:c>
    </x:row>
    <x:row r="205">
      <x:c r="A205" s="34" t="str">
        <x:v>network_cost_ratio</x:v>
      </x:c>
      <x:c r="B205" s="34" t="n">
        <x:v>61</x:v>
      </x:c>
      <x:c r="C205" s="42" t="n">
        <x:v>0.6284021167</x:v>
      </x:c>
    </x:row>
    <x:row r="206">
      <x:c r="A206" s="34" t="str">
        <x:v>network_cost_ratio</x:v>
      </x:c>
      <x:c r="B206" s="34" t="n">
        <x:v>62</x:v>
      </x:c>
      <x:c r="C206" s="42" t="n">
        <x:v>0.6284021167</x:v>
      </x:c>
    </x:row>
    <x:row r="207">
      <x:c r="A207" s="34" t="str">
        <x:v>network_cost_ratio</x:v>
      </x:c>
      <x:c r="B207" s="34" t="n">
        <x:v>63</x:v>
      </x:c>
      <x:c r="C207" s="42" t="n">
        <x:v>0.6284021167</x:v>
      </x:c>
    </x:row>
    <x:row r="208">
      <x:c r="A208" s="34" t="str">
        <x:v>network_cost_ratio</x:v>
      </x:c>
      <x:c r="B208" s="34" t="n">
        <x:v>64</x:v>
      </x:c>
      <x:c r="C208" s="42" t="n">
        <x:v>0.6303779377</x:v>
      </x:c>
    </x:row>
    <x:row r="209">
      <x:c r="A209" s="34" t="str">
        <x:v>network_cost_ratio</x:v>
      </x:c>
      <x:c r="B209" s="34" t="n">
        <x:v>65</x:v>
      </x:c>
      <x:c r="C209" s="42" t="n">
        <x:v>0.6303779377</x:v>
      </x:c>
    </x:row>
    <x:row r="210">
      <x:c r="A210" s="34" t="str">
        <x:v>network_cost_ratio</x:v>
      </x:c>
      <x:c r="B210" s="34" t="n">
        <x:v>66</x:v>
      </x:c>
      <x:c r="C210" s="42" t="n">
        <x:v>0.6780165984</x:v>
      </x:c>
    </x:row>
    <x:row r="211">
      <x:c r="A211" s="34" t="str">
        <x:v>network_cost_ratio</x:v>
      </x:c>
      <x:c r="B211" s="34" t="n">
        <x:v>67</x:v>
      </x:c>
      <x:c r="C211" s="42" t="n">
        <x:v>0.6802048179000001</x:v>
      </x:c>
    </x:row>
    <x:row r="212">
      <x:c r="A212" s="34" t="str">
        <x:v>network_cost_ratio</x:v>
      </x:c>
      <x:c r="B212" s="34" t="n">
        <x:v>68</x:v>
      </x:c>
      <x:c r="C212" s="42" t="n">
        <x:v>0.6802048179000001</x:v>
      </x:c>
    </x:row>
    <x:row r="213">
      <x:c r="A213" s="34" t="str">
        <x:v>network_cost_ratio</x:v>
      </x:c>
      <x:c r="B213" s="34" t="n">
        <x:v>69</x:v>
      </x:c>
      <x:c r="C213" s="42" t="n">
        <x:v>0.6802048179000001</x:v>
      </x:c>
    </x:row>
    <x:row r="214">
      <x:c r="A214" s="34" t="str">
        <x:v>network_cost_ratio</x:v>
      </x:c>
      <x:c r="B214" s="34" t="n">
        <x:v>70</x:v>
      </x:c>
      <x:c r="C214" s="42" t="n">
        <x:v>0.6802048179000001</x:v>
      </x:c>
    </x:row>
    <x:row r="215">
      <x:c r="A215" s="34" t="str">
        <x:v>network_cost_ratio</x:v>
      </x:c>
      <x:c r="B215" s="34" t="n">
        <x:v>71</x:v>
      </x:c>
      <x:c r="C215" s="42" t="n">
        <x:v>0.6841564599</x:v>
      </x:c>
    </x:row>
    <x:row r="216">
      <x:c r="A216" s="34" t="str">
        <x:v>network_cost_ratio</x:v>
      </x:c>
      <x:c r="B216" s="34" t="n">
        <x:v>72</x:v>
      </x:c>
      <x:c r="C216" s="42" t="n">
        <x:v>0.6841564599</x:v>
      </x:c>
    </x:row>
    <x:row r="217">
      <x:c r="A217" s="34" t="str">
        <x:v>network_cost_ratio</x:v>
      </x:c>
      <x:c r="B217" s="34" t="n">
        <x:v>73</x:v>
      </x:c>
      <x:c r="C217" s="42" t="n">
        <x:v>0.7110160227000001</x:v>
      </x:c>
    </x:row>
    <x:row r="218">
      <x:c r="A218" s="34" t="str">
        <x:v>network_cost_ratio</x:v>
      </x:c>
      <x:c r="B218" s="34" t="n">
        <x:v>74</x:v>
      </x:c>
      <x:c r="C218" s="42" t="n">
        <x:v>0.7110160227000001</x:v>
      </x:c>
    </x:row>
    <x:row r="219">
      <x:c r="A219" s="34" t="str">
        <x:v>network_cost_ratio</x:v>
      </x:c>
      <x:c r="B219" s="34" t="n">
        <x:v>75</x:v>
      </x:c>
      <x:c r="C219" s="42" t="n">
        <x:v>0.7110160227000001</x:v>
      </x:c>
    </x:row>
    <x:row r="220">
      <x:c r="A220" s="34" t="str">
        <x:v>network_cost_ratio</x:v>
      </x:c>
      <x:c r="B220" s="34" t="n">
        <x:v>76</x:v>
      </x:c>
      <x:c r="C220" s="42" t="n">
        <x:v>0.7110160227000001</x:v>
      </x:c>
    </x:row>
    <x:row r="221">
      <x:c r="A221" s="34" t="str">
        <x:v>network_cost_ratio</x:v>
      </x:c>
      <x:c r="B221" s="34" t="n">
        <x:v>77</x:v>
      </x:c>
      <x:c r="C221" s="42" t="n">
        <x:v>0.7110160227000001</x:v>
      </x:c>
    </x:row>
    <x:row r="222">
      <x:c r="A222" s="34" t="str">
        <x:v>network_cost_ratio</x:v>
      </x:c>
      <x:c r="B222" s="34" t="n">
        <x:v>78</x:v>
      </x:c>
      <x:c r="C222" s="42" t="n">
        <x:v>0.7110160227000001</x:v>
      </x:c>
    </x:row>
    <x:row r="223">
      <x:c r="A223" s="34" t="str">
        <x:v>network_cost_ratio</x:v>
      </x:c>
      <x:c r="B223" s="34" t="n">
        <x:v>79</x:v>
      </x:c>
      <x:c r="C223" s="42" t="n">
        <x:v>0.723960656</x:v>
      </x:c>
    </x:row>
    <x:row r="224">
      <x:c r="A224" s="34" t="str">
        <x:v>network_cost_ratio</x:v>
      </x:c>
      <x:c r="B224" s="34" t="n">
        <x:v>80</x:v>
      </x:c>
      <x:c r="C224" s="42" t="n">
        <x:v>0.723960656</x:v>
      </x:c>
    </x:row>
    <x:row r="225">
      <x:c r="A225" s="34" t="str">
        <x:v>network_cost_ratio</x:v>
      </x:c>
      <x:c r="B225" s="34" t="n">
        <x:v>81</x:v>
      </x:c>
      <x:c r="C225" s="42" t="n">
        <x:v>0.7326687599999999</x:v>
      </x:c>
    </x:row>
    <x:row r="226">
      <x:c r="A226" s="34" t="str">
        <x:v>network_cost_ratio</x:v>
      </x:c>
      <x:c r="B226" s="34" t="n">
        <x:v>82</x:v>
      </x:c>
      <x:c r="C226" s="42" t="n">
        <x:v>0.7326687599999999</x:v>
      </x:c>
    </x:row>
    <x:row r="227">
      <x:c r="A227" s="34" t="str">
        <x:v>network_cost_ratio</x:v>
      </x:c>
      <x:c r="B227" s="34" t="n">
        <x:v>83</x:v>
      </x:c>
      <x:c r="C227" s="42" t="n">
        <x:v>0.7326687599999999</x:v>
      </x:c>
    </x:row>
    <x:row r="228">
      <x:c r="A228" s="34" t="str">
        <x:v>network_cost_ratio</x:v>
      </x:c>
      <x:c r="B228" s="34" t="n">
        <x:v>84</x:v>
      </x:c>
      <x:c r="C228" s="42" t="n">
        <x:v>0.7326687599999999</x:v>
      </x:c>
    </x:row>
    <x:row r="229">
      <x:c r="A229" s="34" t="str">
        <x:v>network_cost_ratio</x:v>
      </x:c>
      <x:c r="B229" s="34" t="n">
        <x:v>85</x:v>
      </x:c>
      <x:c r="C229" s="42" t="n">
        <x:v>0.7340759903</x:v>
      </x:c>
    </x:row>
    <x:row r="230">
      <x:c r="A230" s="34" t="str">
        <x:v>network_cost_ratio</x:v>
      </x:c>
      <x:c r="B230" s="34" t="n">
        <x:v>86</x:v>
      </x:c>
      <x:c r="C230" s="42" t="n">
        <x:v>0.7340759903</x:v>
      </x:c>
    </x:row>
    <x:row r="231">
      <x:c r="A231" s="34" t="str">
        <x:v>network_cost_ratio</x:v>
      </x:c>
      <x:c r="B231" s="34" t="n">
        <x:v>87</x:v>
      </x:c>
      <x:c r="C231" s="42" t="n">
        <x:v>0.7669922362</x:v>
      </x:c>
    </x:row>
    <x:row r="232">
      <x:c r="A232" s="34" t="str">
        <x:v>network_cost_ratio</x:v>
      </x:c>
      <x:c r="B232" s="34" t="n">
        <x:v>88</x:v>
      </x:c>
      <x:c r="C232" s="42" t="n">
        <x:v>0.7669922362</x:v>
      </x:c>
    </x:row>
    <x:row r="233">
      <x:c r="A233" s="34" t="str">
        <x:v>network_cost_ratio</x:v>
      </x:c>
      <x:c r="B233" s="34" t="n">
        <x:v>89</x:v>
      </x:c>
      <x:c r="C233" s="42" t="n">
        <x:v>0.7669922362</x:v>
      </x:c>
    </x:row>
    <x:row r="234">
      <x:c r="A234" s="34" t="str">
        <x:v>network_cost_ratio</x:v>
      </x:c>
      <x:c r="B234" s="34" t="n">
        <x:v>90</x:v>
      </x:c>
      <x:c r="C234" s="42" t="n">
        <x:v>0.7669922362</x:v>
      </x:c>
    </x:row>
    <x:row r="235">
      <x:c r="A235" s="34" t="str">
        <x:v>network_cost_ratio</x:v>
      </x:c>
      <x:c r="B235" s="34" t="n">
        <x:v>91</x:v>
      </x:c>
      <x:c r="C235" s="42" t="n">
        <x:v>0.7669922362</x:v>
      </x:c>
    </x:row>
    <x:row r="236">
      <x:c r="A236" s="34" t="str">
        <x:v>network_cost_ratio</x:v>
      </x:c>
      <x:c r="B236" s="34" t="n">
        <x:v>92</x:v>
      </x:c>
      <x:c r="C236" s="42" t="n">
        <x:v>0.7669922362</x:v>
      </x:c>
    </x:row>
    <x:row r="237">
      <x:c r="A237" s="34" t="str">
        <x:v>network_cost_ratio</x:v>
      </x:c>
      <x:c r="B237" s="34" t="n">
        <x:v>93</x:v>
      </x:c>
      <x:c r="C237" s="42" t="n">
        <x:v>0.7702855176999999</x:v>
      </x:c>
    </x:row>
    <x:row r="238">
      <x:c r="A238" s="34" t="str">
        <x:v>network_cost_ratio</x:v>
      </x:c>
      <x:c r="B238" s="34" t="n">
        <x:v>94</x:v>
      </x:c>
      <x:c r="C238" s="42" t="n">
        <x:v>0.7702855176999999</x:v>
      </x:c>
    </x:row>
    <x:row r="239">
      <x:c r="A239" s="34" t="str">
        <x:v>network_cost_ratio</x:v>
      </x:c>
      <x:c r="B239" s="34" t="n">
        <x:v>95</x:v>
      </x:c>
      <x:c r="C239" s="42" t="n">
        <x:v>0.7702855176999999</x:v>
      </x:c>
    </x:row>
    <x:row r="240">
      <x:c r="A240" s="34" t="str">
        <x:v>network_cost_ratio</x:v>
      </x:c>
      <x:c r="B240" s="34" t="n">
        <x:v>96</x:v>
      </x:c>
      <x:c r="C240" s="42" t="n">
        <x:v>0.9274274845000001</x:v>
      </x:c>
    </x:row>
    <x:row r="241">
      <x:c r="A241" s="34" t="str">
        <x:v>network_cost_ratio</x:v>
      </x:c>
      <x:c r="B241" s="34" t="n">
        <x:v>97</x:v>
      </x:c>
      <x:c r="C241" s="42" t="n">
        <x:v>0.9274274845000001</x:v>
      </x:c>
    </x:row>
    <x:row r="242">
      <x:c r="A242" s="34" t="str">
        <x:v>cashflow_recovery_ratio</x:v>
      </x:c>
      <x:c r="B242" s="34" t="n">
        <x:v>1</x:v>
      </x:c>
      <x:c r="C242" s="42" t="n">
        <x:v>-300.75</x:v>
      </x:c>
    </x:row>
    <x:row r="243">
      <x:c r="A243" s="34" t="str">
        <x:v>cashflow_recovery_ratio</x:v>
      </x:c>
      <x:c r="B243" s="34" t="n">
        <x:v>2</x:v>
      </x:c>
      <x:c r="C243" s="42" t="n">
        <x:v>-300.75</x:v>
      </x:c>
    </x:row>
    <x:row r="244">
      <x:c r="A244" s="34" t="str">
        <x:v>cashflow_recovery_ratio</x:v>
      </x:c>
      <x:c r="B244" s="34" t="n">
        <x:v>3</x:v>
      </x:c>
      <x:c r="C244" s="42" t="n">
        <x:v>-277.99999999999994</x:v>
      </x:c>
    </x:row>
    <x:row r="245">
      <x:c r="A245" s="34" t="str">
        <x:v>cashflow_recovery_ratio</x:v>
      </x:c>
      <x:c r="B245" s="34" t="n">
        <x:v>4</x:v>
      </x:c>
      <x:c r="C245" s="42" t="n">
        <x:v>-277.99999999999994</x:v>
      </x:c>
    </x:row>
    <x:row r="246">
      <x:c r="A246" s="34" t="str">
        <x:v>cashflow_recovery_ratio</x:v>
      </x:c>
      <x:c r="B246" s="34" t="n">
        <x:v>5</x:v>
      </x:c>
      <x:c r="C246" s="42" t="n">
        <x:v>-277.99999999999994</x:v>
      </x:c>
    </x:row>
    <x:row r="247">
      <x:c r="A247" s="34" t="str">
        <x:v>cashflow_recovery_ratio</x:v>
      </x:c>
      <x:c r="B247" s="34" t="n">
        <x:v>6</x:v>
      </x:c>
      <x:c r="C247" s="42" t="n">
        <x:v>-277.99999999999994</x:v>
      </x:c>
    </x:row>
    <x:row r="248">
      <x:c r="A248" s="34" t="str">
        <x:v>cashflow_recovery_ratio</x:v>
      </x:c>
      <x:c r="B248" s="34" t="n">
        <x:v>7</x:v>
      </x:c>
      <x:c r="C248" s="42" t="n">
        <x:v>-156.48439691450005</x:v>
      </x:c>
    </x:row>
    <x:row r="249">
      <x:c r="A249" s="34" t="str">
        <x:v>cashflow_recovery_ratio</x:v>
      </x:c>
      <x:c r="B249" s="34" t="n">
        <x:v>8</x:v>
      </x:c>
      <x:c r="C249" s="42" t="n">
        <x:v>-156.48439691450005</x:v>
      </x:c>
    </x:row>
    <x:row r="250">
      <x:c r="A250" s="34" t="str">
        <x:v>cashflow_recovery_ratio</x:v>
      </x:c>
      <x:c r="B250" s="34" t="n">
        <x:v>9</x:v>
      </x:c>
      <x:c r="C250" s="42" t="n">
        <x:v>-145.1093969145</x:v>
      </x:c>
    </x:row>
    <x:row r="251">
      <x:c r="A251" s="34" t="str">
        <x:v>cashflow_recovery_ratio</x:v>
      </x:c>
      <x:c r="B251" s="34" t="n">
        <x:v>10</x:v>
      </x:c>
      <x:c r="C251" s="42" t="n">
        <x:v>-145.1093969145</x:v>
      </x:c>
    </x:row>
    <x:row r="252">
      <x:c r="A252" s="34" t="str">
        <x:v>cashflow_recovery_ratio</x:v>
      </x:c>
      <x:c r="B252" s="34" t="n">
        <x:v>11</x:v>
      </x:c>
      <x:c r="C252" s="42" t="n">
        <x:v>-145.1093969145</x:v>
      </x:c>
    </x:row>
    <x:row r="253">
      <x:c r="A253" s="34" t="str">
        <x:v>cashflow_recovery_ratio</x:v>
      </x:c>
      <x:c r="B253" s="34" t="n">
        <x:v>12</x:v>
      </x:c>
      <x:c r="C253" s="42" t="n">
        <x:v>-145.1093969145</x:v>
      </x:c>
    </x:row>
    <x:row r="254">
      <x:c r="A254" s="34" t="str">
        <x:v>cashflow_recovery_ratio</x:v>
      </x:c>
      <x:c r="B254" s="34" t="n">
        <x:v>13</x:v>
      </x:c>
      <x:c r="C254" s="42" t="n">
        <x:v>-143.09999999999994</x:v>
      </x:c>
    </x:row>
    <x:row r="255">
      <x:c r="A255" s="34" t="str">
        <x:v>cashflow_recovery_ratio</x:v>
      </x:c>
      <x:c r="B255" s="34" t="n">
        <x:v>14</x:v>
      </x:c>
      <x:c r="C255" s="42" t="n">
        <x:v>-143.09999999999994</x:v>
      </x:c>
    </x:row>
    <x:row r="256">
      <x:c r="A256" s="34" t="str">
        <x:v>cashflow_recovery_ratio</x:v>
      </x:c>
      <x:c r="B256" s="34" t="n">
        <x:v>15</x:v>
      </x:c>
      <x:c r="C256" s="42" t="n">
        <x:v>-143.09999999999994</x:v>
      </x:c>
    </x:row>
    <x:row r="257">
      <x:c r="A257" s="34" t="str">
        <x:v>cashflow_recovery_ratio</x:v>
      </x:c>
      <x:c r="B257" s="34" t="n">
        <x:v>16</x:v>
      </x:c>
      <x:c r="C257" s="42" t="n">
        <x:v>-143.09999999999994</x:v>
      </x:c>
    </x:row>
    <x:row r="258">
      <x:c r="A258" s="34" t="str">
        <x:v>cashflow_recovery_ratio</x:v>
      </x:c>
      <x:c r="B258" s="34" t="n">
        <x:v>17</x:v>
      </x:c>
      <x:c r="C258" s="42" t="n">
        <x:v>-99.06000549860002</x:v>
      </x:c>
    </x:row>
    <x:row r="259">
      <x:c r="A259" s="34" t="str">
        <x:v>cashflow_recovery_ratio</x:v>
      </x:c>
      <x:c r="B259" s="34" t="n">
        <x:v>18</x:v>
      </x:c>
      <x:c r="C259" s="42" t="n">
        <x:v>-99.06000549860002</x:v>
      </x:c>
    </x:row>
    <x:row r="260">
      <x:c r="A260" s="34" t="str">
        <x:v>cashflow_recovery_ratio</x:v>
      </x:c>
      <x:c r="B260" s="34" t="n">
        <x:v>19</x:v>
      </x:c>
      <x:c r="C260" s="42" t="n">
        <x:v>-71.25961166400002</x:v>
      </x:c>
    </x:row>
    <x:row r="261">
      <x:c r="A261" s="34" t="str">
        <x:v>cashflow_recovery_ratio</x:v>
      </x:c>
      <x:c r="B261" s="34" t="n">
        <x:v>20</x:v>
      </x:c>
      <x:c r="C261" s="42" t="n">
        <x:v>-71.25961166400002</x:v>
      </x:c>
    </x:row>
    <x:row r="262">
      <x:c r="A262" s="34" t="str">
        <x:v>cashflow_recovery_ratio</x:v>
      </x:c>
      <x:c r="B262" s="34" t="n">
        <x:v>21</x:v>
      </x:c>
      <x:c r="C262" s="42" t="n">
        <x:v>-58.19975524030001</x:v>
      </x:c>
    </x:row>
    <x:row r="263">
      <x:c r="A263" s="34" t="str">
        <x:v>cashflow_recovery_ratio</x:v>
      </x:c>
      <x:c r="B263" s="34" t="n">
        <x:v>22</x:v>
      </x:c>
      <x:c r="C263" s="42" t="n">
        <x:v>-56.12281363629999</x:v>
      </x:c>
    </x:row>
    <x:row r="264">
      <x:c r="A264" s="34" t="str">
        <x:v>cashflow_recovery_ratio</x:v>
      </x:c>
      <x:c r="B264" s="34" t="n">
        <x:v>23</x:v>
      </x:c>
      <x:c r="C264" s="42" t="n">
        <x:v>-56.12281363629999</x:v>
      </x:c>
    </x:row>
    <x:row r="265">
      <x:c r="A265" s="34" t="str">
        <x:v>cashflow_recovery_ratio</x:v>
      </x:c>
      <x:c r="B265" s="34" t="n">
        <x:v>24</x:v>
      </x:c>
      <x:c r="C265" s="42" t="n">
        <x:v>-56.12281363629999</x:v>
      </x:c>
    </x:row>
    <x:row r="266">
      <x:c r="A266" s="34" t="str">
        <x:v>cashflow_recovery_ratio</x:v>
      </x:c>
      <x:c r="B266" s="34" t="n">
        <x:v>25</x:v>
      </x:c>
      <x:c r="C266" s="42" t="n">
        <x:v>-56.12281363629999</x:v>
      </x:c>
    </x:row>
    <x:row r="267">
      <x:c r="A267" s="34" t="str">
        <x:v>cashflow_recovery_ratio</x:v>
      </x:c>
      <x:c r="B267" s="34" t="n">
        <x:v>26</x:v>
      </x:c>
      <x:c r="C267" s="42" t="n">
        <x:v>-46.05517982540001</x:v>
      </x:c>
    </x:row>
    <x:row r="268">
      <x:c r="A268" s="34" t="str">
        <x:v>cashflow_recovery_ratio</x:v>
      </x:c>
      <x:c r="B268" s="34" t="n">
        <x:v>27</x:v>
      </x:c>
      <x:c r="C268" s="42" t="n">
        <x:v>-46.05517982540001</x:v>
      </x:c>
    </x:row>
    <x:row r="269">
      <x:c r="A269" s="34" t="str">
        <x:v>cashflow_recovery_ratio</x:v>
      </x:c>
      <x:c r="B269" s="34" t="n">
        <x:v>28</x:v>
      </x:c>
      <x:c r="C269" s="42" t="n">
        <x:v>-12.218793828899999</x:v>
      </x:c>
    </x:row>
    <x:row r="270">
      <x:c r="A270" s="34" t="str">
        <x:v>cashflow_recovery_ratio</x:v>
      </x:c>
      <x:c r="B270" s="34" t="n">
        <x:v>29</x:v>
      </x:c>
      <x:c r="C270" s="42" t="n">
        <x:v>-12.218793828899999</x:v>
      </x:c>
    </x:row>
    <x:row r="271">
      <x:c r="A271" s="34" t="str">
        <x:v>cashflow_recovery_ratio</x:v>
      </x:c>
      <x:c r="B271" s="34" t="n">
        <x:v>30</x:v>
      </x:c>
      <x:c r="C271" s="42" t="n">
        <x:v>-12.218793828899999</x:v>
      </x:c>
    </x:row>
    <x:row r="272">
      <x:c r="A272" s="34" t="str">
        <x:v>cashflow_recovery_ratio</x:v>
      </x:c>
      <x:c r="B272" s="34" t="n">
        <x:v>31</x:v>
      </x:c>
      <x:c r="C272" s="42" t="n">
        <x:v>-12.218793828899999</x:v>
      </x:c>
    </x:row>
    <x:row r="273">
      <x:c r="A273" s="34" t="str">
        <x:v>cashflow_recovery_ratio</x:v>
      </x:c>
      <x:c r="B273" s="34" t="n">
        <x:v>32</x:v>
      </x:c>
      <x:c r="C273" s="42" t="n">
        <x:v>-12.218793828899999</x:v>
      </x:c>
    </x:row>
    <x:row r="274">
      <x:c r="A274" s="34" t="str">
        <x:v>cashflow_recovery_ratio</x:v>
      </x:c>
      <x:c r="B274" s="34" t="n">
        <x:v>33</x:v>
      </x:c>
      <x:c r="C274" s="42" t="n">
        <x:v>-12.218793828899999</x:v>
      </x:c>
    </x:row>
    <x:row r="275">
      <x:c r="A275" s="34" t="str">
        <x:v>cashflow_recovery_ratio</x:v>
      </x:c>
      <x:c r="B275" s="34" t="n">
        <x:v>34</x:v>
      </x:c>
      <x:c r="C275" s="42" t="n">
        <x:v>-4.1477805917</x:v>
      </x:c>
    </x:row>
    <x:row r="276">
      <x:c r="A276" s="34" t="str">
        <x:v>cashflow_recovery_ratio</x:v>
      </x:c>
      <x:c r="B276" s="34" t="n">
        <x:v>35</x:v>
      </x:c>
      <x:c r="C276" s="42" t="n">
        <x:v>-2.4984921384</x:v>
      </x:c>
    </x:row>
    <x:row r="277">
      <x:c r="A277" s="34" t="str">
        <x:v>cashflow_recovery_ratio</x:v>
      </x:c>
      <x:c r="B277" s="34" t="n">
        <x:v>36</x:v>
      </x:c>
      <x:c r="C277" s="42" t="n">
        <x:v>-1.4118478609</x:v>
      </x:c>
    </x:row>
    <x:row r="278">
      <x:c r="A278" s="34" t="str">
        <x:v>cashflow_recovery_ratio</x:v>
      </x:c>
      <x:c r="B278" s="34" t="n">
        <x:v>37</x:v>
      </x:c>
      <x:c r="C278" s="42" t="n">
        <x:v>-0.9268741189999999</x:v>
      </x:c>
    </x:row>
    <x:row r="279">
      <x:c r="A279" s="34" t="str">
        <x:v>cashflow_recovery_ratio</x:v>
      </x:c>
      <x:c r="B279" s="34" t="n">
        <x:v>38</x:v>
      </x:c>
      <x:c r="C279" s="42" t="n">
        <x:v>-0.9268741189999999</x:v>
      </x:c>
    </x:row>
    <x:row r="280">
      <x:c r="A280" s="34" t="str">
        <x:v>cashflow_recovery_ratio</x:v>
      </x:c>
      <x:c r="B280" s="34" t="n">
        <x:v>39</x:v>
      </x:c>
      <x:c r="C280" s="42" t="n">
        <x:v>-0.9268741189999999</x:v>
      </x:c>
    </x:row>
    <x:row r="281">
      <x:c r="A281" s="34" t="str">
        <x:v>cashflow_recovery_ratio</x:v>
      </x:c>
      <x:c r="B281" s="34" t="n">
        <x:v>40</x:v>
      </x:c>
      <x:c r="C281" s="42" t="n">
        <x:v>-0.8894760414</x:v>
      </x:c>
    </x:row>
    <x:row r="282">
      <x:c r="A282" s="34" t="str">
        <x:v>cashflow_recovery_ratio</x:v>
      </x:c>
      <x:c r="B282" s="34" t="n">
        <x:v>41</x:v>
      </x:c>
      <x:c r="C282" s="42" t="n">
        <x:v>-0.8268524067</x:v>
      </x:c>
    </x:row>
    <x:row r="283">
      <x:c r="A283" s="34" t="str">
        <x:v>cashflow_recovery_ratio</x:v>
      </x:c>
      <x:c r="B283" s="34" t="n">
        <x:v>42</x:v>
      </x:c>
      <x:c r="C283" s="42" t="n">
        <x:v>-0.8268524067</x:v>
      </x:c>
    </x:row>
    <x:row r="284">
      <x:c r="A284" s="34" t="str">
        <x:v>cashflow_recovery_ratio</x:v>
      </x:c>
      <x:c r="B284" s="34" t="n">
        <x:v>43</x:v>
      </x:c>
      <x:c r="C284" s="42" t="n">
        <x:v>-0.8268524067</x:v>
      </x:c>
    </x:row>
    <x:row r="285">
      <x:c r="A285" s="34" t="str">
        <x:v>cashflow_recovery_ratio</x:v>
      </x:c>
      <x:c r="B285" s="34" t="n">
        <x:v>44</x:v>
      </x:c>
      <x:c r="C285" s="42" t="n">
        <x:v>-0.7441561099000001</x:v>
      </x:c>
    </x:row>
    <x:row r="286">
      <x:c r="A286" s="34" t="str">
        <x:v>cashflow_recovery_ratio</x:v>
      </x:c>
      <x:c r="B286" s="34" t="n">
        <x:v>45</x:v>
      </x:c>
      <x:c r="C286" s="42" t="n">
        <x:v>-0.7441561099000001</x:v>
      </x:c>
    </x:row>
    <x:row r="287">
      <x:c r="A287" s="34" t="str">
        <x:v>cashflow_recovery_ratio</x:v>
      </x:c>
      <x:c r="B287" s="34" t="n">
        <x:v>46</x:v>
      </x:c>
      <x:c r="C287" s="42" t="n">
        <x:v>-0.7441561099000001</x:v>
      </x:c>
    </x:row>
    <x:row r="288">
      <x:c r="A288" s="34" t="str">
        <x:v>cashflow_recovery_ratio</x:v>
      </x:c>
      <x:c r="B288" s="34" t="n">
        <x:v>47</x:v>
      </x:c>
      <x:c r="C288" s="42" t="n">
        <x:v>-0.6142685074</x:v>
      </x:c>
    </x:row>
    <x:row r="289">
      <x:c r="A289" s="34" t="str">
        <x:v>cashflow_recovery_ratio</x:v>
      </x:c>
      <x:c r="B289" s="34" t="n">
        <x:v>48</x:v>
      </x:c>
      <x:c r="C289" s="42" t="n">
        <x:v>-0.6142685074</x:v>
      </x:c>
    </x:row>
    <x:row r="290">
      <x:c r="A290" s="34" t="str">
        <x:v>cashflow_recovery_ratio</x:v>
      </x:c>
      <x:c r="B290" s="34" t="n">
        <x:v>49</x:v>
      </x:c>
      <x:c r="C290" s="42" t="n">
        <x:v>-0.6142685074</x:v>
      </x:c>
    </x:row>
    <x:row r="291">
      <x:c r="A291" s="34" t="str">
        <x:v>cashflow_recovery_ratio</x:v>
      </x:c>
      <x:c r="B291" s="34" t="n">
        <x:v>50</x:v>
      </x:c>
      <x:c r="C291" s="42" t="n">
        <x:v>-0.5488519037</x:v>
      </x:c>
    </x:row>
    <x:row r="292">
      <x:c r="A292" s="34" t="str">
        <x:v>cashflow_recovery_ratio</x:v>
      </x:c>
      <x:c r="B292" s="34" t="n">
        <x:v>51</x:v>
      </x:c>
      <x:c r="C292" s="42" t="n">
        <x:v>-0.5488519037</x:v>
      </x:c>
    </x:row>
    <x:row r="293">
      <x:c r="A293" s="34" t="str">
        <x:v>cashflow_recovery_ratio</x:v>
      </x:c>
      <x:c r="B293" s="34" t="n">
        <x:v>52</x:v>
      </x:c>
      <x:c r="C293" s="42" t="n">
        <x:v>-0.5488519037</x:v>
      </x:c>
    </x:row>
    <x:row r="294">
      <x:c r="A294" s="34" t="str">
        <x:v>cashflow_recovery_ratio</x:v>
      </x:c>
      <x:c r="B294" s="34" t="n">
        <x:v>53</x:v>
      </x:c>
      <x:c r="C294" s="42" t="n">
        <x:v>-0.5488519037</x:v>
      </x:c>
    </x:row>
    <x:row r="295">
      <x:c r="A295" s="34" t="str">
        <x:v>cashflow_recovery_ratio</x:v>
      </x:c>
      <x:c r="B295" s="34" t="n">
        <x:v>54</x:v>
      </x:c>
      <x:c r="C295" s="42" t="n">
        <x:v>-0.5488519037</x:v>
      </x:c>
    </x:row>
    <x:row r="296">
      <x:c r="A296" s="34" t="str">
        <x:v>cashflow_recovery_ratio</x:v>
      </x:c>
      <x:c r="B296" s="34" t="n">
        <x:v>55</x:v>
      </x:c>
      <x:c r="C296" s="42" t="n">
        <x:v>-0.4963298976</x:v>
      </x:c>
    </x:row>
    <x:row r="297">
      <x:c r="A297" s="34" t="str">
        <x:v>cashflow_recovery_ratio</x:v>
      </x:c>
      <x:c r="B297" s="34" t="n">
        <x:v>56</x:v>
      </x:c>
      <x:c r="C297" s="42" t="n">
        <x:v>-0.4963298976</x:v>
      </x:c>
    </x:row>
    <x:row r="298">
      <x:c r="A298" s="34" t="str">
        <x:v>cashflow_recovery_ratio</x:v>
      </x:c>
      <x:c r="B298" s="34" t="n">
        <x:v>57</x:v>
      </x:c>
      <x:c r="C298" s="42" t="n">
        <x:v>-0.4963298976</x:v>
      </x:c>
    </x:row>
    <x:row r="299">
      <x:c r="A299" s="34" t="str">
        <x:v>cashflow_recovery_ratio</x:v>
      </x:c>
      <x:c r="B299" s="34" t="n">
        <x:v>58</x:v>
      </x:c>
      <x:c r="C299" s="42" t="n">
        <x:v>-0.4963298976</x:v>
      </x:c>
    </x:row>
    <x:row r="300">
      <x:c r="A300" s="34" t="str">
        <x:v>cashflow_recovery_ratio</x:v>
      </x:c>
      <x:c r="B300" s="34" t="n">
        <x:v>59</x:v>
      </x:c>
      <x:c r="C300" s="42" t="n">
        <x:v>-0.4963298976</x:v>
      </x:c>
    </x:row>
    <x:row r="301">
      <x:c r="A301" s="34" t="str">
        <x:v>cashflow_recovery_ratio</x:v>
      </x:c>
      <x:c r="B301" s="34" t="n">
        <x:v>60</x:v>
      </x:c>
      <x:c r="C301" s="42" t="n">
        <x:v>-0.48181950479999996</x:v>
      </x:c>
    </x:row>
    <x:row r="302">
      <x:c r="A302" s="34" t="str">
        <x:v>cashflow_recovery_ratio</x:v>
      </x:c>
      <x:c r="B302" s="34" t="n">
        <x:v>61</x:v>
      </x:c>
      <x:c r="C302" s="42" t="n">
        <x:v>-0.48181950479999996</x:v>
      </x:c>
    </x:row>
    <x:row r="303">
      <x:c r="A303" s="34" t="str">
        <x:v>cashflow_recovery_ratio</x:v>
      </x:c>
      <x:c r="B303" s="34" t="n">
        <x:v>62</x:v>
      </x:c>
      <x:c r="C303" s="42" t="n">
        <x:v>-0.48181950479999996</x:v>
      </x:c>
    </x:row>
    <x:row r="304">
      <x:c r="A304" s="34" t="str">
        <x:v>cashflow_recovery_ratio</x:v>
      </x:c>
      <x:c r="B304" s="34" t="n">
        <x:v>63</x:v>
      </x:c>
      <x:c r="C304" s="42" t="n">
        <x:v>-0.48181950479999996</x:v>
      </x:c>
    </x:row>
    <x:row r="305">
      <x:c r="A305" s="34" t="str">
        <x:v>cashflow_recovery_ratio</x:v>
      </x:c>
      <x:c r="B305" s="34" t="n">
        <x:v>64</x:v>
      </x:c>
      <x:c r="C305" s="42" t="n">
        <x:v>-0.48181950479999996</x:v>
      </x:c>
    </x:row>
    <x:row r="306">
      <x:c r="A306" s="34" t="str">
        <x:v>cashflow_recovery_ratio</x:v>
      </x:c>
      <x:c r="B306" s="34" t="n">
        <x:v>65</x:v>
      </x:c>
      <x:c r="C306" s="42" t="n">
        <x:v>0.3538820013000001</x:v>
      </x:c>
    </x:row>
    <x:row r="307">
      <x:c r="A307" s="34" t="str">
        <x:v>cashflow_recovery_ratio</x:v>
      </x:c>
      <x:c r="B307" s="34" t="n">
        <x:v>66</x:v>
      </x:c>
      <x:c r="C307" s="42" t="n">
        <x:v>0.3538820013000001</x:v>
      </x:c>
    </x:row>
    <x:row r="308">
      <x:c r="A308" s="34" t="str">
        <x:v>cashflow_recovery_ratio</x:v>
      </x:c>
      <x:c r="B308" s="34" t="n">
        <x:v>67</x:v>
      </x:c>
      <x:c r="C308" s="42" t="n">
        <x:v>0.3538820013000001</x:v>
      </x:c>
    </x:row>
    <x:row r="309">
      <x:c r="A309" s="34" t="str">
        <x:v>cashflow_recovery_ratio</x:v>
      </x:c>
      <x:c r="B309" s="34" t="n">
        <x:v>68</x:v>
      </x:c>
      <x:c r="C309" s="42" t="n">
        <x:v>0.3538820013000001</x:v>
      </x:c>
    </x:row>
    <x:row r="310">
      <x:c r="A310" s="34" t="str">
        <x:v>cashflow_recovery_ratio</x:v>
      </x:c>
      <x:c r="B310" s="34" t="n">
        <x:v>69</x:v>
      </x:c>
      <x:c r="C310" s="42" t="n">
        <x:v>0.3538820013000001</x:v>
      </x:c>
    </x:row>
    <x:row r="311">
      <x:c r="A311" s="34" t="str">
        <x:v>cashflow_recovery_ratio</x:v>
      </x:c>
      <x:c r="B311" s="34" t="n">
        <x:v>70</x:v>
      </x:c>
      <x:c r="C311" s="42" t="n">
        <x:v>4.8215680804000005</x:v>
      </x:c>
    </x:row>
    <x:row r="312">
      <x:c r="A312" s="34" t="str">
        <x:v>cashflow_recovery_ratio</x:v>
      </x:c>
      <x:c r="B312" s="34" t="n">
        <x:v>71</x:v>
      </x:c>
      <x:c r="C312" s="42" t="n">
        <x:v>4.8215680804000005</x:v>
      </x:c>
    </x:row>
    <x:row r="313">
      <x:c r="A313" s="34" t="str">
        <x:v>cashflow_recovery_ratio</x:v>
      </x:c>
      <x:c r="B313" s="34" t="n">
        <x:v>72</x:v>
      </x:c>
      <x:c r="C313" s="42" t="n">
        <x:v>4.8215680804000005</x:v>
      </x:c>
    </x:row>
    <x:row r="314">
      <x:c r="A314" s="34" t="str">
        <x:v>cashflow_recovery_ratio</x:v>
      </x:c>
      <x:c r="B314" s="34" t="n">
        <x:v>73</x:v>
      </x:c>
      <x:c r="C314" s="42" t="n">
        <x:v>12.315213688399998</x:v>
      </x:c>
    </x:row>
    <x:row r="315">
      <x:c r="A315" s="34" t="str">
        <x:v>cashflow_recovery_ratio</x:v>
      </x:c>
      <x:c r="B315" s="34" t="n">
        <x:v>74</x:v>
      </x:c>
      <x:c r="C315" s="42" t="n">
        <x:v>12.315213688399998</x:v>
      </x:c>
    </x:row>
    <x:row r="316">
      <x:c r="A316" s="34" t="str">
        <x:v>cashflow_recovery_ratio</x:v>
      </x:c>
      <x:c r="B316" s="34" t="n">
        <x:v>75</x:v>
      </x:c>
      <x:c r="C316" s="42" t="n">
        <x:v>16.789272011</x:v>
      </x:c>
    </x:row>
    <x:row r="317">
      <x:c r="A317" s="34" t="str">
        <x:v>cashflow_recovery_ratio</x:v>
      </x:c>
      <x:c r="B317" s="34" t="n">
        <x:v>76</x:v>
      </x:c>
      <x:c r="C317" s="42" t="n">
        <x:v>16.8302144713</x:v>
      </x:c>
    </x:row>
    <x:row r="318">
      <x:c r="A318" s="34" t="str">
        <x:v>cashflow_recovery_ratio</x:v>
      </x:c>
      <x:c r="B318" s="34" t="n">
        <x:v>77</x:v>
      </x:c>
      <x:c r="C318" s="42" t="n">
        <x:v>22.537918236799996</x:v>
      </x:c>
    </x:row>
    <x:row r="319">
      <x:c r="A319" s="34" t="str">
        <x:v>cashflow_recovery_ratio</x:v>
      </x:c>
      <x:c r="B319" s="34" t="n">
        <x:v>78</x:v>
      </x:c>
      <x:c r="C319" s="42" t="n">
        <x:v>22.537918236799996</x:v>
      </x:c>
    </x:row>
    <x:row r="320">
      <x:c r="A320" s="34" t="str">
        <x:v>cashflow_recovery_ratio</x:v>
      </x:c>
      <x:c r="B320" s="34" t="n">
        <x:v>79</x:v>
      </x:c>
      <x:c r="C320" s="42" t="n">
        <x:v>22.537918236799996</x:v>
      </x:c>
    </x:row>
    <x:row r="321">
      <x:c r="A321" s="34" t="str">
        <x:v>cashflow_recovery_ratio</x:v>
      </x:c>
      <x:c r="B321" s="34" t="n">
        <x:v>80</x:v>
      </x:c>
      <x:c r="C321" s="42" t="n">
        <x:v>22.537918236799996</x:v>
      </x:c>
    </x:row>
    <x:row r="322">
      <x:c r="A322" s="34" t="str">
        <x:v>cashflow_recovery_ratio</x:v>
      </x:c>
      <x:c r="B322" s="34" t="n">
        <x:v>81</x:v>
      </x:c>
      <x:c r="C322" s="42" t="n">
        <x:v>26.87916895880001</x:v>
      </x:c>
    </x:row>
    <x:row r="323">
      <x:c r="A323" s="34" t="str">
        <x:v>cashflow_recovery_ratio</x:v>
      </x:c>
      <x:c r="B323" s="34" t="n">
        <x:v>82</x:v>
      </x:c>
      <x:c r="C323" s="42" t="n">
        <x:v>27.8611713487</x:v>
      </x:c>
    </x:row>
    <x:row r="324">
      <x:c r="A324" s="34" t="str">
        <x:v>cashflow_recovery_ratio</x:v>
      </x:c>
      <x:c r="B324" s="34" t="n">
        <x:v>83</x:v>
      </x:c>
      <x:c r="C324" s="42" t="n">
        <x:v>27.8611713487</x:v>
      </x:c>
    </x:row>
    <x:row r="325">
      <x:c r="A325" s="34" t="str">
        <x:v>cashflow_recovery_ratio</x:v>
      </x:c>
      <x:c r="B325" s="34" t="n">
        <x:v>84</x:v>
      </x:c>
      <x:c r="C325" s="42" t="n">
        <x:v>27.8611713487</x:v>
      </x:c>
    </x:row>
    <x:row r="326">
      <x:c r="A326" s="34" t="str">
        <x:v>cashflow_recovery_ratio</x:v>
      </x:c>
      <x:c r="B326" s="34" t="n">
        <x:v>85</x:v>
      </x:c>
      <x:c r="C326" s="42" t="n">
        <x:v>37.83608628060001</x:v>
      </x:c>
    </x:row>
    <x:row r="327">
      <x:c r="A327" s="34" t="str">
        <x:v>cashflow_recovery_ratio</x:v>
      </x:c>
      <x:c r="B327" s="34" t="n">
        <x:v>86</x:v>
      </x:c>
      <x:c r="C327" s="42" t="n">
        <x:v>37.83608628060001</x:v>
      </x:c>
    </x:row>
    <x:row r="328">
      <x:c r="A328" s="34" t="str">
        <x:v>cashflow_recovery_ratio</x:v>
      </x:c>
      <x:c r="B328" s="34" t="n">
        <x:v>87</x:v>
      </x:c>
      <x:c r="C328" s="42" t="n">
        <x:v>37.83608628060001</x:v>
      </x:c>
    </x:row>
    <x:row r="329">
      <x:c r="A329" s="34" t="str">
        <x:v>cashflow_recovery_ratio</x:v>
      </x:c>
      <x:c r="B329" s="34" t="n">
        <x:v>88</x:v>
      </x:c>
      <x:c r="C329" s="42" t="n">
        <x:v>37.83608628060001</x:v>
      </x:c>
    </x:row>
    <x:row r="330">
      <x:c r="A330" s="34" t="str">
        <x:v>cashflow_recovery_ratio</x:v>
      </x:c>
      <x:c r="B330" s="34" t="n">
        <x:v>89</x:v>
      </x:c>
      <x:c r="C330" s="42" t="n">
        <x:v>37.83608628060001</x:v>
      </x:c>
    </x:row>
    <x:row r="331">
      <x:c r="A331" s="34" t="str">
        <x:v>cashflow_recovery_ratio</x:v>
      </x:c>
      <x:c r="B331" s="34" t="n">
        <x:v>90</x:v>
      </x:c>
      <x:c r="C331" s="42" t="n">
        <x:v>37.83608628060001</x:v>
      </x:c>
    </x:row>
    <x:row r="332">
      <x:c r="A332" s="34" t="str">
        <x:v>cashflow_recovery_ratio</x:v>
      </x:c>
      <x:c r="B332" s="34" t="n">
        <x:v>91</x:v>
      </x:c>
      <x:c r="C332" s="42" t="n">
        <x:v>39.65865199280001</x:v>
      </x:c>
    </x:row>
    <x:row r="333">
      <x:c r="A333" s="34" t="str">
        <x:v>cashflow_recovery_ratio</x:v>
      </x:c>
      <x:c r="B333" s="34" t="n">
        <x:v>92</x:v>
      </x:c>
      <x:c r="C333" s="42" t="n">
        <x:v>39.65865199280001</x:v>
      </x:c>
    </x:row>
    <x:row r="334">
      <x:c r="A334" s="34" t="str">
        <x:v>cashflow_recovery_ratio</x:v>
      </x:c>
      <x:c r="B334" s="34" t="n">
        <x:v>93</x:v>
      </x:c>
      <x:c r="C334" s="42" t="n">
        <x:v>39.65865199280001</x:v>
      </x:c>
    </x:row>
    <x:row r="335">
      <x:c r="A335" s="34" t="str">
        <x:v>cashflow_recovery_ratio</x:v>
      </x:c>
      <x:c r="B335" s="34" t="n">
        <x:v>94</x:v>
      </x:c>
      <x:c r="C335" s="42" t="n">
        <x:v>42.6920305469</x:v>
      </x:c>
    </x:row>
    <x:row r="336">
      <x:c r="A336" s="34" t="str">
        <x:v>cashflow_recovery_ratio</x:v>
      </x:c>
      <x:c r="B336" s="34" t="n">
        <x:v>95</x:v>
      </x:c>
      <x:c r="C336" s="42" t="n">
        <x:v>42.6920305469</x:v>
      </x:c>
    </x:row>
    <x:row r="337">
      <x:c r="A337" s="34" t="str">
        <x:v>funding_cost_spread</x:v>
      </x:c>
      <x:c r="B337" s="34" t="n">
        <x:v>1</x:v>
      </x:c>
      <x:c r="C337" s="42" t="n">
        <x:v>-0.4430292903</x:v>
      </x:c>
    </x:row>
    <x:row r="338">
      <x:c r="A338" s="34" t="str">
        <x:v>funding_cost_spread</x:v>
      </x:c>
      <x:c r="B338" s="34" t="n">
        <x:v>2</x:v>
      </x:c>
      <x:c r="C338" s="42" t="n">
        <x:v>-0.4430292903</x:v>
      </x:c>
    </x:row>
    <x:row r="339">
      <x:c r="A339" s="34" t="str">
        <x:v>funding_cost_spread</x:v>
      </x:c>
      <x:c r="B339" s="34" t="n">
        <x:v>3</x:v>
      </x:c>
      <x:c r="C339" s="42" t="n">
        <x:v>-0.4430292903</x:v>
      </x:c>
    </x:row>
    <x:row r="340">
      <x:c r="A340" s="34" t="str">
        <x:v>funding_cost_spread</x:v>
      </x:c>
      <x:c r="B340" s="34" t="n">
        <x:v>4</x:v>
      </x:c>
      <x:c r="C340" s="42" t="n">
        <x:v>-0.4430292903</x:v>
      </x:c>
    </x:row>
    <x:row r="341">
      <x:c r="A341" s="34" t="str">
        <x:v>funding_cost_spread</x:v>
      </x:c>
      <x:c r="B341" s="34" t="n">
        <x:v>5</x:v>
      </x:c>
      <x:c r="C341" s="42" t="n">
        <x:v>-0.2001465834</x:v>
      </x:c>
    </x:row>
    <x:row r="342">
      <x:c r="A342" s="34" t="str">
        <x:v>funding_cost_spread</x:v>
      </x:c>
      <x:c r="B342" s="34" t="n">
        <x:v>6</x:v>
      </x:c>
      <x:c r="C342" s="42" t="n">
        <x:v>-0.2001465834</x:v>
      </x:c>
    </x:row>
    <x:row r="343">
      <x:c r="A343" s="34" t="str">
        <x:v>funding_cost_spread</x:v>
      </x:c>
      <x:c r="B343" s="34" t="n">
        <x:v>7</x:v>
      </x:c>
      <x:c r="C343" s="42" t="n">
        <x:v>-0.003414083</x:v>
      </x:c>
    </x:row>
    <x:row r="344">
      <x:c r="A344" s="34" t="str">
        <x:v>funding_cost_spread</x:v>
      </x:c>
      <x:c r="B344" s="34" t="n">
        <x:v>8</x:v>
      </x:c>
      <x:c r="C344" s="42" t="n">
        <x:v>-0.003414083</x:v>
      </x:c>
    </x:row>
    <x:row r="345">
      <x:c r="A345" s="34" t="str">
        <x:v>funding_cost_spread</x:v>
      </x:c>
      <x:c r="B345" s="34" t="n">
        <x:v>9</x:v>
      </x:c>
      <x:c r="C345" s="42" t="n">
        <x:v>-0.003414083</x:v>
      </x:c>
    </x:row>
    <x:row r="346">
      <x:c r="A346" s="34" t="str">
        <x:v>funding_cost_spread</x:v>
      </x:c>
      <x:c r="B346" s="34" t="n">
        <x:v>10</x:v>
      </x:c>
      <x:c r="C346" s="42" t="n">
        <x:v>-0.003414083</x:v>
      </x:c>
    </x:row>
    <x:row r="347">
      <x:c r="A347" s="34" t="str">
        <x:v>funding_cost_spread</x:v>
      </x:c>
      <x:c r="B347" s="34" t="n">
        <x:v>11</x:v>
      </x:c>
      <x:c r="C347" s="42" t="n">
        <x:v>-0.003414083</x:v>
      </x:c>
    </x:row>
    <x:row r="348">
      <x:c r="A348" s="34" t="str">
        <x:v>funding_cost_spread</x:v>
      </x:c>
      <x:c r="B348" s="34" t="n">
        <x:v>12</x:v>
      </x:c>
      <x:c r="C348" s="42" t="n">
        <x:v>-0.0032035345</x:v>
      </x:c>
    </x:row>
    <x:row r="349">
      <x:c r="A349" s="34" t="str">
        <x:v>funding_cost_spread</x:v>
      </x:c>
      <x:c r="B349" s="34" t="n">
        <x:v>13</x:v>
      </x:c>
      <x:c r="C349" s="42" t="n">
        <x:v>-0.0032035345</x:v>
      </x:c>
    </x:row>
    <x:row r="350">
      <x:c r="A350" s="34" t="str">
        <x:v>funding_cost_spread</x:v>
      </x:c>
      <x:c r="B350" s="34" t="n">
        <x:v>14</x:v>
      </x:c>
      <x:c r="C350" s="42" t="n">
        <x:v>-0.001999222</x:v>
      </x:c>
    </x:row>
    <x:row r="351">
      <x:c r="A351" s="34" t="str">
        <x:v>funding_cost_spread</x:v>
      </x:c>
      <x:c r="B351" s="34" t="n">
        <x:v>15</x:v>
      </x:c>
      <x:c r="C351" s="42" t="n">
        <x:v>-0.001999222</x:v>
      </x:c>
    </x:row>
    <x:row r="352">
      <x:c r="A352" s="34" t="str">
        <x:v>funding_cost_spread</x:v>
      </x:c>
      <x:c r="B352" s="34" t="n">
        <x:v>16</x:v>
      </x:c>
      <x:c r="C352" s="42" t="n">
        <x:v>-0.001999222</x:v>
      </x:c>
    </x:row>
    <x:row r="353">
      <x:c r="A353" s="34" t="str">
        <x:v>funding_cost_spread</x:v>
      </x:c>
      <x:c r="B353" s="34" t="n">
        <x:v>17</x:v>
      </x:c>
      <x:c r="C353" s="42" t="n">
        <x:v>-0.001999222</x:v>
      </x:c>
    </x:row>
    <x:row r="354">
      <x:c r="A354" s="34" t="str">
        <x:v>funding_cost_spread</x:v>
      </x:c>
      <x:c r="B354" s="34" t="n">
        <x:v>18</x:v>
      </x:c>
      <x:c r="C354" s="42" t="n">
        <x:v>-0.001999222</x:v>
      </x:c>
    </x:row>
    <x:row r="355">
      <x:c r="A355" s="34" t="str">
        <x:v>funding_cost_spread</x:v>
      </x:c>
      <x:c r="B355" s="34" t="n">
        <x:v>19</x:v>
      </x:c>
      <x:c r="C355" s="42" t="n">
        <x:v>-0.0011008694</x:v>
      </x:c>
    </x:row>
    <x:row r="356">
      <x:c r="A356" s="34" t="str">
        <x:v>funding_cost_spread</x:v>
      </x:c>
      <x:c r="B356" s="34" t="n">
        <x:v>20</x:v>
      </x:c>
      <x:c r="C356" s="42" t="n">
        <x:v>-0.0011008694</x:v>
      </x:c>
    </x:row>
    <x:row r="357">
      <x:c r="A357" s="34" t="str">
        <x:v>funding_cost_spread</x:v>
      </x:c>
      <x:c r="B357" s="34" t="n">
        <x:v>21</x:v>
      </x:c>
      <x:c r="C357" s="42" t="n">
        <x:v>-0.0011008694</x:v>
      </x:c>
    </x:row>
    <x:row r="358">
      <x:c r="A358" s="34" t="str">
        <x:v>funding_cost_spread</x:v>
      </x:c>
      <x:c r="B358" s="34" t="n">
        <x:v>22</x:v>
      </x:c>
      <x:c r="C358" s="42" t="n">
        <x:v>-0.0011008694</x:v>
      </x:c>
    </x:row>
    <x:row r="359">
      <x:c r="A359" s="34" t="str">
        <x:v>funding_cost_spread</x:v>
      </x:c>
      <x:c r="B359" s="34" t="n">
        <x:v>23</x:v>
      </x:c>
      <x:c r="C359" s="42" t="n">
        <x:v>-0.0011008694</x:v>
      </x:c>
    </x:row>
    <x:row r="360">
      <x:c r="A360" s="34" t="str">
        <x:v>funding_cost_spread</x:v>
      </x:c>
      <x:c r="B360" s="34" t="n">
        <x:v>24</x:v>
      </x:c>
      <x:c r="C360" s="42" t="n">
        <x:v>0</x:v>
      </x:c>
    </x:row>
    <x:row r="361">
      <x:c r="A361" s="34" t="str">
        <x:v>funding_cost_spread</x:v>
      </x:c>
      <x:c r="B361" s="34" t="n">
        <x:v>25</x:v>
      </x:c>
      <x:c r="C361" s="42" t="n">
        <x:v>0</x:v>
      </x:c>
    </x:row>
    <x:row r="362">
      <x:c r="A362" s="34" t="str">
        <x:v>funding_cost_spread</x:v>
      </x:c>
      <x:c r="B362" s="34" t="n">
        <x:v>26</x:v>
      </x:c>
      <x:c r="C362" s="42" t="n">
        <x:v>0</x:v>
      </x:c>
    </x:row>
    <x:row r="363">
      <x:c r="A363" s="34" t="str">
        <x:v>funding_cost_spread</x:v>
      </x:c>
      <x:c r="B363" s="34" t="n">
        <x:v>27</x:v>
      </x:c>
      <x:c r="C363" s="42" t="n">
        <x:v>0</x:v>
      </x:c>
    </x:row>
    <x:row r="364">
      <x:c r="A364" s="34" t="str">
        <x:v>funding_cost_spread</x:v>
      </x:c>
      <x:c r="B364" s="34" t="n">
        <x:v>28</x:v>
      </x:c>
      <x:c r="C364" s="42" t="n">
        <x:v>0.0020862738</x:v>
      </x:c>
    </x:row>
    <x:row r="365">
      <x:c r="A365" s="34" t="str">
        <x:v>funding_cost_spread</x:v>
      </x:c>
      <x:c r="B365" s="34" t="n">
        <x:v>29</x:v>
      </x:c>
      <x:c r="C365" s="42" t="n">
        <x:v>0.0020862738</x:v>
      </x:c>
    </x:row>
    <x:row r="366">
      <x:c r="A366" s="34" t="str">
        <x:v>funding_cost_spread</x:v>
      </x:c>
      <x:c r="B366" s="34" t="n">
        <x:v>30</x:v>
      </x:c>
      <x:c r="C366" s="42" t="n">
        <x:v>0.0020862738</x:v>
      </x:c>
    </x:row>
    <x:row r="367">
      <x:c r="A367" s="34" t="str">
        <x:v>funding_cost_spread</x:v>
      </x:c>
      <x:c r="B367" s="34" t="n">
        <x:v>31</x:v>
      </x:c>
      <x:c r="C367" s="42" t="n">
        <x:v>0.0020862738</x:v>
      </x:c>
    </x:row>
    <x:row r="368">
      <x:c r="A368" s="34" t="str">
        <x:v>funding_cost_spread</x:v>
      </x:c>
      <x:c r="B368" s="34" t="n">
        <x:v>32</x:v>
      </x:c>
      <x:c r="C368" s="42" t="n">
        <x:v>0.0020862738</x:v>
      </x:c>
    </x:row>
    <x:row r="369">
      <x:c r="A369" s="34" t="str">
        <x:v>funding_cost_spread</x:v>
      </x:c>
      <x:c r="B369" s="34" t="n">
        <x:v>33</x:v>
      </x:c>
      <x:c r="C369" s="42" t="n">
        <x:v>0.0023203560000000004</x:v>
      </x:c>
    </x:row>
    <x:row r="370">
      <x:c r="A370" s="34" t="str">
        <x:v>funding_cost_spread</x:v>
      </x:c>
      <x:c r="B370" s="34" t="n">
        <x:v>34</x:v>
      </x:c>
      <x:c r="C370" s="42" t="n">
        <x:v>0.0023203560000000004</x:v>
      </x:c>
    </x:row>
    <x:row r="371">
      <x:c r="A371" s="34" t="str">
        <x:v>funding_cost_spread</x:v>
      </x:c>
      <x:c r="B371" s="34" t="n">
        <x:v>35</x:v>
      </x:c>
      <x:c r="C371" s="42" t="n">
        <x:v>0.0023203560000000004</x:v>
      </x:c>
    </x:row>
    <x:row r="372">
      <x:c r="A372" s="34" t="str">
        <x:v>funding_cost_spread</x:v>
      </x:c>
      <x:c r="B372" s="34" t="n">
        <x:v>36</x:v>
      </x:c>
      <x:c r="C372" s="42" t="n">
        <x:v>0.0032662517</x:v>
      </x:c>
    </x:row>
    <x:row r="373">
      <x:c r="A373" s="34" t="str">
        <x:v>funding_cost_spread</x:v>
      </x:c>
      <x:c r="B373" s="34" t="n">
        <x:v>37</x:v>
      </x:c>
      <x:c r="C373" s="42" t="n">
        <x:v>0.0032662517</x:v>
      </x:c>
    </x:row>
    <x:row r="374">
      <x:c r="A374" s="34" t="str">
        <x:v>funding_cost_spread</x:v>
      </x:c>
      <x:c r="B374" s="34" t="n">
        <x:v>38</x:v>
      </x:c>
      <x:c r="C374" s="42" t="n">
        <x:v>0.0032662517</x:v>
      </x:c>
    </x:row>
    <x:row r="375">
      <x:c r="A375" s="34" t="str">
        <x:v>funding_cost_spread</x:v>
      </x:c>
      <x:c r="B375" s="34" t="n">
        <x:v>39</x:v>
      </x:c>
      <x:c r="C375" s="42" t="n">
        <x:v>0.0042669455</x:v>
      </x:c>
    </x:row>
    <x:row r="376">
      <x:c r="A376" s="34" t="str">
        <x:v>funding_cost_spread</x:v>
      </x:c>
      <x:c r="B376" s="34" t="n">
        <x:v>40</x:v>
      </x:c>
      <x:c r="C376" s="42" t="n">
        <x:v>0.0042669455</x:v>
      </x:c>
    </x:row>
    <x:row r="377">
      <x:c r="A377" s="34" t="str">
        <x:v>funding_cost_spread</x:v>
      </x:c>
      <x:c r="B377" s="34" t="n">
        <x:v>41</x:v>
      </x:c>
      <x:c r="C377" s="42" t="n">
        <x:v>0.0042669455</x:v>
      </x:c>
    </x:row>
    <x:row r="378">
      <x:c r="A378" s="34" t="str">
        <x:v>funding_cost_spread</x:v>
      </x:c>
      <x:c r="B378" s="34" t="n">
        <x:v>42</x:v>
      </x:c>
      <x:c r="C378" s="42" t="n">
        <x:v>0.0054722235</x:v>
      </x:c>
    </x:row>
    <x:row r="379">
      <x:c r="A379" s="34" t="str">
        <x:v>funding_cost_spread</x:v>
      </x:c>
      <x:c r="B379" s="34" t="n">
        <x:v>43</x:v>
      </x:c>
      <x:c r="C379" s="42" t="n">
        <x:v>0.0060859416</x:v>
      </x:c>
    </x:row>
    <x:row r="380">
      <x:c r="A380" s="34" t="str">
        <x:v>funding_cost_spread</x:v>
      </x:c>
      <x:c r="B380" s="34" t="n">
        <x:v>44</x:v>
      </x:c>
      <x:c r="C380" s="42" t="n">
        <x:v>0.0103274916</x:v>
      </x:c>
    </x:row>
    <x:row r="381">
      <x:c r="A381" s="34" t="str">
        <x:v>funding_cost_spread</x:v>
      </x:c>
      <x:c r="B381" s="34" t="n">
        <x:v>45</x:v>
      </x:c>
      <x:c r="C381" s="42" t="n">
        <x:v>0.0103274916</x:v>
      </x:c>
    </x:row>
    <x:row r="382">
      <x:c r="A382" s="34" t="str">
        <x:v>funding_cost_spread</x:v>
      </x:c>
      <x:c r="B382" s="34" t="n">
        <x:v>46</x:v>
      </x:c>
      <x:c r="C382" s="42" t="n">
        <x:v>0.0103274916</x:v>
      </x:c>
    </x:row>
    <x:row r="383">
      <x:c r="A383" s="34" t="str">
        <x:v>funding_cost_spread</x:v>
      </x:c>
      <x:c r="B383" s="34" t="n">
        <x:v>47</x:v>
      </x:c>
      <x:c r="C383" s="42" t="n">
        <x:v>0.0121761004</x:v>
      </x:c>
    </x:row>
    <x:row r="384">
      <x:c r="A384" s="34" t="str">
        <x:v>funding_cost_spread</x:v>
      </x:c>
      <x:c r="B384" s="34" t="n">
        <x:v>48</x:v>
      </x:c>
      <x:c r="C384" s="42" t="n">
        <x:v>0.0141003368</x:v>
      </x:c>
    </x:row>
    <x:row r="385">
      <x:c r="A385" s="34" t="str">
        <x:v>funding_cost_spread</x:v>
      </x:c>
      <x:c r="B385" s="34" t="n">
        <x:v>49</x:v>
      </x:c>
      <x:c r="C385" s="42" t="n">
        <x:v>0.050714872</x:v>
      </x:c>
    </x:row>
    <x:row r="386">
      <x:c r="A386" s="34" t="str">
        <x:v>funding_cost_spread</x:v>
      </x:c>
      <x:c r="B386" s="34" t="n">
        <x:v>50</x:v>
      </x:c>
      <x:c r="C386" s="42" t="n">
        <x:v>0.0662884989</x:v>
      </x:c>
    </x:row>
    <x:row r="387">
      <x:c r="A387" s="34" t="str">
        <x:v>funding_cost_spread</x:v>
      </x:c>
      <x:c r="B387" s="34" t="n">
        <x:v>51</x:v>
      </x:c>
      <x:c r="C387" s="42" t="n">
        <x:v>0.0849255577</x:v>
      </x:c>
    </x:row>
    <x:row r="388">
      <x:c r="A388" s="34" t="str">
        <x:v>funding_cost_spread</x:v>
      </x:c>
      <x:c r="B388" s="34" t="n">
        <x:v>52</x:v>
      </x:c>
      <x:c r="C388" s="42" t="n">
        <x:v>0.0849255577</x:v>
      </x:c>
    </x:row>
    <x:row r="389">
      <x:c r="A389" s="34" t="str">
        <x:v>funding_cost_spread</x:v>
      </x:c>
      <x:c r="B389" s="34" t="n">
        <x:v>53</x:v>
      </x:c>
      <x:c r="C389" s="42" t="n">
        <x:v>0.1329753392</x:v>
      </x:c>
    </x:row>
    <x:row r="390">
      <x:c r="A390" s="34" t="str">
        <x:v>funding_cost_spread</x:v>
      </x:c>
      <x:c r="B390" s="34" t="n">
        <x:v>54</x:v>
      </x:c>
      <x:c r="C390" s="42" t="n">
        <x:v>0.1329753392</x:v>
      </x:c>
    </x:row>
    <x:row r="391">
      <x:c r="A391" s="34" t="str">
        <x:v>funding_cost_spread</x:v>
      </x:c>
      <x:c r="B391" s="34" t="n">
        <x:v>55</x:v>
      </x:c>
      <x:c r="C391" s="42" t="n">
        <x:v>0.2760736322</x:v>
      </x:c>
    </x:row>
    <x:row r="392">
      <x:c r="A392" s="34" t="str">
        <x:v>funding_cost_spread</x:v>
      </x:c>
      <x:c r="B392" s="34" t="n">
        <x:v>56</x:v>
      </x:c>
      <x:c r="C392" s="42" t="n">
        <x:v>0.2760736322</x:v>
      </x:c>
    </x:row>
    <x:row r="393">
      <x:c r="A393" s="34" t="str">
        <x:v>funding_cost_spread</x:v>
      </x:c>
      <x:c r="B393" s="34" t="n">
        <x:v>57</x:v>
      </x:c>
      <x:c r="C393" s="42" t="n">
        <x:v>0.5068913103</x:v>
      </x:c>
    </x:row>
    <x:row r="394">
      <x:c r="A394" s="34" t="str">
        <x:v>funding_cost_spread</x:v>
      </x:c>
      <x:c r="B394" s="34" t="n">
        <x:v>58</x:v>
      </x:c>
      <x:c r="C394" s="42" t="n">
        <x:v>0.5068913103</x:v>
      </x:c>
    </x:row>
    <x:row r="395">
      <x:c r="A395" s="34" t="str">
        <x:v>investment_recovery_ratio</x:v>
      </x:c>
      <x:c r="B395" s="34" t="n">
        <x:v>1</x:v>
      </x:c>
      <x:c r="C395" s="42" t="n">
        <x:v>-3163.7500000000014</x:v>
      </x:c>
    </x:row>
    <x:row r="396">
      <x:c r="A396" s="34" t="str">
        <x:v>investment_recovery_ratio</x:v>
      </x:c>
      <x:c r="B396" s="34" t="n">
        <x:v>2</x:v>
      </x:c>
      <x:c r="C396" s="42" t="n">
        <x:v>-3163.7500000000014</x:v>
      </x:c>
    </x:row>
    <x:row r="397">
      <x:c r="A397" s="34" t="str">
        <x:v>investment_recovery_ratio</x:v>
      </x:c>
      <x:c r="B397" s="34" t="n">
        <x:v>3</x:v>
      </x:c>
      <x:c r="C397" s="42" t="n">
        <x:v>-2148.2500000000005</x:v>
      </x:c>
    </x:row>
    <x:row r="398">
      <x:c r="A398" s="34" t="str">
        <x:v>investment_recovery_ratio</x:v>
      </x:c>
      <x:c r="B398" s="34" t="n">
        <x:v>4</x:v>
      </x:c>
      <x:c r="C398" s="42" t="n">
        <x:v>-2148.2500000000005</x:v>
      </x:c>
    </x:row>
    <x:row r="399">
      <x:c r="A399" s="34" t="str">
        <x:v>investment_recovery_ratio</x:v>
      </x:c>
      <x:c r="B399" s="34" t="n">
        <x:v>5</x:v>
      </x:c>
      <x:c r="C399" s="42" t="n">
        <x:v>-2148.2500000000005</x:v>
      </x:c>
    </x:row>
    <x:row r="400">
      <x:c r="A400" s="34" t="str">
        <x:v>investment_recovery_ratio</x:v>
      </x:c>
      <x:c r="B400" s="34" t="n">
        <x:v>6</x:v>
      </x:c>
      <x:c r="C400" s="42" t="n">
        <x:v>-2148.2500000000005</x:v>
      </x:c>
    </x:row>
    <x:row r="401">
      <x:c r="A401" s="34" t="str">
        <x:v>investment_recovery_ratio</x:v>
      </x:c>
      <x:c r="B401" s="34" t="n">
        <x:v>7</x:v>
      </x:c>
      <x:c r="C401" s="42" t="n">
        <x:v>-1601.7915497895995</x:v>
      </x:c>
    </x:row>
    <x:row r="402">
      <x:c r="A402" s="34" t="str">
        <x:v>investment_recovery_ratio</x:v>
      </x:c>
      <x:c r="B402" s="34" t="n">
        <x:v>8</x:v>
      </x:c>
      <x:c r="C402" s="42" t="n">
        <x:v>-1601.7915497895995</x:v>
      </x:c>
    </x:row>
    <x:row r="403">
      <x:c r="A403" s="34" t="str">
        <x:v>investment_recovery_ratio</x:v>
      </x:c>
      <x:c r="B403" s="34" t="n">
        <x:v>9</x:v>
      </x:c>
      <x:c r="C403" s="42" t="n">
        <x:v>-1094.0415497895995</x:v>
      </x:c>
    </x:row>
    <x:row r="404">
      <x:c r="A404" s="34" t="str">
        <x:v>investment_recovery_ratio</x:v>
      </x:c>
      <x:c r="B404" s="34" t="n">
        <x:v>10</x:v>
      </x:c>
      <x:c r="C404" s="42" t="n">
        <x:v>-1094.0415497895995</x:v>
      </x:c>
    </x:row>
    <x:row r="405">
      <x:c r="A405" s="34" t="str">
        <x:v>investment_recovery_ratio</x:v>
      </x:c>
      <x:c r="B405" s="34" t="n">
        <x:v>11</x:v>
      </x:c>
      <x:c r="C405" s="42" t="n">
        <x:v>-1094.0415497895995</x:v>
      </x:c>
    </x:row>
    <x:row r="406">
      <x:c r="A406" s="34" t="str">
        <x:v>investment_recovery_ratio</x:v>
      </x:c>
      <x:c r="B406" s="34" t="n">
        <x:v>12</x:v>
      </x:c>
      <x:c r="C406" s="42" t="n">
        <x:v>-1094.0415497895995</x:v>
      </x:c>
    </x:row>
    <x:row r="407">
      <x:c r="A407" s="34" t="str">
        <x:v>investment_recovery_ratio</x:v>
      </x:c>
      <x:c r="B407" s="34" t="n">
        <x:v>13</x:v>
      </x:c>
      <x:c r="C407" s="42" t="n">
        <x:v>-1017.9955674736999</x:v>
      </x:c>
    </x:row>
    <x:row r="408">
      <x:c r="A408" s="34" t="str">
        <x:v>investment_recovery_ratio</x:v>
      </x:c>
      <x:c r="B408" s="34" t="n">
        <x:v>14</x:v>
      </x:c>
      <x:c r="C408" s="42" t="n">
        <x:v>-1017.9955674736999</x:v>
      </x:c>
    </x:row>
    <x:row r="409">
      <x:c r="A409" s="34" t="str">
        <x:v>investment_recovery_ratio</x:v>
      </x:c>
      <x:c r="B409" s="34" t="n">
        <x:v>15</x:v>
      </x:c>
      <x:c r="C409" s="42" t="n">
        <x:v>-706.8302813590002</x:v>
      </x:c>
    </x:row>
    <x:row r="410">
      <x:c r="A410" s="34" t="str">
        <x:v>investment_recovery_ratio</x:v>
      </x:c>
      <x:c r="B410" s="34" t="n">
        <x:v>16</x:v>
      </x:c>
      <x:c r="C410" s="42" t="n">
        <x:v>-706.8302813590002</x:v>
      </x:c>
    </x:row>
    <x:row r="411">
      <x:c r="A411" s="34" t="str">
        <x:v>investment_recovery_ratio</x:v>
      </x:c>
      <x:c r="B411" s="34" t="n">
        <x:v>17</x:v>
      </x:c>
      <x:c r="C411" s="42" t="n">
        <x:v>-706.8302813590002</x:v>
      </x:c>
    </x:row>
    <x:row r="412">
      <x:c r="A412" s="34" t="str">
        <x:v>investment_recovery_ratio</x:v>
      </x:c>
      <x:c r="B412" s="34" t="n">
        <x:v>18</x:v>
      </x:c>
      <x:c r="C412" s="42" t="n">
        <x:v>-706.8302813590002</x:v>
      </x:c>
    </x:row>
    <x:row r="413">
      <x:c r="A413" s="34" t="str">
        <x:v>investment_recovery_ratio</x:v>
      </x:c>
      <x:c r="B413" s="34" t="n">
        <x:v>19</x:v>
      </x:c>
      <x:c r="C413" s="42" t="n">
        <x:v>-548.6921919133998</x:v>
      </x:c>
    </x:row>
    <x:row r="414">
      <x:c r="A414" s="34" t="str">
        <x:v>investment_recovery_ratio</x:v>
      </x:c>
      <x:c r="B414" s="34" t="n">
        <x:v>20</x:v>
      </x:c>
      <x:c r="C414" s="42" t="n">
        <x:v>-548.6921919133998</x:v>
      </x:c>
    </x:row>
    <x:row r="415">
      <x:c r="A415" s="34" t="str">
        <x:v>investment_recovery_ratio</x:v>
      </x:c>
      <x:c r="B415" s="34" t="n">
        <x:v>21</x:v>
      </x:c>
      <x:c r="C415" s="42" t="n">
        <x:v>-485.27376561269995</x:v>
      </x:c>
    </x:row>
    <x:row r="416">
      <x:c r="A416" s="34" t="str">
        <x:v>investment_recovery_ratio</x:v>
      </x:c>
      <x:c r="B416" s="34" t="n">
        <x:v>22</x:v>
      </x:c>
      <x:c r="C416" s="42" t="n">
        <x:v>-344.423065352</x:v>
      </x:c>
    </x:row>
    <x:row r="417">
      <x:c r="A417" s="34" t="str">
        <x:v>investment_recovery_ratio</x:v>
      </x:c>
      <x:c r="B417" s="34" t="n">
        <x:v>23</x:v>
      </x:c>
      <x:c r="C417" s="42" t="n">
        <x:v>-344.423065352</x:v>
      </x:c>
    </x:row>
    <x:row r="418">
      <x:c r="A418" s="34" t="str">
        <x:v>investment_recovery_ratio</x:v>
      </x:c>
      <x:c r="B418" s="34" t="n">
        <x:v>24</x:v>
      </x:c>
      <x:c r="C418" s="42" t="n">
        <x:v>-344.423065352</x:v>
      </x:c>
    </x:row>
    <x:row r="419">
      <x:c r="A419" s="34" t="str">
        <x:v>investment_recovery_ratio</x:v>
      </x:c>
      <x:c r="B419" s="34" t="n">
        <x:v>25</x:v>
      </x:c>
      <x:c r="C419" s="42" t="n">
        <x:v>-344.423065352</x:v>
      </x:c>
    </x:row>
    <x:row r="420">
      <x:c r="A420" s="34" t="str">
        <x:v>investment_recovery_ratio</x:v>
      </x:c>
      <x:c r="B420" s="34" t="n">
        <x:v>26</x:v>
      </x:c>
      <x:c r="C420" s="42" t="n">
        <x:v>-325.45446530969997</x:v>
      </x:c>
    </x:row>
    <x:row r="421">
      <x:c r="A421" s="34" t="str">
        <x:v>investment_recovery_ratio</x:v>
      </x:c>
      <x:c r="B421" s="34" t="n">
        <x:v>27</x:v>
      </x:c>
      <x:c r="C421" s="42" t="n">
        <x:v>-325.45446530969997</x:v>
      </x:c>
    </x:row>
    <x:row r="422">
      <x:c r="A422" s="34" t="str">
        <x:v>investment_recovery_ratio</x:v>
      </x:c>
      <x:c r="B422" s="34" t="n">
        <x:v>28</x:v>
      </x:c>
      <x:c r="C422" s="42" t="n">
        <x:v>-146.76604352680002</x:v>
      </x:c>
    </x:row>
    <x:row r="423">
      <x:c r="A423" s="34" t="str">
        <x:v>investment_recovery_ratio</x:v>
      </x:c>
      <x:c r="B423" s="34" t="n">
        <x:v>29</x:v>
      </x:c>
      <x:c r="C423" s="42" t="n">
        <x:v>-146.76604352680002</x:v>
      </x:c>
    </x:row>
    <x:row r="424">
      <x:c r="A424" s="34" t="str">
        <x:v>investment_recovery_ratio</x:v>
      </x:c>
      <x:c r="B424" s="34" t="n">
        <x:v>30</x:v>
      </x:c>
      <x:c r="C424" s="42" t="n">
        <x:v>-146.76604352680002</x:v>
      </x:c>
    </x:row>
    <x:row r="425">
      <x:c r="A425" s="34" t="str">
        <x:v>investment_recovery_ratio</x:v>
      </x:c>
      <x:c r="B425" s="34" t="n">
        <x:v>31</x:v>
      </x:c>
      <x:c r="C425" s="42" t="n">
        <x:v>-134.3475514963</x:v>
      </x:c>
    </x:row>
    <x:row r="426">
      <x:c r="A426" s="34" t="str">
        <x:v>investment_recovery_ratio</x:v>
      </x:c>
      <x:c r="B426" s="34" t="n">
        <x:v>32</x:v>
      </x:c>
      <x:c r="C426" s="42" t="n">
        <x:v>-134.3475514963</x:v>
      </x:c>
    </x:row>
    <x:row r="427">
      <x:c r="A427" s="34" t="str">
        <x:v>investment_recovery_ratio</x:v>
      </x:c>
      <x:c r="B427" s="34" t="n">
        <x:v>33</x:v>
      </x:c>
      <x:c r="C427" s="42" t="n">
        <x:v>-134.3475514963</x:v>
      </x:c>
    </x:row>
    <x:row r="428">
      <x:c r="A428" s="34" t="str">
        <x:v>investment_recovery_ratio</x:v>
      </x:c>
      <x:c r="B428" s="34" t="n">
        <x:v>34</x:v>
      </x:c>
      <x:c r="C428" s="42" t="n">
        <x:v>-134.3475514963</x:v>
      </x:c>
    </x:row>
    <x:row r="429">
      <x:c r="A429" s="34" t="str">
        <x:v>investment_recovery_ratio</x:v>
      </x:c>
      <x:c r="B429" s="34" t="n">
        <x:v>35</x:v>
      </x:c>
      <x:c r="C429" s="42" t="n">
        <x:v>-134.3475514963</x:v>
      </x:c>
    </x:row>
    <x:row r="430">
      <x:c r="A430" s="34" t="str">
        <x:v>investment_recovery_ratio</x:v>
      </x:c>
      <x:c r="B430" s="34" t="n">
        <x:v>36</x:v>
      </x:c>
      <x:c r="C430" s="42" t="n">
        <x:v>-134.3475514963</x:v>
      </x:c>
    </x:row>
    <x:row r="431">
      <x:c r="A431" s="34" t="str">
        <x:v>investment_recovery_ratio</x:v>
      </x:c>
      <x:c r="B431" s="34" t="n">
        <x:v>37</x:v>
      </x:c>
      <x:c r="C431" s="42" t="n">
        <x:v>-50.50978687780001</x:v>
      </x:c>
    </x:row>
    <x:row r="432">
      <x:c r="A432" s="34" t="str">
        <x:v>investment_recovery_ratio</x:v>
      </x:c>
      <x:c r="B432" s="34" t="n">
        <x:v>38</x:v>
      </x:c>
      <x:c r="C432" s="42" t="n">
        <x:v>-48.48368756799999</x:v>
      </x:c>
    </x:row>
    <x:row r="433">
      <x:c r="A433" s="34" t="str">
        <x:v>investment_recovery_ratio</x:v>
      </x:c>
      <x:c r="B433" s="34" t="n">
        <x:v>39</x:v>
      </x:c>
      <x:c r="C433" s="42" t="n">
        <x:v>-45.929462255900006</x:v>
      </x:c>
    </x:row>
    <x:row r="434">
      <x:c r="A434" s="34" t="str">
        <x:v>investment_recovery_ratio</x:v>
      </x:c>
      <x:c r="B434" s="34" t="n">
        <x:v>40</x:v>
      </x:c>
      <x:c r="C434" s="42" t="n">
        <x:v>-39.8330995792</x:v>
      </x:c>
    </x:row>
    <x:row r="435">
      <x:c r="A435" s="34" t="str">
        <x:v>investment_recovery_ratio</x:v>
      </x:c>
      <x:c r="B435" s="34" t="n">
        <x:v>41</x:v>
      </x:c>
      <x:c r="C435" s="42" t="n">
        <x:v>-39.8330995792</x:v>
      </x:c>
    </x:row>
    <x:row r="436">
      <x:c r="A436" s="34" t="str">
        <x:v>investment_recovery_ratio</x:v>
      </x:c>
      <x:c r="B436" s="34" t="n">
        <x:v>42</x:v>
      </x:c>
      <x:c r="C436" s="42" t="n">
        <x:v>-39.8330995792</x:v>
      </x:c>
    </x:row>
    <x:row r="437">
      <x:c r="A437" s="34" t="str">
        <x:v>investment_recovery_ratio</x:v>
      </x:c>
      <x:c r="B437" s="34" t="n">
        <x:v>43</x:v>
      </x:c>
      <x:c r="C437" s="42" t="n">
        <x:v>-39.8330995792</x:v>
      </x:c>
    </x:row>
    <x:row r="438">
      <x:c r="A438" s="34" t="str">
        <x:v>investment_recovery_ratio</x:v>
      </x:c>
      <x:c r="B438" s="34" t="n">
        <x:v>44</x:v>
      </x:c>
      <x:c r="C438" s="42" t="n">
        <x:v>-39.8330995792</x:v>
      </x:c>
    </x:row>
    <x:row r="439">
      <x:c r="A439" s="34" t="str">
        <x:v>investment_recovery_ratio</x:v>
      </x:c>
      <x:c r="B439" s="34" t="n">
        <x:v>45</x:v>
      </x:c>
      <x:c r="C439" s="42" t="n">
        <x:v>-39.8330995792</x:v>
      </x:c>
    </x:row>
    <x:row r="440">
      <x:c r="A440" s="34" t="str">
        <x:v>investment_recovery_ratio</x:v>
      </x:c>
      <x:c r="B440" s="34" t="n">
        <x:v>46</x:v>
      </x:c>
      <x:c r="C440" s="42" t="n">
        <x:v>-38.37869036130001</x:v>
      </x:c>
    </x:row>
    <x:row r="441">
      <x:c r="A441" s="34" t="str">
        <x:v>investment_recovery_ratio</x:v>
      </x:c>
      <x:c r="B441" s="34" t="n">
        <x:v>47</x:v>
      </x:c>
      <x:c r="C441" s="42" t="n">
        <x:v>-38.37869036130001</x:v>
      </x:c>
    </x:row>
    <x:row r="442">
      <x:c r="A442" s="34" t="str">
        <x:v>investment_recovery_ratio</x:v>
      </x:c>
      <x:c r="B442" s="34" t="n">
        <x:v>48</x:v>
      </x:c>
      <x:c r="C442" s="42" t="n">
        <x:v>-38.37869036130001</x:v>
      </x:c>
    </x:row>
    <x:row r="443">
      <x:c r="A443" s="34" t="str">
        <x:v>investment_recovery_ratio</x:v>
      </x:c>
      <x:c r="B443" s="34" t="n">
        <x:v>49</x:v>
      </x:c>
      <x:c r="C443" s="42" t="n">
        <x:v>-38.37869036130001</x:v>
      </x:c>
    </x:row>
    <x:row r="444">
      <x:c r="A444" s="34" t="str">
        <x:v>investment_recovery_ratio</x:v>
      </x:c>
      <x:c r="B444" s="34" t="n">
        <x:v>50</x:v>
      </x:c>
      <x:c r="C444" s="42" t="n">
        <x:v>-38.37869036130001</x:v>
      </x:c>
    </x:row>
    <x:row r="445">
      <x:c r="A445" s="34" t="str">
        <x:v>investment_recovery_ratio</x:v>
      </x:c>
      <x:c r="B445" s="34" t="n">
        <x:v>51</x:v>
      </x:c>
      <x:c r="C445" s="42" t="n">
        <x:v>-36.08164189840001</x:v>
      </x:c>
    </x:row>
    <x:row r="446">
      <x:c r="A446" s="34" t="str">
        <x:v>investment_recovery_ratio</x:v>
      </x:c>
      <x:c r="B446" s="34" t="n">
        <x:v>52</x:v>
      </x:c>
      <x:c r="C446" s="42" t="n">
        <x:v>-36.08164189840001</x:v>
      </x:c>
    </x:row>
    <x:row r="447">
      <x:c r="A447" s="34" t="str">
        <x:v>investment_recovery_ratio</x:v>
      </x:c>
      <x:c r="B447" s="34" t="n">
        <x:v>53</x:v>
      </x:c>
      <x:c r="C447" s="42" t="n">
        <x:v>-36.08164189840001</x:v>
      </x:c>
    </x:row>
    <x:row r="448">
      <x:c r="A448" s="34" t="str">
        <x:v>investment_recovery_ratio</x:v>
      </x:c>
      <x:c r="B448" s="34" t="n">
        <x:v>54</x:v>
      </x:c>
      <x:c r="C448" s="42" t="n">
        <x:v>-36.08164189840001</x:v>
      </x:c>
    </x:row>
    <x:row r="449">
      <x:c r="A449" s="34" t="str">
        <x:v>investment_recovery_ratio</x:v>
      </x:c>
      <x:c r="B449" s="34" t="n">
        <x:v>55</x:v>
      </x:c>
      <x:c r="C449" s="42" t="n">
        <x:v>-36.08164189840001</x:v>
      </x:c>
    </x:row>
    <x:row r="450">
      <x:c r="A450" s="34" t="str">
        <x:v>investment_recovery_ratio</x:v>
      </x:c>
      <x:c r="B450" s="34" t="n">
        <x:v>56</x:v>
      </x:c>
      <x:c r="C450" s="42" t="n">
        <x:v>-35.7589005451</x:v>
      </x:c>
    </x:row>
    <x:row r="451">
      <x:c r="A451" s="34" t="str">
        <x:v>investment_recovery_ratio</x:v>
      </x:c>
      <x:c r="B451" s="34" t="n">
        <x:v>57</x:v>
      </x:c>
      <x:c r="C451" s="42" t="n">
        <x:v>-35.7589005451</x:v>
      </x:c>
    </x:row>
    <x:row r="452">
      <x:c r="A452" s="34" t="str">
        <x:v>investment_recovery_ratio</x:v>
      </x:c>
      <x:c r="B452" s="34" t="n">
        <x:v>58</x:v>
      </x:c>
      <x:c r="C452" s="42" t="n">
        <x:v>-35.7589005451</x:v>
      </x:c>
    </x:row>
    <x:row r="453">
      <x:c r="A453" s="34" t="str">
        <x:v>investment_recovery_ratio</x:v>
      </x:c>
      <x:c r="B453" s="34" t="n">
        <x:v>59</x:v>
      </x:c>
      <x:c r="C453" s="42" t="n">
        <x:v>-35.7589005451</x:v>
      </x:c>
    </x:row>
    <x:row r="454">
      <x:c r="A454" s="34" t="str">
        <x:v>investment_recovery_ratio</x:v>
      </x:c>
      <x:c r="B454" s="34" t="n">
        <x:v>60</x:v>
      </x:c>
      <x:c r="C454" s="42" t="n">
        <x:v>-35.7589005451</x:v>
      </x:c>
    </x:row>
    <x:row r="455">
      <x:c r="A455" s="34" t="str">
        <x:v>investment_recovery_ratio</x:v>
      </x:c>
      <x:c r="B455" s="34" t="n">
        <x:v>61</x:v>
      </x:c>
      <x:c r="C455" s="42" t="n">
        <x:v>-35.388802072100006</x:v>
      </x:c>
    </x:row>
    <x:row r="456">
      <x:c r="A456" s="34" t="str">
        <x:v>investment_recovery_ratio</x:v>
      </x:c>
      <x:c r="B456" s="34" t="n">
        <x:v>62</x:v>
      </x:c>
      <x:c r="C456" s="42" t="n">
        <x:v>-30.769048952500004</x:v>
      </x:c>
    </x:row>
    <x:row r="457">
      <x:c r="A457" s="34" t="str">
        <x:v>investment_recovery_ratio</x:v>
      </x:c>
      <x:c r="B457" s="34" t="n">
        <x:v>63</x:v>
      </x:c>
      <x:c r="C457" s="42" t="n">
        <x:v>-30.769048952500004</x:v>
      </x:c>
    </x:row>
    <x:row r="458">
      <x:c r="A458" s="34" t="str">
        <x:v>investment_recovery_ratio</x:v>
      </x:c>
      <x:c r="B458" s="34" t="n">
        <x:v>64</x:v>
      </x:c>
      <x:c r="C458" s="42" t="n">
        <x:v>-30.769048952500004</x:v>
      </x:c>
    </x:row>
    <x:row r="459">
      <x:c r="A459" s="34" t="str">
        <x:v>investment_recovery_ratio</x:v>
      </x:c>
      <x:c r="B459" s="34" t="n">
        <x:v>65</x:v>
      </x:c>
      <x:c r="C459" s="42" t="n">
        <x:v>-30.769048952500004</x:v>
      </x:c>
    </x:row>
    <x:row r="460">
      <x:c r="A460" s="34" t="str">
        <x:v>investment_recovery_ratio</x:v>
      </x:c>
      <x:c r="B460" s="34" t="n">
        <x:v>66</x:v>
      </x:c>
      <x:c r="C460" s="42" t="n">
        <x:v>-30.769048952500004</x:v>
      </x:c>
    </x:row>
    <x:row r="461">
      <x:c r="A461" s="34" t="str">
        <x:v>investment_recovery_ratio</x:v>
      </x:c>
      <x:c r="B461" s="34" t="n">
        <x:v>67</x:v>
      </x:c>
      <x:c r="C461" s="42" t="n">
        <x:v>-2.9276358851</x:v>
      </x:c>
    </x:row>
    <x:row r="462">
      <x:c r="A462" s="34" t="str">
        <x:v>investment_recovery_ratio</x:v>
      </x:c>
      <x:c r="B462" s="34" t="n">
        <x:v>68</x:v>
      </x:c>
      <x:c r="C462" s="42" t="n">
        <x:v>-2.9276358851</x:v>
      </x:c>
    </x:row>
    <x:row r="463">
      <x:c r="A463" s="34" t="str">
        <x:v>investment_recovery_ratio</x:v>
      </x:c>
      <x:c r="B463" s="34" t="n">
        <x:v>69</x:v>
      </x:c>
      <x:c r="C463" s="42" t="n">
        <x:v>-2.9276358851</x:v>
      </x:c>
    </x:row>
    <x:row r="464">
      <x:c r="A464" s="34" t="str">
        <x:v>investment_recovery_ratio</x:v>
      </x:c>
      <x:c r="B464" s="34" t="n">
        <x:v>70</x:v>
      </x:c>
      <x:c r="C464" s="42" t="n">
        <x:v>-2.7519859992999995</x:v>
      </x:c>
    </x:row>
    <x:row r="465">
      <x:c r="A465" s="34" t="str">
        <x:v>investment_recovery_ratio</x:v>
      </x:c>
      <x:c r="B465" s="34" t="n">
        <x:v>71</x:v>
      </x:c>
      <x:c r="C465" s="42" t="n">
        <x:v>-2.7519859992999995</x:v>
      </x:c>
    </x:row>
    <x:row r="466">
      <x:c r="A466" s="34" t="str">
        <x:v>investment_recovery_ratio</x:v>
      </x:c>
      <x:c r="B466" s="34" t="n">
        <x:v>72</x:v>
      </x:c>
      <x:c r="C466" s="42" t="n">
        <x:v>-2.7519859992999995</x:v>
      </x:c>
    </x:row>
    <x:row r="467">
      <x:c r="A467" s="34" t="str">
        <x:v>investment_recovery_ratio</x:v>
      </x:c>
      <x:c r="B467" s="34" t="n">
        <x:v>73</x:v>
      </x:c>
      <x:c r="C467" s="42" t="n">
        <x:v>-2.6428056498</x:v>
      </x:c>
    </x:row>
    <x:row r="468">
      <x:c r="A468" s="34" t="str">
        <x:v>investment_recovery_ratio</x:v>
      </x:c>
      <x:c r="B468" s="34" t="n">
        <x:v>74</x:v>
      </x:c>
      <x:c r="C468" s="42" t="n">
        <x:v>-2.6428056498</x:v>
      </x:c>
    </x:row>
    <x:row r="469">
      <x:c r="A469" s="34" t="str">
        <x:v>investment_recovery_ratio</x:v>
      </x:c>
      <x:c r="B469" s="34" t="n">
        <x:v>75</x:v>
      </x:c>
      <x:c r="C469" s="42" t="n">
        <x:v>-2.6428056498</x:v>
      </x:c>
    </x:row>
    <x:row r="470">
      <x:c r="A470" s="34" t="str">
        <x:v>investment_recovery_ratio</x:v>
      </x:c>
      <x:c r="B470" s="34" t="n">
        <x:v>76</x:v>
      </x:c>
      <x:c r="C470" s="42" t="n">
        <x:v>-2.4039624456</x:v>
      </x:c>
    </x:row>
    <x:row r="471">
      <x:c r="A471" s="34" t="str">
        <x:v>investment_recovery_ratio</x:v>
      </x:c>
      <x:c r="B471" s="34" t="n">
        <x:v>77</x:v>
      </x:c>
      <x:c r="C471" s="42" t="n">
        <x:v>-2.4039624456</x:v>
      </x:c>
    </x:row>
    <x:row r="472">
      <x:c r="A472" s="34" t="str">
        <x:v>investment_recovery_ratio</x:v>
      </x:c>
      <x:c r="B472" s="34" t="n">
        <x:v>78</x:v>
      </x:c>
      <x:c r="C472" s="42" t="n">
        <x:v>-2.4039624456</x:v>
      </x:c>
    </x:row>
    <x:row r="473">
      <x:c r="A473" s="34" t="str">
        <x:v>investment_recovery_ratio</x:v>
      </x:c>
      <x:c r="B473" s="34" t="n">
        <x:v>79</x:v>
      </x:c>
      <x:c r="C473" s="42" t="n">
        <x:v>8.124008293500001</x:v>
      </x:c>
    </x:row>
    <x:row r="474">
      <x:c r="A474" s="34" t="str">
        <x:v>investment_recovery_ratio</x:v>
      </x:c>
      <x:c r="B474" s="34" t="n">
        <x:v>80</x:v>
      </x:c>
      <x:c r="C474" s="42" t="n">
        <x:v>8.164950753800001</x:v>
      </x:c>
    </x:row>
    <x:row r="475">
      <x:c r="A475" s="34" t="str">
        <x:v>investment_recovery_ratio</x:v>
      </x:c>
      <x:c r="B475" s="34" t="n">
        <x:v>81</x:v>
      </x:c>
      <x:c r="C475" s="42" t="n">
        <x:v>10.984233280200002</x:v>
      </x:c>
    </x:row>
    <x:row r="476">
      <x:c r="A476" s="34" t="str">
        <x:v>investment_recovery_ratio</x:v>
      </x:c>
      <x:c r="B476" s="34" t="n">
        <x:v>82</x:v>
      </x:c>
      <x:c r="C476" s="42" t="n">
        <x:v>10.984233280200002</x:v>
      </x:c>
    </x:row>
    <x:row r="477">
      <x:c r="A477" s="34" t="str">
        <x:v>investment_recovery_ratio</x:v>
      </x:c>
      <x:c r="B477" s="34" t="n">
        <x:v>83</x:v>
      </x:c>
      <x:c r="C477" s="42" t="n">
        <x:v>10.984233280200002</x:v>
      </x:c>
    </x:row>
    <x:row r="478">
      <x:c r="A478" s="34" t="str">
        <x:v>investment_recovery_ratio</x:v>
      </x:c>
      <x:c r="B478" s="34" t="n">
        <x:v>84</x:v>
      </x:c>
      <x:c r="C478" s="42" t="n">
        <x:v>10.984233280200002</x:v>
      </x:c>
    </x:row>
    <x:row r="479">
      <x:c r="A479" s="34" t="str">
        <x:v>investment_recovery_ratio</x:v>
      </x:c>
      <x:c r="B479" s="34" t="n">
        <x:v>85</x:v>
      </x:c>
      <x:c r="C479" s="42" t="n">
        <x:v>65.0203278333</x:v>
      </x:c>
    </x:row>
    <x:row r="480">
      <x:c r="A480" s="34" t="str">
        <x:v>investment_recovery_ratio</x:v>
      </x:c>
      <x:c r="B480" s="34" t="n">
        <x:v>86</x:v>
      </x:c>
      <x:c r="C480" s="42" t="n">
        <x:v>65.0203278333</x:v>
      </x:c>
    </x:row>
    <x:row r="481">
      <x:c r="A481" s="34" t="str">
        <x:v>investment_recovery_ratio</x:v>
      </x:c>
      <x:c r="B481" s="34" t="n">
        <x:v>87</x:v>
      </x:c>
      <x:c r="C481" s="42" t="n">
        <x:v>65.0203278333</x:v>
      </x:c>
    </x:row>
    <x:row r="482">
      <x:c r="A482" s="34" t="str">
        <x:v>investment_recovery_ratio</x:v>
      </x:c>
      <x:c r="B482" s="34" t="n">
        <x:v>88</x:v>
      </x:c>
      <x:c r="C482" s="42" t="n">
        <x:v>115.25755537640003</x:v>
      </x:c>
    </x:row>
    <x:row r="483">
      <x:c r="A483" s="34" t="str">
        <x:v>investment_recovery_ratio</x:v>
      </x:c>
      <x:c r="B483" s="34" t="n">
        <x:v>89</x:v>
      </x:c>
      <x:c r="C483" s="42" t="n">
        <x:v>133.2056587711</x:v>
      </x:c>
    </x:row>
    <x:row r="484">
      <x:c r="A484" s="34" t="str">
        <x:v>investment_recovery_ratio</x:v>
      </x:c>
      <x:c r="B484" s="34" t="n">
        <x:v>90</x:v>
      </x:c>
      <x:c r="C484" s="42" t="n">
        <x:v>133.2056587711</x:v>
      </x:c>
    </x:row>
    <x:row r="485">
      <x:c r="A485" s="34" t="str">
        <x:v>investment_recovery_ratio</x:v>
      </x:c>
      <x:c r="B485" s="34" t="n">
        <x:v>91</x:v>
      </x:c>
      <x:c r="C485" s="42" t="n">
        <x:v>185.5482604925</x:v>
      </x:c>
    </x:row>
    <x:row r="486">
      <x:c r="A486" s="34" t="str">
        <x:v>investment_recovery_ratio</x:v>
      </x:c>
      <x:c r="B486" s="34" t="n">
        <x:v>92</x:v>
      </x:c>
      <x:c r="C486" s="42" t="n">
        <x:v>185.5482604925</x:v>
      </x:c>
    </x:row>
    <x:row r="487">
      <x:c r="A487" s="34" t="str">
        <x:v>investment_recovery_ratio</x:v>
      </x:c>
      <x:c r="B487" s="34" t="n">
        <x:v>93</x:v>
      </x:c>
      <x:c r="C487" s="42" t="n">
        <x:v>185.5482604925</x:v>
      </x:c>
    </x:row>
    <x:row r="488">
      <x:c r="A488" s="34" t="str">
        <x:v>investment_recovery_ratio</x:v>
      </x:c>
      <x:c r="B488" s="34" t="n">
        <x:v>94</x:v>
      </x:c>
      <x:c r="C488" s="42" t="n">
        <x:v>189.68191301719997</x:v>
      </x:c>
    </x:row>
    <x:row r="489">
      <x:c r="A489" s="34" t="str">
        <x:v>investment_recovery_ratio</x:v>
      </x:c>
      <x:c r="B489" s="34" t="n">
        <x:v>95</x:v>
      </x:c>
      <x:c r="C489" s="42" t="n">
        <x:v>189.68191301719997</x:v>
      </x:c>
    </x:row>
    <x:row r="490">
      <x:c r="A490" s="34" t="str">
        <x:v>ip_assetization_gap</x:v>
      </x:c>
      <x:c r="B490" s="34" t="n">
        <x:v>1</x:v>
      </x:c>
      <x:c r="C490" s="42" t="n">
        <x:v>-1.6707152386</x:v>
      </x:c>
    </x:row>
    <x:row r="491">
      <x:c r="A491" s="34" t="str">
        <x:v>ip_assetization_gap</x:v>
      </x:c>
      <x:c r="B491" s="34" t="n">
        <x:v>2</x:v>
      </x:c>
      <x:c r="C491" s="42" t="n">
        <x:v>-1.6707152386</x:v>
      </x:c>
    </x:row>
    <x:row r="492">
      <x:c r="A492" s="34" t="str">
        <x:v>ip_assetization_gap</x:v>
      </x:c>
      <x:c r="B492" s="34" t="n">
        <x:v>3</x:v>
      </x:c>
      <x:c r="C492" s="42" t="n">
        <x:v>-1.1561178694</x:v>
      </x:c>
    </x:row>
    <x:row r="493">
      <x:c r="A493" s="34" t="str">
        <x:v>ip_assetization_gap</x:v>
      </x:c>
      <x:c r="B493" s="34" t="n">
        <x:v>4</x:v>
      </x:c>
      <x:c r="C493" s="42" t="n">
        <x:v>-1.1561178694</x:v>
      </x:c>
    </x:row>
    <x:row r="494">
      <x:c r="A494" s="34" t="str">
        <x:v>ip_assetization_gap</x:v>
      </x:c>
      <x:c r="B494" s="34" t="n">
        <x:v>5</x:v>
      </x:c>
      <x:c r="C494" s="42" t="n">
        <x:v>-1.1561178694</x:v>
      </x:c>
    </x:row>
    <x:row r="495">
      <x:c r="A495" s="34" t="str">
        <x:v>ip_assetization_gap</x:v>
      </x:c>
      <x:c r="B495" s="34" t="n">
        <x:v>6</x:v>
      </x:c>
      <x:c r="C495" s="42" t="n">
        <x:v>-0.922604996</x:v>
      </x:c>
    </x:row>
    <x:row r="496">
      <x:c r="A496" s="34" t="str">
        <x:v>ip_assetization_gap</x:v>
      </x:c>
      <x:c r="B496" s="34" t="n">
        <x:v>7</x:v>
      </x:c>
      <x:c r="C496" s="42" t="n">
        <x:v>-0.922604996</x:v>
      </x:c>
    </x:row>
    <x:row r="497">
      <x:c r="A497" s="34" t="str">
        <x:v>ip_assetization_gap</x:v>
      </x:c>
      <x:c r="B497" s="34" t="n">
        <x:v>8</x:v>
      </x:c>
      <x:c r="C497" s="42" t="n">
        <x:v>-0.922604996</x:v>
      </x:c>
    </x:row>
    <x:row r="498">
      <x:c r="A498" s="34" t="str">
        <x:v>ip_assetization_gap</x:v>
      </x:c>
      <x:c r="B498" s="34" t="n">
        <x:v>9</x:v>
      </x:c>
      <x:c r="C498" s="42" t="n">
        <x:v>-0.7771637889999999</x:v>
      </x:c>
    </x:row>
    <x:row r="499">
      <x:c r="A499" s="34" t="str">
        <x:v>ip_assetization_gap</x:v>
      </x:c>
      <x:c r="B499" s="34" t="n">
        <x:v>10</x:v>
      </x:c>
      <x:c r="C499" s="42" t="n">
        <x:v>-0.7771637889999999</x:v>
      </x:c>
    </x:row>
    <x:row r="500">
      <x:c r="A500" s="34" t="str">
        <x:v>ip_assetization_gap</x:v>
      </x:c>
      <x:c r="B500" s="34" t="n">
        <x:v>11</x:v>
      </x:c>
      <x:c r="C500" s="42" t="n">
        <x:v>-0.7771637889999999</x:v>
      </x:c>
    </x:row>
    <x:row r="501">
      <x:c r="A501" s="34" t="str">
        <x:v>ip_assetization_gap</x:v>
      </x:c>
      <x:c r="B501" s="34" t="n">
        <x:v>12</x:v>
      </x:c>
      <x:c r="C501" s="42" t="n">
        <x:v>-0.6428000259</x:v>
      </x:c>
    </x:row>
    <x:row r="502">
      <x:c r="A502" s="34" t="str">
        <x:v>ip_assetization_gap</x:v>
      </x:c>
      <x:c r="B502" s="34" t="n">
        <x:v>13</x:v>
      </x:c>
      <x:c r="C502" s="42" t="n">
        <x:v>-0.6428000259</x:v>
      </x:c>
    </x:row>
    <x:row r="503">
      <x:c r="A503" s="34" t="str">
        <x:v>ip_assetization_gap</x:v>
      </x:c>
      <x:c r="B503" s="34" t="n">
        <x:v>14</x:v>
      </x:c>
      <x:c r="C503" s="42" t="n">
        <x:v>-0.6428000259</x:v>
      </x:c>
    </x:row>
    <x:row r="504">
      <x:c r="A504" s="34" t="str">
        <x:v>ip_assetization_gap</x:v>
      </x:c>
      <x:c r="B504" s="34" t="n">
        <x:v>15</x:v>
      </x:c>
      <x:c r="C504" s="42" t="n">
        <x:v>-0.6339761172</x:v>
      </x:c>
    </x:row>
    <x:row r="505">
      <x:c r="A505" s="34" t="str">
        <x:v>ip_assetization_gap</x:v>
      </x:c>
      <x:c r="B505" s="34" t="n">
        <x:v>16</x:v>
      </x:c>
      <x:c r="C505" s="42" t="n">
        <x:v>-0.6339761172</x:v>
      </x:c>
    </x:row>
    <x:row r="506">
      <x:c r="A506" s="34" t="str">
        <x:v>ip_assetization_gap</x:v>
      </x:c>
      <x:c r="B506" s="34" t="n">
        <x:v>17</x:v>
      </x:c>
      <x:c r="C506" s="42" t="n">
        <x:v>-0.47878281899999997</x:v>
      </x:c>
    </x:row>
    <x:row r="507">
      <x:c r="A507" s="34" t="str">
        <x:v>ip_assetization_gap</x:v>
      </x:c>
      <x:c r="B507" s="34" t="n">
        <x:v>18</x:v>
      </x:c>
      <x:c r="C507" s="42" t="n">
        <x:v>-0.3623726838</x:v>
      </x:c>
    </x:row>
    <x:row r="508">
      <x:c r="A508" s="34" t="str">
        <x:v>ip_assetization_gap</x:v>
      </x:c>
      <x:c r="B508" s="34" t="n">
        <x:v>19</x:v>
      </x:c>
      <x:c r="C508" s="42" t="n">
        <x:v>-0.3623726838</x:v>
      </x:c>
    </x:row>
    <x:row r="509">
      <x:c r="A509" s="34" t="str">
        <x:v>ip_assetization_gap</x:v>
      </x:c>
      <x:c r="B509" s="34" t="n">
        <x:v>20</x:v>
      </x:c>
      <x:c r="C509" s="42" t="n">
        <x:v>-0.3623726838</x:v>
      </x:c>
    </x:row>
    <x:row r="510">
      <x:c r="A510" s="34" t="str">
        <x:v>ip_assetization_gap</x:v>
      </x:c>
      <x:c r="B510" s="34" t="n">
        <x:v>21</x:v>
      </x:c>
      <x:c r="C510" s="42" t="n">
        <x:v>-0.294917563</x:v>
      </x:c>
    </x:row>
    <x:row r="511">
      <x:c r="A511" s="34" t="str">
        <x:v>ip_assetization_gap</x:v>
      </x:c>
      <x:c r="B511" s="34" t="n">
        <x:v>22</x:v>
      </x:c>
      <x:c r="C511" s="42" t="n">
        <x:v>-0.294917563</x:v>
      </x:c>
    </x:row>
    <x:row r="512">
      <x:c r="A512" s="34" t="str">
        <x:v>ip_assetization_gap</x:v>
      </x:c>
      <x:c r="B512" s="34" t="n">
        <x:v>23</x:v>
      </x:c>
      <x:c r="C512" s="42" t="n">
        <x:v>-0.283475567</x:v>
      </x:c>
    </x:row>
    <x:row r="513">
      <x:c r="A513" s="34" t="str">
        <x:v>ip_assetization_gap</x:v>
      </x:c>
      <x:c r="B513" s="34" t="n">
        <x:v>24</x:v>
      </x:c>
      <x:c r="C513" s="42" t="n">
        <x:v>-0.283475567</x:v>
      </x:c>
    </x:row>
    <x:row r="514">
      <x:c r="A514" s="34" t="str">
        <x:v>ip_assetization_gap</x:v>
      </x:c>
      <x:c r="B514" s="34" t="n">
        <x:v>25</x:v>
      </x:c>
      <x:c r="C514" s="42" t="n">
        <x:v>-0.283475567</x:v>
      </x:c>
    </x:row>
    <x:row r="515">
      <x:c r="A515" s="34" t="str">
        <x:v>ip_assetization_gap</x:v>
      </x:c>
      <x:c r="B515" s="34" t="n">
        <x:v>26</x:v>
      </x:c>
      <x:c r="C515" s="42" t="n">
        <x:v>-0.283475567</x:v>
      </x:c>
    </x:row>
    <x:row r="516">
      <x:c r="A516" s="34" t="str">
        <x:v>ip_assetization_gap</x:v>
      </x:c>
      <x:c r="B516" s="34" t="n">
        <x:v>27</x:v>
      </x:c>
      <x:c r="C516" s="42" t="n">
        <x:v>-0.283475567</x:v>
      </x:c>
    </x:row>
    <x:row r="517">
      <x:c r="A517" s="34" t="str">
        <x:v>ip_assetization_gap</x:v>
      </x:c>
      <x:c r="B517" s="34" t="n">
        <x:v>28</x:v>
      </x:c>
      <x:c r="C517" s="42" t="n">
        <x:v>-0.1936803023</x:v>
      </x:c>
    </x:row>
    <x:row r="518">
      <x:c r="A518" s="34" t="str">
        <x:v>ip_assetization_gap</x:v>
      </x:c>
      <x:c r="B518" s="34" t="n">
        <x:v>29</x:v>
      </x:c>
      <x:c r="C518" s="42" t="n">
        <x:v>-0.1936803023</x:v>
      </x:c>
    </x:row>
    <x:row r="519">
      <x:c r="A519" s="34" t="str">
        <x:v>ip_assetization_gap</x:v>
      </x:c>
      <x:c r="B519" s="34" t="n">
        <x:v>30</x:v>
      </x:c>
      <x:c r="C519" s="42" t="n">
        <x:v>-0.1936803023</x:v>
      </x:c>
    </x:row>
    <x:row r="520">
      <x:c r="A520" s="34" t="str">
        <x:v>ip_assetization_gap</x:v>
      </x:c>
      <x:c r="B520" s="34" t="n">
        <x:v>31</x:v>
      </x:c>
      <x:c r="C520" s="42" t="n">
        <x:v>-0.1936803023</x:v>
      </x:c>
    </x:row>
    <x:row r="521">
      <x:c r="A521" s="34" t="str">
        <x:v>ip_assetization_gap</x:v>
      </x:c>
      <x:c r="B521" s="34" t="n">
        <x:v>32</x:v>
      </x:c>
      <x:c r="C521" s="42" t="n">
        <x:v>-0.1936803023</x:v>
      </x:c>
    </x:row>
    <x:row r="522">
      <x:c r="A522" s="34" t="str">
        <x:v>ip_assetization_gap</x:v>
      </x:c>
      <x:c r="B522" s="34" t="n">
        <x:v>33</x:v>
      </x:c>
      <x:c r="C522" s="42" t="n">
        <x:v>-0.1432426334</x:v>
      </x:c>
    </x:row>
    <x:row r="523">
      <x:c r="A523" s="34" t="str">
        <x:v>ip_assetization_gap</x:v>
      </x:c>
      <x:c r="B523" s="34" t="n">
        <x:v>34</x:v>
      </x:c>
      <x:c r="C523" s="42" t="n">
        <x:v>-0.1432426334</x:v>
      </x:c>
    </x:row>
    <x:row r="524">
      <x:c r="A524" s="34" t="str">
        <x:v>ip_assetization_gap</x:v>
      </x:c>
      <x:c r="B524" s="34" t="n">
        <x:v>35</x:v>
      </x:c>
      <x:c r="C524" s="42" t="n">
        <x:v>-0.1432426334</x:v>
      </x:c>
    </x:row>
    <x:row r="525">
      <x:c r="A525" s="34" t="str">
        <x:v>ip_assetization_gap</x:v>
      </x:c>
      <x:c r="B525" s="34" t="n">
        <x:v>36</x:v>
      </x:c>
      <x:c r="C525" s="42" t="n">
        <x:v>-0.1432426334</x:v>
      </x:c>
    </x:row>
    <x:row r="526">
      <x:c r="A526" s="34" t="str">
        <x:v>ip_assetization_gap</x:v>
      </x:c>
      <x:c r="B526" s="34" t="n">
        <x:v>37</x:v>
      </x:c>
      <x:c r="C526" s="42" t="n">
        <x:v>-0.1432426334</x:v>
      </x:c>
    </x:row>
    <x:row r="527">
      <x:c r="A527" s="34" t="str">
        <x:v>ip_assetization_gap</x:v>
      </x:c>
      <x:c r="B527" s="34" t="n">
        <x:v>38</x:v>
      </x:c>
      <x:c r="C527" s="42" t="n">
        <x:v>-0.1346685377</x:v>
      </x:c>
    </x:row>
    <x:row r="528">
      <x:c r="A528" s="34" t="str">
        <x:v>ip_assetization_gap</x:v>
      </x:c>
      <x:c r="B528" s="34" t="n">
        <x:v>39</x:v>
      </x:c>
      <x:c r="C528" s="42" t="n">
        <x:v>-0.1346685377</x:v>
      </x:c>
    </x:row>
    <x:row r="529">
      <x:c r="A529" s="34" t="str">
        <x:v>ip_assetization_gap</x:v>
      </x:c>
      <x:c r="B529" s="34" t="n">
        <x:v>40</x:v>
      </x:c>
      <x:c r="C529" s="42" t="n">
        <x:v>-0.0851027842</x:v>
      </x:c>
    </x:row>
    <x:row r="530">
      <x:c r="A530" s="34" t="str">
        <x:v>ip_assetization_gap</x:v>
      </x:c>
      <x:c r="B530" s="34" t="n">
        <x:v>41</x:v>
      </x:c>
      <x:c r="C530" s="42" t="n">
        <x:v>-0.0820870854</x:v>
      </x:c>
    </x:row>
    <x:row r="531">
      <x:c r="A531" s="34" t="str">
        <x:v>ip_assetization_gap</x:v>
      </x:c>
      <x:c r="B531" s="34" t="n">
        <x:v>42</x:v>
      </x:c>
      <x:c r="C531" s="42" t="n">
        <x:v>-0.0740303462</x:v>
      </x:c>
    </x:row>
    <x:row r="532">
      <x:c r="A532" s="34" t="str">
        <x:v>ip_assetization_gap</x:v>
      </x:c>
      <x:c r="B532" s="34" t="n">
        <x:v>43</x:v>
      </x:c>
      <x:c r="C532" s="42" t="n">
        <x:v>-0.0692446156</x:v>
      </x:c>
    </x:row>
    <x:row r="533">
      <x:c r="A533" s="34" t="str">
        <x:v>ip_assetization_gap</x:v>
      </x:c>
      <x:c r="B533" s="34" t="n">
        <x:v>44</x:v>
      </x:c>
      <x:c r="C533" s="42" t="n">
        <x:v>-0.0561424209</x:v>
      </x:c>
    </x:row>
    <x:row r="534">
      <x:c r="A534" s="34" t="str">
        <x:v>ip_assetization_gap</x:v>
      </x:c>
      <x:c r="B534" s="34" t="n">
        <x:v>45</x:v>
      </x:c>
      <x:c r="C534" s="42" t="n">
        <x:v>-0.0561424209</x:v>
      </x:c>
    </x:row>
    <x:row r="535">
      <x:c r="A535" s="34" t="str">
        <x:v>ip_assetization_gap</x:v>
      </x:c>
      <x:c r="B535" s="34" t="n">
        <x:v>46</x:v>
      </x:c>
      <x:c r="C535" s="42" t="n">
        <x:v>-0.0561424209</x:v>
      </x:c>
    </x:row>
    <x:row r="536">
      <x:c r="A536" s="34" t="str">
        <x:v>ip_assetization_gap</x:v>
      </x:c>
      <x:c r="B536" s="34" t="n">
        <x:v>47</x:v>
      </x:c>
      <x:c r="C536" s="42" t="n">
        <x:v>-0.0561424209</x:v>
      </x:c>
    </x:row>
    <x:row r="537">
      <x:c r="A537" s="34" t="str">
        <x:v>ip_assetization_gap</x:v>
      </x:c>
      <x:c r="B537" s="34" t="n">
        <x:v>48</x:v>
      </x:c>
      <x:c r="C537" s="42" t="n">
        <x:v>-0.0561424209</x:v>
      </x:c>
    </x:row>
    <x:row r="538">
      <x:c r="A538" s="34" t="str">
        <x:v>ip_assetization_gap</x:v>
      </x:c>
      <x:c r="B538" s="34" t="n">
        <x:v>49</x:v>
      </x:c>
      <x:c r="C538" s="42" t="n">
        <x:v>-0.0508104747</x:v>
      </x:c>
    </x:row>
    <x:row r="539">
      <x:c r="A539" s="34" t="str">
        <x:v>ip_assetization_gap</x:v>
      </x:c>
      <x:c r="B539" s="34" t="n">
        <x:v>50</x:v>
      </x:c>
      <x:c r="C539" s="42" t="n">
        <x:v>-0.0249839526</x:v>
      </x:c>
    </x:row>
    <x:row r="540">
      <x:c r="A540" s="34" t="str">
        <x:v>ip_assetization_gap</x:v>
      </x:c>
      <x:c r="B540" s="34" t="n">
        <x:v>51</x:v>
      </x:c>
      <x:c r="C540" s="42" t="n">
        <x:v>-0.0249839526</x:v>
      </x:c>
    </x:row>
    <x:row r="541">
      <x:c r="A541" s="34" t="str">
        <x:v>ip_assetization_gap</x:v>
      </x:c>
      <x:c r="B541" s="34" t="n">
        <x:v>52</x:v>
      </x:c>
      <x:c r="C541" s="42" t="n">
        <x:v>-0.0249839526</x:v>
      </x:c>
    </x:row>
    <x:row r="542">
      <x:c r="A542" s="34" t="str">
        <x:v>ip_assetization_gap</x:v>
      </x:c>
      <x:c r="B542" s="34" t="n">
        <x:v>53</x:v>
      </x:c>
      <x:c r="C542" s="42" t="n">
        <x:v>-0.0249839526</x:v>
      </x:c>
    </x:row>
    <x:row r="543">
      <x:c r="A543" s="34" t="str">
        <x:v>ip_assetization_gap</x:v>
      </x:c>
      <x:c r="B543" s="34" t="n">
        <x:v>54</x:v>
      </x:c>
      <x:c r="C543" s="42" t="n">
        <x:v>-0.0249839526</x:v>
      </x:c>
    </x:row>
    <x:row r="544">
      <x:c r="A544" s="34" t="str">
        <x:v>ip_assetization_gap</x:v>
      </x:c>
      <x:c r="B544" s="34" t="n">
        <x:v>55</x:v>
      </x:c>
      <x:c r="C544" s="42" t="n">
        <x:v>-0.0249839526</x:v>
      </x:c>
    </x:row>
    <x:row r="545">
      <x:c r="A545" s="34" t="str">
        <x:v>ip_assetization_gap</x:v>
      </x:c>
      <x:c r="B545" s="34" t="n">
        <x:v>56</x:v>
      </x:c>
      <x:c r="C545" s="42" t="n">
        <x:v>0</x:v>
      </x:c>
    </x:row>
    <x:row r="546">
      <x:c r="A546" s="34" t="str">
        <x:v>ip_assetization_gap</x:v>
      </x:c>
      <x:c r="B546" s="34" t="n">
        <x:v>57</x:v>
      </x:c>
      <x:c r="C546" s="42" t="n">
        <x:v>0</x:v>
      </x:c>
    </x:row>
    <x:row r="547">
      <x:c r="A547" s="34" t="str">
        <x:v>ip_assetization_gap</x:v>
      </x:c>
      <x:c r="B547" s="34" t="n">
        <x:v>58</x:v>
      </x:c>
      <x:c r="C547" s="42" t="n">
        <x:v>0</x:v>
      </x:c>
    </x:row>
    <x:row r="548">
      <x:c r="A548" s="34" t="str">
        <x:v>ip_assetization_gap</x:v>
      </x:c>
      <x:c r="B548" s="34" t="n">
        <x:v>59</x:v>
      </x:c>
      <x:c r="C548" s="42" t="n">
        <x:v>0</x:v>
      </x:c>
    </x:row>
    <x:row r="549">
      <x:c r="A549" s="34" t="str">
        <x:v>ip_assetization_gap</x:v>
      </x:c>
      <x:c r="B549" s="34" t="n">
        <x:v>60</x:v>
      </x:c>
      <x:c r="C549" s="42" t="n">
        <x:v>0</x:v>
      </x:c>
    </x:row>
    <x:row r="550">
      <x:c r="A550" s="34" t="str">
        <x:v>ip_assetization_gap</x:v>
      </x:c>
      <x:c r="B550" s="34" t="n">
        <x:v>61</x:v>
      </x:c>
      <x:c r="C550" s="42" t="n">
        <x:v>0</x:v>
      </x:c>
    </x:row>
    <x:row r="551">
      <x:c r="A551" s="34" t="str">
        <x:v>ip_assetization_gap</x:v>
      </x:c>
      <x:c r="B551" s="34" t="n">
        <x:v>62</x:v>
      </x:c>
      <x:c r="C551" s="42" t="n">
        <x:v>0</x:v>
      </x:c>
    </x:row>
    <x:row r="552">
      <x:c r="A552" s="34" t="str">
        <x:v>ip_assetization_gap</x:v>
      </x:c>
      <x:c r="B552" s="34" t="n">
        <x:v>63</x:v>
      </x:c>
      <x:c r="C552" s="42" t="n">
        <x:v>0</x:v>
      </x:c>
    </x:row>
    <x:row r="553">
      <x:c r="A553" s="34" t="str">
        <x:v>ip_assetization_gap</x:v>
      </x:c>
      <x:c r="B553" s="34" t="n">
        <x:v>64</x:v>
      </x:c>
      <x:c r="C553" s="42" t="n">
        <x:v>0</x:v>
      </x:c>
    </x:row>
    <x:row r="554">
      <x:c r="A554" s="34" t="str">
        <x:v>ip_assetization_gap</x:v>
      </x:c>
      <x:c r="B554" s="34" t="n">
        <x:v>65</x:v>
      </x:c>
      <x:c r="C554" s="42" t="n">
        <x:v>0</x:v>
      </x:c>
    </x:row>
    <x:row r="555">
      <x:c r="A555" s="34" t="str">
        <x:v>ip_assetization_gap</x:v>
      </x:c>
      <x:c r="B555" s="34" t="n">
        <x:v>66</x:v>
      </x:c>
      <x:c r="C555" s="42" t="n">
        <x:v>0</x:v>
      </x:c>
    </x:row>
    <x:row r="556">
      <x:c r="A556" s="34" t="str">
        <x:v>ip_assetization_gap</x:v>
      </x:c>
      <x:c r="B556" s="34" t="n">
        <x:v>67</x:v>
      </x:c>
      <x:c r="C556" s="42" t="n">
        <x:v>0</x:v>
      </x:c>
    </x:row>
    <x:row r="557">
      <x:c r="A557" s="34" t="str">
        <x:v>ip_assetization_gap</x:v>
      </x:c>
      <x:c r="B557" s="34" t="n">
        <x:v>68</x:v>
      </x:c>
      <x:c r="C557" s="42" t="n">
        <x:v>0</x:v>
      </x:c>
    </x:row>
    <x:row r="558">
      <x:c r="A558" s="34" t="str">
        <x:v>ip_assetization_gap</x:v>
      </x:c>
      <x:c r="B558" s="34" t="n">
        <x:v>69</x:v>
      </x:c>
      <x:c r="C558" s="42" t="n">
        <x:v>0</x:v>
      </x:c>
    </x:row>
    <x:row r="559">
      <x:c r="A559" s="34" t="str">
        <x:v>ip_assetization_gap</x:v>
      </x:c>
      <x:c r="B559" s="34" t="n">
        <x:v>70</x:v>
      </x:c>
      <x:c r="C559" s="42" t="n">
        <x:v>0</x:v>
      </x:c>
    </x:row>
    <x:row r="560">
      <x:c r="A560" s="34" t="str">
        <x:v>ip_assetization_gap</x:v>
      </x:c>
      <x:c r="B560" s="34" t="n">
        <x:v>71</x:v>
      </x:c>
      <x:c r="C560" s="42" t="n">
        <x:v>0.1066613385</x:v>
      </x:c>
    </x:row>
    <x:row r="561">
      <x:c r="A561" s="34" t="str">
        <x:v>ip_assetization_gap</x:v>
      </x:c>
      <x:c r="B561" s="34" t="n">
        <x:v>72</x:v>
      </x:c>
      <x:c r="C561" s="42" t="n">
        <x:v>0.1066613385</x:v>
      </x:c>
    </x:row>
    <x:row r="562">
      <x:c r="A562" s="34" t="str">
        <x:v>ip_assetization_gap</x:v>
      </x:c>
      <x:c r="B562" s="34" t="n">
        <x:v>73</x:v>
      </x:c>
      <x:c r="C562" s="42" t="n">
        <x:v>0.21332267710000002</x:v>
      </x:c>
    </x:row>
    <x:row r="563">
      <x:c r="A563" s="34" t="str">
        <x:v>ip_assetization_gap</x:v>
      </x:c>
      <x:c r="B563" s="34" t="n">
        <x:v>74</x:v>
      </x:c>
      <x:c r="C563" s="42" t="n">
        <x:v>0.21332267710000002</x:v>
      </x:c>
    </x:row>
    <x:row r="564">
      <x:c r="A564" s="34" t="str">
        <x:v>ip_assetization_gap</x:v>
      </x:c>
      <x:c r="B564" s="34" t="n">
        <x:v>75</x:v>
      </x:c>
      <x:c r="C564" s="42" t="n">
        <x:v>0.22211591119999996</x:v>
      </x:c>
    </x:row>
    <x:row r="565">
      <x:c r="A565" s="34" t="str">
        <x:v>ip_assetization_gap</x:v>
      </x:c>
      <x:c r="B565" s="34" t="n">
        <x:v>76</x:v>
      </x:c>
      <x:c r="C565" s="42" t="n">
        <x:v>0.22211591119999996</x:v>
      </x:c>
    </x:row>
    <x:row r="566">
      <x:c r="A566" s="34" t="str">
        <x:v>ip_assetization_gap</x:v>
      </x:c>
      <x:c r="B566" s="34" t="n">
        <x:v>77</x:v>
      </x:c>
      <x:c r="C566" s="42" t="n">
        <x:v>0.22211591119999996</x:v>
      </x:c>
    </x:row>
    <x:row r="567">
      <x:c r="A567" s="34" t="str">
        <x:v>ip_assetization_gap</x:v>
      </x:c>
      <x:c r="B567" s="34" t="n">
        <x:v>78</x:v>
      </x:c>
      <x:c r="C567" s="42" t="n">
        <x:v>0.22211591119999996</x:v>
      </x:c>
    </x:row>
    <x:row r="568">
      <x:c r="A568" s="34" t="str">
        <x:v>ip_assetization_gap</x:v>
      </x:c>
      <x:c r="B568" s="34" t="n">
        <x:v>79</x:v>
      </x:c>
      <x:c r="C568" s="42" t="n">
        <x:v>0.3858166278</x:v>
      </x:c>
    </x:row>
    <x:row r="569">
      <x:c r="A569" s="34" t="str">
        <x:v>ip_assetization_gap</x:v>
      </x:c>
      <x:c r="B569" s="34" t="n">
        <x:v>80</x:v>
      </x:c>
      <x:c r="C569" s="42" t="n">
        <x:v>0.3858166278</x:v>
      </x:c>
    </x:row>
    <x:row r="570">
      <x:c r="A570" s="34" t="str">
        <x:v>ip_assetization_gap</x:v>
      </x:c>
      <x:c r="B570" s="34" t="n">
        <x:v>81</x:v>
      </x:c>
      <x:c r="C570" s="42" t="n">
        <x:v>0.3858166278</x:v>
      </x:c>
    </x:row>
    <x:row r="571">
      <x:c r="A571" s="34" t="str">
        <x:v>ip_assetization_gap</x:v>
      </x:c>
      <x:c r="B571" s="34" t="n">
        <x:v>82</x:v>
      </x:c>
      <x:c r="C571" s="42" t="n">
        <x:v>0.3858166278</x:v>
      </x:c>
    </x:row>
    <x:row r="572">
      <x:c r="A572" s="34" t="str">
        <x:v>ip_assetization_gap</x:v>
      </x:c>
      <x:c r="B572" s="34" t="n">
        <x:v>83</x:v>
      </x:c>
      <x:c r="C572" s="42" t="n">
        <x:v>0.4138756074</x:v>
      </x:c>
    </x:row>
    <x:row r="573">
      <x:c r="A573" s="34" t="str">
        <x:v>ip_assetization_gap</x:v>
      </x:c>
      <x:c r="B573" s="34" t="n">
        <x:v>84</x:v>
      </x:c>
      <x:c r="C573" s="42" t="n">
        <x:v>0.4138756074</x:v>
      </x:c>
    </x:row>
    <x:row r="574">
      <x:c r="A574" s="34" t="str">
        <x:v>ip_assetization_gap</x:v>
      </x:c>
      <x:c r="B574" s="34" t="n">
        <x:v>85</x:v>
      </x:c>
      <x:c r="C574" s="42" t="n">
        <x:v>0.4138756074</x:v>
      </x:c>
    </x:row>
    <x:row r="575">
      <x:c r="A575" s="34" t="str">
        <x:v>ip_assetization_gap</x:v>
      </x:c>
      <x:c r="B575" s="34" t="n">
        <x:v>86</x:v>
      </x:c>
      <x:c r="C575" s="42" t="n">
        <x:v>0.4138756074</x:v>
      </x:c>
    </x:row>
    <x:row r="576">
      <x:c r="A576" s="34" t="str">
        <x:v>ip_assetization_gap</x:v>
      </x:c>
      <x:c r="B576" s="34" t="n">
        <x:v>87</x:v>
      </x:c>
      <x:c r="C576" s="42" t="n">
        <x:v>0.4715377623</x:v>
      </x:c>
    </x:row>
    <x:row r="577">
      <x:c r="A577" s="34" t="str">
        <x:v>ip_assetization_gap</x:v>
      </x:c>
      <x:c r="B577" s="34" t="n">
        <x:v>88</x:v>
      </x:c>
      <x:c r="C577" s="42" t="n">
        <x:v>0.4715377623</x:v>
      </x:c>
    </x:row>
    <x:row r="578">
      <x:c r="A578" s="34" t="str">
        <x:v>ip_assetization_gap</x:v>
      </x:c>
      <x:c r="B578" s="34" t="n">
        <x:v>89</x:v>
      </x:c>
      <x:c r="C578" s="42" t="n">
        <x:v>0.7716332556000001</x:v>
      </x:c>
    </x:row>
    <x:row r="579">
      <x:c r="A579" s="34" t="str">
        <x:v>ip_assetization_gap</x:v>
      </x:c>
      <x:c r="B579" s="34" t="n">
        <x:v>90</x:v>
      </x:c>
      <x:c r="C579" s="42" t="n">
        <x:v>0.7716332556000001</x:v>
      </x:c>
    </x:row>
    <x:row r="580">
      <x:c r="A580" s="34" t="str">
        <x:v>ip_assetization_gap</x:v>
      </x:c>
      <x:c r="B580" s="34" t="n">
        <x:v>91</x:v>
      </x:c>
      <x:c r="C580" s="42" t="n">
        <x:v>0.7716332556000001</x:v>
      </x:c>
    </x:row>
    <x:row r="581">
      <x:c r="A581" s="34" t="str">
        <x:v>ip_assetization_gap</x:v>
      </x:c>
      <x:c r="B581" s="34" t="n">
        <x:v>92</x:v>
      </x:c>
      <x:c r="C581" s="42" t="n">
        <x:v>0.7716332556000001</x:v>
      </x:c>
    </x:row>
    <x:row r="582">
      <x:c r="A582" s="34" t="str">
        <x:v>cross_market_transfer_index</x:v>
      </x:c>
      <x:c r="B582" s="34" t="n">
        <x:v>1</x:v>
      </x:c>
      <x:c r="C582" s="42" t="n">
        <x:v>0</x:v>
      </x:c>
    </x:row>
    <x:row r="583">
      <x:c r="A583" s="34" t="str">
        <x:v>cross_market_transfer_index</x:v>
      </x:c>
      <x:c r="B583" s="34" t="n">
        <x:v>2</x:v>
      </x:c>
      <x:c r="C583" s="42" t="n">
        <x:v>0</x:v>
      </x:c>
    </x:row>
    <x:row r="584">
      <x:c r="A584" s="34" t="str">
        <x:v>cross_market_transfer_index</x:v>
      </x:c>
      <x:c r="B584" s="34" t="n">
        <x:v>3</x:v>
      </x:c>
      <x:c r="C584" s="42" t="n">
        <x:v>0.7356067113</x:v>
      </x:c>
    </x:row>
    <x:row r="585">
      <x:c r="A585" s="34" t="str">
        <x:v>cross_market_transfer_index</x:v>
      </x:c>
      <x:c r="B585" s="34" t="n">
        <x:v>4</x:v>
      </x:c>
      <x:c r="C585" s="42" t="n">
        <x:v>0.7587051325360435</x:v>
      </x:c>
    </x:row>
    <x:row r="586">
      <x:c r="A586" s="34" t="str">
        <x:v>foreign_dependency_ratio</x:v>
      </x:c>
      <x:c r="B586" s="34" t="n">
        <x:v>1</x:v>
      </x:c>
      <x:c r="C586" s="42" t="n">
        <x:v>0.728196</x:v>
      </x:c>
    </x:row>
    <x:row r="587">
      <x:c r="A587" s="34" t="str">
        <x:v>foreign_dependency_ratio</x:v>
      </x:c>
      <x:c r="B587" s="34" t="n">
        <x:v>2</x:v>
      </x:c>
      <x:c r="C587" s="42" t="n">
        <x:v>0.728196</x:v>
      </x:c>
    </x:row>
    <x:row r="588">
      <x:c r="A588" s="34" t="str">
        <x:v>foreign_dependency_ratio</x:v>
      </x:c>
      <x:c r="B588" s="34" t="n">
        <x:v>3</x:v>
      </x:c>
      <x:c r="C588" s="42" t="n">
        <x:v>0.728196</x:v>
      </x:c>
    </x:row>
    <x:row r="589">
      <x:c r="A589" s="34" t="str">
        <x:v>foreign_dependency_ratio</x:v>
      </x:c>
      <x:c r="B589" s="34" t="n">
        <x:v>4</x:v>
      </x:c>
      <x:c r="C589" s="42" t="n">
        <x:v>0.728196</x:v>
      </x:c>
    </x:row>
    <x:row r="590">
      <x:c r="A590" s="34" t="str">
        <x:v>foreign_dependency_ratio</x:v>
      </x:c>
      <x:c r="B590" s="34" t="n">
        <x:v>5</x:v>
      </x:c>
      <x:c r="C590" s="42" t="n">
        <x:v>0.728196</x:v>
      </x:c>
    </x:row>
    <x:row r="591">
      <x:c r="A591" s="34" t="str">
        <x:v>foreign_dependency_ratio</x:v>
      </x:c>
      <x:c r="B591" s="34" t="n">
        <x:v>6</x:v>
      </x:c>
      <x:c r="C591" s="42" t="n">
        <x:v>0.728196</x:v>
      </x:c>
    </x:row>
    <x:row r="592">
      <x:c r="A592" s="34" t="str">
        <x:v>foreign_dependency_ratio</x:v>
      </x:c>
      <x:c r="B592" s="34" t="n">
        <x:v>7</x:v>
      </x:c>
      <x:c r="C592" s="42" t="n">
        <x:v>0.728196</x:v>
      </x:c>
    </x:row>
    <x:row r="593">
      <x:c r="A593" s="34" t="str">
        <x:v>foreign_dependency_ratio</x:v>
      </x:c>
      <x:c r="B593" s="34" t="n">
        <x:v>8</x:v>
      </x:c>
      <x:c r="C593" s="42" t="n">
        <x:v>0.728196</x:v>
      </x:c>
    </x:row>
    <x:row r="594">
      <x:c r="A594" s="34" t="str">
        <x:v>foreign_dependency_ratio</x:v>
      </x:c>
      <x:c r="B594" s="34" t="n">
        <x:v>9</x:v>
      </x:c>
      <x:c r="C594" s="42" t="n">
        <x:v>0.728196</x:v>
      </x:c>
    </x:row>
    <x:row r="595">
      <x:c r="A595" s="34" t="str">
        <x:v>foreign_dependency_ratio</x:v>
      </x:c>
      <x:c r="B595" s="34" t="n">
        <x:v>10</x:v>
      </x:c>
      <x:c r="C595" s="42" t="n">
        <x:v>0.728196</x:v>
      </x:c>
    </x:row>
    <x:row r="596">
      <x:c r="A596" s="34" t="str">
        <x:v>foreign_dependency_ratio</x:v>
      </x:c>
      <x:c r="B596" s="34" t="n">
        <x:v>11</x:v>
      </x:c>
      <x:c r="C596" s="42" t="n">
        <x:v>0.728196</x:v>
      </x:c>
    </x:row>
    <x:row r="597">
      <x:c r="A597" s="34" t="str">
        <x:v>foreign_dependency_ratio</x:v>
      </x:c>
      <x:c r="B597" s="34" t="n">
        <x:v>12</x:v>
      </x:c>
      <x:c r="C597" s="42" t="n">
        <x:v>0.728196</x:v>
      </x:c>
    </x:row>
    <x:row r="598">
      <x:c r="A598" s="34" t="str">
        <x:v>foreign_dependency_ratio</x:v>
      </x:c>
      <x:c r="B598" s="34" t="n">
        <x:v>13</x:v>
      </x:c>
      <x:c r="C598" s="42" t="n">
        <x:v>0.728196</x:v>
      </x:c>
    </x:row>
    <x:row r="599">
      <x:c r="A599" s="34" t="str">
        <x:v>foreign_dependency_ratio</x:v>
      </x:c>
      <x:c r="B599" s="34" t="n">
        <x:v>14</x:v>
      </x:c>
      <x:c r="C599" s="42" t="n">
        <x:v>0.728196</x:v>
      </x:c>
    </x:row>
    <x:row r="600">
      <x:c r="A600" s="34" t="str">
        <x:v>foreign_dependency_ratio</x:v>
      </x:c>
      <x:c r="B600" s="34" t="n">
        <x:v>15</x:v>
      </x:c>
      <x:c r="C600" s="42" t="n">
        <x:v>0.728196</x:v>
      </x:c>
    </x:row>
    <x:row r="601">
      <x:c r="A601" s="34" t="str">
        <x:v>foreign_dependency_ratio</x:v>
      </x:c>
      <x:c r="B601" s="34" t="n">
        <x:v>16</x:v>
      </x:c>
      <x:c r="C601" s="42" t="n">
        <x:v>0.728196</x:v>
      </x:c>
    </x:row>
    <x:row r="602">
      <x:c r="A602" s="34" t="str">
        <x:v>foreign_dependency_ratio</x:v>
      </x:c>
      <x:c r="B602" s="34" t="n">
        <x:v>17</x:v>
      </x:c>
      <x:c r="C602" s="42" t="n">
        <x:v>0.728196</x:v>
      </x:c>
    </x:row>
    <x:row r="603">
      <x:c r="A603" s="34" t="str">
        <x:v>foreign_dependency_ratio</x:v>
      </x:c>
      <x:c r="B603" s="34" t="n">
        <x:v>18</x:v>
      </x:c>
      <x:c r="C603" s="42" t="n">
        <x:v>0.728196</x:v>
      </x:c>
    </x:row>
    <x:row r="604">
      <x:c r="A604" s="34" t="str">
        <x:v>foreign_dependency_ratio</x:v>
      </x:c>
      <x:c r="B604" s="34" t="n">
        <x:v>19</x:v>
      </x:c>
      <x:c r="C604" s="42" t="n">
        <x:v>0.82</x:v>
      </x:c>
    </x:row>
    <x:row r="605">
      <x:c r="A605" s="34" t="str">
        <x:v>foreign_dependency_ratio</x:v>
      </x:c>
      <x:c r="B605" s="34" t="n">
        <x:v>20</x:v>
      </x:c>
      <x:c r="C605" s="42" t="n">
        <x:v>0.82</x:v>
      </x:c>
    </x:row>
    <x:row r="606">
      <x:c r="A606" s="34" t="str">
        <x:v>foreign_dependency_ratio</x:v>
      </x:c>
      <x:c r="B606" s="34" t="n">
        <x:v>21</x:v>
      </x:c>
      <x:c r="C606" s="42" t="n">
        <x:v>0.82</x:v>
      </x:c>
    </x:row>
    <x:row r="607">
      <x:c r="A607" s="34" t="str">
        <x:v>foreign_dependency_ratio</x:v>
      </x:c>
      <x:c r="B607" s="34" t="n">
        <x:v>22</x:v>
      </x:c>
      <x:c r="C607" s="42" t="n">
        <x:v>0.82</x:v>
      </x:c>
    </x:row>
    <x:row r="608">
      <x:c r="A608" s="34" t="str">
        <x:v>foreign_dependency_ratio</x:v>
      </x:c>
      <x:c r="B608" s="34" t="n">
        <x:v>23</x:v>
      </x:c>
      <x:c r="C608" s="42" t="n">
        <x:v>0.82</x:v>
      </x:c>
    </x:row>
    <x:row r="609">
      <x:c r="A609" s="34" t="str">
        <x:v>foreign_dependency_ratio</x:v>
      </x:c>
      <x:c r="B609" s="34" t="n">
        <x:v>24</x:v>
      </x:c>
      <x:c r="C609" s="42" t="n">
        <x:v>0.82</x:v>
      </x:c>
    </x:row>
    <x:row r="610">
      <x:c r="A610" s="34" t="str">
        <x:v>foreign_dependency_ratio</x:v>
      </x:c>
      <x:c r="B610" s="34" t="n">
        <x:v>25</x:v>
      </x:c>
      <x:c r="C610" s="42" t="n">
        <x:v>0.82</x:v>
      </x:c>
    </x:row>
    <x:row r="611">
      <x:c r="A611" s="34" t="str">
        <x:v>foreign_dependency_ratio</x:v>
      </x:c>
      <x:c r="B611" s="34" t="n">
        <x:v>26</x:v>
      </x:c>
      <x:c r="C611" s="42" t="n">
        <x:v>0.82</x:v>
      </x:c>
    </x:row>
    <x:row r="612">
      <x:c r="A612" s="34" t="str">
        <x:v>foreign_dependency_ratio</x:v>
      </x:c>
      <x:c r="B612" s="34" t="n">
        <x:v>27</x:v>
      </x:c>
      <x:c r="C612" s="42" t="n">
        <x:v>0.82</x:v>
      </x:c>
    </x:row>
    <x:row r="613">
      <x:c r="A613" s="34" t="str">
        <x:v>foreign_dependency_ratio</x:v>
      </x:c>
      <x:c r="B613" s="34" t="n">
        <x:v>28</x:v>
      </x:c>
      <x:c r="C613" s="42" t="n">
        <x:v>0.82</x:v>
      </x:c>
    </x:row>
    <x:row r="614">
      <x:c r="A614" s="34" t="str">
        <x:v>foreign_dependency_ratio</x:v>
      </x:c>
      <x:c r="B614" s="34" t="n">
        <x:v>29</x:v>
      </x:c>
      <x:c r="C614" s="42" t="n">
        <x:v>0.82</x:v>
      </x:c>
    </x:row>
    <x:row r="615">
      <x:c r="A615" s="34" t="str">
        <x:v>foreign_dependency_ratio</x:v>
      </x:c>
      <x:c r="B615" s="34" t="n">
        <x:v>30</x:v>
      </x:c>
      <x:c r="C615" s="42" t="n">
        <x:v>0.82</x:v>
      </x:c>
    </x:row>
    <x:row r="616">
      <x:c r="A616" s="34" t="str">
        <x:v>foreign_dependency_ratio</x:v>
      </x:c>
      <x:c r="B616" s="34" t="n">
        <x:v>31</x:v>
      </x:c>
      <x:c r="C616" s="42" t="n">
        <x:v>0.82</x:v>
      </x:c>
    </x:row>
    <x:row r="617">
      <x:c r="A617" s="34" t="str">
        <x:v>foreign_dependency_ratio</x:v>
      </x:c>
      <x:c r="B617" s="34" t="n">
        <x:v>32</x:v>
      </x:c>
      <x:c r="C617" s="42" t="n">
        <x:v>0.82</x:v>
      </x:c>
    </x:row>
    <x:row r="618">
      <x:c r="A618" s="34" t="str">
        <x:v>foreign_dependency_ratio</x:v>
      </x:c>
      <x:c r="B618" s="34" t="n">
        <x:v>33</x:v>
      </x:c>
      <x:c r="C618" s="42" t="n">
        <x:v>0.834</x:v>
      </x:c>
    </x:row>
    <x:row r="619">
      <x:c r="A619" s="34" t="str">
        <x:v>foreign_dependency_ratio</x:v>
      </x:c>
      <x:c r="B619" s="34" t="n">
        <x:v>34</x:v>
      </x:c>
      <x:c r="C619" s="42" t="n">
        <x:v>0.834</x:v>
      </x:c>
    </x:row>
    <x:row r="620">
      <x:c r="A620" s="34" t="str">
        <x:v>foreign_dependency_ratio</x:v>
      </x:c>
      <x:c r="B620" s="34" t="n">
        <x:v>35</x:v>
      </x:c>
      <x:c r="C620" s="42" t="n">
        <x:v>0.834</x:v>
      </x:c>
    </x:row>
    <x:row r="621">
      <x:c r="A621" s="34" t="str">
        <x:v>foreign_dependency_ratio</x:v>
      </x:c>
      <x:c r="B621" s="34" t="n">
        <x:v>36</x:v>
      </x:c>
      <x:c r="C621" s="42" t="n">
        <x:v>0.834</x:v>
      </x:c>
    </x:row>
    <x:row r="622">
      <x:c r="A622" s="34" t="str">
        <x:v>foreign_dependency_ratio</x:v>
      </x:c>
      <x:c r="B622" s="34" t="n">
        <x:v>37</x:v>
      </x:c>
      <x:c r="C622" s="42" t="n">
        <x:v>0.834</x:v>
      </x:c>
    </x:row>
    <x:row r="623">
      <x:c r="A623" s="34" t="str">
        <x:v>foreign_dependency_ratio</x:v>
      </x:c>
      <x:c r="B623" s="34" t="n">
        <x:v>38</x:v>
      </x:c>
      <x:c r="C623" s="42" t="n">
        <x:v>0.834</x:v>
      </x:c>
    </x:row>
    <x:row r="624">
      <x:c r="A624" s="34" t="str">
        <x:v>foreign_dependency_ratio</x:v>
      </x:c>
      <x:c r="B624" s="34" t="n">
        <x:v>39</x:v>
      </x:c>
      <x:c r="C624" s="42" t="n">
        <x:v>0.834</x:v>
      </x:c>
    </x:row>
    <x:row r="625">
      <x:c r="A625" s="34" t="str">
        <x:v>foreign_dependency_ratio</x:v>
      </x:c>
      <x:c r="B625" s="34" t="n">
        <x:v>40</x:v>
      </x:c>
      <x:c r="C625" s="42" t="n">
        <x:v>0.834</x:v>
      </x:c>
    </x:row>
    <x:row r="626">
      <x:c r="A626" s="34" t="str">
        <x:v>foreign_dependency_ratio</x:v>
      </x:c>
      <x:c r="B626" s="34" t="n">
        <x:v>41</x:v>
      </x:c>
      <x:c r="C626" s="42" t="n">
        <x:v>0.834</x:v>
      </x:c>
    </x:row>
    <x:row r="627">
      <x:c r="A627" s="34" t="str">
        <x:v>foreign_dependency_ratio</x:v>
      </x:c>
      <x:c r="B627" s="34" t="n">
        <x:v>42</x:v>
      </x:c>
      <x:c r="C627" s="42" t="n">
        <x:v>0.834</x:v>
      </x:c>
    </x:row>
    <x:row r="628">
      <x:c r="A628" s="34" t="str">
        <x:v>foreign_dependency_ratio</x:v>
      </x:c>
      <x:c r="B628" s="34" t="n">
        <x:v>43</x:v>
      </x:c>
      <x:c r="C628" s="42" t="n">
        <x:v>0.834</x:v>
      </x:c>
    </x:row>
    <x:row r="629">
      <x:c r="A629" s="34" t="str">
        <x:v>foreign_dependency_ratio</x:v>
      </x:c>
      <x:c r="B629" s="34" t="n">
        <x:v>44</x:v>
      </x:c>
      <x:c r="C629" s="42" t="n">
        <x:v>0.834</x:v>
      </x:c>
    </x:row>
    <x:row r="630">
      <x:c r="A630" s="34" t="str">
        <x:v>foreign_dependency_ratio</x:v>
      </x:c>
      <x:c r="B630" s="34" t="n">
        <x:v>45</x:v>
      </x:c>
      <x:c r="C630" s="42" t="n">
        <x:v>0.834</x:v>
      </x:c>
    </x:row>
    <x:row r="631">
      <x:c r="A631" s="34" t="str">
        <x:v>foreign_dependency_ratio</x:v>
      </x:c>
      <x:c r="B631" s="34" t="n">
        <x:v>46</x:v>
      </x:c>
      <x:c r="C631" s="42" t="n">
        <x:v>0.834</x:v>
      </x:c>
    </x:row>
    <x:row r="632">
      <x:c r="A632" s="34" t="str">
        <x:v>foreign_dependency_ratio</x:v>
      </x:c>
      <x:c r="B632" s="34" t="n">
        <x:v>47</x:v>
      </x:c>
      <x:c r="C632" s="42" t="n">
        <x:v>0.834</x:v>
      </x:c>
    </x:row>
    <x:row r="633">
      <x:c r="A633" s="34" t="str">
        <x:v>foreign_dependency_ratio</x:v>
      </x:c>
      <x:c r="B633" s="34" t="n">
        <x:v>48</x:v>
      </x:c>
      <x:c r="C633" s="42" t="n">
        <x:v>0.834</x:v>
      </x:c>
    </x:row>
    <x:row r="634">
      <x:c r="A634" s="34" t="str">
        <x:v>foreign_dependency_ratio</x:v>
      </x:c>
      <x:c r="B634" s="34" t="n">
        <x:v>49</x:v>
      </x:c>
      <x:c r="C634" s="42" t="n">
        <x:v>0.834</x:v>
      </x:c>
    </x:row>
    <x:row r="635">
      <x:c r="A635" s="34" t="str">
        <x:v>foreign_dependency_ratio</x:v>
      </x:c>
      <x:c r="B635" s="34" t="n">
        <x:v>50</x:v>
      </x:c>
      <x:c r="C635" s="42" t="n">
        <x:v>0.834</x:v>
      </x:c>
    </x:row>
    <x:row r="636">
      <x:c r="A636" s="34" t="str">
        <x:v>foreign_dependency_ratio</x:v>
      </x:c>
      <x:c r="B636" s="34" t="n">
        <x:v>51</x:v>
      </x:c>
      <x:c r="C636" s="42" t="n">
        <x:v>0.834</x:v>
      </x:c>
    </x:row>
    <x:row r="637">
      <x:c r="A637" s="34" t="str">
        <x:v>foreign_dependency_ratio</x:v>
      </x:c>
      <x:c r="B637" s="34" t="n">
        <x:v>52</x:v>
      </x:c>
      <x:c r="C637" s="42" t="n">
        <x:v>0.891</x:v>
      </x:c>
    </x:row>
    <x:row r="638">
      <x:c r="A638" s="34" t="str">
        <x:v>foreign_dependency_ratio</x:v>
      </x:c>
      <x:c r="B638" s="34" t="n">
        <x:v>53</x:v>
      </x:c>
      <x:c r="C638" s="42" t="n">
        <x:v>0.891</x:v>
      </x:c>
    </x:row>
    <x:row r="639">
      <x:c r="A639" s="34" t="str">
        <x:v>foreign_dependency_ratio</x:v>
      </x:c>
      <x:c r="B639" s="34" t="n">
        <x:v>54</x:v>
      </x:c>
      <x:c r="C639" s="42" t="n">
        <x:v>0.891</x:v>
      </x:c>
    </x:row>
    <x:row r="640">
      <x:c r="A640" s="34" t="str">
        <x:v>foreign_dependency_ratio</x:v>
      </x:c>
      <x:c r="B640" s="34" t="n">
        <x:v>55</x:v>
      </x:c>
      <x:c r="C640" s="42" t="n">
        <x:v>0.891</x:v>
      </x:c>
    </x:row>
    <x:row r="641">
      <x:c r="A641" s="34" t="str">
        <x:v>foreign_dependency_ratio</x:v>
      </x:c>
      <x:c r="B641" s="34" t="n">
        <x:v>56</x:v>
      </x:c>
      <x:c r="C641" s="42" t="n">
        <x:v>0.891</x:v>
      </x:c>
    </x:row>
    <x:row r="642">
      <x:c r="A642" s="34" t="str">
        <x:v>foreign_dependency_ratio</x:v>
      </x:c>
      <x:c r="B642" s="34" t="n">
        <x:v>57</x:v>
      </x:c>
      <x:c r="C642" s="42" t="n">
        <x:v>0.911</x:v>
      </x:c>
    </x:row>
    <x:row r="643">
      <x:c r="A643" s="34" t="str">
        <x:v>foreign_dependency_ratio</x:v>
      </x:c>
      <x:c r="B643" s="34" t="n">
        <x:v>58</x:v>
      </x:c>
      <x:c r="C643" s="42" t="n">
        <x:v>0.911</x:v>
      </x:c>
    </x:row>
    <x:row r="644">
      <x:c r="A644" s="34" t="str">
        <x:v>foreign_dependency_ratio</x:v>
      </x:c>
      <x:c r="B644" s="34" t="n">
        <x:v>59</x:v>
      </x:c>
      <x:c r="C644" s="42" t="n">
        <x:v>0.911</x:v>
      </x:c>
    </x:row>
    <x:row r="645">
      <x:c r="A645" s="34" t="str">
        <x:v>foreign_dependency_ratio</x:v>
      </x:c>
      <x:c r="B645" s="34" t="n">
        <x:v>60</x:v>
      </x:c>
      <x:c r="C645" s="42" t="n">
        <x:v>0.911</x:v>
      </x:c>
    </x:row>
    <x:row r="646">
      <x:c r="A646" s="34" t="str">
        <x:v>foreign_dependency_ratio</x:v>
      </x:c>
      <x:c r="B646" s="34" t="n">
        <x:v>61</x:v>
      </x:c>
      <x:c r="C646" s="42" t="n">
        <x:v>0.911</x:v>
      </x:c>
    </x:row>
    <x:row r="647">
      <x:c r="A647" s="34" t="str">
        <x:v>foreign_dependency_ratio</x:v>
      </x:c>
      <x:c r="B647" s="34" t="n">
        <x:v>62</x:v>
      </x:c>
      <x:c r="C647" s="42" t="n">
        <x:v>0.911</x:v>
      </x:c>
    </x:row>
    <x:row r="648">
      <x:c r="A648" s="34" t="str">
        <x:v>foreign_dependency_ratio</x:v>
      </x:c>
      <x:c r="B648" s="34" t="n">
        <x:v>63</x:v>
      </x:c>
      <x:c r="C648" s="42" t="n">
        <x:v>0.911</x:v>
      </x:c>
    </x:row>
    <x:row r="649">
      <x:c r="A649" s="34" t="str">
        <x:v>foreign_dependency_ratio</x:v>
      </x:c>
      <x:c r="B649" s="34" t="n">
        <x:v>64</x:v>
      </x:c>
      <x:c r="C649" s="42" t="n">
        <x:v>0.911</x:v>
      </x:c>
    </x:row>
    <x:row r="650">
      <x:c r="A650" s="34" t="str">
        <x:v>foreign_dependency_ratio</x:v>
      </x:c>
      <x:c r="B650" s="34" t="n">
        <x:v>65</x:v>
      </x:c>
      <x:c r="C650" s="42" t="n">
        <x:v>0.911</x:v>
      </x:c>
    </x:row>
    <x:row r="651">
      <x:c r="A651" s="34" t="str">
        <x:v>foreign_dependency_ratio</x:v>
      </x:c>
      <x:c r="B651" s="34" t="n">
        <x:v>66</x:v>
      </x:c>
      <x:c r="C651" s="42" t="n">
        <x:v>0.911</x:v>
      </x:c>
    </x:row>
    <x:row r="652">
      <x:c r="A652" s="34" t="str">
        <x:v>foreign_dependency_ratio</x:v>
      </x:c>
      <x:c r="B652" s="34" t="n">
        <x:v>67</x:v>
      </x:c>
      <x:c r="C652" s="42" t="n">
        <x:v>0.911</x:v>
      </x:c>
    </x:row>
    <x:row r="653">
      <x:c r="A653" s="34" t="str">
        <x:v>foreign_dependency_ratio</x:v>
      </x:c>
      <x:c r="B653" s="34" t="n">
        <x:v>68</x:v>
      </x:c>
      <x:c r="C653" s="42" t="n">
        <x:v>0.911</x:v>
      </x:c>
    </x:row>
    <x:row r="654">
      <x:c r="A654" s="34" t="str">
        <x:v>foreign_dependency_ratio</x:v>
      </x:c>
      <x:c r="B654" s="34" t="n">
        <x:v>69</x:v>
      </x:c>
      <x:c r="C654" s="42" t="n">
        <x:v>0.911</x:v>
      </x:c>
    </x:row>
    <x:row r="655">
      <x:c r="A655" s="34" t="str">
        <x:v>foreign_dependency_ratio</x:v>
      </x:c>
      <x:c r="B655" s="34" t="n">
        <x:v>70</x:v>
      </x:c>
      <x:c r="C655" s="42" t="n">
        <x:v>0.911</x:v>
      </x:c>
    </x:row>
    <x:row r="656">
      <x:c r="A656" s="34" t="str">
        <x:v>foreign_dependency_ratio</x:v>
      </x:c>
      <x:c r="B656" s="34" t="n">
        <x:v>71</x:v>
      </x:c>
      <x:c r="C656" s="42" t="n">
        <x:v>0.94</x:v>
      </x:c>
    </x:row>
    <x:row r="657">
      <x:c r="A657" s="34" t="str">
        <x:v>foreign_dependency_ratio</x:v>
      </x:c>
      <x:c r="B657" s="34" t="n">
        <x:v>72</x:v>
      </x:c>
      <x:c r="C657" s="42" t="n">
        <x:v>0.94</x:v>
      </x:c>
    </x:row>
    <x:row r="658">
      <x:c r="A658" s="34" t="str">
        <x:v>foreign_dependency_ratio</x:v>
      </x:c>
      <x:c r="B658" s="34" t="n">
        <x:v>73</x:v>
      </x:c>
      <x:c r="C658" s="42" t="n">
        <x:v>0.94</x:v>
      </x:c>
    </x:row>
    <x:row r="659">
      <x:c r="A659" s="34" t="str">
        <x:v>foreign_dependency_ratio</x:v>
      </x:c>
      <x:c r="B659" s="34" t="n">
        <x:v>74</x:v>
      </x:c>
      <x:c r="C659" s="42" t="n">
        <x:v>0.94</x:v>
      </x:c>
    </x:row>
    <x:row r="660">
      <x:c r="A660" s="34" t="str">
        <x:v>foreign_dependency_ratio</x:v>
      </x:c>
      <x:c r="B660" s="34" t="n">
        <x:v>75</x:v>
      </x:c>
      <x:c r="C660" s="42" t="n">
        <x:v>0.94</x:v>
      </x:c>
    </x:row>
    <x:row r="661">
      <x:c r="A661" s="34" t="str">
        <x:v>foreign_dependency_ratio</x:v>
      </x:c>
      <x:c r="B661" s="34" t="n">
        <x:v>76</x:v>
      </x:c>
      <x:c r="C661" s="42" t="n">
        <x:v>0.94</x:v>
      </x:c>
    </x:row>
    <x:row r="662">
      <x:c r="A662" s="34" t="str">
        <x:v>foreign_dependency_ratio</x:v>
      </x:c>
      <x:c r="B662" s="34" t="n">
        <x:v>77</x:v>
      </x:c>
      <x:c r="C662" s="42" t="n">
        <x:v>0.94</x:v>
      </x:c>
    </x:row>
    <x:row r="663">
      <x:c r="A663" s="34" t="str">
        <x:v>foreign_dependency_ratio</x:v>
      </x:c>
      <x:c r="B663" s="34" t="n">
        <x:v>78</x:v>
      </x:c>
      <x:c r="C663" s="42" t="n">
        <x:v>0.94</x:v>
      </x:c>
    </x:row>
    <x:row r="664">
      <x:c r="A664" s="34" t="str">
        <x:v>foreign_dependency_ratio</x:v>
      </x:c>
      <x:c r="B664" s="34" t="n">
        <x:v>79</x:v>
      </x:c>
      <x:c r="C664" s="42" t="n">
        <x:v>0.94</x:v>
      </x:c>
    </x:row>
    <x:row r="665">
      <x:c r="A665" s="34" t="str">
        <x:v>foreign_dependency_ratio</x:v>
      </x:c>
      <x:c r="B665" s="34" t="n">
        <x:v>80</x:v>
      </x:c>
      <x:c r="C665" s="42" t="n">
        <x:v>0.94</x:v>
      </x:c>
    </x:row>
    <x:row r="666">
      <x:c r="A666" s="34" t="str">
        <x:v>foreign_dependency_ratio</x:v>
      </x:c>
      <x:c r="B666" s="34" t="n">
        <x:v>81</x:v>
      </x:c>
      <x:c r="C666" s="42" t="n">
        <x:v>0.94</x:v>
      </x:c>
    </x:row>
    <x:row r="667">
      <x:c r="A667" s="34" t="str">
        <x:v>foreign_dependency_ratio</x:v>
      </x:c>
      <x:c r="B667" s="34" t="n">
        <x:v>82</x:v>
      </x:c>
      <x:c r="C667" s="42" t="n">
        <x:v>0.94</x:v>
      </x:c>
    </x:row>
    <x:row r="668">
      <x:c r="A668" s="34" t="str">
        <x:v>foreign_dependency_ratio</x:v>
      </x:c>
      <x:c r="B668" s="34" t="n">
        <x:v>83</x:v>
      </x:c>
      <x:c r="C668" s="42" t="n">
        <x:v>0.94</x:v>
      </x:c>
    </x:row>
    <x:row r="669">
      <x:c r="A669" s="34" t="str">
        <x:v>foreign_dependency_ratio</x:v>
      </x:c>
      <x:c r="B669" s="34" t="n">
        <x:v>84</x:v>
      </x:c>
      <x:c r="C669" s="42" t="n">
        <x:v>0.94</x:v>
      </x:c>
    </x:row>
    <x:row r="670">
      <x:c r="A670" s="34" t="str">
        <x:v>outflow_to_capex_ratio</x:v>
      </x:c>
      <x:c r="B670" s="34" t="n">
        <x:v>1</x:v>
      </x:c>
      <x:c r="C670" s="42" t="n">
        <x:v>-123.5385890408</x:v>
      </x:c>
    </x:row>
    <x:row r="671">
      <x:c r="A671" s="34" t="str">
        <x:v>outflow_to_capex_ratio</x:v>
      </x:c>
      <x:c r="B671" s="34" t="n">
        <x:v>2</x:v>
      </x:c>
      <x:c r="C671" s="42" t="n">
        <x:v>-123.5385890408</x:v>
      </x:c>
    </x:row>
    <x:row r="672">
      <x:c r="A672" s="34" t="str">
        <x:v>outflow_to_capex_ratio</x:v>
      </x:c>
      <x:c r="B672" s="34" t="n">
        <x:v>3</x:v>
      </x:c>
      <x:c r="C672" s="42" t="n">
        <x:v>-85.87304581699998</x:v>
      </x:c>
    </x:row>
    <x:row r="673">
      <x:c r="A673" s="34" t="str">
        <x:v>outflow_to_capex_ratio</x:v>
      </x:c>
      <x:c r="B673" s="34" t="n">
        <x:v>4</x:v>
      </x:c>
      <x:c r="C673" s="42" t="n">
        <x:v>-85.87304581699998</x:v>
      </x:c>
    </x:row>
    <x:row r="674">
      <x:c r="A674" s="34" t="str">
        <x:v>outflow_to_capex_ratio</x:v>
      </x:c>
      <x:c r="B674" s="34" t="n">
        <x:v>5</x:v>
      </x:c>
      <x:c r="C674" s="42" t="n">
        <x:v>-51.29995827390001</x:v>
      </x:c>
    </x:row>
    <x:row r="675">
      <x:c r="A675" s="34" t="str">
        <x:v>outflow_to_capex_ratio</x:v>
      </x:c>
      <x:c r="B675" s="34" t="n">
        <x:v>6</x:v>
      </x:c>
      <x:c r="C675" s="42" t="n">
        <x:v>-51.29995827390001</x:v>
      </x:c>
    </x:row>
    <x:row r="676">
      <x:c r="A676" s="34" t="str">
        <x:v>outflow_to_capex_ratio</x:v>
      </x:c>
      <x:c r="B676" s="34" t="n">
        <x:v>7</x:v>
      </x:c>
      <x:c r="C676" s="42" t="n">
        <x:v>-51.29995827390001</x:v>
      </x:c>
    </x:row>
    <x:row r="677">
      <x:c r="A677" s="34" t="str">
        <x:v>outflow_to_capex_ratio</x:v>
      </x:c>
      <x:c r="B677" s="34" t="n">
        <x:v>8</x:v>
      </x:c>
      <x:c r="C677" s="42" t="n">
        <x:v>-16.7377447283</x:v>
      </x:c>
    </x:row>
    <x:row r="678">
      <x:c r="A678" s="34" t="str">
        <x:v>outflow_to_capex_ratio</x:v>
      </x:c>
      <x:c r="B678" s="34" t="n">
        <x:v>9</x:v>
      </x:c>
      <x:c r="C678" s="42" t="n">
        <x:v>-16.7377447283</x:v>
      </x:c>
    </x:row>
    <x:row r="679">
      <x:c r="A679" s="34" t="str">
        <x:v>outflow_to_capex_ratio</x:v>
      </x:c>
      <x:c r="B679" s="34" t="n">
        <x:v>10</x:v>
      </x:c>
      <x:c r="C679" s="42" t="n">
        <x:v>-16.7377447283</x:v>
      </x:c>
    </x:row>
    <x:row r="680">
      <x:c r="A680" s="34" t="str">
        <x:v>outflow_to_capex_ratio</x:v>
      </x:c>
      <x:c r="B680" s="34" t="n">
        <x:v>11</x:v>
      </x:c>
      <x:c r="C680" s="42" t="n">
        <x:v>-16.7377447283</x:v>
      </x:c>
    </x:row>
    <x:row r="681">
      <x:c r="A681" s="34" t="str">
        <x:v>outflow_to_capex_ratio</x:v>
      </x:c>
      <x:c r="B681" s="34" t="n">
        <x:v>12</x:v>
      </x:c>
      <x:c r="C681" s="42" t="n">
        <x:v>-16.7377447283</x:v>
      </x:c>
    </x:row>
    <x:row r="682">
      <x:c r="A682" s="34" t="str">
        <x:v>outflow_to_capex_ratio</x:v>
      </x:c>
      <x:c r="B682" s="34" t="n">
        <x:v>13</x:v>
      </x:c>
      <x:c r="C682" s="42" t="n">
        <x:v>-16.7377447283</x:v>
      </x:c>
    </x:row>
    <x:row r="683">
      <x:c r="A683" s="34" t="str">
        <x:v>outflow_to_capex_ratio</x:v>
      </x:c>
      <x:c r="B683" s="34" t="n">
        <x:v>14</x:v>
      </x:c>
      <x:c r="C683" s="42" t="n">
        <x:v>-14.033614841300004</x:v>
      </x:c>
    </x:row>
    <x:row r="684">
      <x:c r="A684" s="34" t="str">
        <x:v>outflow_to_capex_ratio</x:v>
      </x:c>
      <x:c r="B684" s="34" t="n">
        <x:v>15</x:v>
      </x:c>
      <x:c r="C684" s="42" t="n">
        <x:v>-13.617818677699999</x:v>
      </x:c>
    </x:row>
    <x:row r="685">
      <x:c r="A685" s="34" t="str">
        <x:v>outflow_to_capex_ratio</x:v>
      </x:c>
      <x:c r="B685" s="34" t="n">
        <x:v>16</x:v>
      </x:c>
      <x:c r="C685" s="42" t="n">
        <x:v>-13.617818677699999</x:v>
      </x:c>
    </x:row>
    <x:row r="686">
      <x:c r="A686" s="34" t="str">
        <x:v>outflow_to_capex_ratio</x:v>
      </x:c>
      <x:c r="B686" s="34" t="n">
        <x:v>17</x:v>
      </x:c>
      <x:c r="C686" s="42" t="n">
        <x:v>-13.617818677699999</x:v>
      </x:c>
    </x:row>
    <x:row r="687">
      <x:c r="A687" s="34" t="str">
        <x:v>outflow_to_capex_ratio</x:v>
      </x:c>
      <x:c r="B687" s="34" t="n">
        <x:v>18</x:v>
      </x:c>
      <x:c r="C687" s="42" t="n">
        <x:v>2.7849243362</x:v>
      </x:c>
    </x:row>
    <x:row r="688">
      <x:c r="A688" s="34" t="str">
        <x:v>outflow_to_capex_ratio</x:v>
      </x:c>
      <x:c r="B688" s="34" t="n">
        <x:v>19</x:v>
      </x:c>
      <x:c r="C688" s="42" t="n">
        <x:v>2.7849243362</x:v>
      </x:c>
    </x:row>
    <x:row r="689">
      <x:c r="A689" s="34" t="str">
        <x:v>outflow_to_capex_ratio</x:v>
      </x:c>
      <x:c r="B689" s="34" t="n">
        <x:v>20</x:v>
      </x:c>
      <x:c r="C689" s="42" t="n">
        <x:v>4.4564271873</x:v>
      </x:c>
    </x:row>
    <x:row r="690">
      <x:c r="A690" s="34" t="str">
        <x:v>outflow_to_capex_ratio</x:v>
      </x:c>
      <x:c r="B690" s="34" t="n">
        <x:v>21</x:v>
      </x:c>
      <x:c r="C690" s="42" t="n">
        <x:v>4.4774153209</x:v>
      </x:c>
    </x:row>
    <x:row r="691">
      <x:c r="A691" s="34" t="str">
        <x:v>outflow_to_capex_ratio</x:v>
      </x:c>
      <x:c r="B691" s="34" t="n">
        <x:v>22</x:v>
      </x:c>
      <x:c r="C691" s="42" t="n">
        <x:v>7.1310779403</x:v>
      </x:c>
    </x:row>
    <x:row r="692">
      <x:c r="A692" s="34" t="str">
        <x:v>outflow_to_capex_ratio</x:v>
      </x:c>
      <x:c r="B692" s="34" t="n">
        <x:v>23</x:v>
      </x:c>
      <x:c r="C692" s="42" t="n">
        <x:v>8.129703191000003</x:v>
      </x:c>
    </x:row>
    <x:row r="693">
      <x:c r="A693" s="34" t="str">
        <x:v>outflow_to_capex_ratio</x:v>
      </x:c>
      <x:c r="B693" s="34" t="n">
        <x:v>24</x:v>
      </x:c>
      <x:c r="C693" s="42" t="n">
        <x:v>8.2830369641</x:v>
      </x:c>
    </x:row>
    <x:row r="694">
      <x:c r="A694" s="34" t="str">
        <x:v>outflow_to_capex_ratio</x:v>
      </x:c>
      <x:c r="B694" s="34" t="n">
        <x:v>25</x:v>
      </x:c>
      <x:c r="C694" s="42" t="n">
        <x:v>8.3145799056</x:v>
      </x:c>
    </x:row>
    <x:row r="695">
      <x:c r="A695" s="34" t="str">
        <x:v>outflow_to_capex_ratio</x:v>
      </x:c>
      <x:c r="B695" s="34" t="n">
        <x:v>26</x:v>
      </x:c>
      <x:c r="C695" s="42" t="n">
        <x:v>8.3145799056</x:v>
      </x:c>
    </x:row>
    <x:row r="696">
      <x:c r="A696" s="34" t="str">
        <x:v>outflow_to_capex_ratio</x:v>
      </x:c>
      <x:c r="B696" s="34" t="n">
        <x:v>27</x:v>
      </x:c>
      <x:c r="C696" s="42" t="n">
        <x:v>8.3145799056</x:v>
      </x:c>
    </x:row>
    <x:row r="697">
      <x:c r="A697" s="34" t="str">
        <x:v>outflow_to_capex_ratio</x:v>
      </x:c>
      <x:c r="B697" s="34" t="n">
        <x:v>28</x:v>
      </x:c>
      <x:c r="C697" s="42" t="n">
        <x:v>8.3145799056</x:v>
      </x:c>
    </x:row>
    <x:row r="698">
      <x:c r="A698" s="34" t="str">
        <x:v>outflow_to_capex_ratio</x:v>
      </x:c>
      <x:c r="B698" s="34" t="n">
        <x:v>29</x:v>
      </x:c>
      <x:c r="C698" s="42" t="n">
        <x:v>8.3145799874</x:v>
      </x:c>
    </x:row>
    <x:row r="699">
      <x:c r="A699" s="34" t="str">
        <x:v>outflow_to_capex_ratio</x:v>
      </x:c>
      <x:c r="B699" s="34" t="n">
        <x:v>30</x:v>
      </x:c>
      <x:c r="C699" s="42" t="n">
        <x:v>8.903158403000003</x:v>
      </x:c>
    </x:row>
    <x:row r="700">
      <x:c r="A700" s="34" t="str">
        <x:v>outflow_to_capex_ratio</x:v>
      </x:c>
      <x:c r="B700" s="34" t="n">
        <x:v>31</x:v>
      </x:c>
      <x:c r="C700" s="42" t="n">
        <x:v>8.903158403000003</x:v>
      </x:c>
    </x:row>
    <x:row r="701">
      <x:c r="A701" s="34" t="str">
        <x:v>outflow_to_capex_ratio</x:v>
      </x:c>
      <x:c r="B701" s="34" t="n">
        <x:v>32</x:v>
      </x:c>
      <x:c r="C701" s="42" t="n">
        <x:v>8.903158403000003</x:v>
      </x:c>
    </x:row>
    <x:row r="702">
      <x:c r="A702" s="34" t="str">
        <x:v>outflow_to_capex_ratio</x:v>
      </x:c>
      <x:c r="B702" s="34" t="n">
        <x:v>33</x:v>
      </x:c>
      <x:c r="C702" s="42" t="n">
        <x:v>8.903158403000003</x:v>
      </x:c>
    </x:row>
    <x:row r="703">
      <x:c r="A703" s="34" t="str">
        <x:v>outflow_to_capex_ratio</x:v>
      </x:c>
      <x:c r="B703" s="34" t="n">
        <x:v>34</x:v>
      </x:c>
      <x:c r="C703" s="42" t="n">
        <x:v>8.980114584399999</x:v>
      </x:c>
    </x:row>
    <x:row r="704">
      <x:c r="A704" s="34" t="str">
        <x:v>outflow_to_capex_ratio</x:v>
      </x:c>
      <x:c r="B704" s="34" t="n">
        <x:v>35</x:v>
      </x:c>
      <x:c r="C704" s="42" t="n">
        <x:v>8.980114584399999</x:v>
      </x:c>
    </x:row>
    <x:row r="705">
      <x:c r="A705" s="34" t="str">
        <x:v>outflow_to_capex_ratio</x:v>
      </x:c>
      <x:c r="B705" s="34" t="n">
        <x:v>36</x:v>
      </x:c>
      <x:c r="C705" s="42" t="n">
        <x:v>8.980114584399999</x:v>
      </x:c>
    </x:row>
    <x:row r="706">
      <x:c r="A706" s="34" t="str">
        <x:v>outflow_to_capex_ratio</x:v>
      </x:c>
      <x:c r="B706" s="34" t="n">
        <x:v>37</x:v>
      </x:c>
      <x:c r="C706" s="42" t="n">
        <x:v>8.980114584399999</x:v>
      </x:c>
    </x:row>
    <x:row r="707">
      <x:c r="A707" s="34" t="str">
        <x:v>outflow_to_capex_ratio</x:v>
      </x:c>
      <x:c r="B707" s="34" t="n">
        <x:v>38</x:v>
      </x:c>
      <x:c r="C707" s="42" t="n">
        <x:v>9.000536697999998</x:v>
      </x:c>
    </x:row>
    <x:row r="708">
      <x:c r="A708" s="34" t="str">
        <x:v>outflow_to_capex_ratio</x:v>
      </x:c>
      <x:c r="B708" s="34" t="n">
        <x:v>39</x:v>
      </x:c>
      <x:c r="C708" s="42" t="n">
        <x:v>11.582916100100002</x:v>
      </x:c>
    </x:row>
    <x:row r="709">
      <x:c r="A709" s="34" t="str">
        <x:v>outflow_to_capex_ratio</x:v>
      </x:c>
      <x:c r="B709" s="34" t="n">
        <x:v>40</x:v>
      </x:c>
      <x:c r="C709" s="42" t="n">
        <x:v>11.582916100100002</x:v>
      </x:c>
    </x:row>
    <x:row r="710">
      <x:c r="A710" s="34" t="str">
        <x:v>outflow_to_capex_ratio</x:v>
      </x:c>
      <x:c r="B710" s="34" t="n">
        <x:v>41</x:v>
      </x:c>
      <x:c r="C710" s="42" t="n">
        <x:v>11.582916100100002</x:v>
      </x:c>
    </x:row>
    <x:row r="711">
      <x:c r="A711" s="34" t="str">
        <x:v>outflow_to_capex_ratio</x:v>
      </x:c>
      <x:c r="B711" s="34" t="n">
        <x:v>42</x:v>
      </x:c>
      <x:c r="C711" s="42" t="n">
        <x:v>11.582916100100002</x:v>
      </x:c>
    </x:row>
    <x:row r="712">
      <x:c r="A712" s="34" t="str">
        <x:v>outflow_to_capex_ratio</x:v>
      </x:c>
      <x:c r="B712" s="34" t="n">
        <x:v>43</x:v>
      </x:c>
      <x:c r="C712" s="42" t="n">
        <x:v>11.582916109299997</x:v>
      </x:c>
    </x:row>
    <x:row r="713">
      <x:c r="A713" s="34" t="str">
        <x:v>outflow_to_capex_ratio</x:v>
      </x:c>
      <x:c r="B713" s="34" t="n">
        <x:v>44</x:v>
      </x:c>
      <x:c r="C713" s="42" t="n">
        <x:v>17.798486980599996</x:v>
      </x:c>
    </x:row>
    <x:row r="714">
      <x:c r="A714" s="34" t="str">
        <x:v>outflow_to_capex_ratio</x:v>
      </x:c>
      <x:c r="B714" s="34" t="n">
        <x:v>45</x:v>
      </x:c>
      <x:c r="C714" s="42" t="n">
        <x:v>17.798486980599996</x:v>
      </x:c>
    </x:row>
    <x:row r="715">
      <x:c r="A715" s="34" t="str">
        <x:v>outflow_to_capex_ratio</x:v>
      </x:c>
      <x:c r="B715" s="34" t="n">
        <x:v>46</x:v>
      </x:c>
      <x:c r="C715" s="42" t="n">
        <x:v>17.798486980599996</x:v>
      </x:c>
    </x:row>
    <x:row r="716">
      <x:c r="A716" s="34" t="str">
        <x:v>outflow_to_capex_ratio</x:v>
      </x:c>
      <x:c r="B716" s="34" t="n">
        <x:v>47</x:v>
      </x:c>
      <x:c r="C716" s="42" t="n">
        <x:v>19.578401376000002</x:v>
      </x:c>
    </x:row>
    <x:row r="717">
      <x:c r="A717" s="34" t="str">
        <x:v>outflow_to_capex_ratio</x:v>
      </x:c>
      <x:c r="B717" s="34" t="n">
        <x:v>48</x:v>
      </x:c>
      <x:c r="C717" s="42" t="n">
        <x:v>19.578401376000002</x:v>
      </x:c>
    </x:row>
    <x:row r="718">
      <x:c r="A718" s="34" t="str">
        <x:v>outflow_to_capex_ratio</x:v>
      </x:c>
      <x:c r="B718" s="34" t="n">
        <x:v>49</x:v>
      </x:c>
      <x:c r="C718" s="42" t="n">
        <x:v>19.578401376000002</x:v>
      </x:c>
    </x:row>
    <x:row r="719">
      <x:c r="A719" s="34" t="str">
        <x:v>outflow_to_capex_ratio</x:v>
      </x:c>
      <x:c r="B719" s="34" t="n">
        <x:v>50</x:v>
      </x:c>
      <x:c r="C719" s="42" t="n">
        <x:v>19.581749161100003</x:v>
      </x:c>
    </x:row>
    <x:row r="720">
      <x:c r="A720" s="34" t="str">
        <x:v>outflow_to_capex_ratio</x:v>
      </x:c>
      <x:c r="B720" s="34" t="n">
        <x:v>51</x:v>
      </x:c>
      <x:c r="C720" s="42" t="n">
        <x:v>19.581749161100003</x:v>
      </x:c>
    </x:row>
    <x:row r="721">
      <x:c r="A721" s="34" t="str">
        <x:v>outflow_to_capex_ratio</x:v>
      </x:c>
      <x:c r="B721" s="34" t="n">
        <x:v>52</x:v>
      </x:c>
      <x:c r="C721" s="42" t="n">
        <x:v>19.581749161100003</x:v>
      </x:c>
    </x:row>
    <x:row r="722">
      <x:c r="A722" s="34" t="str">
        <x:v>outflow_to_capex_ratio</x:v>
      </x:c>
      <x:c r="B722" s="34" t="n">
        <x:v>53</x:v>
      </x:c>
      <x:c r="C722" s="42" t="n">
        <x:v>25.324936720900002</x:v>
      </x:c>
    </x:row>
    <x:row r="723">
      <x:c r="A723" s="34" t="str">
        <x:v>outflow_to_capex_ratio</x:v>
      </x:c>
      <x:c r="B723" s="34" t="n">
        <x:v>54</x:v>
      </x:c>
      <x:c r="C723" s="42" t="n">
        <x:v>25.324936720900002</x:v>
      </x:c>
    </x:row>
    <x:row r="724">
      <x:c r="A724" s="34" t="str">
        <x:v>outflow_to_capex_ratio</x:v>
      </x:c>
      <x:c r="B724" s="34" t="n">
        <x:v>55</x:v>
      </x:c>
      <x:c r="C724" s="42" t="n">
        <x:v>25.324936720900002</x:v>
      </x:c>
    </x:row>
    <x:row r="725">
      <x:c r="A725" s="34" t="str">
        <x:v>outflow_to_capex_ratio</x:v>
      </x:c>
      <x:c r="B725" s="34" t="n">
        <x:v>56</x:v>
      </x:c>
      <x:c r="C725" s="42" t="n">
        <x:v>29.728567935300003</x:v>
      </x:c>
    </x:row>
    <x:row r="726">
      <x:c r="A726" s="34" t="str">
        <x:v>outflow_to_capex_ratio</x:v>
      </x:c>
      <x:c r="B726" s="34" t="n">
        <x:v>57</x:v>
      </x:c>
      <x:c r="C726" s="42" t="n">
        <x:v>29.728567935300003</x:v>
      </x:c>
    </x:row>
    <x:row r="727">
      <x:c r="A727" s="34" t="str">
        <x:v>outflow_to_capex_ratio</x:v>
      </x:c>
      <x:c r="B727" s="34" t="n">
        <x:v>58</x:v>
      </x:c>
      <x:c r="C727" s="42" t="n">
        <x:v>35.78405445640001</x:v>
      </x:c>
    </x:row>
    <x:row r="728">
      <x:c r="A728" s="34" t="str">
        <x:v>outflow_to_capex_ratio</x:v>
      </x:c>
      <x:c r="B728" s="34" t="n">
        <x:v>59</x:v>
      </x:c>
      <x:c r="C728" s="42" t="n">
        <x:v>35.78405445640001</x:v>
      </x:c>
    </x:row>
    <x:row r="729">
      <x:c r="A729" s="34" t="str">
        <x:v>outflow_to_capex_ratio</x:v>
      </x:c>
      <x:c r="B729" s="34" t="n">
        <x:v>60</x:v>
      </x:c>
      <x:c r="C729" s="42" t="n">
        <x:v>39.65133171909999</x:v>
      </x:c>
    </x:row>
    <x:row r="730">
      <x:c r="A730" s="34" t="str">
        <x:v>outflow_to_capex_ratio</x:v>
      </x:c>
      <x:c r="B730" s="34" t="n">
        <x:v>61</x:v>
      </x:c>
      <x:c r="C730" s="42" t="n">
        <x:v>39.65133171909999</x:v>
      </x:c>
    </x:row>
    <x:row r="731">
      <x:c r="A731" s="34" t="str">
        <x:v>outflow_to_capex_ratio</x:v>
      </x:c>
      <x:c r="B731" s="34" t="n">
        <x:v>62</x:v>
      </x:c>
      <x:c r="C731" s="42" t="n">
        <x:v>39.65133171909999</x:v>
      </x:c>
    </x:row>
    <x:row r="732">
      <x:c r="A732" s="34" t="str">
        <x:v>outflow_to_capex_ratio</x:v>
      </x:c>
      <x:c r="B732" s="34" t="n">
        <x:v>63</x:v>
      </x:c>
      <x:c r="C732" s="42" t="n">
        <x:v>39.65133171909999</x:v>
      </x:c>
    </x:row>
    <x:row r="733">
      <x:c r="A733" s="34" t="str">
        <x:v>outflow_to_capex_ratio</x:v>
      </x:c>
      <x:c r="B733" s="34" t="n">
        <x:v>64</x:v>
      </x:c>
      <x:c r="C733" s="42" t="n">
        <x:v>39.65133171909999</x:v>
      </x:c>
    </x:row>
    <x:row r="734">
      <x:c r="A734" s="34" t="str">
        <x:v>outflow_to_capex_ratio</x:v>
      </x:c>
      <x:c r="B734" s="34" t="n">
        <x:v>65</x:v>
      </x:c>
      <x:c r="C734" s="42" t="n">
        <x:v>39.65133171909999</x:v>
      </x:c>
    </x:row>
    <x:row r="735">
      <x:c r="A735" s="34" t="str">
        <x:v>outflow_to_capex_ratio</x:v>
      </x:c>
      <x:c r="B735" s="34" t="n">
        <x:v>66</x:v>
      </x:c>
      <x:c r="C735" s="42" t="n">
        <x:v>57.7984661134</x:v>
      </x:c>
    </x:row>
    <x:row r="736">
      <x:c r="A736" s="34" t="str">
        <x:v>outflow_to_capex_ratio</x:v>
      </x:c>
      <x:c r="B736" s="34" t="n">
        <x:v>67</x:v>
      </x:c>
      <x:c r="C736" s="42" t="n">
        <x:v>116.03021191289994</x:v>
      </x:c>
    </x:row>
    <x:row r="737">
      <x:c r="A737" s="34" t="str">
        <x:v>outflow_to_capex_ratio</x:v>
      </x:c>
      <x:c r="B737" s="34" t="n">
        <x:v>68</x:v>
      </x:c>
      <x:c r="C737" s="42" t="n">
        <x:v>116.03021191289994</x:v>
      </x:c>
    </x:row>
    <x:row r="738">
      <x:c r="A738" s="34" t="str">
        <x:v>outflow_to_capex_ratio</x:v>
      </x:c>
      <x:c r="B738" s="34" t="n">
        <x:v>69</x:v>
      </x:c>
      <x:c r="C738" s="42" t="n">
        <x:v>116.03021191289994</x:v>
      </x:c>
    </x:row>
    <x:row r="739">
      <x:c r="A739" s="34" t="str">
        <x:v>outflow_to_capex_ratio</x:v>
      </x:c>
      <x:c r="B739" s="34" t="n">
        <x:v>70</x:v>
      </x:c>
      <x:c r="C739" s="42" t="n">
        <x:v>130.82566585949994</x:v>
      </x:c>
    </x:row>
    <x:row r="740">
      <x:c r="A740" s="34" t="str">
        <x:v>outflow_to_capex_ratio</x:v>
      </x:c>
      <x:c r="B740" s="34" t="n">
        <x:v>71</x:v>
      </x:c>
      <x:c r="C740" s="42" t="n">
        <x:v>130.82566585949994</x:v>
      </x:c>
    </x:row>
    <x:row r="741">
      <x:c r="A741" s="34" t="str">
        <x:v>outflow_to_capex_ratio</x:v>
      </x:c>
      <x:c r="B741" s="34" t="n">
        <x:v>72</x:v>
      </x:c>
      <x:c r="C741" s="42" t="n">
        <x:v>139.1946449665</x:v>
      </x:c>
    </x:row>
    <x:row r="742">
      <x:c r="A742" s="34" t="str">
        <x:v>outflow_to_capex_ratio</x:v>
      </x:c>
      <x:c r="B742" s="34" t="n">
        <x:v>73</x:v>
      </x:c>
      <x:c r="C742" s="42" t="n">
        <x:v>139.1946449665</x:v>
      </x:c>
    </x:row>
    <x:row r="743">
      <x:c r="A743" s="34" t="str">
        <x:v>outflow_to_capex_ratio</x:v>
      </x:c>
      <x:c r="B743" s="34" t="n">
        <x:v>74</x:v>
      </x:c>
      <x:c r="C743" s="42" t="n">
        <x:v>139.1946449665</x:v>
      </x:c>
    </x:row>
    <x:row r="744">
      <x:c r="A744" s="34" t="str">
        <x:v>outflow_to_capex_ratio</x:v>
      </x:c>
      <x:c r="B744" s="34" t="n">
        <x:v>75</x:v>
      </x:c>
      <x:c r="C744" s="42" t="n">
        <x:v>139.1946449665</x:v>
      </x:c>
    </x:row>
    <x:row r="745">
      <x:c r="A745" s="34" t="str">
        <x:v>outflow_to_capex_ratio</x:v>
      </x:c>
      <x:c r="B745" s="34" t="n">
        <x:v>76</x:v>
      </x:c>
      <x:c r="C745" s="42" t="n">
        <x:v>139.1946449665</x:v>
      </x:c>
    </x:row>
    <x:row r="746">
      <x:c r="A746" s="34" t="str">
        <x:v>outflow_to_capex_ratio</x:v>
      </x:c>
      <x:c r="B746" s="34" t="n">
        <x:v>77</x:v>
      </x:c>
      <x:c r="C746" s="42" t="n">
        <x:v>139.1946449665</x:v>
      </x:c>
    </x:row>
    <x:row r="747">
      <x:c r="A747" s="34" t="str">
        <x:v>outflow_to_capex_ratio</x:v>
      </x:c>
      <x:c r="B747" s="34" t="n">
        <x:v>78</x:v>
      </x:c>
      <x:c r="C747" s="42" t="n">
        <x:v>194.06163963109998</x:v>
      </x:c>
    </x:row>
    <x:row r="748">
      <x:c r="A748" s="34" t="str">
        <x:v>outflow_to_capex_ratio</x:v>
      </x:c>
      <x:c r="B748" s="34" t="n">
        <x:v>79</x:v>
      </x:c>
      <x:c r="C748" s="42" t="n">
        <x:v>194.06163963109998</x:v>
      </x:c>
    </x:row>
    <x:row r="749">
      <x:c r="A749" s="34" t="str">
        <x:v>outflow_to_capex_ratio</x:v>
      </x:c>
      <x:c r="B749" s="34" t="n">
        <x:v>80</x:v>
      </x:c>
      <x:c r="C749" s="42" t="n">
        <x:v>215.70266001439998</x:v>
      </x:c>
    </x:row>
    <x:row r="750">
      <x:c r="A750" s="34" t="str">
        <x:v>outflow_to_capex_ratio</x:v>
      </x:c>
      <x:c r="B750" s="34" t="n">
        <x:v>81</x:v>
      </x:c>
      <x:c r="C750" s="42" t="n">
        <x:v>215.70266001439998</x:v>
      </x:c>
    </x:row>
    <x:row r="751">
      <x:c r="A751" s="34" t="str">
        <x:v>outflow_to_capex_ratio</x:v>
      </x:c>
      <x:c r="B751" s="34" t="n">
        <x:v>82</x:v>
      </x:c>
      <x:c r="C751" s="42" t="n">
        <x:v>215.70266001439998</x:v>
      </x:c>
    </x:row>
    <x:row r="752">
      <x:c r="A752" s="34" t="str">
        <x:v>outflow_to_capex_ratio</x:v>
      </x:c>
      <x:c r="B752" s="34" t="n">
        <x:v>83</x:v>
      </x:c>
      <x:c r="C752" s="42" t="n">
        <x:v>215.70266001439998</x:v>
      </x:c>
    </x:row>
    <x:row r="753">
      <x:c r="A753" s="34" t="str">
        <x:v>outflow_to_capex_ratio</x:v>
      </x:c>
      <x:c r="B753" s="34" t="n">
        <x:v>84</x:v>
      </x:c>
      <x:c r="C753" s="42" t="n">
        <x:v>222.00000000000003</x:v>
      </x:c>
    </x:row>
    <x:row r="754">
      <x:c r="A754" s="34" t="str">
        <x:v>outflow_to_capex_ratio</x:v>
      </x:c>
      <x:c r="B754" s="34" t="n">
        <x:v>85</x:v>
      </x:c>
      <x:c r="C754" s="42" t="n">
        <x:v>222.00000000000003</x:v>
      </x:c>
    </x:row>
    <x:row r="755">
      <x:c r="A755" s="34" t="str">
        <x:v>outflow_to_capex_ratio</x:v>
      </x:c>
      <x:c r="B755" s="34" t="n">
        <x:v>86</x:v>
      </x:c>
      <x:c r="C755" s="42" t="n">
        <x:v>312.0274431778001</x:v>
      </x:c>
    </x:row>
    <x:row r="756">
      <x:c r="A756" s="34" t="str">
        <x:v>outflow_to_capex_ratio</x:v>
      </x:c>
      <x:c r="B756" s="34" t="n">
        <x:v>87</x:v>
      </x:c>
      <x:c r="C756" s="42" t="n">
        <x:v>312.0274431778001</x:v>
      </x:c>
    </x:row>
    <x:row r="757">
      <x:c r="A757" s="34" t="str">
        <x:v>outflow_to_capex_ratio</x:v>
      </x:c>
      <x:c r="B757" s="34" t="n">
        <x:v>88</x:v>
      </x:c>
      <x:c r="C757" s="42" t="n">
        <x:v>312.0274431778001</x:v>
      </x:c>
    </x:row>
    <x:row r="758">
      <x:c r="A758" s="34" t="str">
        <x:v>outflow_to_capex_ratio</x:v>
      </x:c>
      <x:c r="B758" s="34" t="n">
        <x:v>89</x:v>
      </x:c>
      <x:c r="C758" s="42" t="n">
        <x:v>312.0274431778001</x:v>
      </x:c>
    </x:row>
    <x:row r="759">
      <x:c r="A759" s="34" t="str">
        <x:v>outflow_to_capex_ratio</x:v>
      </x:c>
      <x:c r="B759" s="34" t="n">
        <x:v>90</x:v>
      </x:c>
      <x:c r="C759" s="42" t="n">
        <x:v>506.9089991928999</x:v>
      </x:c>
    </x:row>
    <x:row r="760">
      <x:c r="A760" s="34" t="str">
        <x:v>outflow_to_capex_ratio</x:v>
      </x:c>
      <x:c r="B760" s="34" t="n">
        <x:v>91</x:v>
      </x:c>
      <x:c r="C760" s="42" t="n">
        <x:v>506.9089991928999</x:v>
      </x:c>
    </x:row>
    <x:row r="761">
      <x:c r="A761" s="34" t="str">
        <x:v>outflow_to_capex_ratio</x:v>
      </x:c>
      <x:c r="B761" s="34" t="n">
        <x:v>92</x:v>
      </x:c>
      <x:c r="C761" s="42" t="n">
        <x:v>506.9089991928999</x:v>
      </x:c>
    </x:row>
    <x:row r="762">
      <x:c r="A762" s="34" t="str">
        <x:v>outflow_to_capex_ratio</x:v>
      </x:c>
      <x:c r="B762" s="34" t="n">
        <x:v>93</x:v>
      </x:c>
      <x:c r="C762" s="42" t="n">
        <x:v>506.9089991928999</x:v>
      </x:c>
    </x:row>
    <x:row r="763">
      <x:c r="A763" s="34" t="str">
        <x:v>outflow_to_capex_ratio</x:v>
      </x:c>
      <x:c r="B763" s="34" t="n">
        <x:v>94</x:v>
      </x:c>
      <x:c r="C763" s="42" t="n">
        <x:v>974.1666666666999</x:v>
      </x:c>
    </x:row>
    <x:row r="764">
      <x:c r="A764" s="34" t="str">
        <x:v>outflow_to_capex_ratio</x:v>
      </x:c>
      <x:c r="B764" s="34" t="n">
        <x:v>95</x:v>
      </x:c>
      <x:c r="C764" s="42" t="n">
        <x:v>974.1666666666999</x:v>
      </x:c>
    </x:row>
    <x:row r="765">
      <x:c r="A765" s="34" t="str">
        <x:v>outflow_to_capex_ratio</x:v>
      </x:c>
      <x:c r="B765" s="34" t="n">
        <x:v>96</x:v>
      </x:c>
      <x:c r="C765" s="42" t="n">
        <x:v>974.1666666666999</x:v>
      </x:c>
    </x:row>
    <x:row r="766">
      <x:c r="A766" s="34" t="str">
        <x:v>outflow_to_capex_ratio</x:v>
      </x:c>
      <x:c r="B766" s="34" t="n">
        <x:v>97</x:v>
      </x:c>
      <x:c r="C766" s="42" t="n">
        <x:v>974.1666666666999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c74f7ca3cec7459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25" hidden="0" customWidth="1"/>
    <x:col min="7" max="7" width="25" hidden="0" customWidth="1"/>
    <x:col min="8" max="8" width="34" hidden="0" customWidth="1"/>
    <x:col min="9" max="9" width="5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30" customHeight="1">
      <x:c r="A1" s="3" t="str">
        <x:v>94 | Python Golden Outputs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7" t="str">
        <x:v>합성 예시의 Python 기준값입니다. 계산 수식 parity와 동일점수·상이금액 사례를 검증합니다.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4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6" ht="58" customHeight="1">
      <x:c r="A6" s="13" t="str">
        <x:v>observation_id</x:v>
      </x:c>
      <x:c r="B6" s="13" t="str">
        <x:v>CPII</x:v>
      </x:c>
      <x:c r="C6" s="13" t="str">
        <x:v>I_reg</x:v>
      </x:c>
      <x:c r="D6" s="13" t="str">
        <x:v>I_risk</x:v>
      </x:c>
      <x:c r="E6" s="13" t="str">
        <x:v>I_market</x:v>
      </x:c>
      <x:c r="F6" s="13" t="str">
        <x:v>norm_effective_tax_rate_gap</x:v>
      </x:c>
      <x:c r="G6" s="13" t="str">
        <x:v>norm_infra_dependency_ratio</x:v>
      </x:c>
      <x:c r="H6" s="13" t="str">
        <x:v>norm_network_cost_ratio</x:v>
      </x:c>
      <x:c r="I6" s="13" t="str">
        <x:v>norm_cashflow_recovery_ratio</x:v>
      </x:c>
      <x:c r="J6" s="13" t="str">
        <x:v>norm_funding_cost_spread</x:v>
      </x:c>
      <x:c r="K6" s="13" t="str">
        <x:v>norm_investment_recovery_ratio</x:v>
      </x:c>
      <x:c r="L6" s="13" t="str">
        <x:v>norm_ip_assetization_gap</x:v>
      </x:c>
      <x:c r="M6" s="13" t="str">
        <x:v>norm_cross_market_transfer_index</x:v>
      </x:c>
      <x:c r="N6" s="13" t="str">
        <x:v>norm_foreign_dependency_ratio</x:v>
      </x:c>
      <x:c r="O6" s="13" t="str">
        <x:v>norm_outflow_to_capex_ratio</x:v>
      </x:c>
    </x:row>
    <x:row r="7">
      <x:c r="A7" s="34" t="str">
        <x:v>SYN-A</x:v>
      </x:c>
      <x:c r="B7" s="34" t="n">
        <x:v>39.89561107334345</x:v>
      </x:c>
      <x:c r="C7" s="34" t="n">
        <x:v>12.738163187649489</x:v>
      </x:c>
      <x:c r="D7" s="34" t="n">
        <x:v>73.35805758258167</x:v>
      </x:c>
      <x:c r="E7" s="34" t="n">
        <x:v>33.590612449799195</x:v>
      </x:c>
      <x:c r="F7" s="34" t="n">
        <x:v>0.2534246575342466</x:v>
      </x:c>
      <x:c r="G7" s="34" t="n">
        <x:v>0.07142857142857142</x:v>
      </x:c>
      <x:c r="H7" s="34" t="n">
        <x:v>0.057291666666666664</x:v>
      </x:c>
      <x:c r="I7" s="34" t="n">
        <x:v>0.675531914893617</x:v>
      </x:c>
      <x:c r="J7" s="34" t="n">
        <x:v>0.7982456140350878</x:v>
      </x:c>
      <x:c r="K7" s="34" t="n">
        <x:v>0.6968085106382979</x:v>
      </x:c>
      <x:c r="L7" s="34" t="n">
        <x:v>0.7637362637362637</x:v>
      </x:c>
      <x:c r="M7" s="34" t="n">
        <x:v>0.5</x:v>
      </x:c>
      <x:c r="N7" s="34" t="n">
        <x:v>0.21084337349397592</x:v>
      </x:c>
      <x:c r="O7" s="34" t="n">
        <x:v>0.296875</x:v>
      </x:c>
    </x:row>
    <x:row r="8">
      <x:c r="A8" s="34" t="str">
        <x:v>SYN-B</x:v>
      </x:c>
      <x:c r="B8" s="34" t="n">
        <x:v>32.21744929663617</x:v>
      </x:c>
      <x:c r="C8" s="34" t="n">
        <x:v>5.086363883452925</x:v>
      </x:c>
      <x:c r="D8" s="34" t="n">
        <x:v>65.06205161020391</x:v>
      </x:c>
      <x:c r="E8" s="34" t="n">
        <x:v>26.50393239625167</x:v>
      </x:c>
      <x:c r="F8" s="34" t="n">
        <x:v>0.10273972602739725</x:v>
      </x:c>
      <x:c r="G8" s="34" t="n">
        <x:v>0.023809523809523808</x:v>
      </x:c>
      <x:c r="H8" s="34" t="n">
        <x:v>0.026041666666666668</x:v>
      </x:c>
      <x:c r="I8" s="34" t="n">
        <x:v>0.48404255319148937</x:v>
      </x:c>
      <x:c r="J8" s="34" t="n">
        <x:v>0.6578947368421053</x:v>
      </x:c>
      <x:c r="K8" s="34" t="n">
        <x:v>0.6968085106382979</x:v>
      </x:c>
      <x:c r="L8" s="34" t="n">
        <x:v>0.7637362637362637</x:v>
      </x:c>
      <x:c r="M8" s="34" t="n">
        <x:v>0.5</x:v>
      </x:c>
      <x:c r="N8" s="34" t="n">
        <x:v>0.10240963855421686</x:v>
      </x:c>
      <x:c r="O8" s="34" t="n">
        <x:v>0.19270833333333334</x:v>
      </x:c>
    </x:row>
    <x:row r="9">
      <x:c r="A9" s="34" t="str">
        <x:v>SYN-C</x:v>
      </x:c>
      <x:c r="B9" s="34" t="n">
        <x:v>42.7666299052785</x:v>
      </x:c>
      <x:c r="C9" s="34" t="n">
        <x:v>24.721067079799955</x:v>
      </x:c>
      <x:c r="D9" s="34" t="n">
        <x:v>76.38044579533941</x:v>
      </x:c>
      <x:c r="E9" s="34" t="n">
        <x:v>27.198376840696117</x:v>
      </x:c>
      <x:c r="F9" s="34" t="n">
        <x:v>0.6917808219178082</x:v>
      </x:c>
      <x:c r="G9" s="34" t="n">
        <x:v>0.023809523809523808</x:v>
      </x:c>
      <x:c r="H9" s="34" t="n">
        <x:v>0.026041666666666668</x:v>
      </x:c>
      <x:c r="I9" s="34" t="n">
        <x:v>0.675531914893617</x:v>
      </x:c>
      <x:c r="J9" s="34" t="n">
        <x:v>0.8333333333333334</x:v>
      </x:c>
      <x:c r="K9" s="34" t="n">
        <x:v>0.7606382978723404</x:v>
      </x:c>
      <x:c r="L9" s="34" t="n">
        <x:v>0.7857142857142857</x:v>
      </x:c>
      <x:c r="M9" s="34" t="n">
        <x:v>0.5</x:v>
      </x:c>
      <x:c r="N9" s="34" t="n">
        <x:v>0.10240963855421686</x:v>
      </x:c>
      <x:c r="O9" s="34" t="n">
        <x:v>0.21354166666666666</x:v>
      </x:c>
    </x:row>
    <x:row r="10">
      <x:c r="A10" s="34" t="str">
        <x:v>SYN-D</x:v>
      </x:c>
      <x:c r="B10" s="34" t="n">
        <x:v>35.98357654884811</x:v>
      </x:c>
      <x:c r="C10" s="34" t="n">
        <x:v>11.022436942813655</x:v>
      </x:c>
      <x:c r="D10" s="34" t="n">
        <x:v>69.38269364081235</x:v>
      </x:c>
      <x:c r="E10" s="34" t="n">
        <x:v>27.54559906291834</x:v>
      </x:c>
      <x:c r="F10" s="34" t="n">
        <x:v>0.2808219178082192</x:v>
      </x:c>
      <x:c r="G10" s="34" t="n">
        <x:v>0.023809523809523808</x:v>
      </x:c>
      <x:c r="H10" s="34" t="n">
        <x:v>0.026041666666666668</x:v>
      </x:c>
      <x:c r="I10" s="34" t="n">
        <x:v>0.5691489361702128</x:v>
      </x:c>
      <x:c r="J10" s="34" t="n">
        <x:v>0.7456140350877193</x:v>
      </x:c>
      <x:c r="K10" s="34" t="n">
        <x:v>0.6968085106382979</x:v>
      </x:c>
      <x:c r="L10" s="34" t="n">
        <x:v>0.7637362637362637</x:v>
      </x:c>
      <x:c r="M10" s="34" t="n">
        <x:v>0.5</x:v>
      </x:c>
      <x:c r="N10" s="34" t="n">
        <x:v>0.10240963855421686</x:v>
      </x:c>
      <x:c r="O10" s="34" t="n">
        <x:v>0.22395833333333334</x:v>
      </x:c>
    </x:row>
    <x:row r="13">
      <x:c r="A13" s="13" t="str">
        <x:v>예시 pair</x:v>
      </x:c>
      <x:c r="B13" s="13" t="str">
        <x:v>A</x:v>
      </x:c>
      <x:c r="C13" s="13" t="str">
        <x:v>B</x:v>
      </x:c>
      <x:c r="D13" s="13" t="str">
        <x:v>단일 driver</x:v>
      </x:c>
      <x:c r="E13" s="13" t="str">
        <x:v>ΔCPII 점</x:v>
      </x:c>
      <x:c r="F13" s="13" t="str">
        <x:v>공통노출 Base</x:v>
      </x:c>
      <x:c r="G13" s="13" t="str">
        <x:v>공통규모 금액 KRW</x:v>
      </x:c>
      <x:c r="H13" s="13" t="str">
        <x:v>해석유형</x:v>
      </x:c>
      <x:c r="I13" s="13" t="str">
        <x:v>합성자료 경고</x:v>
      </x:c>
    </x:row>
    <x:row r="14" ht="15" hidden="0" customHeight="1">
      <x:c r="A14" s="34" t="str">
        <x:v>network_cost_channel</x:v>
      </x:c>
      <x:c r="B14" s="34" t="str">
        <x:v>GOLD-N-A</x:v>
      </x:c>
      <x:c r="C14" s="34" t="str">
        <x:v>GOLD-N-B</x:v>
      </x:c>
      <x:c r="D14" s="34" t="str">
        <x:v>network_cost_ratio</x:v>
      </x:c>
      <x:c r="E14" s="44" t="str">
        <x:v>1.3888888888888928</x:v>
      </x:c>
      <x:c r="F14" s="44" t="str">
        <x:v>1000000000000.0</x:v>
      </x:c>
      <x:c r="G14" s="44" t="str">
        <x:v>99752138500.00003</x:v>
      </x:c>
      <x:c r="H14" s="37" t="str">
        <x:v>conditional_accounting_equivalent</x:v>
      </x:c>
      <x:c r="I14" s="37" t="str">
        <x:v>methodology_only_not_real_company_estimate</x:v>
      </x:c>
    </x:row>
    <x:row r="15" ht="15" hidden="0" customHeight="1">
      <x:c r="A15" s="34" t="str">
        <x:v>funding_cost_channel</x:v>
      </x:c>
      <x:c r="B15" s="34" t="str">
        <x:v>GOLD-F-A</x:v>
      </x:c>
      <x:c r="C15" s="34" t="str">
        <x:v>GOLD-F-B</x:v>
      </x:c>
      <x:c r="D15" s="34" t="str">
        <x:v>funding_cost_spread</x:v>
      </x:c>
      <x:c r="E15" s="44" t="str">
        <x:v>1.3888888888888928</x:v>
      </x:c>
      <x:c r="F15" s="44" t="str">
        <x:v>100000000000.0</x:v>
      </x:c>
      <x:c r="G15" s="44" t="str">
        <x:v>199922200.00000003</x:v>
      </x:c>
      <x:c r="H15" s="37" t="str">
        <x:v>conditional_accounting_equivalent</x:v>
      </x:c>
      <x:c r="I15" s="37" t="str">
        <x:v>methodology_only_not_real_company_estimate</x:v>
      </x:c>
    </x:row>
    <x:row r="18">
      <x:c r="A18" s="46" t="str">
        <x:v>동일한 약 1.3888889 CPII점이라도 네트워크 비용 채널은 공통매출 1조원에서 약 997.52억원, 조달금리 채널은 평균부채 1,000억원에서 약 2.00억원입니다. 이는 점수당 보편 원화계수가 존재하지 않음을 보여주는 통제된 합성 예시입니다.</x:v>
      </x:c>
      <x:c r="B18" s="46"/>
      <x:c r="C18" s="46"/>
      <x:c r="D18" s="46"/>
      <x:c r="E18" s="46"/>
      <x:c r="F18" s="46"/>
      <x:c r="G18" s="46"/>
      <x:c r="H18" s="46"/>
    </x:row>
    <x:row r="19">
      <x:c r="A19" s="46"/>
      <x:c r="B19" s="46"/>
      <x:c r="C19" s="46"/>
      <x:c r="D19" s="46"/>
      <x:c r="E19" s="46"/>
      <x:c r="F19" s="46"/>
      <x:c r="G19" s="46"/>
      <x:c r="H19" s="46"/>
    </x:row>
    <x:row r="20">
      <x:c r="A20" s="46"/>
      <x:c r="B20" s="46"/>
      <x:c r="C20" s="46"/>
      <x:c r="D20" s="46"/>
      <x:c r="E20" s="46"/>
      <x:c r="F20" s="46"/>
      <x:c r="G20" s="46"/>
      <x:c r="H20" s="46"/>
    </x:row>
    <x:row r="21">
      <x:c r="A21" s="46"/>
      <x:c r="B21" s="46"/>
      <x:c r="C21" s="46"/>
      <x:c r="D21" s="46"/>
      <x:c r="E21" s="46"/>
      <x:c r="F21" s="46"/>
      <x:c r="G21" s="46"/>
      <x:c r="H21" s="46"/>
    </x:row>
  </x:sheetData>
  <x:mergeCells>
    <x:mergeCell ref="A1:P1"/>
    <x:mergeCell ref="A2:P3"/>
    <x:mergeCell ref="A18:H2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4" hidden="0" customWidth="1"/>
    <x:col min="3" max="3" width="44" hidden="0" customWidth="1"/>
    <x:col min="4" max="4" width="1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99 | QA·감사추적</x:v>
      </x:c>
      <x:c r="B1" s="3"/>
      <x:c r="C1" s="3"/>
      <x:c r="D1" s="3"/>
      <x:c r="E1" s="3"/>
      <x:c r="F1" s="3"/>
      <x:c r="G1" s="3"/>
      <x:c r="H1" s="3"/>
    </x:row>
    <x:row r="2" ht="24" customHeight="1">
      <x:c r="A2" s="7" t="str">
        <x:v>FAIL은 확인 필요. 예시 변경에 따른 검증 제외는 입력 오류와 구별. 수식은 반올림 전 값으로 비교합니다.</x:v>
      </x:c>
      <x:c r="B2" s="7"/>
      <x:c r="C2" s="7"/>
      <x:c r="D2" s="7"/>
      <x:c r="E2" s="7"/>
      <x:c r="F2" s="7"/>
      <x:c r="G2" s="7"/>
      <x:c r="H2" s="7"/>
    </x:row>
    <x:row r="3" ht="24" customHeight="1">
      <x:c r="A3" s="7"/>
      <x:c r="B3" s="7"/>
      <x:c r="C3" s="7"/>
      <x:c r="D3" s="7"/>
      <x:c r="E3" s="7"/>
      <x:c r="F3" s="7"/>
      <x:c r="G3" s="7"/>
      <x:c r="H3" s="7"/>
    </x:row>
    <x:row r="6">
      <x:c r="A6" s="13" t="str">
        <x:v>검사</x:v>
      </x:c>
      <x:c r="B6" s="13" t="str">
        <x:v>관측/값</x:v>
      </x:c>
      <x:c r="C6" s="13" t="str">
        <x:v>기준</x:v>
      </x:c>
      <x:c r="D6" s="13" t="str">
        <x:v>결과</x:v>
      </x:c>
    </x:row>
    <x:row r="7" ht="15" hidden="0" customHeight="1">
      <x:c r="A7" s="37" t="str">
        <x:v>Python parity 최대 절대오차</x:v>
      </x:c>
      <x:c r="B7" s="70" t="n">
        <x:f>IF(B8=0,"",MAX('91_CALC_SCORES'!$AA$7:$AA$106))</x:f>
        <x:v>1.4210854715202004e-14</x:v>
      </x:c>
      <x:c r="C7" s="37" t="str">
        <x:v>&lt;=1E-10</x:v>
      </x:c>
      <x:c r="D7" s="34" t="str">
        <x:f>IF(B8=0,"예시 검증 제외",IF(B7&lt;=0.0000000001,"PASS","FAIL"))</x:f>
        <x:v>PASS</x:v>
      </x:c>
    </x:row>
    <x:row r="8" ht="15" hidden="0" customHeight="1">
      <x:c r="A8" s="37" t="str">
        <x:v>원본예시 대조 가능 행수</x:v>
      </x:c>
      <x:c r="B8" s="70" t="n">
        <x:f>COUNT('91_CALC_SCORES'!$Z$7:$Z$106)</x:f>
        <x:v>4</x:v>
      </x:c>
      <x:c r="C8" s="37" t="str">
        <x:v>기본 입력 4행</x:v>
      </x:c>
      <x:c r="D8" s="34" t="str">
        <x:f>IF(B8=4,"PASS","예시 변경/입력 확인")</x:f>
        <x:v>PASS</x:v>
      </x:c>
    </x:row>
    <x:row r="9" ht="15" hidden="0" customHeight="1">
      <x:c r="A9" s="37" t="str">
        <x:v>선택 pair 기여도 잔차</x:v>
      </x:c>
      <x:c r="B9" s="70" t="n">
        <x:f>IF('03_COMPARE_2'!$A$14&lt;&gt;"비교 가능","",ABS('03_COMPARE_2'!$H$28-'03_COMPARE_2'!$D$8))</x:f>
        <x:v>5.329070518200751e-15</x:v>
      </x:c>
      <x:c r="C9" s="37" t="str">
        <x:v>&lt;=1E-10</x:v>
      </x:c>
      <x:c r="D9" s="34" t="str">
        <x:f>IF(COUNT(B9)=0,"비교 불가",IF(B9&lt;=0.0000000001,"PASS","FAIL"))</x:f>
        <x:v>PASS</x:v>
      </x:c>
    </x:row>
    <x:row r="10" ht="15" hidden="0" customHeight="1">
      <x:c r="A10" s="37" t="str">
        <x:v>Anchor version</x:v>
      </x:c>
      <x:c r="B10" s="37" t="str">
        <x:v>POOL_SCQ_P01_P99_EMP_RANK_V1</x:v>
      </x:c>
      <x:c r="C10" s="37" t="str">
        <x:v>POOL_SCQ_P01_P99_EMP_RANK_V1</x:v>
      </x:c>
      <x:c r="D10" s="34" t="str">
        <x:f>IF(B10=C10,"PASS","FAIL")</x:f>
        <x:v>PASS</x:v>
      </x:c>
    </x:row>
    <x:row r="11" ht="15" hidden="0" customHeight="1">
      <x:c r="A11" s="37" t="str">
        <x:v>Method version</x:v>
      </x:c>
      <x:c r="B11" s="37" t="str">
        <x:v>CPII_FIRM_INPUT_EQW_V1</x:v>
      </x:c>
      <x:c r="C11" s="37" t="str">
        <x:v>CPII_FIRM_INPUT_EQW_V1</x:v>
      </x:c>
      <x:c r="D11" s="34" t="str">
        <x:f>IF(B11=C11,"PASS","FAIL")</x:f>
        <x:v>PASS</x:v>
      </x:c>
    </x:row>
    <x:row r="12" ht="15" hidden="0" customHeight="1">
      <x:c r="A12" s="37" t="str">
        <x:v>저지원 유효가중치</x:v>
      </x:c>
      <x:c r="B12" s="71" t="n">
        <x:v>0.2222222222222222</x:v>
      </x:c>
      <x:c r="C12" s="37" t="str">
        <x:v>22.22%</x:v>
      </x:c>
      <x:c r="D12" s="34" t="str">
        <x:f>IF(ABS(B12-2/9)&lt;=0.0000000001,"PASS","FAIL")</x:f>
        <x:v>PASS</x:v>
      </x:c>
    </x:row>
    <x:row r="13" ht="15" hidden="0" customHeight="1">
      <x:c r="A13" s="37" t="str">
        <x:v>10-feature 결합완전</x:v>
      </x:c>
      <x:c r="B13" s="37" t="n">
        <x:v>2</x:v>
      </x:c>
      <x:c r="C13" s="37" t="str">
        <x:v>공개·제한</x:v>
      </x:c>
      <x:c r="D13" s="34" t="str">
        <x:f>IF(B13=2,"PASS","FAIL")</x:f>
        <x:v>PASS</x:v>
      </x:c>
    </x:row>
    <x:row r="14" ht="15" hidden="0" customHeight="1">
      <x:c r="A14" s="37" t="str">
        <x:v>경제금액 총합</x:v>
      </x:c>
      <x:c r="B14" s="37" t="str">
        <x:v>미계산</x:v>
      </x:c>
      <x:c r="C14" s="37" t="str">
        <x:v>never_auto_sum</x:v>
      </x:c>
      <x:c r="D14" s="34" t="str">
        <x:f>IF(B14="미계산","PASS","FAIL")</x:f>
        <x:v>PASS</x:v>
      </x:c>
    </x:row>
    <x:row r="15" ht="15" hidden="0" customHeight="1">
      <x:c r="A15" s="37" t="str">
        <x:v>기업/Pair 경험적 백분위</x:v>
      </x:c>
      <x:c r="B15" s="37" t="str">
        <x:v>N/A</x:v>
      </x:c>
      <x:c r="C15" s="37" t="str">
        <x:v>insufficient_joint_reference_support</x:v>
      </x:c>
      <x:c r="D15" s="34" t="str">
        <x:f>IF(B15="N/A","PASS","FAIL")</x:f>
        <x:v>PASS</x:v>
      </x:c>
    </x:row>
    <x:row r="16" ht="15" hidden="0" customHeight="1">
      <x:c r="A16" s="37" t="str">
        <x:v>사용자 회사입력 차단행</x:v>
      </x:c>
      <x:c r="B16" s="37" t="n">
        <x:f>COUNTA('01_INPUT_COMPANIES'!$A$7:$A$106)-COUNTIFS('91_CALC_SCORES'!$AB$7:$AB$106,"&gt;=PASS",'91_CALC_SCORES'!$AB$7:$AB$106,"&lt;PAST")-COUNTIFS('91_CALC_SCORES'!$AB$7:$AB$106,"&gt;=READY",'91_CALC_SCORES'!$AB$7:$AB$106,"&lt;READZ")</x:f>
        <x:v>0</x:v>
      </x:c>
      <x:c r="C16" s="37" t="str">
        <x:v>0</x:v>
      </x:c>
      <x:c r="D16" s="34" t="str">
        <x:f>IF(B16=0,"PASS","FAIL")</x:f>
        <x:v>PASS</x:v>
      </x:c>
    </x:row>
    <x:row r="17" ht="15" hidden="0" customHeight="1">
      <x:c r="A17" s="37" t="str">
        <x:v>경제 노출입력 오류행</x:v>
      </x:c>
      <x:c r="B17" s="37" t="n">
        <x:f>COUNTA('02_INPUT_ECON_BASES'!$A$7:$A$106)-COUNTIF('02_INPUT_ECON_BASES'!$AA$7:$AA$106,"READY")</x:f>
        <x:v>0</x:v>
      </x:c>
      <x:c r="C17" s="37" t="str">
        <x:v>0</x:v>
      </x:c>
      <x:c r="D17" s="34" t="str">
        <x:f>IF(B17=0,"PASS","FAIL")</x:f>
        <x:v>PASS</x:v>
      </x:c>
    </x:row>
    <x:row r="18" ht="15" hidden="0" customHeight="1">
      <x:c r="A18" s="37" t="str">
        <x:v>선택 pair 상태</x:v>
      </x:c>
      <x:c r="B18" s="37" t="str">
        <x:f>'03_COMPARE_2'!$A$14</x:f>
        <x:v>비교 가능</x:v>
      </x:c>
      <x:c r="C18" s="37" t="str">
        <x:v>비교 가능</x:v>
      </x:c>
      <x:c r="D18" s="34" t="str">
        <x:f>IF(B18=C18,"PASS","FAIL")</x:f>
        <x:v>PASS</x:v>
      </x:c>
    </x:row>
    <x:row r="21">
      <x:c r="A21" s="69" t="str">
        <x:v>Source hashes: data/processed/cpii_simulator/examples/fictional_companies.csv=36c851ef130ca99f7e985116b01b1f50bffa3603801dabcddfe9bae60199a424 | data/processed/cpii_simulator/examples/fictional_exposures.csv=0e03db8462cd850f348331309cce01dc1b405f8198e51a1e9f6b661e193dd096 | data/processed/cpii_simulator/examples/fictional_feature_provenance.csv=ef60966f56c879f91aece71d61d9af8384da7ea1469a51beb2e240909b67465a | data/registry/cpii_economic_bridge_registry.csv=76777a4bde2c082b824bded8f5d5f2a6f3812c0ef079b94fead77f1e4965f2cb | data/registry/cpii_simulator_variable_dictionary.csv=7d487d20b193fc2e0858929f4805523af04992edc6306fb4bd5c16143c7cffca</x:v>
      </x:c>
      <x:c r="B21" s="69"/>
      <x:c r="C21" s="69"/>
      <x:c r="D21" s="69"/>
      <x:c r="E21" s="69"/>
      <x:c r="F21" s="69"/>
      <x:c r="G21" s="69"/>
      <x:c r="H21" s="69"/>
    </x:row>
    <x:row r="22">
      <x:c r="A22" s="69"/>
      <x:c r="B22" s="69"/>
      <x:c r="C22" s="69"/>
      <x:c r="D22" s="69"/>
      <x:c r="E22" s="69"/>
      <x:c r="F22" s="69"/>
      <x:c r="G22" s="69"/>
      <x:c r="H22" s="69"/>
    </x:row>
    <x:row r="23">
      <x:c r="A23" s="69"/>
      <x:c r="B23" s="69"/>
      <x:c r="C23" s="69"/>
      <x:c r="D23" s="69"/>
      <x:c r="E23" s="69"/>
      <x:c r="F23" s="69"/>
      <x:c r="G23" s="69"/>
      <x:c r="H23" s="69"/>
    </x:row>
    <x:row r="24">
      <x:c r="A24" s="69"/>
      <x:c r="B24" s="69"/>
      <x:c r="C24" s="69"/>
      <x:c r="D24" s="69"/>
      <x:c r="E24" s="69"/>
      <x:c r="F24" s="69"/>
      <x:c r="G24" s="69"/>
      <x:c r="H24" s="69"/>
    </x:row>
    <x:row r="25">
      <x:c r="A25" s="69"/>
      <x:c r="B25" s="69"/>
      <x:c r="C25" s="69"/>
      <x:c r="D25" s="69"/>
      <x:c r="E25" s="69"/>
      <x:c r="F25" s="69"/>
      <x:c r="G25" s="69"/>
      <x:c r="H25" s="69"/>
    </x:row>
  </x:sheetData>
  <x:mergeCells>
    <x:mergeCell ref="A1:H1"/>
    <x:mergeCell ref="A2:H3"/>
    <x:mergeCell ref="A21:H25"/>
  </x:mergeCells>
  <x:conditionalFormatting sqref="D7:D18">
    <x:cfRule type="containsText" dxfId="23" priority="1" operator="containsText" text="PASS"/>
    <x:cfRule type="containsText" dxfId="24" priority="2" operator="containsText" text="FAIL"/>
  </x:conditionalFormatting>
  <x:pageMargins left="0.7" right="0.7" top="0.75" bottom="0.75" header="0.3" footer="0.3"/>
</x:worksheet>
</file>